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VANCES  PC\Downloads\"/>
    </mc:Choice>
  </mc:AlternateContent>
  <xr:revisionPtr revIDLastSave="0" documentId="13_ncr:1_{5CD81B71-3AA0-4341-A929-A3973A13316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shboard" sheetId="1" r:id="rId1"/>
    <sheet name="Pivot_Calculations" sheetId="2" r:id="rId2"/>
    <sheet name="Working_Calculations" sheetId="3" r:id="rId3"/>
    <sheet name="Data" sheetId="5" r:id="rId4"/>
    <sheet name="Questions &amp; KPIs" sheetId="6" r:id="rId5"/>
  </sheets>
  <definedNames>
    <definedName name="list_Category">Working_Calculations!$P$2:$P$22</definedName>
    <definedName name="list_County">Working_Calculations!$R$2:$R$60</definedName>
    <definedName name="list_Gender">Working_Calculations!$O$2:$O$6</definedName>
    <definedName name="list_Mode">Working_Calculations!$N$2:$N$7</definedName>
    <definedName name="list_Month">Working_Calculations!$Q$2:$Q$5</definedName>
    <definedName name="_xlnm.Print_Area" localSheetId="0">Dashboard!$A$1:$Y$62</definedName>
    <definedName name="Sel_Category">Dashboard!$B$35</definedName>
    <definedName name="Sel_County">Dashboard!$B$41</definedName>
    <definedName name="Sel_Gender">Dashboard!$B$32</definedName>
    <definedName name="Sel_Mode">Dashboard!$B$29</definedName>
    <definedName name="Sel_Month">Dashboard!$B$38</definedName>
    <definedName name="wk_DeliveryGroup">Working_Calculations!$G$2:$G$2401</definedName>
    <definedName name="wk_Flag">Working_Calculations!$I$2:$I$2401</definedName>
    <definedName name="wk_Month">Working_Calculations!$C$2:$C$2401</definedName>
    <definedName name="wk_RatingGroup">Working_Calculations!$F$2:$F$2401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2" l="1"/>
  <c r="B8" i="2"/>
  <c r="B7" i="2"/>
  <c r="O2401" i="5" a="1"/>
  <c r="O2401" i="5"/>
  <c r="N2401" i="5"/>
  <c r="M2401" i="5"/>
  <c r="O2400" i="5" a="1"/>
  <c r="O2400" i="5"/>
  <c r="N2400" i="5"/>
  <c r="M2400" i="5"/>
  <c r="O2399" i="5" a="1"/>
  <c r="O2399" i="5"/>
  <c r="D2399" i="3" s="1"/>
  <c r="N2399" i="5"/>
  <c r="M2399" i="5"/>
  <c r="O2398" i="5" a="1"/>
  <c r="O2398" i="5"/>
  <c r="N2398" i="5"/>
  <c r="M2398" i="5"/>
  <c r="O2397" i="5" a="1"/>
  <c r="O2397" i="5"/>
  <c r="N2397" i="5"/>
  <c r="M2397" i="5"/>
  <c r="O2396" i="5" a="1"/>
  <c r="O2396" i="5"/>
  <c r="N2396" i="5"/>
  <c r="M2396" i="5"/>
  <c r="O2395" i="5" a="1"/>
  <c r="O2395" i="5"/>
  <c r="D2395" i="3" s="1"/>
  <c r="N2395" i="5"/>
  <c r="M2395" i="5"/>
  <c r="O2394" i="5" a="1"/>
  <c r="O2394" i="5"/>
  <c r="N2394" i="5"/>
  <c r="M2394" i="5"/>
  <c r="O2393" i="5" a="1"/>
  <c r="O2393" i="5"/>
  <c r="D2393" i="3" s="1"/>
  <c r="N2393" i="5"/>
  <c r="M2393" i="5"/>
  <c r="O2392" i="5" a="1"/>
  <c r="O2392" i="5"/>
  <c r="D2392" i="3" s="1"/>
  <c r="I2392" i="3" s="1"/>
  <c r="N2392" i="5"/>
  <c r="M2392" i="5"/>
  <c r="O2391" i="5" a="1"/>
  <c r="O2391" i="5"/>
  <c r="D2391" i="3" s="1"/>
  <c r="N2391" i="5"/>
  <c r="M2391" i="5"/>
  <c r="O2390" i="5" a="1"/>
  <c r="O2390" i="5"/>
  <c r="D2390" i="3" s="1"/>
  <c r="N2390" i="5"/>
  <c r="M2390" i="5"/>
  <c r="O2389" i="5" a="1"/>
  <c r="O2389" i="5"/>
  <c r="N2389" i="5"/>
  <c r="M2389" i="5"/>
  <c r="O2388" i="5" a="1"/>
  <c r="O2388" i="5"/>
  <c r="N2388" i="5"/>
  <c r="M2388" i="5"/>
  <c r="O2387" i="5" a="1"/>
  <c r="O2387" i="5"/>
  <c r="D2387" i="3" s="1"/>
  <c r="N2387" i="5"/>
  <c r="M2387" i="5"/>
  <c r="O2386" i="5" a="1"/>
  <c r="O2386" i="5"/>
  <c r="N2386" i="5"/>
  <c r="M2386" i="5"/>
  <c r="O2385" i="5" a="1"/>
  <c r="O2385" i="5"/>
  <c r="N2385" i="5"/>
  <c r="M2385" i="5"/>
  <c r="O2384" i="5" a="1"/>
  <c r="O2384" i="5"/>
  <c r="N2384" i="5"/>
  <c r="M2384" i="5"/>
  <c r="O2383" i="5" a="1"/>
  <c r="O2383" i="5"/>
  <c r="D2383" i="3" s="1"/>
  <c r="N2383" i="5"/>
  <c r="M2383" i="5"/>
  <c r="O2382" i="5" a="1"/>
  <c r="O2382" i="5"/>
  <c r="N2382" i="5"/>
  <c r="M2382" i="5"/>
  <c r="O2381" i="5" a="1"/>
  <c r="O2381" i="5"/>
  <c r="N2381" i="5"/>
  <c r="M2381" i="5"/>
  <c r="O2380" i="5" a="1"/>
  <c r="O2380" i="5"/>
  <c r="N2380" i="5"/>
  <c r="M2380" i="5"/>
  <c r="O2379" i="5" a="1"/>
  <c r="O2379" i="5"/>
  <c r="D2379" i="3" s="1"/>
  <c r="N2379" i="5"/>
  <c r="M2379" i="5"/>
  <c r="O2378" i="5" a="1"/>
  <c r="O2378" i="5"/>
  <c r="N2378" i="5"/>
  <c r="M2378" i="5"/>
  <c r="O2377" i="5" a="1"/>
  <c r="O2377" i="5"/>
  <c r="D2377" i="3" s="1"/>
  <c r="N2377" i="5"/>
  <c r="M2377" i="5"/>
  <c r="O2376" i="5" a="1"/>
  <c r="O2376" i="5"/>
  <c r="D2376" i="3" s="1"/>
  <c r="I2376" i="3" s="1"/>
  <c r="N2376" i="5"/>
  <c r="M2376" i="5"/>
  <c r="O2375" i="5" a="1"/>
  <c r="O2375" i="5"/>
  <c r="D2375" i="3" s="1"/>
  <c r="N2375" i="5"/>
  <c r="M2375" i="5"/>
  <c r="O2374" i="5" a="1"/>
  <c r="O2374" i="5"/>
  <c r="D2374" i="3" s="1"/>
  <c r="N2374" i="5"/>
  <c r="M2374" i="5"/>
  <c r="O2373" i="5" a="1"/>
  <c r="O2373" i="5"/>
  <c r="N2373" i="5"/>
  <c r="M2373" i="5"/>
  <c r="O2372" i="5" a="1"/>
  <c r="O2372" i="5"/>
  <c r="N2372" i="5"/>
  <c r="M2372" i="5"/>
  <c r="O2371" i="5" a="1"/>
  <c r="O2371" i="5"/>
  <c r="D2371" i="3" s="1"/>
  <c r="N2371" i="5"/>
  <c r="M2371" i="5"/>
  <c r="O2370" i="5" a="1"/>
  <c r="O2370" i="5"/>
  <c r="N2370" i="5"/>
  <c r="M2370" i="5"/>
  <c r="O2369" i="5" a="1"/>
  <c r="O2369" i="5"/>
  <c r="N2369" i="5"/>
  <c r="M2369" i="5"/>
  <c r="O2368" i="5" a="1"/>
  <c r="O2368" i="5"/>
  <c r="N2368" i="5"/>
  <c r="M2368" i="5"/>
  <c r="O2367" i="5" a="1"/>
  <c r="O2367" i="5"/>
  <c r="D2367" i="3" s="1"/>
  <c r="N2367" i="5"/>
  <c r="M2367" i="5"/>
  <c r="O2366" i="5" a="1"/>
  <c r="O2366" i="5"/>
  <c r="N2366" i="5"/>
  <c r="M2366" i="5"/>
  <c r="O2365" i="5" a="1"/>
  <c r="O2365" i="5"/>
  <c r="N2365" i="5"/>
  <c r="M2365" i="5"/>
  <c r="O2364" i="5" a="1"/>
  <c r="O2364" i="5"/>
  <c r="N2364" i="5"/>
  <c r="M2364" i="5"/>
  <c r="O2363" i="5" a="1"/>
  <c r="O2363" i="5"/>
  <c r="D2363" i="3" s="1"/>
  <c r="N2363" i="5"/>
  <c r="M2363" i="5"/>
  <c r="O2362" i="5" a="1"/>
  <c r="O2362" i="5"/>
  <c r="N2362" i="5"/>
  <c r="M2362" i="5"/>
  <c r="O2361" i="5" a="1"/>
  <c r="O2361" i="5"/>
  <c r="D2361" i="3" s="1"/>
  <c r="N2361" i="5"/>
  <c r="M2361" i="5"/>
  <c r="O2360" i="5" a="1"/>
  <c r="O2360" i="5"/>
  <c r="D2360" i="3" s="1"/>
  <c r="I2360" i="3" s="1"/>
  <c r="N2360" i="5"/>
  <c r="M2360" i="5"/>
  <c r="O2359" i="5" a="1"/>
  <c r="O2359" i="5"/>
  <c r="D2359" i="3" s="1"/>
  <c r="N2359" i="5"/>
  <c r="M2359" i="5"/>
  <c r="O2358" i="5" a="1"/>
  <c r="O2358" i="5"/>
  <c r="D2358" i="3" s="1"/>
  <c r="N2358" i="5"/>
  <c r="M2358" i="5"/>
  <c r="O2357" i="5" a="1"/>
  <c r="O2357" i="5"/>
  <c r="N2357" i="5"/>
  <c r="M2357" i="5"/>
  <c r="O2356" i="5" a="1"/>
  <c r="O2356" i="5"/>
  <c r="N2356" i="5"/>
  <c r="M2356" i="5"/>
  <c r="O2355" i="5" a="1"/>
  <c r="O2355" i="5"/>
  <c r="D2355" i="3" s="1"/>
  <c r="N2355" i="5"/>
  <c r="M2355" i="5"/>
  <c r="O2354" i="5" a="1"/>
  <c r="O2354" i="5"/>
  <c r="N2354" i="5"/>
  <c r="M2354" i="5"/>
  <c r="O2353" i="5" a="1"/>
  <c r="O2353" i="5"/>
  <c r="N2353" i="5"/>
  <c r="M2353" i="5"/>
  <c r="O2352" i="5" a="1"/>
  <c r="O2352" i="5"/>
  <c r="N2352" i="5"/>
  <c r="M2352" i="5"/>
  <c r="O2351" i="5" a="1"/>
  <c r="O2351" i="5"/>
  <c r="D2351" i="3" s="1"/>
  <c r="N2351" i="5"/>
  <c r="M2351" i="5"/>
  <c r="O2350" i="5" a="1"/>
  <c r="O2350" i="5"/>
  <c r="N2350" i="5"/>
  <c r="M2350" i="5"/>
  <c r="O2349" i="5" a="1"/>
  <c r="O2349" i="5"/>
  <c r="N2349" i="5"/>
  <c r="M2349" i="5"/>
  <c r="O2348" i="5" a="1"/>
  <c r="O2348" i="5"/>
  <c r="N2348" i="5"/>
  <c r="M2348" i="5"/>
  <c r="O2347" i="5" a="1"/>
  <c r="O2347" i="5"/>
  <c r="D2347" i="3" s="1"/>
  <c r="N2347" i="5"/>
  <c r="M2347" i="5"/>
  <c r="O2346" i="5" a="1"/>
  <c r="O2346" i="5"/>
  <c r="N2346" i="5"/>
  <c r="M2346" i="5"/>
  <c r="O2345" i="5" a="1"/>
  <c r="O2345" i="5"/>
  <c r="D2345" i="3" s="1"/>
  <c r="N2345" i="5"/>
  <c r="M2345" i="5"/>
  <c r="O2344" i="5" a="1"/>
  <c r="O2344" i="5"/>
  <c r="D2344" i="3" s="1"/>
  <c r="I2344" i="3" s="1"/>
  <c r="N2344" i="5"/>
  <c r="M2344" i="5"/>
  <c r="O2343" i="5" a="1"/>
  <c r="O2343" i="5"/>
  <c r="D2343" i="3" s="1"/>
  <c r="N2343" i="5"/>
  <c r="M2343" i="5"/>
  <c r="O2342" i="5" a="1"/>
  <c r="O2342" i="5"/>
  <c r="D2342" i="3" s="1"/>
  <c r="N2342" i="5"/>
  <c r="M2342" i="5"/>
  <c r="O2341" i="5" a="1"/>
  <c r="O2341" i="5"/>
  <c r="N2341" i="5"/>
  <c r="M2341" i="5"/>
  <c r="O2340" i="5" a="1"/>
  <c r="O2340" i="5"/>
  <c r="N2340" i="5"/>
  <c r="M2340" i="5"/>
  <c r="O2339" i="5" a="1"/>
  <c r="O2339" i="5"/>
  <c r="D2339" i="3" s="1"/>
  <c r="N2339" i="5"/>
  <c r="M2339" i="5"/>
  <c r="O2338" i="5" a="1"/>
  <c r="O2338" i="5"/>
  <c r="N2338" i="5"/>
  <c r="M2338" i="5"/>
  <c r="O2337" i="5" a="1"/>
  <c r="O2337" i="5"/>
  <c r="N2337" i="5"/>
  <c r="M2337" i="5"/>
  <c r="O2336" i="5" a="1"/>
  <c r="O2336" i="5"/>
  <c r="N2336" i="5"/>
  <c r="M2336" i="5"/>
  <c r="O2335" i="5" a="1"/>
  <c r="O2335" i="5"/>
  <c r="D2335" i="3" s="1"/>
  <c r="N2335" i="5"/>
  <c r="M2335" i="5"/>
  <c r="O2334" i="5" a="1"/>
  <c r="O2334" i="5"/>
  <c r="N2334" i="5"/>
  <c r="M2334" i="5"/>
  <c r="O2333" i="5" a="1"/>
  <c r="O2333" i="5"/>
  <c r="N2333" i="5"/>
  <c r="M2333" i="5"/>
  <c r="O2332" i="5" a="1"/>
  <c r="O2332" i="5"/>
  <c r="N2332" i="5"/>
  <c r="M2332" i="5"/>
  <c r="O2331" i="5" a="1"/>
  <c r="O2331" i="5"/>
  <c r="D2331" i="3" s="1"/>
  <c r="N2331" i="5"/>
  <c r="M2331" i="5"/>
  <c r="O2330" i="5" a="1"/>
  <c r="O2330" i="5"/>
  <c r="N2330" i="5"/>
  <c r="M2330" i="5"/>
  <c r="O2329" i="5" a="1"/>
  <c r="O2329" i="5"/>
  <c r="D2329" i="3" s="1"/>
  <c r="N2329" i="5"/>
  <c r="M2329" i="5"/>
  <c r="O2328" i="5" a="1"/>
  <c r="O2328" i="5"/>
  <c r="D2328" i="3" s="1"/>
  <c r="I2328" i="3" s="1"/>
  <c r="N2328" i="5"/>
  <c r="M2328" i="5"/>
  <c r="O2327" i="5" a="1"/>
  <c r="O2327" i="5"/>
  <c r="D2327" i="3" s="1"/>
  <c r="N2327" i="5"/>
  <c r="M2327" i="5"/>
  <c r="O2326" i="5" a="1"/>
  <c r="O2326" i="5"/>
  <c r="D2326" i="3" s="1"/>
  <c r="N2326" i="5"/>
  <c r="M2326" i="5"/>
  <c r="O2325" i="5" a="1"/>
  <c r="O2325" i="5"/>
  <c r="N2325" i="5"/>
  <c r="M2325" i="5"/>
  <c r="O2324" i="5" a="1"/>
  <c r="O2324" i="5"/>
  <c r="N2324" i="5"/>
  <c r="M2324" i="5"/>
  <c r="O2323" i="5" a="1"/>
  <c r="O2323" i="5"/>
  <c r="D2323" i="3" s="1"/>
  <c r="N2323" i="5"/>
  <c r="M2323" i="5"/>
  <c r="O2322" i="5" a="1"/>
  <c r="O2322" i="5"/>
  <c r="N2322" i="5"/>
  <c r="M2322" i="5"/>
  <c r="O2321" i="5" a="1"/>
  <c r="O2321" i="5"/>
  <c r="N2321" i="5"/>
  <c r="M2321" i="5"/>
  <c r="O2320" i="5" a="1"/>
  <c r="O2320" i="5"/>
  <c r="N2320" i="5"/>
  <c r="M2320" i="5"/>
  <c r="O2319" i="5" a="1"/>
  <c r="O2319" i="5"/>
  <c r="D2319" i="3" s="1"/>
  <c r="N2319" i="5"/>
  <c r="M2319" i="5"/>
  <c r="O2318" i="5" a="1"/>
  <c r="O2318" i="5"/>
  <c r="N2318" i="5"/>
  <c r="M2318" i="5"/>
  <c r="O2317" i="5" a="1"/>
  <c r="O2317" i="5"/>
  <c r="N2317" i="5"/>
  <c r="M2317" i="5"/>
  <c r="O2316" i="5" a="1"/>
  <c r="O2316" i="5"/>
  <c r="N2316" i="5"/>
  <c r="M2316" i="5"/>
  <c r="O2315" i="5" a="1"/>
  <c r="O2315" i="5"/>
  <c r="D2315" i="3" s="1"/>
  <c r="N2315" i="5"/>
  <c r="M2315" i="5"/>
  <c r="O2314" i="5" a="1"/>
  <c r="O2314" i="5"/>
  <c r="N2314" i="5"/>
  <c r="M2314" i="5"/>
  <c r="O2313" i="5" a="1"/>
  <c r="O2313" i="5"/>
  <c r="D2313" i="3" s="1"/>
  <c r="N2313" i="5"/>
  <c r="M2313" i="5"/>
  <c r="O2312" i="5" a="1"/>
  <c r="O2312" i="5"/>
  <c r="D2312" i="3" s="1"/>
  <c r="I2312" i="3" s="1"/>
  <c r="N2312" i="5"/>
  <c r="M2312" i="5"/>
  <c r="O2311" i="5" a="1"/>
  <c r="O2311" i="5"/>
  <c r="D2311" i="3" s="1"/>
  <c r="N2311" i="5"/>
  <c r="M2311" i="5"/>
  <c r="O2310" i="5" a="1"/>
  <c r="O2310" i="5"/>
  <c r="D2310" i="3" s="1"/>
  <c r="N2310" i="5"/>
  <c r="M2310" i="5"/>
  <c r="O2309" i="5" a="1"/>
  <c r="O2309" i="5"/>
  <c r="N2309" i="5"/>
  <c r="M2309" i="5"/>
  <c r="O2308" i="5" a="1"/>
  <c r="O2308" i="5"/>
  <c r="N2308" i="5"/>
  <c r="M2308" i="5"/>
  <c r="O2307" i="5" a="1"/>
  <c r="O2307" i="5"/>
  <c r="D2307" i="3" s="1"/>
  <c r="N2307" i="5"/>
  <c r="M2307" i="5"/>
  <c r="O2306" i="5" a="1"/>
  <c r="O2306" i="5"/>
  <c r="N2306" i="5"/>
  <c r="M2306" i="5"/>
  <c r="O2305" i="5" a="1"/>
  <c r="O2305" i="5"/>
  <c r="N2305" i="5"/>
  <c r="M2305" i="5"/>
  <c r="O2304" i="5" a="1"/>
  <c r="O2304" i="5"/>
  <c r="N2304" i="5"/>
  <c r="M2304" i="5"/>
  <c r="O2303" i="5" a="1"/>
  <c r="O2303" i="5"/>
  <c r="D2303" i="3" s="1"/>
  <c r="N2303" i="5"/>
  <c r="M2303" i="5"/>
  <c r="O2302" i="5" a="1"/>
  <c r="O2302" i="5"/>
  <c r="N2302" i="5"/>
  <c r="M2302" i="5"/>
  <c r="O2301" i="5" a="1"/>
  <c r="O2301" i="5"/>
  <c r="N2301" i="5"/>
  <c r="M2301" i="5"/>
  <c r="O2300" i="5" a="1"/>
  <c r="O2300" i="5"/>
  <c r="N2300" i="5"/>
  <c r="M2300" i="5"/>
  <c r="O2299" i="5" a="1"/>
  <c r="O2299" i="5"/>
  <c r="D2299" i="3" s="1"/>
  <c r="N2299" i="5"/>
  <c r="M2299" i="5"/>
  <c r="O2298" i="5" a="1"/>
  <c r="O2298" i="5"/>
  <c r="N2298" i="5"/>
  <c r="M2298" i="5"/>
  <c r="O2297" i="5" a="1"/>
  <c r="O2297" i="5"/>
  <c r="D2297" i="3" s="1"/>
  <c r="N2297" i="5"/>
  <c r="M2297" i="5"/>
  <c r="O2296" i="5" a="1"/>
  <c r="O2296" i="5"/>
  <c r="D2296" i="3" s="1"/>
  <c r="I2296" i="3" s="1"/>
  <c r="N2296" i="5"/>
  <c r="M2296" i="5"/>
  <c r="O2295" i="5" a="1"/>
  <c r="O2295" i="5"/>
  <c r="D2295" i="3" s="1"/>
  <c r="N2295" i="5"/>
  <c r="M2295" i="5"/>
  <c r="O2294" i="5" a="1"/>
  <c r="O2294" i="5"/>
  <c r="D2294" i="3" s="1"/>
  <c r="N2294" i="5"/>
  <c r="M2294" i="5"/>
  <c r="O2293" i="5" a="1"/>
  <c r="O2293" i="5"/>
  <c r="N2293" i="5"/>
  <c r="M2293" i="5"/>
  <c r="O2292" i="5" a="1"/>
  <c r="O2292" i="5"/>
  <c r="N2292" i="5"/>
  <c r="M2292" i="5"/>
  <c r="O2291" i="5" a="1"/>
  <c r="O2291" i="5"/>
  <c r="D2291" i="3" s="1"/>
  <c r="N2291" i="5"/>
  <c r="M2291" i="5"/>
  <c r="O2290" i="5" a="1"/>
  <c r="O2290" i="5"/>
  <c r="N2290" i="5"/>
  <c r="M2290" i="5"/>
  <c r="O2289" i="5" a="1"/>
  <c r="O2289" i="5"/>
  <c r="N2289" i="5"/>
  <c r="M2289" i="5"/>
  <c r="O2288" i="5" a="1"/>
  <c r="O2288" i="5"/>
  <c r="N2288" i="5"/>
  <c r="M2288" i="5"/>
  <c r="O2287" i="5" a="1"/>
  <c r="O2287" i="5"/>
  <c r="N2287" i="5"/>
  <c r="M2287" i="5"/>
  <c r="O2286" i="5" a="1"/>
  <c r="O2286" i="5"/>
  <c r="D2286" i="3" s="1"/>
  <c r="N2286" i="5"/>
  <c r="M2286" i="5"/>
  <c r="O2285" i="5" a="1"/>
  <c r="O2285" i="5"/>
  <c r="N2285" i="5"/>
  <c r="M2285" i="5"/>
  <c r="O2284" i="5" a="1"/>
  <c r="O2284" i="5"/>
  <c r="N2284" i="5"/>
  <c r="M2284" i="5"/>
  <c r="O2283" i="5" a="1"/>
  <c r="O2283" i="5"/>
  <c r="N2283" i="5"/>
  <c r="M2283" i="5"/>
  <c r="O2282" i="5" a="1"/>
  <c r="O2282" i="5"/>
  <c r="D2282" i="3" s="1"/>
  <c r="N2282" i="5"/>
  <c r="M2282" i="5"/>
  <c r="O2281" i="5" a="1"/>
  <c r="O2281" i="5"/>
  <c r="N2281" i="5"/>
  <c r="M2281" i="5"/>
  <c r="O2280" i="5" a="1"/>
  <c r="O2280" i="5"/>
  <c r="D2280" i="3" s="1"/>
  <c r="N2280" i="5"/>
  <c r="M2280" i="5"/>
  <c r="O2279" i="5" a="1"/>
  <c r="O2279" i="5"/>
  <c r="D2279" i="3" s="1"/>
  <c r="I2279" i="3" s="1"/>
  <c r="N2279" i="5"/>
  <c r="M2279" i="5"/>
  <c r="O2278" i="5" a="1"/>
  <c r="O2278" i="5"/>
  <c r="D2278" i="3" s="1"/>
  <c r="N2278" i="5"/>
  <c r="M2278" i="5"/>
  <c r="O2277" i="5" a="1"/>
  <c r="O2277" i="5"/>
  <c r="D2277" i="3" s="1"/>
  <c r="N2277" i="5"/>
  <c r="M2277" i="5"/>
  <c r="O2276" i="5" a="1"/>
  <c r="O2276" i="5"/>
  <c r="N2276" i="5"/>
  <c r="M2276" i="5"/>
  <c r="O2275" i="5" a="1"/>
  <c r="O2275" i="5"/>
  <c r="N2275" i="5"/>
  <c r="M2275" i="5"/>
  <c r="O2274" i="5" a="1"/>
  <c r="O2274" i="5"/>
  <c r="D2274" i="3" s="1"/>
  <c r="N2274" i="5"/>
  <c r="M2274" i="5"/>
  <c r="O2273" i="5" a="1"/>
  <c r="O2273" i="5"/>
  <c r="N2273" i="5"/>
  <c r="M2273" i="5"/>
  <c r="O2272" i="5" a="1"/>
  <c r="O2272" i="5"/>
  <c r="N2272" i="5"/>
  <c r="M2272" i="5"/>
  <c r="O2271" i="5" a="1"/>
  <c r="O2271" i="5"/>
  <c r="N2271" i="5"/>
  <c r="M2271" i="5"/>
  <c r="O2270" i="5" a="1"/>
  <c r="O2270" i="5"/>
  <c r="D2270" i="3" s="1"/>
  <c r="N2270" i="5"/>
  <c r="M2270" i="5"/>
  <c r="O2269" i="5" a="1"/>
  <c r="O2269" i="5"/>
  <c r="N2269" i="5"/>
  <c r="M2269" i="5"/>
  <c r="O2268" i="5" a="1"/>
  <c r="O2268" i="5"/>
  <c r="N2268" i="5"/>
  <c r="M2268" i="5"/>
  <c r="O2267" i="5" a="1"/>
  <c r="O2267" i="5"/>
  <c r="N2267" i="5"/>
  <c r="M2267" i="5"/>
  <c r="O2266" i="5" a="1"/>
  <c r="O2266" i="5"/>
  <c r="D2266" i="3" s="1"/>
  <c r="N2266" i="5"/>
  <c r="M2266" i="5"/>
  <c r="O2265" i="5" a="1"/>
  <c r="O2265" i="5"/>
  <c r="N2265" i="5"/>
  <c r="M2265" i="5"/>
  <c r="O2264" i="5" a="1"/>
  <c r="O2264" i="5"/>
  <c r="D2264" i="3" s="1"/>
  <c r="N2264" i="5"/>
  <c r="M2264" i="5"/>
  <c r="O2263" i="5" a="1"/>
  <c r="O2263" i="5"/>
  <c r="D2263" i="3" s="1"/>
  <c r="I2263" i="3" s="1"/>
  <c r="N2263" i="5"/>
  <c r="M2263" i="5"/>
  <c r="O2262" i="5" a="1"/>
  <c r="O2262" i="5"/>
  <c r="D2262" i="3" s="1"/>
  <c r="N2262" i="5"/>
  <c r="M2262" i="5"/>
  <c r="O2261" i="5" a="1"/>
  <c r="O2261" i="5"/>
  <c r="D2261" i="3" s="1"/>
  <c r="N2261" i="5"/>
  <c r="M2261" i="5"/>
  <c r="O2260" i="5" a="1"/>
  <c r="O2260" i="5"/>
  <c r="N2260" i="5"/>
  <c r="M2260" i="5"/>
  <c r="O2259" i="5" a="1"/>
  <c r="O2259" i="5"/>
  <c r="N2259" i="5"/>
  <c r="M2259" i="5"/>
  <c r="O2258" i="5" a="1"/>
  <c r="O2258" i="5"/>
  <c r="D2258" i="3" s="1"/>
  <c r="N2258" i="5"/>
  <c r="M2258" i="5"/>
  <c r="O2257" i="5" a="1"/>
  <c r="O2257" i="5"/>
  <c r="N2257" i="5"/>
  <c r="M2257" i="5"/>
  <c r="O2256" i="5" a="1"/>
  <c r="O2256" i="5"/>
  <c r="N2256" i="5"/>
  <c r="M2256" i="5"/>
  <c r="O2255" i="5" a="1"/>
  <c r="O2255" i="5"/>
  <c r="N2255" i="5"/>
  <c r="M2255" i="5"/>
  <c r="O2254" i="5" a="1"/>
  <c r="O2254" i="5"/>
  <c r="D2254" i="3" s="1"/>
  <c r="N2254" i="5"/>
  <c r="M2254" i="5"/>
  <c r="O2253" i="5" a="1"/>
  <c r="O2253" i="5"/>
  <c r="N2253" i="5"/>
  <c r="M2253" i="5"/>
  <c r="O2252" i="5" a="1"/>
  <c r="O2252" i="5"/>
  <c r="N2252" i="5"/>
  <c r="M2252" i="5"/>
  <c r="O2251" i="5" a="1"/>
  <c r="O2251" i="5"/>
  <c r="N2251" i="5"/>
  <c r="M2251" i="5"/>
  <c r="O2250" i="5" a="1"/>
  <c r="O2250" i="5"/>
  <c r="D2250" i="3" s="1"/>
  <c r="N2250" i="5"/>
  <c r="M2250" i="5"/>
  <c r="O2249" i="5" a="1"/>
  <c r="O2249" i="5"/>
  <c r="N2249" i="5"/>
  <c r="M2249" i="5"/>
  <c r="O2248" i="5" a="1"/>
  <c r="O2248" i="5"/>
  <c r="D2248" i="3" s="1"/>
  <c r="N2248" i="5"/>
  <c r="M2248" i="5"/>
  <c r="O2247" i="5" a="1"/>
  <c r="O2247" i="5"/>
  <c r="D2247" i="3" s="1"/>
  <c r="I2247" i="3" s="1"/>
  <c r="N2247" i="5"/>
  <c r="M2247" i="5"/>
  <c r="O2246" i="5" a="1"/>
  <c r="O2246" i="5"/>
  <c r="D2246" i="3" s="1"/>
  <c r="N2246" i="5"/>
  <c r="M2246" i="5"/>
  <c r="O2245" i="5" a="1"/>
  <c r="O2245" i="5"/>
  <c r="D2245" i="3" s="1"/>
  <c r="N2245" i="5"/>
  <c r="M2245" i="5"/>
  <c r="O2244" i="5" a="1"/>
  <c r="O2244" i="5"/>
  <c r="N2244" i="5"/>
  <c r="M2244" i="5"/>
  <c r="O2243" i="5" a="1"/>
  <c r="O2243" i="5"/>
  <c r="N2243" i="5"/>
  <c r="M2243" i="5"/>
  <c r="O2242" i="5" a="1"/>
  <c r="O2242" i="5"/>
  <c r="D2242" i="3" s="1"/>
  <c r="N2242" i="5"/>
  <c r="M2242" i="5"/>
  <c r="O2241" i="5" a="1"/>
  <c r="O2241" i="5"/>
  <c r="N2241" i="5"/>
  <c r="M2241" i="5"/>
  <c r="O2240" i="5" a="1"/>
  <c r="O2240" i="5"/>
  <c r="N2240" i="5"/>
  <c r="M2240" i="5"/>
  <c r="O2239" i="5" a="1"/>
  <c r="O2239" i="5"/>
  <c r="N2239" i="5"/>
  <c r="M2239" i="5"/>
  <c r="O2238" i="5" a="1"/>
  <c r="O2238" i="5"/>
  <c r="D2238" i="3" s="1"/>
  <c r="N2238" i="5"/>
  <c r="M2238" i="5"/>
  <c r="O2237" i="5" a="1"/>
  <c r="O2237" i="5"/>
  <c r="N2237" i="5"/>
  <c r="M2237" i="5"/>
  <c r="O2236" i="5" a="1"/>
  <c r="O2236" i="5"/>
  <c r="N2236" i="5"/>
  <c r="M2236" i="5"/>
  <c r="O2235" i="5" a="1"/>
  <c r="O2235" i="5"/>
  <c r="N2235" i="5"/>
  <c r="M2235" i="5"/>
  <c r="O2234" i="5" a="1"/>
  <c r="O2234" i="5"/>
  <c r="D2234" i="3" s="1"/>
  <c r="N2234" i="5"/>
  <c r="M2234" i="5"/>
  <c r="O2233" i="5" a="1"/>
  <c r="O2233" i="5"/>
  <c r="N2233" i="5"/>
  <c r="M2233" i="5"/>
  <c r="O2232" i="5" a="1"/>
  <c r="O2232" i="5"/>
  <c r="D2232" i="3" s="1"/>
  <c r="N2232" i="5"/>
  <c r="M2232" i="5"/>
  <c r="O2231" i="5" a="1"/>
  <c r="O2231" i="5"/>
  <c r="D2231" i="3" s="1"/>
  <c r="I2231" i="3" s="1"/>
  <c r="N2231" i="5"/>
  <c r="M2231" i="5"/>
  <c r="O2230" i="5" a="1"/>
  <c r="O2230" i="5"/>
  <c r="D2230" i="3" s="1"/>
  <c r="N2230" i="5"/>
  <c r="M2230" i="5"/>
  <c r="O2229" i="5" a="1"/>
  <c r="O2229" i="5"/>
  <c r="D2229" i="3" s="1"/>
  <c r="N2229" i="5"/>
  <c r="M2229" i="5"/>
  <c r="O2228" i="5" a="1"/>
  <c r="O2228" i="5"/>
  <c r="N2228" i="5"/>
  <c r="M2228" i="5"/>
  <c r="O2227" i="5" a="1"/>
  <c r="O2227" i="5"/>
  <c r="N2227" i="5"/>
  <c r="M2227" i="5"/>
  <c r="O2226" i="5" a="1"/>
  <c r="O2226" i="5"/>
  <c r="D2226" i="3" s="1"/>
  <c r="N2226" i="5"/>
  <c r="M2226" i="5"/>
  <c r="O2225" i="5" a="1"/>
  <c r="O2225" i="5"/>
  <c r="N2225" i="5"/>
  <c r="M2225" i="5"/>
  <c r="O2224" i="5" a="1"/>
  <c r="O2224" i="5"/>
  <c r="N2224" i="5"/>
  <c r="M2224" i="5"/>
  <c r="O2223" i="5" a="1"/>
  <c r="O2223" i="5"/>
  <c r="N2223" i="5"/>
  <c r="M2223" i="5"/>
  <c r="O2222" i="5" a="1"/>
  <c r="O2222" i="5"/>
  <c r="D2222" i="3" s="1"/>
  <c r="N2222" i="5"/>
  <c r="M2222" i="5"/>
  <c r="O2221" i="5" a="1"/>
  <c r="O2221" i="5"/>
  <c r="N2221" i="5"/>
  <c r="M2221" i="5"/>
  <c r="O2220" i="5" a="1"/>
  <c r="O2220" i="5"/>
  <c r="N2220" i="5"/>
  <c r="M2220" i="5"/>
  <c r="O2219" i="5" a="1"/>
  <c r="O2219" i="5"/>
  <c r="N2219" i="5"/>
  <c r="M2219" i="5"/>
  <c r="O2218" i="5" a="1"/>
  <c r="O2218" i="5"/>
  <c r="D2218" i="3" s="1"/>
  <c r="N2218" i="5"/>
  <c r="M2218" i="5"/>
  <c r="O2217" i="5" a="1"/>
  <c r="O2217" i="5"/>
  <c r="N2217" i="5"/>
  <c r="M2217" i="5"/>
  <c r="O2216" i="5" a="1"/>
  <c r="O2216" i="5"/>
  <c r="D2216" i="3" s="1"/>
  <c r="N2216" i="5"/>
  <c r="M2216" i="5"/>
  <c r="O2215" i="5" a="1"/>
  <c r="O2215" i="5"/>
  <c r="D2215" i="3" s="1"/>
  <c r="I2215" i="3" s="1"/>
  <c r="N2215" i="5"/>
  <c r="M2215" i="5"/>
  <c r="O2214" i="5" a="1"/>
  <c r="O2214" i="5"/>
  <c r="D2214" i="3" s="1"/>
  <c r="N2214" i="5"/>
  <c r="M2214" i="5"/>
  <c r="O2213" i="5" a="1"/>
  <c r="O2213" i="5"/>
  <c r="D2213" i="3" s="1"/>
  <c r="N2213" i="5"/>
  <c r="M2213" i="5"/>
  <c r="O2212" i="5" a="1"/>
  <c r="O2212" i="5"/>
  <c r="N2212" i="5"/>
  <c r="M2212" i="5"/>
  <c r="O2211" i="5" a="1"/>
  <c r="O2211" i="5"/>
  <c r="N2211" i="5"/>
  <c r="M2211" i="5"/>
  <c r="O2210" i="5" a="1"/>
  <c r="O2210" i="5"/>
  <c r="D2210" i="3" s="1"/>
  <c r="N2210" i="5"/>
  <c r="M2210" i="5"/>
  <c r="O2209" i="5" a="1"/>
  <c r="O2209" i="5"/>
  <c r="N2209" i="5"/>
  <c r="M2209" i="5"/>
  <c r="O2208" i="5" a="1"/>
  <c r="O2208" i="5"/>
  <c r="N2208" i="5"/>
  <c r="M2208" i="5"/>
  <c r="O2207" i="5" a="1"/>
  <c r="O2207" i="5"/>
  <c r="N2207" i="5"/>
  <c r="M2207" i="5"/>
  <c r="O2206" i="5" a="1"/>
  <c r="O2206" i="5"/>
  <c r="D2206" i="3" s="1"/>
  <c r="N2206" i="5"/>
  <c r="M2206" i="5"/>
  <c r="O2205" i="5" a="1"/>
  <c r="O2205" i="5"/>
  <c r="N2205" i="5"/>
  <c r="M2205" i="5"/>
  <c r="O2204" i="5" a="1"/>
  <c r="O2204" i="5"/>
  <c r="N2204" i="5"/>
  <c r="M2204" i="5"/>
  <c r="O2203" i="5" a="1"/>
  <c r="O2203" i="5"/>
  <c r="N2203" i="5"/>
  <c r="M2203" i="5"/>
  <c r="O2202" i="5" a="1"/>
  <c r="O2202" i="5"/>
  <c r="D2202" i="3" s="1"/>
  <c r="N2202" i="5"/>
  <c r="M2202" i="5"/>
  <c r="O2201" i="5" a="1"/>
  <c r="O2201" i="5"/>
  <c r="N2201" i="5"/>
  <c r="M2201" i="5"/>
  <c r="O2200" i="5" a="1"/>
  <c r="O2200" i="5"/>
  <c r="D2200" i="3" s="1"/>
  <c r="N2200" i="5"/>
  <c r="M2200" i="5"/>
  <c r="O2199" i="5" a="1"/>
  <c r="O2199" i="5"/>
  <c r="D2199" i="3" s="1"/>
  <c r="I2199" i="3" s="1"/>
  <c r="N2199" i="5"/>
  <c r="M2199" i="5"/>
  <c r="O2198" i="5" a="1"/>
  <c r="O2198" i="5"/>
  <c r="D2198" i="3" s="1"/>
  <c r="N2198" i="5"/>
  <c r="M2198" i="5"/>
  <c r="O2197" i="5" a="1"/>
  <c r="O2197" i="5"/>
  <c r="D2197" i="3" s="1"/>
  <c r="N2197" i="5"/>
  <c r="M2197" i="5"/>
  <c r="O2196" i="5" a="1"/>
  <c r="O2196" i="5"/>
  <c r="N2196" i="5"/>
  <c r="M2196" i="5"/>
  <c r="O2195" i="5" a="1"/>
  <c r="O2195" i="5"/>
  <c r="N2195" i="5"/>
  <c r="M2195" i="5"/>
  <c r="O2194" i="5" a="1"/>
  <c r="O2194" i="5"/>
  <c r="D2194" i="3" s="1"/>
  <c r="N2194" i="5"/>
  <c r="M2194" i="5"/>
  <c r="O2193" i="5" a="1"/>
  <c r="O2193" i="5"/>
  <c r="N2193" i="5"/>
  <c r="M2193" i="5"/>
  <c r="O2192" i="5" a="1"/>
  <c r="O2192" i="5"/>
  <c r="N2192" i="5"/>
  <c r="M2192" i="5"/>
  <c r="O2191" i="5" a="1"/>
  <c r="O2191" i="5"/>
  <c r="N2191" i="5"/>
  <c r="M2191" i="5"/>
  <c r="O2190" i="5" a="1"/>
  <c r="O2190" i="5"/>
  <c r="D2190" i="3" s="1"/>
  <c r="N2190" i="5"/>
  <c r="M2190" i="5"/>
  <c r="O2189" i="5" a="1"/>
  <c r="O2189" i="5"/>
  <c r="N2189" i="5"/>
  <c r="M2189" i="5"/>
  <c r="O2188" i="5" a="1"/>
  <c r="O2188" i="5"/>
  <c r="N2188" i="5"/>
  <c r="M2188" i="5"/>
  <c r="O2187" i="5" a="1"/>
  <c r="O2187" i="5"/>
  <c r="N2187" i="5"/>
  <c r="M2187" i="5"/>
  <c r="O2186" i="5" a="1"/>
  <c r="O2186" i="5"/>
  <c r="D2186" i="3" s="1"/>
  <c r="N2186" i="5"/>
  <c r="M2186" i="5"/>
  <c r="O2185" i="5" a="1"/>
  <c r="O2185" i="5"/>
  <c r="N2185" i="5"/>
  <c r="M2185" i="5"/>
  <c r="O2184" i="5" a="1"/>
  <c r="O2184" i="5"/>
  <c r="D2184" i="3" s="1"/>
  <c r="N2184" i="5"/>
  <c r="M2184" i="5"/>
  <c r="O2183" i="5" a="1"/>
  <c r="O2183" i="5"/>
  <c r="D2183" i="3" s="1"/>
  <c r="I2183" i="3" s="1"/>
  <c r="N2183" i="5"/>
  <c r="M2183" i="5"/>
  <c r="O2182" i="5" a="1"/>
  <c r="O2182" i="5"/>
  <c r="D2182" i="3" s="1"/>
  <c r="N2182" i="5"/>
  <c r="M2182" i="5"/>
  <c r="O2181" i="5" a="1"/>
  <c r="O2181" i="5"/>
  <c r="D2181" i="3" s="1"/>
  <c r="N2181" i="5"/>
  <c r="M2181" i="5"/>
  <c r="O2180" i="5" a="1"/>
  <c r="O2180" i="5"/>
  <c r="N2180" i="5"/>
  <c r="M2180" i="5"/>
  <c r="O2179" i="5" a="1"/>
  <c r="O2179" i="5"/>
  <c r="N2179" i="5"/>
  <c r="M2179" i="5"/>
  <c r="O2178" i="5" a="1"/>
  <c r="O2178" i="5"/>
  <c r="D2178" i="3" s="1"/>
  <c r="N2178" i="5"/>
  <c r="M2178" i="5"/>
  <c r="O2177" i="5" a="1"/>
  <c r="O2177" i="5"/>
  <c r="N2177" i="5"/>
  <c r="M2177" i="5"/>
  <c r="O2176" i="5" a="1"/>
  <c r="O2176" i="5"/>
  <c r="N2176" i="5"/>
  <c r="M2176" i="5"/>
  <c r="O2175" i="5" a="1"/>
  <c r="O2175" i="5"/>
  <c r="N2175" i="5"/>
  <c r="M2175" i="5"/>
  <c r="O2174" i="5" a="1"/>
  <c r="O2174" i="5"/>
  <c r="D2174" i="3" s="1"/>
  <c r="N2174" i="5"/>
  <c r="M2174" i="5"/>
  <c r="O2173" i="5" a="1"/>
  <c r="O2173" i="5"/>
  <c r="N2173" i="5"/>
  <c r="M2173" i="5"/>
  <c r="O2172" i="5" a="1"/>
  <c r="O2172" i="5"/>
  <c r="N2172" i="5"/>
  <c r="M2172" i="5"/>
  <c r="O2171" i="5" a="1"/>
  <c r="O2171" i="5"/>
  <c r="N2171" i="5"/>
  <c r="M2171" i="5"/>
  <c r="O2170" i="5" a="1"/>
  <c r="O2170" i="5"/>
  <c r="D2170" i="3" s="1"/>
  <c r="N2170" i="5"/>
  <c r="M2170" i="5"/>
  <c r="O2169" i="5" a="1"/>
  <c r="O2169" i="5"/>
  <c r="N2169" i="5"/>
  <c r="M2169" i="5"/>
  <c r="O2168" i="5" a="1"/>
  <c r="O2168" i="5"/>
  <c r="D2168" i="3" s="1"/>
  <c r="N2168" i="5"/>
  <c r="M2168" i="5"/>
  <c r="O2167" i="5" a="1"/>
  <c r="O2167" i="5"/>
  <c r="D2167" i="3" s="1"/>
  <c r="I2167" i="3" s="1"/>
  <c r="N2167" i="5"/>
  <c r="M2167" i="5"/>
  <c r="O2166" i="5" a="1"/>
  <c r="O2166" i="5"/>
  <c r="D2166" i="3" s="1"/>
  <c r="N2166" i="5"/>
  <c r="M2166" i="5"/>
  <c r="O2165" i="5" a="1"/>
  <c r="O2165" i="5"/>
  <c r="D2165" i="3" s="1"/>
  <c r="N2165" i="5"/>
  <c r="M2165" i="5"/>
  <c r="O2164" i="5" a="1"/>
  <c r="O2164" i="5"/>
  <c r="N2164" i="5"/>
  <c r="M2164" i="5"/>
  <c r="O2163" i="5" a="1"/>
  <c r="O2163" i="5"/>
  <c r="N2163" i="5"/>
  <c r="M2163" i="5"/>
  <c r="O2162" i="5" a="1"/>
  <c r="O2162" i="5"/>
  <c r="D2162" i="3" s="1"/>
  <c r="N2162" i="5"/>
  <c r="M2162" i="5"/>
  <c r="O2161" i="5" a="1"/>
  <c r="O2161" i="5"/>
  <c r="N2161" i="5"/>
  <c r="M2161" i="5"/>
  <c r="O2160" i="5" a="1"/>
  <c r="O2160" i="5"/>
  <c r="N2160" i="5"/>
  <c r="M2160" i="5"/>
  <c r="O2159" i="5" a="1"/>
  <c r="O2159" i="5"/>
  <c r="N2159" i="5"/>
  <c r="M2159" i="5"/>
  <c r="O2158" i="5" a="1"/>
  <c r="O2158" i="5"/>
  <c r="D2158" i="3" s="1"/>
  <c r="N2158" i="5"/>
  <c r="M2158" i="5"/>
  <c r="O2157" i="5" a="1"/>
  <c r="O2157" i="5"/>
  <c r="N2157" i="5"/>
  <c r="M2157" i="5"/>
  <c r="O2156" i="5" a="1"/>
  <c r="O2156" i="5"/>
  <c r="N2156" i="5"/>
  <c r="M2156" i="5"/>
  <c r="O2155" i="5" a="1"/>
  <c r="O2155" i="5"/>
  <c r="N2155" i="5"/>
  <c r="M2155" i="5"/>
  <c r="O2154" i="5" a="1"/>
  <c r="O2154" i="5"/>
  <c r="D2154" i="3" s="1"/>
  <c r="N2154" i="5"/>
  <c r="M2154" i="5"/>
  <c r="O2153" i="5" a="1"/>
  <c r="O2153" i="5"/>
  <c r="N2153" i="5"/>
  <c r="M2153" i="5"/>
  <c r="O2152" i="5" a="1"/>
  <c r="O2152" i="5"/>
  <c r="D2152" i="3" s="1"/>
  <c r="N2152" i="5"/>
  <c r="M2152" i="5"/>
  <c r="O2151" i="5" a="1"/>
  <c r="O2151" i="5"/>
  <c r="D2151" i="3" s="1"/>
  <c r="I2151" i="3" s="1"/>
  <c r="N2151" i="5"/>
  <c r="M2151" i="5"/>
  <c r="O2150" i="5" a="1"/>
  <c r="O2150" i="5"/>
  <c r="D2150" i="3" s="1"/>
  <c r="N2150" i="5"/>
  <c r="M2150" i="5"/>
  <c r="O2149" i="5" a="1"/>
  <c r="O2149" i="5"/>
  <c r="D2149" i="3" s="1"/>
  <c r="N2149" i="5"/>
  <c r="M2149" i="5"/>
  <c r="O2148" i="5" a="1"/>
  <c r="O2148" i="5"/>
  <c r="N2148" i="5"/>
  <c r="M2148" i="5"/>
  <c r="O2147" i="5" a="1"/>
  <c r="O2147" i="5"/>
  <c r="N2147" i="5"/>
  <c r="M2147" i="5"/>
  <c r="O2146" i="5" a="1"/>
  <c r="O2146" i="5"/>
  <c r="D2146" i="3" s="1"/>
  <c r="N2146" i="5"/>
  <c r="M2146" i="5"/>
  <c r="O2145" i="5" a="1"/>
  <c r="O2145" i="5"/>
  <c r="N2145" i="5"/>
  <c r="M2145" i="5"/>
  <c r="O2144" i="5" a="1"/>
  <c r="O2144" i="5"/>
  <c r="N2144" i="5"/>
  <c r="M2144" i="5"/>
  <c r="O2143" i="5" a="1"/>
  <c r="O2143" i="5"/>
  <c r="N2143" i="5"/>
  <c r="M2143" i="5"/>
  <c r="O2142" i="5" a="1"/>
  <c r="O2142" i="5"/>
  <c r="D2142" i="3" s="1"/>
  <c r="N2142" i="5"/>
  <c r="M2142" i="5"/>
  <c r="O2141" i="5" a="1"/>
  <c r="O2141" i="5"/>
  <c r="N2141" i="5"/>
  <c r="M2141" i="5"/>
  <c r="O2140" i="5" a="1"/>
  <c r="O2140" i="5"/>
  <c r="N2140" i="5"/>
  <c r="M2140" i="5"/>
  <c r="O2139" i="5" a="1"/>
  <c r="O2139" i="5"/>
  <c r="N2139" i="5"/>
  <c r="M2139" i="5"/>
  <c r="O2138" i="5" a="1"/>
  <c r="O2138" i="5"/>
  <c r="D2138" i="3" s="1"/>
  <c r="N2138" i="5"/>
  <c r="M2138" i="5"/>
  <c r="O2137" i="5" a="1"/>
  <c r="O2137" i="5"/>
  <c r="N2137" i="5"/>
  <c r="M2137" i="5"/>
  <c r="O2136" i="5" a="1"/>
  <c r="O2136" i="5"/>
  <c r="D2136" i="3" s="1"/>
  <c r="N2136" i="5"/>
  <c r="M2136" i="5"/>
  <c r="O2135" i="5" a="1"/>
  <c r="O2135" i="5"/>
  <c r="N2135" i="5"/>
  <c r="M2135" i="5"/>
  <c r="O2134" i="5" a="1"/>
  <c r="O2134" i="5"/>
  <c r="N2134" i="5"/>
  <c r="M2134" i="5"/>
  <c r="O2133" i="5" a="1"/>
  <c r="O2133" i="5"/>
  <c r="N2133" i="5"/>
  <c r="M2133" i="5"/>
  <c r="O2132" i="5" a="1"/>
  <c r="O2132" i="5"/>
  <c r="D2132" i="3" s="1"/>
  <c r="N2132" i="5"/>
  <c r="M2132" i="5"/>
  <c r="O2131" i="5" a="1"/>
  <c r="O2131" i="5"/>
  <c r="N2131" i="5"/>
  <c r="M2131" i="5"/>
  <c r="O2130" i="5" a="1"/>
  <c r="O2130" i="5"/>
  <c r="N2130" i="5"/>
  <c r="M2130" i="5"/>
  <c r="O2129" i="5" a="1"/>
  <c r="O2129" i="5"/>
  <c r="N2129" i="5"/>
  <c r="M2129" i="5"/>
  <c r="O2128" i="5" a="1"/>
  <c r="O2128" i="5"/>
  <c r="D2128" i="3" s="1"/>
  <c r="N2128" i="5"/>
  <c r="M2128" i="5"/>
  <c r="O2127" i="5" a="1"/>
  <c r="O2127" i="5"/>
  <c r="N2127" i="5"/>
  <c r="M2127" i="5"/>
  <c r="O2126" i="5" a="1"/>
  <c r="O2126" i="5"/>
  <c r="N2126" i="5"/>
  <c r="M2126" i="5"/>
  <c r="O2125" i="5" a="1"/>
  <c r="O2125" i="5"/>
  <c r="N2125" i="5"/>
  <c r="M2125" i="5"/>
  <c r="O2124" i="5" a="1"/>
  <c r="O2124" i="5"/>
  <c r="D2124" i="3" s="1"/>
  <c r="N2124" i="5"/>
  <c r="M2124" i="5"/>
  <c r="O2123" i="5" a="1"/>
  <c r="O2123" i="5"/>
  <c r="N2123" i="5"/>
  <c r="M2123" i="5"/>
  <c r="O2122" i="5" a="1"/>
  <c r="O2122" i="5"/>
  <c r="N2122" i="5"/>
  <c r="M2122" i="5"/>
  <c r="O2121" i="5" a="1"/>
  <c r="O2121" i="5"/>
  <c r="N2121" i="5"/>
  <c r="M2121" i="5"/>
  <c r="O2120" i="5" a="1"/>
  <c r="O2120" i="5"/>
  <c r="D2120" i="3" s="1"/>
  <c r="N2120" i="5"/>
  <c r="M2120" i="5"/>
  <c r="O2119" i="5" a="1"/>
  <c r="O2119" i="5"/>
  <c r="N2119" i="5"/>
  <c r="M2119" i="5"/>
  <c r="O2118" i="5" a="1"/>
  <c r="O2118" i="5"/>
  <c r="N2118" i="5"/>
  <c r="M2118" i="5"/>
  <c r="O2117" i="5" a="1"/>
  <c r="O2117" i="5"/>
  <c r="N2117" i="5"/>
  <c r="M2117" i="5"/>
  <c r="O2116" i="5" a="1"/>
  <c r="O2116" i="5"/>
  <c r="D2116" i="3" s="1"/>
  <c r="N2116" i="5"/>
  <c r="M2116" i="5"/>
  <c r="O2115" i="5" a="1"/>
  <c r="O2115" i="5"/>
  <c r="N2115" i="5"/>
  <c r="M2115" i="5"/>
  <c r="O2114" i="5" a="1"/>
  <c r="O2114" i="5"/>
  <c r="N2114" i="5"/>
  <c r="M2114" i="5"/>
  <c r="O2113" i="5" a="1"/>
  <c r="O2113" i="5"/>
  <c r="N2113" i="5"/>
  <c r="M2113" i="5"/>
  <c r="O2112" i="5" a="1"/>
  <c r="O2112" i="5"/>
  <c r="D2112" i="3" s="1"/>
  <c r="N2112" i="5"/>
  <c r="M2112" i="5"/>
  <c r="O2111" i="5" a="1"/>
  <c r="O2111" i="5"/>
  <c r="N2111" i="5"/>
  <c r="M2111" i="5"/>
  <c r="O2110" i="5" a="1"/>
  <c r="O2110" i="5"/>
  <c r="N2110" i="5"/>
  <c r="M2110" i="5"/>
  <c r="O2109" i="5" a="1"/>
  <c r="O2109" i="5"/>
  <c r="N2109" i="5"/>
  <c r="M2109" i="5"/>
  <c r="O2108" i="5" a="1"/>
  <c r="O2108" i="5"/>
  <c r="D2108" i="3" s="1"/>
  <c r="N2108" i="5"/>
  <c r="M2108" i="5"/>
  <c r="O2107" i="5" a="1"/>
  <c r="O2107" i="5"/>
  <c r="N2107" i="5"/>
  <c r="M2107" i="5"/>
  <c r="O2106" i="5" a="1"/>
  <c r="O2106" i="5"/>
  <c r="N2106" i="5"/>
  <c r="M2106" i="5"/>
  <c r="O2105" i="5" a="1"/>
  <c r="O2105" i="5"/>
  <c r="N2105" i="5"/>
  <c r="M2105" i="5"/>
  <c r="O2104" i="5" a="1"/>
  <c r="O2104" i="5"/>
  <c r="D2104" i="3" s="1"/>
  <c r="N2104" i="5"/>
  <c r="M2104" i="5"/>
  <c r="O2103" i="5" a="1"/>
  <c r="O2103" i="5"/>
  <c r="N2103" i="5"/>
  <c r="M2103" i="5"/>
  <c r="O2102" i="5" a="1"/>
  <c r="O2102" i="5"/>
  <c r="N2102" i="5"/>
  <c r="M2102" i="5"/>
  <c r="O2101" i="5" a="1"/>
  <c r="O2101" i="5"/>
  <c r="N2101" i="5"/>
  <c r="M2101" i="5"/>
  <c r="O2100" i="5" a="1"/>
  <c r="O2100" i="5"/>
  <c r="D2100" i="3" s="1"/>
  <c r="N2100" i="5"/>
  <c r="M2100" i="5"/>
  <c r="O2099" i="5" a="1"/>
  <c r="O2099" i="5"/>
  <c r="N2099" i="5"/>
  <c r="M2099" i="5"/>
  <c r="O2098" i="5" a="1"/>
  <c r="O2098" i="5"/>
  <c r="N2098" i="5"/>
  <c r="M2098" i="5"/>
  <c r="O2097" i="5" a="1"/>
  <c r="O2097" i="5"/>
  <c r="N2097" i="5"/>
  <c r="M2097" i="5"/>
  <c r="O2096" i="5" a="1"/>
  <c r="O2096" i="5"/>
  <c r="D2096" i="3" s="1"/>
  <c r="N2096" i="5"/>
  <c r="M2096" i="5"/>
  <c r="O2095" i="5" a="1"/>
  <c r="O2095" i="5"/>
  <c r="N2095" i="5"/>
  <c r="M2095" i="5"/>
  <c r="O2094" i="5" a="1"/>
  <c r="O2094" i="5"/>
  <c r="N2094" i="5"/>
  <c r="M2094" i="5"/>
  <c r="O2093" i="5" a="1"/>
  <c r="O2093" i="5"/>
  <c r="N2093" i="5"/>
  <c r="M2093" i="5"/>
  <c r="O2092" i="5" a="1"/>
  <c r="O2092" i="5"/>
  <c r="D2092" i="3" s="1"/>
  <c r="N2092" i="5"/>
  <c r="M2092" i="5"/>
  <c r="O2091" i="5" a="1"/>
  <c r="O2091" i="5"/>
  <c r="N2091" i="5"/>
  <c r="M2091" i="5"/>
  <c r="O2090" i="5" a="1"/>
  <c r="O2090" i="5"/>
  <c r="N2090" i="5"/>
  <c r="M2090" i="5"/>
  <c r="O2089" i="5" a="1"/>
  <c r="O2089" i="5"/>
  <c r="N2089" i="5"/>
  <c r="M2089" i="5"/>
  <c r="O2088" i="5" a="1"/>
  <c r="O2088" i="5"/>
  <c r="D2088" i="3" s="1"/>
  <c r="N2088" i="5"/>
  <c r="M2088" i="5"/>
  <c r="O2087" i="5" a="1"/>
  <c r="O2087" i="5"/>
  <c r="N2087" i="5"/>
  <c r="M2087" i="5"/>
  <c r="O2086" i="5" a="1"/>
  <c r="O2086" i="5"/>
  <c r="N2086" i="5"/>
  <c r="M2086" i="5"/>
  <c r="O2085" i="5" a="1"/>
  <c r="O2085" i="5"/>
  <c r="N2085" i="5"/>
  <c r="M2085" i="5"/>
  <c r="O2084" i="5" a="1"/>
  <c r="O2084" i="5"/>
  <c r="D2084" i="3" s="1"/>
  <c r="N2084" i="5"/>
  <c r="M2084" i="5"/>
  <c r="O2083" i="5" a="1"/>
  <c r="O2083" i="5"/>
  <c r="N2083" i="5"/>
  <c r="M2083" i="5"/>
  <c r="O2082" i="5" a="1"/>
  <c r="O2082" i="5"/>
  <c r="N2082" i="5"/>
  <c r="M2082" i="5"/>
  <c r="O2081" i="5" a="1"/>
  <c r="O2081" i="5"/>
  <c r="N2081" i="5"/>
  <c r="M2081" i="5"/>
  <c r="O2080" i="5" a="1"/>
  <c r="O2080" i="5"/>
  <c r="D2080" i="3" s="1"/>
  <c r="N2080" i="5"/>
  <c r="M2080" i="5"/>
  <c r="O2079" i="5" a="1"/>
  <c r="O2079" i="5"/>
  <c r="N2079" i="5"/>
  <c r="M2079" i="5"/>
  <c r="O2078" i="5" a="1"/>
  <c r="O2078" i="5"/>
  <c r="N2078" i="5"/>
  <c r="M2078" i="5"/>
  <c r="O2077" i="5" a="1"/>
  <c r="O2077" i="5"/>
  <c r="N2077" i="5"/>
  <c r="M2077" i="5"/>
  <c r="O2076" i="5" a="1"/>
  <c r="O2076" i="5"/>
  <c r="D2076" i="3" s="1"/>
  <c r="N2076" i="5"/>
  <c r="M2076" i="5"/>
  <c r="O2075" i="5" a="1"/>
  <c r="O2075" i="5"/>
  <c r="N2075" i="5"/>
  <c r="M2075" i="5"/>
  <c r="O2074" i="5" a="1"/>
  <c r="O2074" i="5"/>
  <c r="N2074" i="5"/>
  <c r="M2074" i="5"/>
  <c r="O2073" i="5" a="1"/>
  <c r="O2073" i="5"/>
  <c r="N2073" i="5"/>
  <c r="M2073" i="5"/>
  <c r="O2072" i="5" a="1"/>
  <c r="O2072" i="5"/>
  <c r="D2072" i="3" s="1"/>
  <c r="N2072" i="5"/>
  <c r="M2072" i="5"/>
  <c r="O2071" i="5" a="1"/>
  <c r="O2071" i="5"/>
  <c r="N2071" i="5"/>
  <c r="M2071" i="5"/>
  <c r="O2070" i="5" a="1"/>
  <c r="O2070" i="5"/>
  <c r="N2070" i="5"/>
  <c r="M2070" i="5"/>
  <c r="O2069" i="5" a="1"/>
  <c r="O2069" i="5"/>
  <c r="N2069" i="5"/>
  <c r="M2069" i="5"/>
  <c r="O2068" i="5" a="1"/>
  <c r="O2068" i="5"/>
  <c r="D2068" i="3" s="1"/>
  <c r="N2068" i="5"/>
  <c r="M2068" i="5"/>
  <c r="O2067" i="5" a="1"/>
  <c r="O2067" i="5"/>
  <c r="N2067" i="5"/>
  <c r="M2067" i="5"/>
  <c r="O2066" i="5" a="1"/>
  <c r="O2066" i="5"/>
  <c r="N2066" i="5"/>
  <c r="M2066" i="5"/>
  <c r="O2065" i="5" a="1"/>
  <c r="O2065" i="5"/>
  <c r="N2065" i="5"/>
  <c r="M2065" i="5"/>
  <c r="O2064" i="5" a="1"/>
  <c r="O2064" i="5"/>
  <c r="D2064" i="3" s="1"/>
  <c r="N2064" i="5"/>
  <c r="M2064" i="5"/>
  <c r="O2063" i="5" a="1"/>
  <c r="O2063" i="5"/>
  <c r="N2063" i="5"/>
  <c r="M2063" i="5"/>
  <c r="O2062" i="5" a="1"/>
  <c r="O2062" i="5"/>
  <c r="N2062" i="5"/>
  <c r="M2062" i="5"/>
  <c r="O2061" i="5" a="1"/>
  <c r="O2061" i="5"/>
  <c r="N2061" i="5"/>
  <c r="M2061" i="5"/>
  <c r="O2060" i="5" a="1"/>
  <c r="O2060" i="5"/>
  <c r="D2060" i="3" s="1"/>
  <c r="N2060" i="5"/>
  <c r="M2060" i="5"/>
  <c r="O2059" i="5" a="1"/>
  <c r="O2059" i="5"/>
  <c r="N2059" i="5"/>
  <c r="M2059" i="5"/>
  <c r="O2058" i="5" a="1"/>
  <c r="O2058" i="5"/>
  <c r="N2058" i="5"/>
  <c r="M2058" i="5"/>
  <c r="O2057" i="5" a="1"/>
  <c r="O2057" i="5"/>
  <c r="N2057" i="5"/>
  <c r="M2057" i="5"/>
  <c r="O2056" i="5" a="1"/>
  <c r="O2056" i="5"/>
  <c r="D2056" i="3" s="1"/>
  <c r="N2056" i="5"/>
  <c r="M2056" i="5"/>
  <c r="O2055" i="5" a="1"/>
  <c r="O2055" i="5"/>
  <c r="N2055" i="5"/>
  <c r="M2055" i="5"/>
  <c r="O2054" i="5" a="1"/>
  <c r="O2054" i="5"/>
  <c r="N2054" i="5"/>
  <c r="M2054" i="5"/>
  <c r="O2053" i="5" a="1"/>
  <c r="O2053" i="5"/>
  <c r="N2053" i="5"/>
  <c r="M2053" i="5"/>
  <c r="O2052" i="5" a="1"/>
  <c r="O2052" i="5"/>
  <c r="D2052" i="3" s="1"/>
  <c r="N2052" i="5"/>
  <c r="M2052" i="5"/>
  <c r="O2051" i="5" a="1"/>
  <c r="O2051" i="5"/>
  <c r="N2051" i="5"/>
  <c r="M2051" i="5"/>
  <c r="O2050" i="5" a="1"/>
  <c r="O2050" i="5"/>
  <c r="N2050" i="5"/>
  <c r="M2050" i="5"/>
  <c r="O2049" i="5" a="1"/>
  <c r="O2049" i="5"/>
  <c r="N2049" i="5"/>
  <c r="M2049" i="5"/>
  <c r="O2048" i="5" a="1"/>
  <c r="O2048" i="5"/>
  <c r="D2048" i="3" s="1"/>
  <c r="N2048" i="5"/>
  <c r="M2048" i="5"/>
  <c r="O2047" i="5" a="1"/>
  <c r="O2047" i="5"/>
  <c r="N2047" i="5"/>
  <c r="M2047" i="5"/>
  <c r="O2046" i="5" a="1"/>
  <c r="O2046" i="5"/>
  <c r="N2046" i="5"/>
  <c r="M2046" i="5"/>
  <c r="O2045" i="5" a="1"/>
  <c r="O2045" i="5"/>
  <c r="N2045" i="5"/>
  <c r="M2045" i="5"/>
  <c r="O2044" i="5" a="1"/>
  <c r="O2044" i="5"/>
  <c r="D2044" i="3" s="1"/>
  <c r="N2044" i="5"/>
  <c r="M2044" i="5"/>
  <c r="O2043" i="5" a="1"/>
  <c r="O2043" i="5"/>
  <c r="N2043" i="5"/>
  <c r="M2043" i="5"/>
  <c r="O2042" i="5" a="1"/>
  <c r="O2042" i="5"/>
  <c r="N2042" i="5"/>
  <c r="M2042" i="5"/>
  <c r="O2041" i="5" a="1"/>
  <c r="O2041" i="5"/>
  <c r="N2041" i="5"/>
  <c r="M2041" i="5"/>
  <c r="O2040" i="5" a="1"/>
  <c r="O2040" i="5"/>
  <c r="D2040" i="3" s="1"/>
  <c r="N2040" i="5"/>
  <c r="M2040" i="5"/>
  <c r="O2039" i="5" a="1"/>
  <c r="O2039" i="5"/>
  <c r="N2039" i="5"/>
  <c r="M2039" i="5"/>
  <c r="O2038" i="5" a="1"/>
  <c r="O2038" i="5"/>
  <c r="N2038" i="5"/>
  <c r="M2038" i="5"/>
  <c r="O2037" i="5" a="1"/>
  <c r="O2037" i="5"/>
  <c r="N2037" i="5"/>
  <c r="M2037" i="5"/>
  <c r="O2036" i="5" a="1"/>
  <c r="O2036" i="5"/>
  <c r="D2036" i="3" s="1"/>
  <c r="N2036" i="5"/>
  <c r="M2036" i="5"/>
  <c r="O2035" i="5" a="1"/>
  <c r="O2035" i="5"/>
  <c r="N2035" i="5"/>
  <c r="M2035" i="5"/>
  <c r="O2034" i="5" a="1"/>
  <c r="O2034" i="5"/>
  <c r="N2034" i="5"/>
  <c r="M2034" i="5"/>
  <c r="O2033" i="5" a="1"/>
  <c r="O2033" i="5"/>
  <c r="N2033" i="5"/>
  <c r="M2033" i="5"/>
  <c r="O2032" i="5" a="1"/>
  <c r="O2032" i="5"/>
  <c r="D2032" i="3" s="1"/>
  <c r="N2032" i="5"/>
  <c r="M2032" i="5"/>
  <c r="O2031" i="5" a="1"/>
  <c r="O2031" i="5"/>
  <c r="N2031" i="5"/>
  <c r="M2031" i="5"/>
  <c r="O2030" i="5" a="1"/>
  <c r="O2030" i="5"/>
  <c r="N2030" i="5"/>
  <c r="M2030" i="5"/>
  <c r="O2029" i="5" a="1"/>
  <c r="O2029" i="5"/>
  <c r="N2029" i="5"/>
  <c r="M2029" i="5"/>
  <c r="O2028" i="5" a="1"/>
  <c r="O2028" i="5"/>
  <c r="D2028" i="3" s="1"/>
  <c r="N2028" i="5"/>
  <c r="M2028" i="5"/>
  <c r="O2027" i="5" a="1"/>
  <c r="O2027" i="5"/>
  <c r="N2027" i="5"/>
  <c r="M2027" i="5"/>
  <c r="O2026" i="5" a="1"/>
  <c r="O2026" i="5"/>
  <c r="N2026" i="5"/>
  <c r="M2026" i="5"/>
  <c r="O2025" i="5" a="1"/>
  <c r="O2025" i="5"/>
  <c r="N2025" i="5"/>
  <c r="M2025" i="5"/>
  <c r="O2024" i="5" a="1"/>
  <c r="O2024" i="5"/>
  <c r="D2024" i="3" s="1"/>
  <c r="N2024" i="5"/>
  <c r="M2024" i="5"/>
  <c r="O2023" i="5" a="1"/>
  <c r="O2023" i="5"/>
  <c r="N2023" i="5"/>
  <c r="M2023" i="5"/>
  <c r="O2022" i="5" a="1"/>
  <c r="O2022" i="5"/>
  <c r="N2022" i="5"/>
  <c r="M2022" i="5"/>
  <c r="O2021" i="5" a="1"/>
  <c r="O2021" i="5"/>
  <c r="N2021" i="5"/>
  <c r="M2021" i="5"/>
  <c r="O2020" i="5" a="1"/>
  <c r="O2020" i="5"/>
  <c r="D2020" i="3" s="1"/>
  <c r="N2020" i="5"/>
  <c r="M2020" i="5"/>
  <c r="O2019" i="5" a="1"/>
  <c r="O2019" i="5"/>
  <c r="N2019" i="5"/>
  <c r="M2019" i="5"/>
  <c r="O2018" i="5" a="1"/>
  <c r="O2018" i="5"/>
  <c r="N2018" i="5"/>
  <c r="M2018" i="5"/>
  <c r="O2017" i="5" a="1"/>
  <c r="O2017" i="5"/>
  <c r="N2017" i="5"/>
  <c r="M2017" i="5"/>
  <c r="O2016" i="5" a="1"/>
  <c r="O2016" i="5"/>
  <c r="D2016" i="3" s="1"/>
  <c r="N2016" i="5"/>
  <c r="M2016" i="5"/>
  <c r="O2015" i="5" a="1"/>
  <c r="O2015" i="5"/>
  <c r="N2015" i="5"/>
  <c r="M2015" i="5"/>
  <c r="O2014" i="5" a="1"/>
  <c r="O2014" i="5"/>
  <c r="N2014" i="5"/>
  <c r="M2014" i="5"/>
  <c r="O2013" i="5" a="1"/>
  <c r="O2013" i="5"/>
  <c r="N2013" i="5"/>
  <c r="M2013" i="5"/>
  <c r="O2012" i="5" a="1"/>
  <c r="O2012" i="5"/>
  <c r="D2012" i="3" s="1"/>
  <c r="N2012" i="5"/>
  <c r="M2012" i="5"/>
  <c r="O2011" i="5" a="1"/>
  <c r="O2011" i="5"/>
  <c r="N2011" i="5"/>
  <c r="M2011" i="5"/>
  <c r="O2010" i="5" a="1"/>
  <c r="O2010" i="5"/>
  <c r="N2010" i="5"/>
  <c r="M2010" i="5"/>
  <c r="O2009" i="5" a="1"/>
  <c r="O2009" i="5"/>
  <c r="N2009" i="5"/>
  <c r="M2009" i="5"/>
  <c r="O2008" i="5" a="1"/>
  <c r="O2008" i="5"/>
  <c r="D2008" i="3" s="1"/>
  <c r="N2008" i="5"/>
  <c r="M2008" i="5"/>
  <c r="O2007" i="5" a="1"/>
  <c r="O2007" i="5"/>
  <c r="N2007" i="5"/>
  <c r="M2007" i="5"/>
  <c r="O2006" i="5" a="1"/>
  <c r="O2006" i="5"/>
  <c r="N2006" i="5"/>
  <c r="M2006" i="5"/>
  <c r="O2005" i="5" a="1"/>
  <c r="O2005" i="5"/>
  <c r="N2005" i="5"/>
  <c r="M2005" i="5"/>
  <c r="O2004" i="5" a="1"/>
  <c r="O2004" i="5"/>
  <c r="D2004" i="3" s="1"/>
  <c r="N2004" i="5"/>
  <c r="M2004" i="5"/>
  <c r="O2003" i="5" a="1"/>
  <c r="O2003" i="5"/>
  <c r="N2003" i="5"/>
  <c r="M2003" i="5"/>
  <c r="O2002" i="5" a="1"/>
  <c r="O2002" i="5"/>
  <c r="N2002" i="5"/>
  <c r="M2002" i="5"/>
  <c r="O2001" i="5" a="1"/>
  <c r="O2001" i="5"/>
  <c r="N2001" i="5"/>
  <c r="M2001" i="5"/>
  <c r="O2000" i="5" a="1"/>
  <c r="O2000" i="5"/>
  <c r="D2000" i="3" s="1"/>
  <c r="N2000" i="5"/>
  <c r="M2000" i="5"/>
  <c r="O1999" i="5" a="1"/>
  <c r="O1999" i="5"/>
  <c r="N1999" i="5"/>
  <c r="M1999" i="5"/>
  <c r="O1998" i="5" a="1"/>
  <c r="O1998" i="5"/>
  <c r="N1998" i="5"/>
  <c r="M1998" i="5"/>
  <c r="O1997" i="5" a="1"/>
  <c r="O1997" i="5"/>
  <c r="N1997" i="5"/>
  <c r="M1997" i="5"/>
  <c r="O1996" i="5" a="1"/>
  <c r="O1996" i="5"/>
  <c r="D1996" i="3" s="1"/>
  <c r="N1996" i="5"/>
  <c r="M1996" i="5"/>
  <c r="O1995" i="5" a="1"/>
  <c r="O1995" i="5"/>
  <c r="N1995" i="5"/>
  <c r="M1995" i="5"/>
  <c r="O1994" i="5" a="1"/>
  <c r="O1994" i="5"/>
  <c r="N1994" i="5"/>
  <c r="M1994" i="5"/>
  <c r="O1993" i="5" a="1"/>
  <c r="O1993" i="5"/>
  <c r="N1993" i="5"/>
  <c r="M1993" i="5"/>
  <c r="O1992" i="5" a="1"/>
  <c r="O1992" i="5"/>
  <c r="D1992" i="3" s="1"/>
  <c r="N1992" i="5"/>
  <c r="M1992" i="5"/>
  <c r="O1991" i="5" a="1"/>
  <c r="O1991" i="5"/>
  <c r="N1991" i="5"/>
  <c r="M1991" i="5"/>
  <c r="O1990" i="5" a="1"/>
  <c r="O1990" i="5"/>
  <c r="N1990" i="5"/>
  <c r="M1990" i="5"/>
  <c r="O1989" i="5" a="1"/>
  <c r="O1989" i="5"/>
  <c r="N1989" i="5"/>
  <c r="M1989" i="5"/>
  <c r="O1988" i="5" a="1"/>
  <c r="O1988" i="5"/>
  <c r="D1988" i="3" s="1"/>
  <c r="N1988" i="5"/>
  <c r="M1988" i="5"/>
  <c r="O1987" i="5" a="1"/>
  <c r="O1987" i="5"/>
  <c r="N1987" i="5"/>
  <c r="M1987" i="5"/>
  <c r="O1986" i="5" a="1"/>
  <c r="O1986" i="5"/>
  <c r="N1986" i="5"/>
  <c r="M1986" i="5"/>
  <c r="O1985" i="5" a="1"/>
  <c r="O1985" i="5"/>
  <c r="N1985" i="5"/>
  <c r="M1985" i="5"/>
  <c r="O1984" i="5" a="1"/>
  <c r="O1984" i="5"/>
  <c r="D1984" i="3" s="1"/>
  <c r="N1984" i="5"/>
  <c r="M1984" i="5"/>
  <c r="O1983" i="5" a="1"/>
  <c r="O1983" i="5"/>
  <c r="N1983" i="5"/>
  <c r="M1983" i="5"/>
  <c r="O1982" i="5" a="1"/>
  <c r="O1982" i="5"/>
  <c r="N1982" i="5"/>
  <c r="M1982" i="5"/>
  <c r="O1981" i="5" a="1"/>
  <c r="O1981" i="5"/>
  <c r="N1981" i="5"/>
  <c r="M1981" i="5"/>
  <c r="O1980" i="5" a="1"/>
  <c r="O1980" i="5"/>
  <c r="D1980" i="3" s="1"/>
  <c r="N1980" i="5"/>
  <c r="M1980" i="5"/>
  <c r="O1979" i="5" a="1"/>
  <c r="O1979" i="5"/>
  <c r="N1979" i="5"/>
  <c r="M1979" i="5"/>
  <c r="O1978" i="5" a="1"/>
  <c r="O1978" i="5"/>
  <c r="N1978" i="5"/>
  <c r="M1978" i="5"/>
  <c r="O1977" i="5" a="1"/>
  <c r="O1977" i="5"/>
  <c r="N1977" i="5"/>
  <c r="M1977" i="5"/>
  <c r="O1976" i="5" a="1"/>
  <c r="O1976" i="5"/>
  <c r="D1976" i="3" s="1"/>
  <c r="N1976" i="5"/>
  <c r="M1976" i="5"/>
  <c r="O1975" i="5" a="1"/>
  <c r="O1975" i="5"/>
  <c r="N1975" i="5"/>
  <c r="M1975" i="5"/>
  <c r="O1974" i="5" a="1"/>
  <c r="O1974" i="5"/>
  <c r="N1974" i="5"/>
  <c r="M1974" i="5"/>
  <c r="O1973" i="5" a="1"/>
  <c r="O1973" i="5"/>
  <c r="N1973" i="5"/>
  <c r="M1973" i="5"/>
  <c r="O1972" i="5" a="1"/>
  <c r="O1972" i="5"/>
  <c r="D1972" i="3" s="1"/>
  <c r="N1972" i="5"/>
  <c r="M1972" i="5"/>
  <c r="O1971" i="5" a="1"/>
  <c r="O1971" i="5"/>
  <c r="N1971" i="5"/>
  <c r="M1971" i="5"/>
  <c r="O1970" i="5" a="1"/>
  <c r="O1970" i="5"/>
  <c r="N1970" i="5"/>
  <c r="M1970" i="5"/>
  <c r="O1969" i="5" a="1"/>
  <c r="O1969" i="5"/>
  <c r="N1969" i="5"/>
  <c r="M1969" i="5"/>
  <c r="O1968" i="5" a="1"/>
  <c r="O1968" i="5"/>
  <c r="D1968" i="3" s="1"/>
  <c r="N1968" i="5"/>
  <c r="M1968" i="5"/>
  <c r="O1967" i="5" a="1"/>
  <c r="O1967" i="5"/>
  <c r="N1967" i="5"/>
  <c r="M1967" i="5"/>
  <c r="O1966" i="5" a="1"/>
  <c r="O1966" i="5"/>
  <c r="N1966" i="5"/>
  <c r="M1966" i="5"/>
  <c r="O1965" i="5" a="1"/>
  <c r="O1965" i="5"/>
  <c r="N1965" i="5"/>
  <c r="M1965" i="5"/>
  <c r="O1964" i="5" a="1"/>
  <c r="O1964" i="5"/>
  <c r="D1964" i="3" s="1"/>
  <c r="N1964" i="5"/>
  <c r="M1964" i="5"/>
  <c r="O1963" i="5" a="1"/>
  <c r="O1963" i="5"/>
  <c r="N1963" i="5"/>
  <c r="M1963" i="5"/>
  <c r="O1962" i="5" a="1"/>
  <c r="O1962" i="5"/>
  <c r="N1962" i="5"/>
  <c r="M1962" i="5"/>
  <c r="O1961" i="5" a="1"/>
  <c r="O1961" i="5"/>
  <c r="N1961" i="5"/>
  <c r="M1961" i="5"/>
  <c r="O1960" i="5" a="1"/>
  <c r="O1960" i="5"/>
  <c r="D1960" i="3" s="1"/>
  <c r="N1960" i="5"/>
  <c r="M1960" i="5"/>
  <c r="O1959" i="5" a="1"/>
  <c r="O1959" i="5"/>
  <c r="N1959" i="5"/>
  <c r="M1959" i="5"/>
  <c r="O1958" i="5" a="1"/>
  <c r="O1958" i="5"/>
  <c r="N1958" i="5"/>
  <c r="M1958" i="5"/>
  <c r="O1957" i="5" a="1"/>
  <c r="O1957" i="5"/>
  <c r="N1957" i="5"/>
  <c r="M1957" i="5"/>
  <c r="O1956" i="5" a="1"/>
  <c r="O1956" i="5"/>
  <c r="D1956" i="3" s="1"/>
  <c r="N1956" i="5"/>
  <c r="M1956" i="5"/>
  <c r="O1955" i="5" a="1"/>
  <c r="O1955" i="5"/>
  <c r="N1955" i="5"/>
  <c r="M1955" i="5"/>
  <c r="O1954" i="5" a="1"/>
  <c r="O1954" i="5"/>
  <c r="N1954" i="5"/>
  <c r="M1954" i="5"/>
  <c r="O1953" i="5" a="1"/>
  <c r="O1953" i="5"/>
  <c r="N1953" i="5"/>
  <c r="M1953" i="5"/>
  <c r="O1952" i="5" a="1"/>
  <c r="O1952" i="5"/>
  <c r="D1952" i="3" s="1"/>
  <c r="N1952" i="5"/>
  <c r="M1952" i="5"/>
  <c r="O1951" i="5" a="1"/>
  <c r="O1951" i="5"/>
  <c r="N1951" i="5"/>
  <c r="M1951" i="5"/>
  <c r="O1950" i="5" a="1"/>
  <c r="O1950" i="5"/>
  <c r="N1950" i="5"/>
  <c r="M1950" i="5"/>
  <c r="O1949" i="5" a="1"/>
  <c r="O1949" i="5"/>
  <c r="N1949" i="5"/>
  <c r="M1949" i="5"/>
  <c r="O1948" i="5" a="1"/>
  <c r="O1948" i="5"/>
  <c r="D1948" i="3" s="1"/>
  <c r="N1948" i="5"/>
  <c r="M1948" i="5"/>
  <c r="O1947" i="5" a="1"/>
  <c r="O1947" i="5"/>
  <c r="N1947" i="5"/>
  <c r="M1947" i="5"/>
  <c r="O1946" i="5" a="1"/>
  <c r="O1946" i="5"/>
  <c r="N1946" i="5"/>
  <c r="M1946" i="5"/>
  <c r="O1945" i="5" a="1"/>
  <c r="O1945" i="5"/>
  <c r="N1945" i="5"/>
  <c r="M1945" i="5"/>
  <c r="O1944" i="5" a="1"/>
  <c r="O1944" i="5"/>
  <c r="D1944" i="3" s="1"/>
  <c r="N1944" i="5"/>
  <c r="M1944" i="5"/>
  <c r="O1943" i="5" a="1"/>
  <c r="O1943" i="5"/>
  <c r="N1943" i="5"/>
  <c r="M1943" i="5"/>
  <c r="O1942" i="5" a="1"/>
  <c r="O1942" i="5"/>
  <c r="N1942" i="5"/>
  <c r="M1942" i="5"/>
  <c r="O1941" i="5" a="1"/>
  <c r="O1941" i="5"/>
  <c r="N1941" i="5"/>
  <c r="M1941" i="5"/>
  <c r="O1940" i="5" a="1"/>
  <c r="O1940" i="5"/>
  <c r="D1940" i="3" s="1"/>
  <c r="N1940" i="5"/>
  <c r="M1940" i="5"/>
  <c r="O1939" i="5" a="1"/>
  <c r="O1939" i="5"/>
  <c r="N1939" i="5"/>
  <c r="M1939" i="5"/>
  <c r="O1938" i="5" a="1"/>
  <c r="O1938" i="5"/>
  <c r="N1938" i="5"/>
  <c r="M1938" i="5"/>
  <c r="O1937" i="5" a="1"/>
  <c r="O1937" i="5"/>
  <c r="N1937" i="5"/>
  <c r="M1937" i="5"/>
  <c r="O1936" i="5" a="1"/>
  <c r="O1936" i="5"/>
  <c r="D1936" i="3" s="1"/>
  <c r="N1936" i="5"/>
  <c r="M1936" i="5"/>
  <c r="O1935" i="5" a="1"/>
  <c r="O1935" i="5"/>
  <c r="N1935" i="5"/>
  <c r="M1935" i="5"/>
  <c r="O1934" i="5" a="1"/>
  <c r="O1934" i="5"/>
  <c r="N1934" i="5"/>
  <c r="M1934" i="5"/>
  <c r="O1933" i="5" a="1"/>
  <c r="O1933" i="5"/>
  <c r="N1933" i="5"/>
  <c r="M1933" i="5"/>
  <c r="O1932" i="5" a="1"/>
  <c r="O1932" i="5"/>
  <c r="D1932" i="3" s="1"/>
  <c r="N1932" i="5"/>
  <c r="M1932" i="5"/>
  <c r="O1931" i="5" a="1"/>
  <c r="O1931" i="5"/>
  <c r="N1931" i="5"/>
  <c r="M1931" i="5"/>
  <c r="O1930" i="5" a="1"/>
  <c r="O1930" i="5"/>
  <c r="N1930" i="5"/>
  <c r="M1930" i="5"/>
  <c r="O1929" i="5" a="1"/>
  <c r="O1929" i="5"/>
  <c r="N1929" i="5"/>
  <c r="M1929" i="5"/>
  <c r="O1928" i="5" a="1"/>
  <c r="O1928" i="5"/>
  <c r="D1928" i="3" s="1"/>
  <c r="N1928" i="5"/>
  <c r="M1928" i="5"/>
  <c r="O1927" i="5" a="1"/>
  <c r="O1927" i="5"/>
  <c r="N1927" i="5"/>
  <c r="M1927" i="5"/>
  <c r="O1926" i="5" a="1"/>
  <c r="O1926" i="5"/>
  <c r="N1926" i="5"/>
  <c r="M1926" i="5"/>
  <c r="O1925" i="5" a="1"/>
  <c r="O1925" i="5"/>
  <c r="N1925" i="5"/>
  <c r="M1925" i="5"/>
  <c r="O1924" i="5" a="1"/>
  <c r="O1924" i="5"/>
  <c r="D1924" i="3" s="1"/>
  <c r="N1924" i="5"/>
  <c r="M1924" i="5"/>
  <c r="O1923" i="5" a="1"/>
  <c r="O1923" i="5"/>
  <c r="N1923" i="5"/>
  <c r="M1923" i="5"/>
  <c r="O1922" i="5" a="1"/>
  <c r="O1922" i="5"/>
  <c r="N1922" i="5"/>
  <c r="M1922" i="5"/>
  <c r="O1921" i="5" a="1"/>
  <c r="O1921" i="5"/>
  <c r="N1921" i="5"/>
  <c r="M1921" i="5"/>
  <c r="O1920" i="5" a="1"/>
  <c r="O1920" i="5"/>
  <c r="D1920" i="3" s="1"/>
  <c r="N1920" i="5"/>
  <c r="M1920" i="5"/>
  <c r="O1919" i="5" a="1"/>
  <c r="O1919" i="5"/>
  <c r="N1919" i="5"/>
  <c r="M1919" i="5"/>
  <c r="O1918" i="5" a="1"/>
  <c r="O1918" i="5"/>
  <c r="N1918" i="5"/>
  <c r="M1918" i="5"/>
  <c r="O1917" i="5" a="1"/>
  <c r="O1917" i="5"/>
  <c r="N1917" i="5"/>
  <c r="M1917" i="5"/>
  <c r="O1916" i="5" a="1"/>
  <c r="O1916" i="5"/>
  <c r="D1916" i="3" s="1"/>
  <c r="N1916" i="5"/>
  <c r="M1916" i="5"/>
  <c r="O1915" i="5" a="1"/>
  <c r="O1915" i="5"/>
  <c r="N1915" i="5"/>
  <c r="M1915" i="5"/>
  <c r="O1914" i="5" a="1"/>
  <c r="O1914" i="5"/>
  <c r="N1914" i="5"/>
  <c r="M1914" i="5"/>
  <c r="O1913" i="5" a="1"/>
  <c r="O1913" i="5"/>
  <c r="N1913" i="5"/>
  <c r="M1913" i="5"/>
  <c r="O1912" i="5" a="1"/>
  <c r="O1912" i="5"/>
  <c r="D1912" i="3" s="1"/>
  <c r="N1912" i="5"/>
  <c r="M1912" i="5"/>
  <c r="O1911" i="5" a="1"/>
  <c r="O1911" i="5"/>
  <c r="N1911" i="5"/>
  <c r="M1911" i="5"/>
  <c r="O1910" i="5" a="1"/>
  <c r="O1910" i="5"/>
  <c r="N1910" i="5"/>
  <c r="M1910" i="5"/>
  <c r="O1909" i="5" a="1"/>
  <c r="O1909" i="5"/>
  <c r="N1909" i="5"/>
  <c r="M1909" i="5"/>
  <c r="O1908" i="5" a="1"/>
  <c r="O1908" i="5"/>
  <c r="D1908" i="3" s="1"/>
  <c r="N1908" i="5"/>
  <c r="M1908" i="5"/>
  <c r="O1907" i="5" a="1"/>
  <c r="O1907" i="5"/>
  <c r="N1907" i="5"/>
  <c r="M1907" i="5"/>
  <c r="O1906" i="5" a="1"/>
  <c r="O1906" i="5"/>
  <c r="N1906" i="5"/>
  <c r="M1906" i="5"/>
  <c r="O1905" i="5" a="1"/>
  <c r="O1905" i="5"/>
  <c r="N1905" i="5"/>
  <c r="M1905" i="5"/>
  <c r="O1904" i="5" a="1"/>
  <c r="O1904" i="5"/>
  <c r="D1904" i="3" s="1"/>
  <c r="N1904" i="5"/>
  <c r="M1904" i="5"/>
  <c r="O1903" i="5" a="1"/>
  <c r="O1903" i="5"/>
  <c r="N1903" i="5"/>
  <c r="M1903" i="5"/>
  <c r="O1902" i="5" a="1"/>
  <c r="O1902" i="5"/>
  <c r="N1902" i="5"/>
  <c r="M1902" i="5"/>
  <c r="O1901" i="5" a="1"/>
  <c r="O1901" i="5"/>
  <c r="N1901" i="5"/>
  <c r="M1901" i="5"/>
  <c r="O1900" i="5" a="1"/>
  <c r="O1900" i="5"/>
  <c r="D1900" i="3" s="1"/>
  <c r="N1900" i="5"/>
  <c r="M1900" i="5"/>
  <c r="O1899" i="5" a="1"/>
  <c r="O1899" i="5"/>
  <c r="N1899" i="5"/>
  <c r="M1899" i="5"/>
  <c r="O1898" i="5" a="1"/>
  <c r="O1898" i="5"/>
  <c r="N1898" i="5"/>
  <c r="M1898" i="5"/>
  <c r="O1897" i="5" a="1"/>
  <c r="O1897" i="5"/>
  <c r="N1897" i="5"/>
  <c r="M1897" i="5"/>
  <c r="O1896" i="5" a="1"/>
  <c r="O1896" i="5"/>
  <c r="D1896" i="3" s="1"/>
  <c r="N1896" i="5"/>
  <c r="M1896" i="5"/>
  <c r="O1895" i="5" a="1"/>
  <c r="O1895" i="5"/>
  <c r="N1895" i="5"/>
  <c r="M1895" i="5"/>
  <c r="O1894" i="5" a="1"/>
  <c r="O1894" i="5"/>
  <c r="N1894" i="5"/>
  <c r="M1894" i="5"/>
  <c r="O1893" i="5" a="1"/>
  <c r="O1893" i="5"/>
  <c r="N1893" i="5"/>
  <c r="M1893" i="5"/>
  <c r="O1892" i="5" a="1"/>
  <c r="O1892" i="5"/>
  <c r="D1892" i="3" s="1"/>
  <c r="N1892" i="5"/>
  <c r="M1892" i="5"/>
  <c r="O1891" i="5" a="1"/>
  <c r="O1891" i="5"/>
  <c r="N1891" i="5"/>
  <c r="M1891" i="5"/>
  <c r="O1890" i="5" a="1"/>
  <c r="O1890" i="5"/>
  <c r="N1890" i="5"/>
  <c r="M1890" i="5"/>
  <c r="O1889" i="5" a="1"/>
  <c r="O1889" i="5"/>
  <c r="N1889" i="5"/>
  <c r="M1889" i="5"/>
  <c r="O1888" i="5" a="1"/>
  <c r="O1888" i="5"/>
  <c r="D1888" i="3" s="1"/>
  <c r="N1888" i="5"/>
  <c r="M1888" i="5"/>
  <c r="O1887" i="5" a="1"/>
  <c r="O1887" i="5"/>
  <c r="N1887" i="5"/>
  <c r="M1887" i="5"/>
  <c r="O1886" i="5" a="1"/>
  <c r="O1886" i="5"/>
  <c r="N1886" i="5"/>
  <c r="M1886" i="5"/>
  <c r="O1885" i="5" a="1"/>
  <c r="O1885" i="5"/>
  <c r="N1885" i="5"/>
  <c r="M1885" i="5"/>
  <c r="O1884" i="5" a="1"/>
  <c r="O1884" i="5"/>
  <c r="D1884" i="3" s="1"/>
  <c r="N1884" i="5"/>
  <c r="M1884" i="5"/>
  <c r="O1883" i="5" a="1"/>
  <c r="O1883" i="5"/>
  <c r="N1883" i="5"/>
  <c r="M1883" i="5"/>
  <c r="O1882" i="5" a="1"/>
  <c r="O1882" i="5"/>
  <c r="N1882" i="5"/>
  <c r="M1882" i="5"/>
  <c r="O1881" i="5" a="1"/>
  <c r="O1881" i="5"/>
  <c r="N1881" i="5"/>
  <c r="M1881" i="5"/>
  <c r="O1880" i="5" a="1"/>
  <c r="O1880" i="5"/>
  <c r="D1880" i="3" s="1"/>
  <c r="N1880" i="5"/>
  <c r="M1880" i="5"/>
  <c r="O1879" i="5" a="1"/>
  <c r="O1879" i="5"/>
  <c r="N1879" i="5"/>
  <c r="M1879" i="5"/>
  <c r="O1878" i="5" a="1"/>
  <c r="O1878" i="5"/>
  <c r="N1878" i="5"/>
  <c r="M1878" i="5"/>
  <c r="O1877" i="5" a="1"/>
  <c r="O1877" i="5"/>
  <c r="N1877" i="5"/>
  <c r="M1877" i="5"/>
  <c r="O1876" i="5" a="1"/>
  <c r="O1876" i="5"/>
  <c r="D1876" i="3" s="1"/>
  <c r="N1876" i="5"/>
  <c r="M1876" i="5"/>
  <c r="O1875" i="5" a="1"/>
  <c r="O1875" i="5"/>
  <c r="N1875" i="5"/>
  <c r="M1875" i="5"/>
  <c r="O1874" i="5" a="1"/>
  <c r="O1874" i="5"/>
  <c r="N1874" i="5"/>
  <c r="M1874" i="5"/>
  <c r="O1873" i="5" a="1"/>
  <c r="O1873" i="5"/>
  <c r="N1873" i="5"/>
  <c r="M1873" i="5"/>
  <c r="O1872" i="5" a="1"/>
  <c r="O1872" i="5"/>
  <c r="D1872" i="3" s="1"/>
  <c r="N1872" i="5"/>
  <c r="M1872" i="5"/>
  <c r="O1871" i="5" a="1"/>
  <c r="O1871" i="5"/>
  <c r="N1871" i="5"/>
  <c r="M1871" i="5"/>
  <c r="O1870" i="5" a="1"/>
  <c r="O1870" i="5"/>
  <c r="N1870" i="5"/>
  <c r="M1870" i="5"/>
  <c r="O1869" i="5" a="1"/>
  <c r="O1869" i="5"/>
  <c r="N1869" i="5"/>
  <c r="M1869" i="5"/>
  <c r="O1868" i="5" a="1"/>
  <c r="O1868" i="5"/>
  <c r="D1868" i="3" s="1"/>
  <c r="N1868" i="5"/>
  <c r="M1868" i="5"/>
  <c r="O1867" i="5" a="1"/>
  <c r="O1867" i="5"/>
  <c r="N1867" i="5"/>
  <c r="M1867" i="5"/>
  <c r="O1866" i="5" a="1"/>
  <c r="O1866" i="5"/>
  <c r="N1866" i="5"/>
  <c r="M1866" i="5"/>
  <c r="O1865" i="5" a="1"/>
  <c r="O1865" i="5"/>
  <c r="N1865" i="5"/>
  <c r="M1865" i="5"/>
  <c r="O1864" i="5" a="1"/>
  <c r="O1864" i="5"/>
  <c r="D1864" i="3" s="1"/>
  <c r="N1864" i="5"/>
  <c r="M1864" i="5"/>
  <c r="O1863" i="5" a="1"/>
  <c r="O1863" i="5"/>
  <c r="N1863" i="5"/>
  <c r="M1863" i="5"/>
  <c r="O1862" i="5" a="1"/>
  <c r="O1862" i="5"/>
  <c r="N1862" i="5"/>
  <c r="M1862" i="5"/>
  <c r="O1861" i="5" a="1"/>
  <c r="O1861" i="5"/>
  <c r="N1861" i="5"/>
  <c r="M1861" i="5"/>
  <c r="O1860" i="5" a="1"/>
  <c r="O1860" i="5"/>
  <c r="D1860" i="3" s="1"/>
  <c r="N1860" i="5"/>
  <c r="M1860" i="5"/>
  <c r="O1859" i="5" a="1"/>
  <c r="O1859" i="5"/>
  <c r="N1859" i="5"/>
  <c r="M1859" i="5"/>
  <c r="O1858" i="5" a="1"/>
  <c r="O1858" i="5"/>
  <c r="N1858" i="5"/>
  <c r="M1858" i="5"/>
  <c r="O1857" i="5" a="1"/>
  <c r="O1857" i="5"/>
  <c r="N1857" i="5"/>
  <c r="M1857" i="5"/>
  <c r="O1856" i="5" a="1"/>
  <c r="O1856" i="5"/>
  <c r="D1856" i="3" s="1"/>
  <c r="N1856" i="5"/>
  <c r="M1856" i="5"/>
  <c r="O1855" i="5" a="1"/>
  <c r="O1855" i="5"/>
  <c r="N1855" i="5"/>
  <c r="M1855" i="5"/>
  <c r="O1854" i="5" a="1"/>
  <c r="O1854" i="5"/>
  <c r="N1854" i="5"/>
  <c r="M1854" i="5"/>
  <c r="O1853" i="5" a="1"/>
  <c r="O1853" i="5"/>
  <c r="N1853" i="5"/>
  <c r="M1853" i="5"/>
  <c r="O1852" i="5" a="1"/>
  <c r="O1852" i="5"/>
  <c r="D1852" i="3" s="1"/>
  <c r="N1852" i="5"/>
  <c r="M1852" i="5"/>
  <c r="O1851" i="5" a="1"/>
  <c r="O1851" i="5"/>
  <c r="N1851" i="5"/>
  <c r="M1851" i="5"/>
  <c r="O1850" i="5" a="1"/>
  <c r="O1850" i="5"/>
  <c r="N1850" i="5"/>
  <c r="M1850" i="5"/>
  <c r="O1849" i="5" a="1"/>
  <c r="O1849" i="5"/>
  <c r="N1849" i="5"/>
  <c r="M1849" i="5"/>
  <c r="O1848" i="5" a="1"/>
  <c r="O1848" i="5"/>
  <c r="D1848" i="3" s="1"/>
  <c r="N1848" i="5"/>
  <c r="M1848" i="5"/>
  <c r="O1847" i="5" a="1"/>
  <c r="O1847" i="5"/>
  <c r="N1847" i="5"/>
  <c r="M1847" i="5"/>
  <c r="O1846" i="5" a="1"/>
  <c r="O1846" i="5"/>
  <c r="N1846" i="5"/>
  <c r="M1846" i="5"/>
  <c r="O1845" i="5" a="1"/>
  <c r="O1845" i="5"/>
  <c r="N1845" i="5"/>
  <c r="M1845" i="5"/>
  <c r="O1844" i="5" a="1"/>
  <c r="O1844" i="5"/>
  <c r="D1844" i="3" s="1"/>
  <c r="N1844" i="5"/>
  <c r="M1844" i="5"/>
  <c r="O1843" i="5" a="1"/>
  <c r="O1843" i="5"/>
  <c r="N1843" i="5"/>
  <c r="M1843" i="5"/>
  <c r="O1842" i="5" a="1"/>
  <c r="O1842" i="5"/>
  <c r="N1842" i="5"/>
  <c r="M1842" i="5"/>
  <c r="O1841" i="5" a="1"/>
  <c r="O1841" i="5"/>
  <c r="N1841" i="5"/>
  <c r="M1841" i="5"/>
  <c r="O1840" i="5" a="1"/>
  <c r="O1840" i="5"/>
  <c r="D1840" i="3" s="1"/>
  <c r="N1840" i="5"/>
  <c r="M1840" i="5"/>
  <c r="O1839" i="5" a="1"/>
  <c r="O1839" i="5"/>
  <c r="N1839" i="5"/>
  <c r="M1839" i="5"/>
  <c r="O1838" i="5" a="1"/>
  <c r="O1838" i="5"/>
  <c r="N1838" i="5"/>
  <c r="M1838" i="5"/>
  <c r="O1837" i="5" a="1"/>
  <c r="O1837" i="5"/>
  <c r="N1837" i="5"/>
  <c r="M1837" i="5"/>
  <c r="O1836" i="5" a="1"/>
  <c r="O1836" i="5"/>
  <c r="D1836" i="3" s="1"/>
  <c r="N1836" i="5"/>
  <c r="M1836" i="5"/>
  <c r="O1835" i="5" a="1"/>
  <c r="O1835" i="5"/>
  <c r="N1835" i="5"/>
  <c r="M1835" i="5"/>
  <c r="O1834" i="5" a="1"/>
  <c r="O1834" i="5"/>
  <c r="N1834" i="5"/>
  <c r="M1834" i="5"/>
  <c r="O1833" i="5" a="1"/>
  <c r="O1833" i="5"/>
  <c r="N1833" i="5"/>
  <c r="M1833" i="5"/>
  <c r="O1832" i="5" a="1"/>
  <c r="O1832" i="5"/>
  <c r="D1832" i="3" s="1"/>
  <c r="N1832" i="5"/>
  <c r="M1832" i="5"/>
  <c r="O1831" i="5" a="1"/>
  <c r="O1831" i="5"/>
  <c r="N1831" i="5"/>
  <c r="M1831" i="5"/>
  <c r="O1830" i="5" a="1"/>
  <c r="O1830" i="5"/>
  <c r="N1830" i="5"/>
  <c r="M1830" i="5"/>
  <c r="O1829" i="5" a="1"/>
  <c r="O1829" i="5"/>
  <c r="N1829" i="5"/>
  <c r="M1829" i="5"/>
  <c r="O1828" i="5" a="1"/>
  <c r="O1828" i="5"/>
  <c r="D1828" i="3" s="1"/>
  <c r="N1828" i="5"/>
  <c r="M1828" i="5"/>
  <c r="O1827" i="5" a="1"/>
  <c r="O1827" i="5"/>
  <c r="N1827" i="5"/>
  <c r="M1827" i="5"/>
  <c r="O1826" i="5" a="1"/>
  <c r="O1826" i="5"/>
  <c r="N1826" i="5"/>
  <c r="M1826" i="5"/>
  <c r="O1825" i="5" a="1"/>
  <c r="O1825" i="5"/>
  <c r="N1825" i="5"/>
  <c r="M1825" i="5"/>
  <c r="O1824" i="5" a="1"/>
  <c r="O1824" i="5"/>
  <c r="D1824" i="3" s="1"/>
  <c r="N1824" i="5"/>
  <c r="M1824" i="5"/>
  <c r="O1823" i="5" a="1"/>
  <c r="O1823" i="5"/>
  <c r="N1823" i="5"/>
  <c r="M1823" i="5"/>
  <c r="O1822" i="5" a="1"/>
  <c r="O1822" i="5"/>
  <c r="N1822" i="5"/>
  <c r="M1822" i="5"/>
  <c r="O1821" i="5" a="1"/>
  <c r="O1821" i="5"/>
  <c r="N1821" i="5"/>
  <c r="M1821" i="5"/>
  <c r="O1820" i="5" a="1"/>
  <c r="O1820" i="5"/>
  <c r="D1820" i="3" s="1"/>
  <c r="N1820" i="5"/>
  <c r="M1820" i="5"/>
  <c r="O1819" i="5" a="1"/>
  <c r="O1819" i="5"/>
  <c r="N1819" i="5"/>
  <c r="M1819" i="5"/>
  <c r="O1818" i="5" a="1"/>
  <c r="O1818" i="5"/>
  <c r="N1818" i="5"/>
  <c r="M1818" i="5"/>
  <c r="O1817" i="5" a="1"/>
  <c r="O1817" i="5"/>
  <c r="N1817" i="5"/>
  <c r="M1817" i="5"/>
  <c r="O1816" i="5" a="1"/>
  <c r="O1816" i="5"/>
  <c r="D1816" i="3" s="1"/>
  <c r="N1816" i="5"/>
  <c r="M1816" i="5"/>
  <c r="O1815" i="5" a="1"/>
  <c r="O1815" i="5"/>
  <c r="N1815" i="5"/>
  <c r="M1815" i="5"/>
  <c r="O1814" i="5" a="1"/>
  <c r="O1814" i="5"/>
  <c r="N1814" i="5"/>
  <c r="M1814" i="5"/>
  <c r="O1813" i="5" a="1"/>
  <c r="O1813" i="5"/>
  <c r="N1813" i="5"/>
  <c r="M1813" i="5"/>
  <c r="O1812" i="5" a="1"/>
  <c r="O1812" i="5"/>
  <c r="D1812" i="3" s="1"/>
  <c r="N1812" i="5"/>
  <c r="M1812" i="5"/>
  <c r="O1811" i="5" a="1"/>
  <c r="O1811" i="5"/>
  <c r="N1811" i="5"/>
  <c r="M1811" i="5"/>
  <c r="O1810" i="5" a="1"/>
  <c r="O1810" i="5"/>
  <c r="N1810" i="5"/>
  <c r="M1810" i="5"/>
  <c r="O1809" i="5" a="1"/>
  <c r="O1809" i="5"/>
  <c r="N1809" i="5"/>
  <c r="M1809" i="5"/>
  <c r="O1808" i="5" a="1"/>
  <c r="O1808" i="5"/>
  <c r="D1808" i="3" s="1"/>
  <c r="N1808" i="5"/>
  <c r="M1808" i="5"/>
  <c r="O1807" i="5" a="1"/>
  <c r="O1807" i="5"/>
  <c r="N1807" i="5"/>
  <c r="M1807" i="5"/>
  <c r="O1806" i="5" a="1"/>
  <c r="O1806" i="5"/>
  <c r="N1806" i="5"/>
  <c r="M1806" i="5"/>
  <c r="O1805" i="5" a="1"/>
  <c r="O1805" i="5"/>
  <c r="N1805" i="5"/>
  <c r="M1805" i="5"/>
  <c r="O1804" i="5" a="1"/>
  <c r="O1804" i="5"/>
  <c r="D1804" i="3" s="1"/>
  <c r="N1804" i="5"/>
  <c r="M1804" i="5"/>
  <c r="O1803" i="5" a="1"/>
  <c r="O1803" i="5"/>
  <c r="N1803" i="5"/>
  <c r="M1803" i="5"/>
  <c r="O1802" i="5" a="1"/>
  <c r="O1802" i="5"/>
  <c r="N1802" i="5"/>
  <c r="M1802" i="5"/>
  <c r="O1801" i="5" a="1"/>
  <c r="O1801" i="5"/>
  <c r="N1801" i="5"/>
  <c r="M1801" i="5"/>
  <c r="O1800" i="5" a="1"/>
  <c r="O1800" i="5"/>
  <c r="D1800" i="3" s="1"/>
  <c r="N1800" i="5"/>
  <c r="M1800" i="5"/>
  <c r="O1799" i="5" a="1"/>
  <c r="O1799" i="5"/>
  <c r="N1799" i="5"/>
  <c r="M1799" i="5"/>
  <c r="O1798" i="5" a="1"/>
  <c r="O1798" i="5"/>
  <c r="N1798" i="5"/>
  <c r="M1798" i="5"/>
  <c r="O1797" i="5" a="1"/>
  <c r="O1797" i="5"/>
  <c r="N1797" i="5"/>
  <c r="M1797" i="5"/>
  <c r="O1796" i="5" a="1"/>
  <c r="O1796" i="5"/>
  <c r="D1796" i="3" s="1"/>
  <c r="N1796" i="5"/>
  <c r="M1796" i="5"/>
  <c r="O1795" i="5" a="1"/>
  <c r="O1795" i="5"/>
  <c r="N1795" i="5"/>
  <c r="M1795" i="5"/>
  <c r="O1794" i="5" a="1"/>
  <c r="O1794" i="5"/>
  <c r="N1794" i="5"/>
  <c r="M1794" i="5"/>
  <c r="O1793" i="5" a="1"/>
  <c r="O1793" i="5"/>
  <c r="N1793" i="5"/>
  <c r="M1793" i="5"/>
  <c r="O1792" i="5" a="1"/>
  <c r="O1792" i="5"/>
  <c r="D1792" i="3" s="1"/>
  <c r="N1792" i="5"/>
  <c r="M1792" i="5"/>
  <c r="O1791" i="5" a="1"/>
  <c r="O1791" i="5"/>
  <c r="N1791" i="5"/>
  <c r="M1791" i="5"/>
  <c r="O1790" i="5" a="1"/>
  <c r="O1790" i="5"/>
  <c r="N1790" i="5"/>
  <c r="M1790" i="5"/>
  <c r="O1789" i="5" a="1"/>
  <c r="O1789" i="5"/>
  <c r="N1789" i="5"/>
  <c r="M1789" i="5"/>
  <c r="O1788" i="5" a="1"/>
  <c r="O1788" i="5"/>
  <c r="D1788" i="3" s="1"/>
  <c r="N1788" i="5"/>
  <c r="M1788" i="5"/>
  <c r="O1787" i="5" a="1"/>
  <c r="O1787" i="5"/>
  <c r="N1787" i="5"/>
  <c r="M1787" i="5"/>
  <c r="O1786" i="5" a="1"/>
  <c r="O1786" i="5"/>
  <c r="N1786" i="5"/>
  <c r="M1786" i="5"/>
  <c r="O1785" i="5" a="1"/>
  <c r="O1785" i="5"/>
  <c r="N1785" i="5"/>
  <c r="M1785" i="5"/>
  <c r="O1784" i="5" a="1"/>
  <c r="O1784" i="5"/>
  <c r="D1784" i="3" s="1"/>
  <c r="N1784" i="5"/>
  <c r="M1784" i="5"/>
  <c r="O1783" i="5" a="1"/>
  <c r="O1783" i="5"/>
  <c r="N1783" i="5"/>
  <c r="M1783" i="5"/>
  <c r="O1782" i="5" a="1"/>
  <c r="O1782" i="5"/>
  <c r="N1782" i="5"/>
  <c r="M1782" i="5"/>
  <c r="O1781" i="5" a="1"/>
  <c r="O1781" i="5"/>
  <c r="N1781" i="5"/>
  <c r="M1781" i="5"/>
  <c r="O1780" i="5" a="1"/>
  <c r="O1780" i="5"/>
  <c r="N1780" i="5"/>
  <c r="M1780" i="5"/>
  <c r="O1779" i="5" a="1"/>
  <c r="O1779" i="5"/>
  <c r="N1779" i="5"/>
  <c r="M1779" i="5"/>
  <c r="O1778" i="5" a="1"/>
  <c r="O1778" i="5"/>
  <c r="N1778" i="5"/>
  <c r="M1778" i="5"/>
  <c r="O1777" i="5" a="1"/>
  <c r="O1777" i="5"/>
  <c r="N1777" i="5"/>
  <c r="M1777" i="5"/>
  <c r="O1776" i="5" a="1"/>
  <c r="O1776" i="5"/>
  <c r="N1776" i="5"/>
  <c r="M1776" i="5"/>
  <c r="O1775" i="5" a="1"/>
  <c r="O1775" i="5"/>
  <c r="N1775" i="5"/>
  <c r="M1775" i="5"/>
  <c r="O1774" i="5" a="1"/>
  <c r="O1774" i="5"/>
  <c r="N1774" i="5"/>
  <c r="M1774" i="5"/>
  <c r="O1773" i="5" a="1"/>
  <c r="O1773" i="5"/>
  <c r="N1773" i="5"/>
  <c r="M1773" i="5"/>
  <c r="O1772" i="5" a="1"/>
  <c r="O1772" i="5"/>
  <c r="N1772" i="5"/>
  <c r="M1772" i="5"/>
  <c r="O1771" i="5" a="1"/>
  <c r="O1771" i="5"/>
  <c r="N1771" i="5"/>
  <c r="M1771" i="5"/>
  <c r="O1770" i="5" a="1"/>
  <c r="O1770" i="5"/>
  <c r="N1770" i="5"/>
  <c r="M1770" i="5"/>
  <c r="O1769" i="5" a="1"/>
  <c r="O1769" i="5"/>
  <c r="N1769" i="5"/>
  <c r="M1769" i="5"/>
  <c r="O1768" i="5" a="1"/>
  <c r="O1768" i="5"/>
  <c r="N1768" i="5"/>
  <c r="M1768" i="5"/>
  <c r="O1767" i="5" a="1"/>
  <c r="O1767" i="5"/>
  <c r="N1767" i="5"/>
  <c r="M1767" i="5"/>
  <c r="O1766" i="5" a="1"/>
  <c r="O1766" i="5"/>
  <c r="N1766" i="5"/>
  <c r="M1766" i="5"/>
  <c r="O1765" i="5" a="1"/>
  <c r="O1765" i="5"/>
  <c r="N1765" i="5"/>
  <c r="M1765" i="5"/>
  <c r="O1764" i="5" a="1"/>
  <c r="O1764" i="5"/>
  <c r="N1764" i="5"/>
  <c r="M1764" i="5"/>
  <c r="O1763" i="5" a="1"/>
  <c r="O1763" i="5"/>
  <c r="N1763" i="5"/>
  <c r="M1763" i="5"/>
  <c r="O1762" i="5" a="1"/>
  <c r="O1762" i="5"/>
  <c r="N1762" i="5"/>
  <c r="M1762" i="5"/>
  <c r="O1761" i="5" a="1"/>
  <c r="O1761" i="5"/>
  <c r="N1761" i="5"/>
  <c r="M1761" i="5"/>
  <c r="O1760" i="5" a="1"/>
  <c r="O1760" i="5"/>
  <c r="N1760" i="5"/>
  <c r="M1760" i="5"/>
  <c r="O1759" i="5" a="1"/>
  <c r="O1759" i="5"/>
  <c r="N1759" i="5"/>
  <c r="M1759" i="5"/>
  <c r="O1758" i="5" a="1"/>
  <c r="O1758" i="5"/>
  <c r="N1758" i="5"/>
  <c r="M1758" i="5"/>
  <c r="O1757" i="5" a="1"/>
  <c r="O1757" i="5"/>
  <c r="N1757" i="5"/>
  <c r="M1757" i="5"/>
  <c r="O1756" i="5" a="1"/>
  <c r="O1756" i="5"/>
  <c r="N1756" i="5"/>
  <c r="M1756" i="5"/>
  <c r="O1755" i="5" a="1"/>
  <c r="O1755" i="5"/>
  <c r="N1755" i="5"/>
  <c r="M1755" i="5"/>
  <c r="O1754" i="5" a="1"/>
  <c r="O1754" i="5"/>
  <c r="N1754" i="5"/>
  <c r="M1754" i="5"/>
  <c r="O1753" i="5" a="1"/>
  <c r="O1753" i="5"/>
  <c r="N1753" i="5"/>
  <c r="M1753" i="5"/>
  <c r="O1752" i="5" a="1"/>
  <c r="O1752" i="5"/>
  <c r="N1752" i="5"/>
  <c r="M1752" i="5"/>
  <c r="O1751" i="5" a="1"/>
  <c r="O1751" i="5"/>
  <c r="N1751" i="5"/>
  <c r="M1751" i="5"/>
  <c r="O1750" i="5" a="1"/>
  <c r="O1750" i="5"/>
  <c r="N1750" i="5"/>
  <c r="M1750" i="5"/>
  <c r="O1749" i="5" a="1"/>
  <c r="O1749" i="5"/>
  <c r="N1749" i="5"/>
  <c r="M1749" i="5"/>
  <c r="O1748" i="5" a="1"/>
  <c r="O1748" i="5"/>
  <c r="N1748" i="5"/>
  <c r="M1748" i="5"/>
  <c r="O1747" i="5" a="1"/>
  <c r="O1747" i="5"/>
  <c r="N1747" i="5"/>
  <c r="M1747" i="5"/>
  <c r="O1746" i="5" a="1"/>
  <c r="O1746" i="5"/>
  <c r="N1746" i="5"/>
  <c r="M1746" i="5"/>
  <c r="O1745" i="5" a="1"/>
  <c r="O1745" i="5"/>
  <c r="N1745" i="5"/>
  <c r="M1745" i="5"/>
  <c r="O1744" i="5" a="1"/>
  <c r="O1744" i="5"/>
  <c r="N1744" i="5"/>
  <c r="M1744" i="5"/>
  <c r="O1743" i="5" a="1"/>
  <c r="O1743" i="5"/>
  <c r="N1743" i="5"/>
  <c r="M1743" i="5"/>
  <c r="O1742" i="5" a="1"/>
  <c r="O1742" i="5"/>
  <c r="N1742" i="5"/>
  <c r="M1742" i="5"/>
  <c r="O1741" i="5" a="1"/>
  <c r="O1741" i="5"/>
  <c r="N1741" i="5"/>
  <c r="M1741" i="5"/>
  <c r="O1740" i="5" a="1"/>
  <c r="O1740" i="5"/>
  <c r="N1740" i="5"/>
  <c r="M1740" i="5"/>
  <c r="O1739" i="5" a="1"/>
  <c r="O1739" i="5"/>
  <c r="N1739" i="5"/>
  <c r="M1739" i="5"/>
  <c r="O1738" i="5" a="1"/>
  <c r="O1738" i="5"/>
  <c r="N1738" i="5"/>
  <c r="M1738" i="5"/>
  <c r="O1737" i="5" a="1"/>
  <c r="O1737" i="5"/>
  <c r="N1737" i="5"/>
  <c r="M1737" i="5"/>
  <c r="O1736" i="5" a="1"/>
  <c r="O1736" i="5"/>
  <c r="N1736" i="5"/>
  <c r="M1736" i="5"/>
  <c r="O1735" i="5" a="1"/>
  <c r="O1735" i="5"/>
  <c r="N1735" i="5"/>
  <c r="M1735" i="5"/>
  <c r="O1734" i="5" a="1"/>
  <c r="O1734" i="5"/>
  <c r="N1734" i="5"/>
  <c r="M1734" i="5"/>
  <c r="O1733" i="5" a="1"/>
  <c r="O1733" i="5"/>
  <c r="N1733" i="5"/>
  <c r="M1733" i="5"/>
  <c r="O1732" i="5" a="1"/>
  <c r="O1732" i="5"/>
  <c r="N1732" i="5"/>
  <c r="M1732" i="5"/>
  <c r="O1731" i="5" a="1"/>
  <c r="O1731" i="5"/>
  <c r="N1731" i="5"/>
  <c r="M1731" i="5"/>
  <c r="O1730" i="5" a="1"/>
  <c r="O1730" i="5"/>
  <c r="N1730" i="5"/>
  <c r="M1730" i="5"/>
  <c r="O1729" i="5" a="1"/>
  <c r="O1729" i="5"/>
  <c r="N1729" i="5"/>
  <c r="M1729" i="5"/>
  <c r="O1728" i="5" a="1"/>
  <c r="O1728" i="5"/>
  <c r="N1728" i="5"/>
  <c r="M1728" i="5"/>
  <c r="O1727" i="5" a="1"/>
  <c r="O1727" i="5"/>
  <c r="N1727" i="5"/>
  <c r="M1727" i="5"/>
  <c r="O1726" i="5" a="1"/>
  <c r="O1726" i="5"/>
  <c r="N1726" i="5"/>
  <c r="M1726" i="5"/>
  <c r="O1725" i="5" a="1"/>
  <c r="O1725" i="5"/>
  <c r="N1725" i="5"/>
  <c r="M1725" i="5"/>
  <c r="O1724" i="5" a="1"/>
  <c r="O1724" i="5"/>
  <c r="N1724" i="5"/>
  <c r="M1724" i="5"/>
  <c r="O1723" i="5" a="1"/>
  <c r="O1723" i="5"/>
  <c r="N1723" i="5"/>
  <c r="M1723" i="5"/>
  <c r="O1722" i="5" a="1"/>
  <c r="O1722" i="5"/>
  <c r="N1722" i="5"/>
  <c r="M1722" i="5"/>
  <c r="O1721" i="5" a="1"/>
  <c r="O1721" i="5"/>
  <c r="N1721" i="5"/>
  <c r="M1721" i="5"/>
  <c r="O1720" i="5" a="1"/>
  <c r="O1720" i="5"/>
  <c r="N1720" i="5"/>
  <c r="M1720" i="5"/>
  <c r="O1719" i="5" a="1"/>
  <c r="O1719" i="5"/>
  <c r="N1719" i="5"/>
  <c r="M1719" i="5"/>
  <c r="O1718" i="5" a="1"/>
  <c r="O1718" i="5"/>
  <c r="N1718" i="5"/>
  <c r="M1718" i="5"/>
  <c r="O1717" i="5" a="1"/>
  <c r="O1717" i="5"/>
  <c r="N1717" i="5"/>
  <c r="M1717" i="5"/>
  <c r="O1716" i="5" a="1"/>
  <c r="O1716" i="5"/>
  <c r="N1716" i="5"/>
  <c r="M1716" i="5"/>
  <c r="O1715" i="5" a="1"/>
  <c r="O1715" i="5"/>
  <c r="N1715" i="5"/>
  <c r="M1715" i="5"/>
  <c r="O1714" i="5" a="1"/>
  <c r="O1714" i="5"/>
  <c r="N1714" i="5"/>
  <c r="M1714" i="5"/>
  <c r="O1713" i="5" a="1"/>
  <c r="O1713" i="5"/>
  <c r="N1713" i="5"/>
  <c r="M1713" i="5"/>
  <c r="O1712" i="5" a="1"/>
  <c r="O1712" i="5"/>
  <c r="N1712" i="5"/>
  <c r="M1712" i="5"/>
  <c r="O1711" i="5" a="1"/>
  <c r="O1711" i="5"/>
  <c r="N1711" i="5"/>
  <c r="M1711" i="5"/>
  <c r="O1710" i="5" a="1"/>
  <c r="O1710" i="5"/>
  <c r="N1710" i="5"/>
  <c r="M1710" i="5"/>
  <c r="O1709" i="5" a="1"/>
  <c r="O1709" i="5"/>
  <c r="N1709" i="5"/>
  <c r="M1709" i="5"/>
  <c r="O1708" i="5" a="1"/>
  <c r="O1708" i="5"/>
  <c r="N1708" i="5"/>
  <c r="M1708" i="5"/>
  <c r="O1707" i="5" a="1"/>
  <c r="O1707" i="5"/>
  <c r="N1707" i="5"/>
  <c r="M1707" i="5"/>
  <c r="O1706" i="5" a="1"/>
  <c r="O1706" i="5"/>
  <c r="N1706" i="5"/>
  <c r="M1706" i="5"/>
  <c r="O1705" i="5" a="1"/>
  <c r="O1705" i="5"/>
  <c r="N1705" i="5"/>
  <c r="M1705" i="5"/>
  <c r="O1704" i="5" a="1"/>
  <c r="O1704" i="5"/>
  <c r="N1704" i="5"/>
  <c r="M1704" i="5"/>
  <c r="O1703" i="5" a="1"/>
  <c r="O1703" i="5"/>
  <c r="N1703" i="5"/>
  <c r="M1703" i="5"/>
  <c r="O1702" i="5" a="1"/>
  <c r="O1702" i="5"/>
  <c r="N1702" i="5"/>
  <c r="M1702" i="5"/>
  <c r="O1701" i="5" a="1"/>
  <c r="O1701" i="5"/>
  <c r="N1701" i="5"/>
  <c r="M1701" i="5"/>
  <c r="O1700" i="5" a="1"/>
  <c r="O1700" i="5"/>
  <c r="N1700" i="5"/>
  <c r="M1700" i="5"/>
  <c r="O1699" i="5" a="1"/>
  <c r="O1699" i="5"/>
  <c r="N1699" i="5"/>
  <c r="M1699" i="5"/>
  <c r="O1698" i="5" a="1"/>
  <c r="O1698" i="5"/>
  <c r="N1698" i="5"/>
  <c r="M1698" i="5"/>
  <c r="O1697" i="5" a="1"/>
  <c r="O1697" i="5"/>
  <c r="N1697" i="5"/>
  <c r="M1697" i="5"/>
  <c r="O1696" i="5" a="1"/>
  <c r="O1696" i="5"/>
  <c r="N1696" i="5"/>
  <c r="M1696" i="5"/>
  <c r="O1695" i="5" a="1"/>
  <c r="O1695" i="5"/>
  <c r="N1695" i="5"/>
  <c r="M1695" i="5"/>
  <c r="O1694" i="5" a="1"/>
  <c r="O1694" i="5"/>
  <c r="N1694" i="5"/>
  <c r="M1694" i="5"/>
  <c r="O1693" i="5" a="1"/>
  <c r="O1693" i="5"/>
  <c r="N1693" i="5"/>
  <c r="M1693" i="5"/>
  <c r="O1692" i="5" a="1"/>
  <c r="O1692" i="5"/>
  <c r="N1692" i="5"/>
  <c r="M1692" i="5"/>
  <c r="O1691" i="5" a="1"/>
  <c r="O1691" i="5"/>
  <c r="N1691" i="5"/>
  <c r="M1691" i="5"/>
  <c r="O1690" i="5" a="1"/>
  <c r="O1690" i="5"/>
  <c r="N1690" i="5"/>
  <c r="M1690" i="5"/>
  <c r="O1689" i="5" a="1"/>
  <c r="O1689" i="5"/>
  <c r="N1689" i="5"/>
  <c r="M1689" i="5"/>
  <c r="O1688" i="5" a="1"/>
  <c r="O1688" i="5"/>
  <c r="N1688" i="5"/>
  <c r="M1688" i="5"/>
  <c r="O1687" i="5" a="1"/>
  <c r="O1687" i="5"/>
  <c r="N1687" i="5"/>
  <c r="M1687" i="5"/>
  <c r="O1686" i="5" a="1"/>
  <c r="O1686" i="5"/>
  <c r="N1686" i="5"/>
  <c r="M1686" i="5"/>
  <c r="O1685" i="5" a="1"/>
  <c r="O1685" i="5"/>
  <c r="N1685" i="5"/>
  <c r="M1685" i="5"/>
  <c r="O1684" i="5" a="1"/>
  <c r="O1684" i="5"/>
  <c r="N1684" i="5"/>
  <c r="M1684" i="5"/>
  <c r="O1683" i="5" a="1"/>
  <c r="O1683" i="5"/>
  <c r="N1683" i="5"/>
  <c r="M1683" i="5"/>
  <c r="O1682" i="5" a="1"/>
  <c r="O1682" i="5"/>
  <c r="N1682" i="5"/>
  <c r="M1682" i="5"/>
  <c r="O1681" i="5" a="1"/>
  <c r="O1681" i="5"/>
  <c r="N1681" i="5"/>
  <c r="M1681" i="5"/>
  <c r="O1680" i="5" a="1"/>
  <c r="O1680" i="5"/>
  <c r="N1680" i="5"/>
  <c r="M1680" i="5"/>
  <c r="O1679" i="5" a="1"/>
  <c r="O1679" i="5"/>
  <c r="N1679" i="5"/>
  <c r="M1679" i="5"/>
  <c r="O1678" i="5" a="1"/>
  <c r="O1678" i="5"/>
  <c r="N1678" i="5"/>
  <c r="M1678" i="5"/>
  <c r="O1677" i="5" a="1"/>
  <c r="O1677" i="5"/>
  <c r="N1677" i="5"/>
  <c r="M1677" i="5"/>
  <c r="O1676" i="5" a="1"/>
  <c r="O1676" i="5"/>
  <c r="N1676" i="5"/>
  <c r="M1676" i="5"/>
  <c r="O1675" i="5" a="1"/>
  <c r="O1675" i="5"/>
  <c r="N1675" i="5"/>
  <c r="M1675" i="5"/>
  <c r="O1674" i="5" a="1"/>
  <c r="O1674" i="5"/>
  <c r="N1674" i="5"/>
  <c r="M1674" i="5"/>
  <c r="O1673" i="5" a="1"/>
  <c r="O1673" i="5"/>
  <c r="N1673" i="5"/>
  <c r="M1673" i="5"/>
  <c r="O1672" i="5" a="1"/>
  <c r="O1672" i="5"/>
  <c r="N1672" i="5"/>
  <c r="M1672" i="5"/>
  <c r="O1671" i="5" a="1"/>
  <c r="O1671" i="5"/>
  <c r="N1671" i="5"/>
  <c r="M1671" i="5"/>
  <c r="O1670" i="5" a="1"/>
  <c r="O1670" i="5"/>
  <c r="N1670" i="5"/>
  <c r="M1670" i="5"/>
  <c r="O1669" i="5" a="1"/>
  <c r="O1669" i="5"/>
  <c r="N1669" i="5"/>
  <c r="M1669" i="5"/>
  <c r="O1668" i="5" a="1"/>
  <c r="O1668" i="5"/>
  <c r="N1668" i="5"/>
  <c r="M1668" i="5"/>
  <c r="O1667" i="5" a="1"/>
  <c r="O1667" i="5"/>
  <c r="N1667" i="5"/>
  <c r="M1667" i="5"/>
  <c r="O1666" i="5" a="1"/>
  <c r="O1666" i="5"/>
  <c r="N1666" i="5"/>
  <c r="M1666" i="5"/>
  <c r="O1665" i="5" a="1"/>
  <c r="O1665" i="5"/>
  <c r="N1665" i="5"/>
  <c r="M1665" i="5"/>
  <c r="O1664" i="5" a="1"/>
  <c r="O1664" i="5"/>
  <c r="N1664" i="5"/>
  <c r="M1664" i="5"/>
  <c r="O1663" i="5" a="1"/>
  <c r="O1663" i="5"/>
  <c r="N1663" i="5"/>
  <c r="M1663" i="5"/>
  <c r="O1662" i="5" a="1"/>
  <c r="O1662" i="5"/>
  <c r="N1662" i="5"/>
  <c r="M1662" i="5"/>
  <c r="O1661" i="5" a="1"/>
  <c r="O1661" i="5"/>
  <c r="N1661" i="5"/>
  <c r="M1661" i="5"/>
  <c r="O1660" i="5" a="1"/>
  <c r="O1660" i="5"/>
  <c r="N1660" i="5"/>
  <c r="M1660" i="5"/>
  <c r="O1659" i="5" a="1"/>
  <c r="O1659" i="5"/>
  <c r="N1659" i="5"/>
  <c r="M1659" i="5"/>
  <c r="O1658" i="5" a="1"/>
  <c r="O1658" i="5"/>
  <c r="N1658" i="5"/>
  <c r="M1658" i="5"/>
  <c r="O1657" i="5" a="1"/>
  <c r="O1657" i="5"/>
  <c r="N1657" i="5"/>
  <c r="M1657" i="5"/>
  <c r="O1656" i="5" a="1"/>
  <c r="O1656" i="5"/>
  <c r="N1656" i="5"/>
  <c r="M1656" i="5"/>
  <c r="O1655" i="5" a="1"/>
  <c r="O1655" i="5"/>
  <c r="N1655" i="5"/>
  <c r="M1655" i="5"/>
  <c r="O1654" i="5" a="1"/>
  <c r="O1654" i="5"/>
  <c r="N1654" i="5"/>
  <c r="M1654" i="5"/>
  <c r="O1653" i="5" a="1"/>
  <c r="O1653" i="5"/>
  <c r="N1653" i="5"/>
  <c r="M1653" i="5"/>
  <c r="O1652" i="5" a="1"/>
  <c r="O1652" i="5"/>
  <c r="N1652" i="5"/>
  <c r="M1652" i="5"/>
  <c r="O1651" i="5" a="1"/>
  <c r="O1651" i="5"/>
  <c r="N1651" i="5"/>
  <c r="M1651" i="5"/>
  <c r="O1650" i="5" a="1"/>
  <c r="O1650" i="5"/>
  <c r="N1650" i="5"/>
  <c r="M1650" i="5"/>
  <c r="O1649" i="5" a="1"/>
  <c r="O1649" i="5"/>
  <c r="N1649" i="5"/>
  <c r="M1649" i="5"/>
  <c r="O1648" i="5" a="1"/>
  <c r="O1648" i="5"/>
  <c r="N1648" i="5"/>
  <c r="M1648" i="5"/>
  <c r="O1647" i="5" a="1"/>
  <c r="O1647" i="5"/>
  <c r="N1647" i="5"/>
  <c r="M1647" i="5"/>
  <c r="O1646" i="5" a="1"/>
  <c r="O1646" i="5"/>
  <c r="N1646" i="5"/>
  <c r="M1646" i="5"/>
  <c r="O1645" i="5" a="1"/>
  <c r="O1645" i="5"/>
  <c r="N1645" i="5"/>
  <c r="M1645" i="5"/>
  <c r="O1644" i="5" a="1"/>
  <c r="O1644" i="5"/>
  <c r="N1644" i="5"/>
  <c r="M1644" i="5"/>
  <c r="O1643" i="5" a="1"/>
  <c r="O1643" i="5"/>
  <c r="N1643" i="5"/>
  <c r="M1643" i="5"/>
  <c r="O1642" i="5" a="1"/>
  <c r="O1642" i="5"/>
  <c r="N1642" i="5"/>
  <c r="M1642" i="5"/>
  <c r="O1641" i="5" a="1"/>
  <c r="O1641" i="5"/>
  <c r="N1641" i="5"/>
  <c r="M1641" i="5"/>
  <c r="O1640" i="5" a="1"/>
  <c r="O1640" i="5"/>
  <c r="N1640" i="5"/>
  <c r="M1640" i="5"/>
  <c r="O1639" i="5" a="1"/>
  <c r="O1639" i="5"/>
  <c r="N1639" i="5"/>
  <c r="M1639" i="5"/>
  <c r="O1638" i="5" a="1"/>
  <c r="O1638" i="5"/>
  <c r="N1638" i="5"/>
  <c r="M1638" i="5"/>
  <c r="O1637" i="5" a="1"/>
  <c r="O1637" i="5"/>
  <c r="N1637" i="5"/>
  <c r="M1637" i="5"/>
  <c r="O1636" i="5" a="1"/>
  <c r="O1636" i="5"/>
  <c r="N1636" i="5"/>
  <c r="M1636" i="5"/>
  <c r="O1635" i="5" a="1"/>
  <c r="O1635" i="5"/>
  <c r="N1635" i="5"/>
  <c r="M1635" i="5"/>
  <c r="O1634" i="5" a="1"/>
  <c r="O1634" i="5"/>
  <c r="N1634" i="5"/>
  <c r="M1634" i="5"/>
  <c r="O1633" i="5" a="1"/>
  <c r="O1633" i="5"/>
  <c r="N1633" i="5"/>
  <c r="M1633" i="5"/>
  <c r="O1632" i="5" a="1"/>
  <c r="O1632" i="5"/>
  <c r="N1632" i="5"/>
  <c r="M1632" i="5"/>
  <c r="O1631" i="5" a="1"/>
  <c r="O1631" i="5"/>
  <c r="N1631" i="5"/>
  <c r="M1631" i="5"/>
  <c r="O1630" i="5" a="1"/>
  <c r="O1630" i="5"/>
  <c r="N1630" i="5"/>
  <c r="M1630" i="5"/>
  <c r="O1629" i="5" a="1"/>
  <c r="O1629" i="5"/>
  <c r="N1629" i="5"/>
  <c r="M1629" i="5"/>
  <c r="O1628" i="5" a="1"/>
  <c r="O1628" i="5"/>
  <c r="N1628" i="5"/>
  <c r="M1628" i="5"/>
  <c r="O1627" i="5" a="1"/>
  <c r="O1627" i="5"/>
  <c r="N1627" i="5"/>
  <c r="M1627" i="5"/>
  <c r="O1626" i="5" a="1"/>
  <c r="O1626" i="5"/>
  <c r="N1626" i="5"/>
  <c r="M1626" i="5"/>
  <c r="O1625" i="5" a="1"/>
  <c r="O1625" i="5"/>
  <c r="N1625" i="5"/>
  <c r="M1625" i="5"/>
  <c r="O1624" i="5" a="1"/>
  <c r="O1624" i="5"/>
  <c r="N1624" i="5"/>
  <c r="M1624" i="5"/>
  <c r="O1623" i="5" a="1"/>
  <c r="O1623" i="5"/>
  <c r="N1623" i="5"/>
  <c r="M1623" i="5"/>
  <c r="O1622" i="5" a="1"/>
  <c r="O1622" i="5"/>
  <c r="N1622" i="5"/>
  <c r="M1622" i="5"/>
  <c r="O1621" i="5" a="1"/>
  <c r="O1621" i="5"/>
  <c r="N1621" i="5"/>
  <c r="M1621" i="5"/>
  <c r="O1620" i="5" a="1"/>
  <c r="O1620" i="5"/>
  <c r="N1620" i="5"/>
  <c r="M1620" i="5"/>
  <c r="O1619" i="5" a="1"/>
  <c r="O1619" i="5"/>
  <c r="N1619" i="5"/>
  <c r="M1619" i="5"/>
  <c r="O1618" i="5" a="1"/>
  <c r="O1618" i="5"/>
  <c r="N1618" i="5"/>
  <c r="M1618" i="5"/>
  <c r="O1617" i="5" a="1"/>
  <c r="O1617" i="5"/>
  <c r="N1617" i="5"/>
  <c r="M1617" i="5"/>
  <c r="O1616" i="5" a="1"/>
  <c r="O1616" i="5"/>
  <c r="N1616" i="5"/>
  <c r="M1616" i="5"/>
  <c r="O1615" i="5" a="1"/>
  <c r="O1615" i="5"/>
  <c r="N1615" i="5"/>
  <c r="M1615" i="5"/>
  <c r="O1614" i="5" a="1"/>
  <c r="O1614" i="5"/>
  <c r="N1614" i="5"/>
  <c r="M1614" i="5"/>
  <c r="O1613" i="5" a="1"/>
  <c r="O1613" i="5"/>
  <c r="N1613" i="5"/>
  <c r="M1613" i="5"/>
  <c r="O1612" i="5" a="1"/>
  <c r="O1612" i="5"/>
  <c r="N1612" i="5"/>
  <c r="M1612" i="5"/>
  <c r="O1611" i="5" a="1"/>
  <c r="O1611" i="5"/>
  <c r="N1611" i="5"/>
  <c r="M1611" i="5"/>
  <c r="O1610" i="5" a="1"/>
  <c r="O1610" i="5"/>
  <c r="N1610" i="5"/>
  <c r="M1610" i="5"/>
  <c r="O1609" i="5" a="1"/>
  <c r="O1609" i="5"/>
  <c r="N1609" i="5"/>
  <c r="M1609" i="5"/>
  <c r="O1608" i="5" a="1"/>
  <c r="O1608" i="5"/>
  <c r="N1608" i="5"/>
  <c r="M1608" i="5"/>
  <c r="O1607" i="5" a="1"/>
  <c r="O1607" i="5"/>
  <c r="N1607" i="5"/>
  <c r="M1607" i="5"/>
  <c r="O1606" i="5" a="1"/>
  <c r="O1606" i="5"/>
  <c r="N1606" i="5"/>
  <c r="M1606" i="5"/>
  <c r="O1605" i="5" a="1"/>
  <c r="O1605" i="5"/>
  <c r="N1605" i="5"/>
  <c r="M1605" i="5"/>
  <c r="O1604" i="5" a="1"/>
  <c r="O1604" i="5"/>
  <c r="N1604" i="5"/>
  <c r="M1604" i="5"/>
  <c r="O1603" i="5" a="1"/>
  <c r="O1603" i="5"/>
  <c r="N1603" i="5"/>
  <c r="M1603" i="5"/>
  <c r="O1602" i="5" a="1"/>
  <c r="O1602" i="5"/>
  <c r="N1602" i="5"/>
  <c r="M1602" i="5"/>
  <c r="O1601" i="5" a="1"/>
  <c r="O1601" i="5"/>
  <c r="N1601" i="5"/>
  <c r="M1601" i="5"/>
  <c r="O1600" i="5" a="1"/>
  <c r="O1600" i="5"/>
  <c r="N1600" i="5"/>
  <c r="M1600" i="5"/>
  <c r="O1599" i="5" a="1"/>
  <c r="O1599" i="5"/>
  <c r="N1599" i="5"/>
  <c r="M1599" i="5"/>
  <c r="O1598" i="5" a="1"/>
  <c r="O1598" i="5"/>
  <c r="N1598" i="5"/>
  <c r="M1598" i="5"/>
  <c r="O1597" i="5" a="1"/>
  <c r="O1597" i="5"/>
  <c r="N1597" i="5"/>
  <c r="M1597" i="5"/>
  <c r="O1596" i="5" a="1"/>
  <c r="O1596" i="5"/>
  <c r="N1596" i="5"/>
  <c r="M1596" i="5"/>
  <c r="O1595" i="5" a="1"/>
  <c r="O1595" i="5"/>
  <c r="N1595" i="5"/>
  <c r="M1595" i="5"/>
  <c r="O1594" i="5" a="1"/>
  <c r="O1594" i="5"/>
  <c r="N1594" i="5"/>
  <c r="M1594" i="5"/>
  <c r="O1593" i="5" a="1"/>
  <c r="O1593" i="5"/>
  <c r="N1593" i="5"/>
  <c r="M1593" i="5"/>
  <c r="O1592" i="5" a="1"/>
  <c r="O1592" i="5"/>
  <c r="N1592" i="5"/>
  <c r="M1592" i="5"/>
  <c r="O1591" i="5" a="1"/>
  <c r="O1591" i="5"/>
  <c r="N1591" i="5"/>
  <c r="M1591" i="5"/>
  <c r="O1590" i="5" a="1"/>
  <c r="O1590" i="5"/>
  <c r="N1590" i="5"/>
  <c r="M1590" i="5"/>
  <c r="O1589" i="5" a="1"/>
  <c r="O1589" i="5"/>
  <c r="N1589" i="5"/>
  <c r="M1589" i="5"/>
  <c r="O1588" i="5" a="1"/>
  <c r="O1588" i="5"/>
  <c r="N1588" i="5"/>
  <c r="M1588" i="5"/>
  <c r="O1587" i="5" a="1"/>
  <c r="O1587" i="5"/>
  <c r="N1587" i="5"/>
  <c r="M1587" i="5"/>
  <c r="O1586" i="5" a="1"/>
  <c r="O1586" i="5"/>
  <c r="N1586" i="5"/>
  <c r="M1586" i="5"/>
  <c r="O1585" i="5" a="1"/>
  <c r="O1585" i="5"/>
  <c r="N1585" i="5"/>
  <c r="M1585" i="5"/>
  <c r="O1584" i="5" a="1"/>
  <c r="O1584" i="5"/>
  <c r="N1584" i="5"/>
  <c r="M1584" i="5"/>
  <c r="O1583" i="5" a="1"/>
  <c r="O1583" i="5"/>
  <c r="N1583" i="5"/>
  <c r="M1583" i="5"/>
  <c r="O1582" i="5" a="1"/>
  <c r="O1582" i="5"/>
  <c r="N1582" i="5"/>
  <c r="M1582" i="5"/>
  <c r="O1581" i="5" a="1"/>
  <c r="O1581" i="5"/>
  <c r="N1581" i="5"/>
  <c r="M1581" i="5"/>
  <c r="O1580" i="5" a="1"/>
  <c r="O1580" i="5"/>
  <c r="N1580" i="5"/>
  <c r="M1580" i="5"/>
  <c r="O1579" i="5" a="1"/>
  <c r="O1579" i="5"/>
  <c r="N1579" i="5"/>
  <c r="M1579" i="5"/>
  <c r="O1578" i="5" a="1"/>
  <c r="O1578" i="5"/>
  <c r="N1578" i="5"/>
  <c r="M1578" i="5"/>
  <c r="O1577" i="5" a="1"/>
  <c r="O1577" i="5"/>
  <c r="N1577" i="5"/>
  <c r="M1577" i="5"/>
  <c r="O1576" i="5" a="1"/>
  <c r="O1576" i="5"/>
  <c r="N1576" i="5"/>
  <c r="M1576" i="5"/>
  <c r="O1575" i="5" a="1"/>
  <c r="O1575" i="5"/>
  <c r="N1575" i="5"/>
  <c r="M1575" i="5"/>
  <c r="O1574" i="5" a="1"/>
  <c r="O1574" i="5"/>
  <c r="N1574" i="5"/>
  <c r="M1574" i="5"/>
  <c r="O1573" i="5" a="1"/>
  <c r="O1573" i="5"/>
  <c r="N1573" i="5"/>
  <c r="M1573" i="5"/>
  <c r="O1572" i="5" a="1"/>
  <c r="O1572" i="5"/>
  <c r="N1572" i="5"/>
  <c r="M1572" i="5"/>
  <c r="O1571" i="5" a="1"/>
  <c r="O1571" i="5"/>
  <c r="N1571" i="5"/>
  <c r="M1571" i="5"/>
  <c r="O1570" i="5" a="1"/>
  <c r="O1570" i="5"/>
  <c r="N1570" i="5"/>
  <c r="M1570" i="5"/>
  <c r="O1569" i="5" a="1"/>
  <c r="O1569" i="5"/>
  <c r="N1569" i="5"/>
  <c r="M1569" i="5"/>
  <c r="O1568" i="5" a="1"/>
  <c r="O1568" i="5"/>
  <c r="N1568" i="5"/>
  <c r="M1568" i="5"/>
  <c r="O1567" i="5" a="1"/>
  <c r="O1567" i="5"/>
  <c r="N1567" i="5"/>
  <c r="M1567" i="5"/>
  <c r="O1566" i="5" a="1"/>
  <c r="O1566" i="5"/>
  <c r="N1566" i="5"/>
  <c r="M1566" i="5"/>
  <c r="O1565" i="5" a="1"/>
  <c r="O1565" i="5"/>
  <c r="N1565" i="5"/>
  <c r="M1565" i="5"/>
  <c r="O1564" i="5" a="1"/>
  <c r="O1564" i="5"/>
  <c r="N1564" i="5"/>
  <c r="M1564" i="5"/>
  <c r="O1563" i="5" a="1"/>
  <c r="O1563" i="5"/>
  <c r="N1563" i="5"/>
  <c r="M1563" i="5"/>
  <c r="O1562" i="5" a="1"/>
  <c r="O1562" i="5"/>
  <c r="N1562" i="5"/>
  <c r="M1562" i="5"/>
  <c r="O1561" i="5" a="1"/>
  <c r="O1561" i="5"/>
  <c r="N1561" i="5"/>
  <c r="M1561" i="5"/>
  <c r="O1560" i="5" a="1"/>
  <c r="O1560" i="5"/>
  <c r="N1560" i="5"/>
  <c r="M1560" i="5"/>
  <c r="O1559" i="5" a="1"/>
  <c r="O1559" i="5"/>
  <c r="N1559" i="5"/>
  <c r="M1559" i="5"/>
  <c r="O1558" i="5" a="1"/>
  <c r="O1558" i="5"/>
  <c r="N1558" i="5"/>
  <c r="M1558" i="5"/>
  <c r="O1557" i="5" a="1"/>
  <c r="O1557" i="5"/>
  <c r="N1557" i="5"/>
  <c r="M1557" i="5"/>
  <c r="O1556" i="5" a="1"/>
  <c r="O1556" i="5"/>
  <c r="N1556" i="5"/>
  <c r="M1556" i="5"/>
  <c r="O1555" i="5" a="1"/>
  <c r="O1555" i="5"/>
  <c r="N1555" i="5"/>
  <c r="M1555" i="5"/>
  <c r="O1554" i="5" a="1"/>
  <c r="O1554" i="5"/>
  <c r="N1554" i="5"/>
  <c r="M1554" i="5"/>
  <c r="O1553" i="5" a="1"/>
  <c r="O1553" i="5"/>
  <c r="N1553" i="5"/>
  <c r="M1553" i="5"/>
  <c r="O1552" i="5" a="1"/>
  <c r="O1552" i="5"/>
  <c r="N1552" i="5"/>
  <c r="M1552" i="5"/>
  <c r="O1551" i="5" a="1"/>
  <c r="O1551" i="5"/>
  <c r="N1551" i="5"/>
  <c r="M1551" i="5"/>
  <c r="O1550" i="5" a="1"/>
  <c r="O1550" i="5"/>
  <c r="N1550" i="5"/>
  <c r="M1550" i="5"/>
  <c r="O1549" i="5" a="1"/>
  <c r="O1549" i="5"/>
  <c r="N1549" i="5"/>
  <c r="M1549" i="5"/>
  <c r="O1548" i="5" a="1"/>
  <c r="O1548" i="5"/>
  <c r="N1548" i="5"/>
  <c r="M1548" i="5"/>
  <c r="O1547" i="5" a="1"/>
  <c r="O1547" i="5"/>
  <c r="N1547" i="5"/>
  <c r="M1547" i="5"/>
  <c r="O1546" i="5" a="1"/>
  <c r="O1546" i="5"/>
  <c r="N1546" i="5"/>
  <c r="M1546" i="5"/>
  <c r="O1545" i="5" a="1"/>
  <c r="O1545" i="5"/>
  <c r="N1545" i="5"/>
  <c r="M1545" i="5"/>
  <c r="O1544" i="5" a="1"/>
  <c r="O1544" i="5"/>
  <c r="N1544" i="5"/>
  <c r="M1544" i="5"/>
  <c r="O1543" i="5" a="1"/>
  <c r="O1543" i="5"/>
  <c r="N1543" i="5"/>
  <c r="M1543" i="5"/>
  <c r="O1542" i="5" a="1"/>
  <c r="O1542" i="5"/>
  <c r="N1542" i="5"/>
  <c r="M1542" i="5"/>
  <c r="O1541" i="5" a="1"/>
  <c r="O1541" i="5"/>
  <c r="N1541" i="5"/>
  <c r="M1541" i="5"/>
  <c r="O1540" i="5" a="1"/>
  <c r="O1540" i="5"/>
  <c r="N1540" i="5"/>
  <c r="M1540" i="5"/>
  <c r="O1539" i="5" a="1"/>
  <c r="O1539" i="5"/>
  <c r="N1539" i="5"/>
  <c r="M1539" i="5"/>
  <c r="O1538" i="5" a="1"/>
  <c r="O1538" i="5"/>
  <c r="N1538" i="5"/>
  <c r="M1538" i="5"/>
  <c r="O1537" i="5" a="1"/>
  <c r="O1537" i="5"/>
  <c r="N1537" i="5"/>
  <c r="M1537" i="5"/>
  <c r="O1536" i="5" a="1"/>
  <c r="O1536" i="5"/>
  <c r="N1536" i="5"/>
  <c r="M1536" i="5"/>
  <c r="O1535" i="5" a="1"/>
  <c r="O1535" i="5"/>
  <c r="N1535" i="5"/>
  <c r="M1535" i="5"/>
  <c r="O1534" i="5" a="1"/>
  <c r="O1534" i="5"/>
  <c r="N1534" i="5"/>
  <c r="M1534" i="5"/>
  <c r="O1533" i="5" a="1"/>
  <c r="O1533" i="5"/>
  <c r="N1533" i="5"/>
  <c r="M1533" i="5"/>
  <c r="O1532" i="5" a="1"/>
  <c r="O1532" i="5"/>
  <c r="N1532" i="5"/>
  <c r="M1532" i="5"/>
  <c r="O1531" i="5" a="1"/>
  <c r="O1531" i="5"/>
  <c r="N1531" i="5"/>
  <c r="M1531" i="5"/>
  <c r="O1530" i="5" a="1"/>
  <c r="O1530" i="5"/>
  <c r="N1530" i="5"/>
  <c r="M1530" i="5"/>
  <c r="O1529" i="5" a="1"/>
  <c r="O1529" i="5"/>
  <c r="N1529" i="5"/>
  <c r="M1529" i="5"/>
  <c r="O1528" i="5" a="1"/>
  <c r="O1528" i="5"/>
  <c r="N1528" i="5"/>
  <c r="M1528" i="5"/>
  <c r="O1527" i="5" a="1"/>
  <c r="O1527" i="5"/>
  <c r="N1527" i="5"/>
  <c r="M1527" i="5"/>
  <c r="O1526" i="5" a="1"/>
  <c r="O1526" i="5"/>
  <c r="N1526" i="5"/>
  <c r="M1526" i="5"/>
  <c r="O1525" i="5" a="1"/>
  <c r="O1525" i="5"/>
  <c r="N1525" i="5"/>
  <c r="M1525" i="5"/>
  <c r="O1524" i="5" a="1"/>
  <c r="O1524" i="5"/>
  <c r="N1524" i="5"/>
  <c r="M1524" i="5"/>
  <c r="O1523" i="5" a="1"/>
  <c r="O1523" i="5"/>
  <c r="N1523" i="5"/>
  <c r="M1523" i="5"/>
  <c r="O1522" i="5" a="1"/>
  <c r="O1522" i="5"/>
  <c r="N1522" i="5"/>
  <c r="M1522" i="5"/>
  <c r="O1521" i="5" a="1"/>
  <c r="O1521" i="5"/>
  <c r="N1521" i="5"/>
  <c r="M1521" i="5"/>
  <c r="O1520" i="5" a="1"/>
  <c r="O1520" i="5"/>
  <c r="N1520" i="5"/>
  <c r="M1520" i="5"/>
  <c r="O1519" i="5" a="1"/>
  <c r="O1519" i="5"/>
  <c r="N1519" i="5"/>
  <c r="M1519" i="5"/>
  <c r="O1518" i="5" a="1"/>
  <c r="O1518" i="5"/>
  <c r="N1518" i="5"/>
  <c r="M1518" i="5"/>
  <c r="O1517" i="5" a="1"/>
  <c r="O1517" i="5"/>
  <c r="N1517" i="5"/>
  <c r="M1517" i="5"/>
  <c r="O1516" i="5" a="1"/>
  <c r="O1516" i="5"/>
  <c r="N1516" i="5"/>
  <c r="M1516" i="5"/>
  <c r="O1515" i="5" a="1"/>
  <c r="O1515" i="5"/>
  <c r="N1515" i="5"/>
  <c r="M1515" i="5"/>
  <c r="O1514" i="5" a="1"/>
  <c r="O1514" i="5"/>
  <c r="N1514" i="5"/>
  <c r="M1514" i="5"/>
  <c r="O1513" i="5" a="1"/>
  <c r="O1513" i="5"/>
  <c r="N1513" i="5"/>
  <c r="M1513" i="5"/>
  <c r="O1512" i="5" a="1"/>
  <c r="O1512" i="5"/>
  <c r="N1512" i="5"/>
  <c r="M1512" i="5"/>
  <c r="O1511" i="5" a="1"/>
  <c r="O1511" i="5"/>
  <c r="N1511" i="5"/>
  <c r="M1511" i="5"/>
  <c r="O1510" i="5" a="1"/>
  <c r="O1510" i="5"/>
  <c r="N1510" i="5"/>
  <c r="M1510" i="5"/>
  <c r="O1509" i="5" a="1"/>
  <c r="O1509" i="5"/>
  <c r="N1509" i="5"/>
  <c r="M1509" i="5"/>
  <c r="O1508" i="5" a="1"/>
  <c r="O1508" i="5"/>
  <c r="N1508" i="5"/>
  <c r="M1508" i="5"/>
  <c r="O1507" i="5" a="1"/>
  <c r="O1507" i="5"/>
  <c r="N1507" i="5"/>
  <c r="M1507" i="5"/>
  <c r="O1506" i="5" a="1"/>
  <c r="O1506" i="5"/>
  <c r="N1506" i="5"/>
  <c r="M1506" i="5"/>
  <c r="O1505" i="5" a="1"/>
  <c r="O1505" i="5"/>
  <c r="N1505" i="5"/>
  <c r="M1505" i="5"/>
  <c r="O1504" i="5" a="1"/>
  <c r="O1504" i="5"/>
  <c r="N1504" i="5"/>
  <c r="M1504" i="5"/>
  <c r="O1503" i="5" a="1"/>
  <c r="O1503" i="5"/>
  <c r="N1503" i="5"/>
  <c r="M1503" i="5"/>
  <c r="O1502" i="5" a="1"/>
  <c r="O1502" i="5"/>
  <c r="N1502" i="5"/>
  <c r="M1502" i="5"/>
  <c r="O1501" i="5" a="1"/>
  <c r="O1501" i="5"/>
  <c r="N1501" i="5"/>
  <c r="M1501" i="5"/>
  <c r="O1500" i="5" a="1"/>
  <c r="O1500" i="5"/>
  <c r="N1500" i="5"/>
  <c r="M1500" i="5"/>
  <c r="O1499" i="5" a="1"/>
  <c r="O1499" i="5"/>
  <c r="N1499" i="5"/>
  <c r="M1499" i="5"/>
  <c r="O1498" i="5" a="1"/>
  <c r="O1498" i="5"/>
  <c r="N1498" i="5"/>
  <c r="M1498" i="5"/>
  <c r="O1497" i="5" a="1"/>
  <c r="O1497" i="5"/>
  <c r="N1497" i="5"/>
  <c r="M1497" i="5"/>
  <c r="O1496" i="5" a="1"/>
  <c r="O1496" i="5"/>
  <c r="N1496" i="5"/>
  <c r="M1496" i="5"/>
  <c r="O1495" i="5" a="1"/>
  <c r="O1495" i="5"/>
  <c r="N1495" i="5"/>
  <c r="M1495" i="5"/>
  <c r="O1494" i="5" a="1"/>
  <c r="O1494" i="5"/>
  <c r="N1494" i="5"/>
  <c r="M1494" i="5"/>
  <c r="O1493" i="5" a="1"/>
  <c r="O1493" i="5"/>
  <c r="N1493" i="5"/>
  <c r="M1493" i="5"/>
  <c r="O1492" i="5" a="1"/>
  <c r="O1492" i="5"/>
  <c r="N1492" i="5"/>
  <c r="M1492" i="5"/>
  <c r="O1491" i="5" a="1"/>
  <c r="O1491" i="5"/>
  <c r="N1491" i="5"/>
  <c r="M1491" i="5"/>
  <c r="O1490" i="5" a="1"/>
  <c r="O1490" i="5"/>
  <c r="N1490" i="5"/>
  <c r="M1490" i="5"/>
  <c r="O1489" i="5" a="1"/>
  <c r="O1489" i="5"/>
  <c r="N1489" i="5"/>
  <c r="M1489" i="5"/>
  <c r="O1488" i="5" a="1"/>
  <c r="O1488" i="5"/>
  <c r="N1488" i="5"/>
  <c r="M1488" i="5"/>
  <c r="O1487" i="5" a="1"/>
  <c r="O1487" i="5"/>
  <c r="N1487" i="5"/>
  <c r="M1487" i="5"/>
  <c r="O1486" i="5" a="1"/>
  <c r="O1486" i="5"/>
  <c r="N1486" i="5"/>
  <c r="M1486" i="5"/>
  <c r="O1485" i="5" a="1"/>
  <c r="O1485" i="5"/>
  <c r="N1485" i="5"/>
  <c r="M1485" i="5"/>
  <c r="O1484" i="5" a="1"/>
  <c r="O1484" i="5"/>
  <c r="N1484" i="5"/>
  <c r="M1484" i="5"/>
  <c r="O1483" i="5" a="1"/>
  <c r="O1483" i="5"/>
  <c r="N1483" i="5"/>
  <c r="M1483" i="5"/>
  <c r="O1482" i="5" a="1"/>
  <c r="O1482" i="5"/>
  <c r="N1482" i="5"/>
  <c r="M1482" i="5"/>
  <c r="O1481" i="5" a="1"/>
  <c r="O1481" i="5"/>
  <c r="N1481" i="5"/>
  <c r="M1481" i="5"/>
  <c r="O1480" i="5" a="1"/>
  <c r="O1480" i="5"/>
  <c r="N1480" i="5"/>
  <c r="M1480" i="5"/>
  <c r="O1479" i="5" a="1"/>
  <c r="O1479" i="5"/>
  <c r="N1479" i="5"/>
  <c r="M1479" i="5"/>
  <c r="O1478" i="5" a="1"/>
  <c r="O1478" i="5"/>
  <c r="N1478" i="5"/>
  <c r="M1478" i="5"/>
  <c r="O1477" i="5" a="1"/>
  <c r="O1477" i="5"/>
  <c r="N1477" i="5"/>
  <c r="M1477" i="5"/>
  <c r="O1476" i="5" a="1"/>
  <c r="O1476" i="5"/>
  <c r="N1476" i="5"/>
  <c r="M1476" i="5"/>
  <c r="O1475" i="5" a="1"/>
  <c r="O1475" i="5"/>
  <c r="N1475" i="5"/>
  <c r="M1475" i="5"/>
  <c r="O1474" i="5" a="1"/>
  <c r="O1474" i="5"/>
  <c r="N1474" i="5"/>
  <c r="M1474" i="5"/>
  <c r="O1473" i="5" a="1"/>
  <c r="O1473" i="5"/>
  <c r="N1473" i="5"/>
  <c r="M1473" i="5"/>
  <c r="O1472" i="5" a="1"/>
  <c r="O1472" i="5"/>
  <c r="N1472" i="5"/>
  <c r="M1472" i="5"/>
  <c r="O1471" i="5" a="1"/>
  <c r="O1471" i="5"/>
  <c r="N1471" i="5"/>
  <c r="M1471" i="5"/>
  <c r="O1470" i="5" a="1"/>
  <c r="O1470" i="5"/>
  <c r="N1470" i="5"/>
  <c r="M1470" i="5"/>
  <c r="O1469" i="5" a="1"/>
  <c r="O1469" i="5"/>
  <c r="N1469" i="5"/>
  <c r="M1469" i="5"/>
  <c r="O1468" i="5" a="1"/>
  <c r="O1468" i="5"/>
  <c r="N1468" i="5"/>
  <c r="M1468" i="5"/>
  <c r="O1467" i="5" a="1"/>
  <c r="O1467" i="5"/>
  <c r="N1467" i="5"/>
  <c r="M1467" i="5"/>
  <c r="O1466" i="5" a="1"/>
  <c r="O1466" i="5"/>
  <c r="N1466" i="5"/>
  <c r="M1466" i="5"/>
  <c r="O1465" i="5" a="1"/>
  <c r="O1465" i="5"/>
  <c r="N1465" i="5"/>
  <c r="M1465" i="5"/>
  <c r="O1464" i="5" a="1"/>
  <c r="O1464" i="5"/>
  <c r="N1464" i="5"/>
  <c r="M1464" i="5"/>
  <c r="O1463" i="5" a="1"/>
  <c r="O1463" i="5"/>
  <c r="N1463" i="5"/>
  <c r="M1463" i="5"/>
  <c r="O1462" i="5" a="1"/>
  <c r="O1462" i="5"/>
  <c r="N1462" i="5"/>
  <c r="M1462" i="5"/>
  <c r="O1461" i="5" a="1"/>
  <c r="O1461" i="5"/>
  <c r="N1461" i="5"/>
  <c r="M1461" i="5"/>
  <c r="O1460" i="5" a="1"/>
  <c r="O1460" i="5"/>
  <c r="N1460" i="5"/>
  <c r="M1460" i="5"/>
  <c r="O1459" i="5" a="1"/>
  <c r="O1459" i="5"/>
  <c r="N1459" i="5"/>
  <c r="M1459" i="5"/>
  <c r="O1458" i="5" a="1"/>
  <c r="O1458" i="5"/>
  <c r="N1458" i="5"/>
  <c r="M1458" i="5"/>
  <c r="O1457" i="5" a="1"/>
  <c r="O1457" i="5"/>
  <c r="N1457" i="5"/>
  <c r="M1457" i="5"/>
  <c r="O1456" i="5" a="1"/>
  <c r="O1456" i="5"/>
  <c r="N1456" i="5"/>
  <c r="M1456" i="5"/>
  <c r="O1455" i="5" a="1"/>
  <c r="O1455" i="5"/>
  <c r="N1455" i="5"/>
  <c r="M1455" i="5"/>
  <c r="O1454" i="5" a="1"/>
  <c r="O1454" i="5"/>
  <c r="N1454" i="5"/>
  <c r="M1454" i="5"/>
  <c r="O1453" i="5" a="1"/>
  <c r="O1453" i="5"/>
  <c r="N1453" i="5"/>
  <c r="M1453" i="5"/>
  <c r="O1452" i="5" a="1"/>
  <c r="O1452" i="5"/>
  <c r="N1452" i="5"/>
  <c r="M1452" i="5"/>
  <c r="O1451" i="5" a="1"/>
  <c r="O1451" i="5"/>
  <c r="N1451" i="5"/>
  <c r="M1451" i="5"/>
  <c r="O1450" i="5" a="1"/>
  <c r="O1450" i="5"/>
  <c r="N1450" i="5"/>
  <c r="M1450" i="5"/>
  <c r="O1449" i="5" a="1"/>
  <c r="O1449" i="5"/>
  <c r="N1449" i="5"/>
  <c r="M1449" i="5"/>
  <c r="O1448" i="5" a="1"/>
  <c r="O1448" i="5"/>
  <c r="N1448" i="5"/>
  <c r="M1448" i="5"/>
  <c r="O1447" i="5" a="1"/>
  <c r="O1447" i="5"/>
  <c r="N1447" i="5"/>
  <c r="M1447" i="5"/>
  <c r="O1446" i="5" a="1"/>
  <c r="O1446" i="5"/>
  <c r="N1446" i="5"/>
  <c r="M1446" i="5"/>
  <c r="O1445" i="5" a="1"/>
  <c r="O1445" i="5"/>
  <c r="N1445" i="5"/>
  <c r="M1445" i="5"/>
  <c r="O1444" i="5" a="1"/>
  <c r="O1444" i="5"/>
  <c r="N1444" i="5"/>
  <c r="M1444" i="5"/>
  <c r="O1443" i="5" a="1"/>
  <c r="O1443" i="5"/>
  <c r="N1443" i="5"/>
  <c r="M1443" i="5"/>
  <c r="O1442" i="5" a="1"/>
  <c r="O1442" i="5"/>
  <c r="N1442" i="5"/>
  <c r="M1442" i="5"/>
  <c r="O1441" i="5" a="1"/>
  <c r="O1441" i="5"/>
  <c r="N1441" i="5"/>
  <c r="M1441" i="5"/>
  <c r="O1440" i="5" a="1"/>
  <c r="O1440" i="5"/>
  <c r="N1440" i="5"/>
  <c r="M1440" i="5"/>
  <c r="O1439" i="5" a="1"/>
  <c r="O1439" i="5"/>
  <c r="N1439" i="5"/>
  <c r="M1439" i="5"/>
  <c r="O1438" i="5" a="1"/>
  <c r="O1438" i="5"/>
  <c r="N1438" i="5"/>
  <c r="M1438" i="5"/>
  <c r="O1437" i="5" a="1"/>
  <c r="O1437" i="5"/>
  <c r="N1437" i="5"/>
  <c r="M1437" i="5"/>
  <c r="O1436" i="5" a="1"/>
  <c r="O1436" i="5"/>
  <c r="N1436" i="5"/>
  <c r="M1436" i="5"/>
  <c r="O1435" i="5" a="1"/>
  <c r="O1435" i="5"/>
  <c r="N1435" i="5"/>
  <c r="M1435" i="5"/>
  <c r="O1434" i="5" a="1"/>
  <c r="O1434" i="5"/>
  <c r="N1434" i="5"/>
  <c r="M1434" i="5"/>
  <c r="O1433" i="5" a="1"/>
  <c r="O1433" i="5"/>
  <c r="N1433" i="5"/>
  <c r="M1433" i="5"/>
  <c r="O1432" i="5" a="1"/>
  <c r="O1432" i="5"/>
  <c r="N1432" i="5"/>
  <c r="M1432" i="5"/>
  <c r="O1431" i="5" a="1"/>
  <c r="O1431" i="5"/>
  <c r="N1431" i="5"/>
  <c r="M1431" i="5"/>
  <c r="O1430" i="5" a="1"/>
  <c r="O1430" i="5"/>
  <c r="N1430" i="5"/>
  <c r="M1430" i="5"/>
  <c r="O1429" i="5" a="1"/>
  <c r="O1429" i="5"/>
  <c r="N1429" i="5"/>
  <c r="M1429" i="5"/>
  <c r="O1428" i="5" a="1"/>
  <c r="O1428" i="5"/>
  <c r="N1428" i="5"/>
  <c r="M1428" i="5"/>
  <c r="O1427" i="5" a="1"/>
  <c r="O1427" i="5"/>
  <c r="N1427" i="5"/>
  <c r="M1427" i="5"/>
  <c r="O1426" i="5" a="1"/>
  <c r="O1426" i="5"/>
  <c r="N1426" i="5"/>
  <c r="M1426" i="5"/>
  <c r="O1425" i="5" a="1"/>
  <c r="O1425" i="5"/>
  <c r="N1425" i="5"/>
  <c r="M1425" i="5"/>
  <c r="O1424" i="5" a="1"/>
  <c r="O1424" i="5"/>
  <c r="N1424" i="5"/>
  <c r="M1424" i="5"/>
  <c r="O1423" i="5" a="1"/>
  <c r="O1423" i="5"/>
  <c r="N1423" i="5"/>
  <c r="M1423" i="5"/>
  <c r="O1422" i="5" a="1"/>
  <c r="O1422" i="5"/>
  <c r="N1422" i="5"/>
  <c r="M1422" i="5"/>
  <c r="O1421" i="5" a="1"/>
  <c r="O1421" i="5"/>
  <c r="N1421" i="5"/>
  <c r="M1421" i="5"/>
  <c r="O1420" i="5" a="1"/>
  <c r="O1420" i="5"/>
  <c r="N1420" i="5"/>
  <c r="M1420" i="5"/>
  <c r="O1419" i="5" a="1"/>
  <c r="O1419" i="5"/>
  <c r="N1419" i="5"/>
  <c r="M1419" i="5"/>
  <c r="O1418" i="5" a="1"/>
  <c r="O1418" i="5"/>
  <c r="N1418" i="5"/>
  <c r="M1418" i="5"/>
  <c r="O1417" i="5" a="1"/>
  <c r="O1417" i="5"/>
  <c r="N1417" i="5"/>
  <c r="M1417" i="5"/>
  <c r="O1416" i="5" a="1"/>
  <c r="O1416" i="5"/>
  <c r="N1416" i="5"/>
  <c r="M1416" i="5"/>
  <c r="O1415" i="5" a="1"/>
  <c r="O1415" i="5"/>
  <c r="N1415" i="5"/>
  <c r="M1415" i="5"/>
  <c r="O1414" i="5" a="1"/>
  <c r="O1414" i="5"/>
  <c r="N1414" i="5"/>
  <c r="M1414" i="5"/>
  <c r="O1413" i="5" a="1"/>
  <c r="O1413" i="5"/>
  <c r="N1413" i="5"/>
  <c r="M1413" i="5"/>
  <c r="O1412" i="5" a="1"/>
  <c r="O1412" i="5"/>
  <c r="N1412" i="5"/>
  <c r="M1412" i="5"/>
  <c r="O1411" i="5" a="1"/>
  <c r="O1411" i="5"/>
  <c r="N1411" i="5"/>
  <c r="M1411" i="5"/>
  <c r="O1410" i="5" a="1"/>
  <c r="O1410" i="5"/>
  <c r="N1410" i="5"/>
  <c r="M1410" i="5"/>
  <c r="O1409" i="5" a="1"/>
  <c r="O1409" i="5"/>
  <c r="N1409" i="5"/>
  <c r="M1409" i="5"/>
  <c r="O1408" i="5" a="1"/>
  <c r="O1408" i="5"/>
  <c r="N1408" i="5"/>
  <c r="M1408" i="5"/>
  <c r="O1407" i="5" a="1"/>
  <c r="O1407" i="5"/>
  <c r="N1407" i="5"/>
  <c r="M1407" i="5"/>
  <c r="O1406" i="5" a="1"/>
  <c r="O1406" i="5"/>
  <c r="N1406" i="5"/>
  <c r="M1406" i="5"/>
  <c r="O1405" i="5" a="1"/>
  <c r="O1405" i="5"/>
  <c r="N1405" i="5"/>
  <c r="M1405" i="5"/>
  <c r="O1404" i="5" a="1"/>
  <c r="O1404" i="5"/>
  <c r="N1404" i="5"/>
  <c r="M1404" i="5"/>
  <c r="O1403" i="5" a="1"/>
  <c r="O1403" i="5"/>
  <c r="N1403" i="5"/>
  <c r="M1403" i="5"/>
  <c r="O1402" i="5" a="1"/>
  <c r="O1402" i="5"/>
  <c r="N1402" i="5"/>
  <c r="M1402" i="5"/>
  <c r="O1401" i="5" a="1"/>
  <c r="O1401" i="5"/>
  <c r="N1401" i="5"/>
  <c r="M1401" i="5"/>
  <c r="O1400" i="5" a="1"/>
  <c r="O1400" i="5"/>
  <c r="N1400" i="5"/>
  <c r="M1400" i="5"/>
  <c r="O1399" i="5" a="1"/>
  <c r="O1399" i="5"/>
  <c r="N1399" i="5"/>
  <c r="M1399" i="5"/>
  <c r="O1398" i="5" a="1"/>
  <c r="O1398" i="5"/>
  <c r="N1398" i="5"/>
  <c r="M1398" i="5"/>
  <c r="O1397" i="5" a="1"/>
  <c r="O1397" i="5"/>
  <c r="N1397" i="5"/>
  <c r="M1397" i="5"/>
  <c r="O1396" i="5" a="1"/>
  <c r="O1396" i="5"/>
  <c r="N1396" i="5"/>
  <c r="M1396" i="5"/>
  <c r="O1395" i="5" a="1"/>
  <c r="O1395" i="5"/>
  <c r="N1395" i="5"/>
  <c r="M1395" i="5"/>
  <c r="O1394" i="5" a="1"/>
  <c r="O1394" i="5"/>
  <c r="N1394" i="5"/>
  <c r="M1394" i="5"/>
  <c r="O1393" i="5" a="1"/>
  <c r="O1393" i="5"/>
  <c r="N1393" i="5"/>
  <c r="M1393" i="5"/>
  <c r="O1392" i="5" a="1"/>
  <c r="O1392" i="5"/>
  <c r="N1392" i="5"/>
  <c r="M1392" i="5"/>
  <c r="O1391" i="5" a="1"/>
  <c r="O1391" i="5"/>
  <c r="N1391" i="5"/>
  <c r="M1391" i="5"/>
  <c r="O1390" i="5" a="1"/>
  <c r="O1390" i="5"/>
  <c r="N1390" i="5"/>
  <c r="M1390" i="5"/>
  <c r="O1389" i="5" a="1"/>
  <c r="O1389" i="5"/>
  <c r="N1389" i="5"/>
  <c r="M1389" i="5"/>
  <c r="O1388" i="5" a="1"/>
  <c r="O1388" i="5"/>
  <c r="N1388" i="5"/>
  <c r="M1388" i="5"/>
  <c r="O1387" i="5" a="1"/>
  <c r="O1387" i="5"/>
  <c r="N1387" i="5"/>
  <c r="M1387" i="5"/>
  <c r="O1386" i="5" a="1"/>
  <c r="O1386" i="5"/>
  <c r="N1386" i="5"/>
  <c r="M1386" i="5"/>
  <c r="O1385" i="5" a="1"/>
  <c r="O1385" i="5"/>
  <c r="N1385" i="5"/>
  <c r="M1385" i="5"/>
  <c r="O1384" i="5" a="1"/>
  <c r="O1384" i="5"/>
  <c r="N1384" i="5"/>
  <c r="M1384" i="5"/>
  <c r="O1383" i="5" a="1"/>
  <c r="O1383" i="5"/>
  <c r="N1383" i="5"/>
  <c r="M1383" i="5"/>
  <c r="O1382" i="5" a="1"/>
  <c r="O1382" i="5"/>
  <c r="N1382" i="5"/>
  <c r="M1382" i="5"/>
  <c r="O1381" i="5" a="1"/>
  <c r="O1381" i="5"/>
  <c r="N1381" i="5"/>
  <c r="M1381" i="5"/>
  <c r="O1380" i="5" a="1"/>
  <c r="O1380" i="5"/>
  <c r="N1380" i="5"/>
  <c r="M1380" i="5"/>
  <c r="O1379" i="5" a="1"/>
  <c r="O1379" i="5"/>
  <c r="N1379" i="5"/>
  <c r="M1379" i="5"/>
  <c r="O1378" i="5" a="1"/>
  <c r="O1378" i="5"/>
  <c r="N1378" i="5"/>
  <c r="M1378" i="5"/>
  <c r="O1377" i="5" a="1"/>
  <c r="O1377" i="5"/>
  <c r="N1377" i="5"/>
  <c r="M1377" i="5"/>
  <c r="O1376" i="5" a="1"/>
  <c r="O1376" i="5"/>
  <c r="N1376" i="5"/>
  <c r="M1376" i="5"/>
  <c r="O1375" i="5" a="1"/>
  <c r="O1375" i="5"/>
  <c r="N1375" i="5"/>
  <c r="M1375" i="5"/>
  <c r="O1374" i="5" a="1"/>
  <c r="O1374" i="5"/>
  <c r="N1374" i="5"/>
  <c r="M1374" i="5"/>
  <c r="O1373" i="5" a="1"/>
  <c r="O1373" i="5"/>
  <c r="N1373" i="5"/>
  <c r="M1373" i="5"/>
  <c r="O1372" i="5" a="1"/>
  <c r="O1372" i="5"/>
  <c r="N1372" i="5"/>
  <c r="M1372" i="5"/>
  <c r="O1371" i="5" a="1"/>
  <c r="O1371" i="5"/>
  <c r="N1371" i="5"/>
  <c r="M1371" i="5"/>
  <c r="O1370" i="5" a="1"/>
  <c r="O1370" i="5"/>
  <c r="N1370" i="5"/>
  <c r="M1370" i="5"/>
  <c r="O1369" i="5" a="1"/>
  <c r="O1369" i="5"/>
  <c r="N1369" i="5"/>
  <c r="M1369" i="5"/>
  <c r="O1368" i="5" a="1"/>
  <c r="O1368" i="5"/>
  <c r="N1368" i="5"/>
  <c r="M1368" i="5"/>
  <c r="O1367" i="5" a="1"/>
  <c r="O1367" i="5"/>
  <c r="N1367" i="5"/>
  <c r="M1367" i="5"/>
  <c r="O1366" i="5" a="1"/>
  <c r="O1366" i="5"/>
  <c r="N1366" i="5"/>
  <c r="M1366" i="5"/>
  <c r="O1365" i="5" a="1"/>
  <c r="O1365" i="5"/>
  <c r="N1365" i="5"/>
  <c r="M1365" i="5"/>
  <c r="O1364" i="5" a="1"/>
  <c r="O1364" i="5"/>
  <c r="N1364" i="5"/>
  <c r="M1364" i="5"/>
  <c r="O1363" i="5" a="1"/>
  <c r="O1363" i="5"/>
  <c r="N1363" i="5"/>
  <c r="M1363" i="5"/>
  <c r="O1362" i="5" a="1"/>
  <c r="O1362" i="5"/>
  <c r="N1362" i="5"/>
  <c r="M1362" i="5"/>
  <c r="O1361" i="5" a="1"/>
  <c r="O1361" i="5"/>
  <c r="N1361" i="5"/>
  <c r="M1361" i="5"/>
  <c r="O1360" i="5" a="1"/>
  <c r="O1360" i="5"/>
  <c r="N1360" i="5"/>
  <c r="M1360" i="5"/>
  <c r="O1359" i="5" a="1"/>
  <c r="O1359" i="5"/>
  <c r="N1359" i="5"/>
  <c r="M1359" i="5"/>
  <c r="O1358" i="5" a="1"/>
  <c r="O1358" i="5"/>
  <c r="N1358" i="5"/>
  <c r="M1358" i="5"/>
  <c r="O1357" i="5" a="1"/>
  <c r="O1357" i="5"/>
  <c r="N1357" i="5"/>
  <c r="M1357" i="5"/>
  <c r="O1356" i="5" a="1"/>
  <c r="O1356" i="5"/>
  <c r="N1356" i="5"/>
  <c r="M1356" i="5"/>
  <c r="O1355" i="5" a="1"/>
  <c r="O1355" i="5"/>
  <c r="N1355" i="5"/>
  <c r="M1355" i="5"/>
  <c r="O1354" i="5" a="1"/>
  <c r="O1354" i="5"/>
  <c r="N1354" i="5"/>
  <c r="M1354" i="5"/>
  <c r="O1353" i="5" a="1"/>
  <c r="O1353" i="5"/>
  <c r="N1353" i="5"/>
  <c r="M1353" i="5"/>
  <c r="O1352" i="5" a="1"/>
  <c r="O1352" i="5"/>
  <c r="N1352" i="5"/>
  <c r="M1352" i="5"/>
  <c r="O1351" i="5" a="1"/>
  <c r="O1351" i="5"/>
  <c r="N1351" i="5"/>
  <c r="M1351" i="5"/>
  <c r="O1350" i="5" a="1"/>
  <c r="O1350" i="5"/>
  <c r="N1350" i="5"/>
  <c r="M1350" i="5"/>
  <c r="O1349" i="5" a="1"/>
  <c r="O1349" i="5"/>
  <c r="N1349" i="5"/>
  <c r="M1349" i="5"/>
  <c r="O1348" i="5" a="1"/>
  <c r="O1348" i="5"/>
  <c r="N1348" i="5"/>
  <c r="M1348" i="5"/>
  <c r="O1347" i="5" a="1"/>
  <c r="O1347" i="5"/>
  <c r="N1347" i="5"/>
  <c r="M1347" i="5"/>
  <c r="O1346" i="5" a="1"/>
  <c r="O1346" i="5"/>
  <c r="N1346" i="5"/>
  <c r="M1346" i="5"/>
  <c r="O1345" i="5" a="1"/>
  <c r="O1345" i="5"/>
  <c r="N1345" i="5"/>
  <c r="M1345" i="5"/>
  <c r="O1344" i="5" a="1"/>
  <c r="O1344" i="5"/>
  <c r="N1344" i="5"/>
  <c r="M1344" i="5"/>
  <c r="O1343" i="5" a="1"/>
  <c r="O1343" i="5"/>
  <c r="N1343" i="5"/>
  <c r="M1343" i="5"/>
  <c r="O1342" i="5" a="1"/>
  <c r="O1342" i="5"/>
  <c r="N1342" i="5"/>
  <c r="M1342" i="5"/>
  <c r="O1341" i="5" a="1"/>
  <c r="O1341" i="5"/>
  <c r="N1341" i="5"/>
  <c r="M1341" i="5"/>
  <c r="O1340" i="5" a="1"/>
  <c r="O1340" i="5"/>
  <c r="N1340" i="5"/>
  <c r="M1340" i="5"/>
  <c r="O1339" i="5" a="1"/>
  <c r="O1339" i="5"/>
  <c r="N1339" i="5"/>
  <c r="M1339" i="5"/>
  <c r="O1338" i="5" a="1"/>
  <c r="O1338" i="5"/>
  <c r="N1338" i="5"/>
  <c r="M1338" i="5"/>
  <c r="O1337" i="5" a="1"/>
  <c r="O1337" i="5"/>
  <c r="N1337" i="5"/>
  <c r="M1337" i="5"/>
  <c r="O1336" i="5" a="1"/>
  <c r="O1336" i="5"/>
  <c r="N1336" i="5"/>
  <c r="M1336" i="5"/>
  <c r="O1335" i="5" a="1"/>
  <c r="O1335" i="5"/>
  <c r="N1335" i="5"/>
  <c r="M1335" i="5"/>
  <c r="O1334" i="5" a="1"/>
  <c r="O1334" i="5"/>
  <c r="N1334" i="5"/>
  <c r="M1334" i="5"/>
  <c r="O1333" i="5" a="1"/>
  <c r="O1333" i="5"/>
  <c r="N1333" i="5"/>
  <c r="M1333" i="5"/>
  <c r="O1332" i="5" a="1"/>
  <c r="O1332" i="5"/>
  <c r="N1332" i="5"/>
  <c r="M1332" i="5"/>
  <c r="O1331" i="5" a="1"/>
  <c r="O1331" i="5"/>
  <c r="N1331" i="5"/>
  <c r="M1331" i="5"/>
  <c r="O1330" i="5" a="1"/>
  <c r="O1330" i="5"/>
  <c r="N1330" i="5"/>
  <c r="M1330" i="5"/>
  <c r="O1329" i="5" a="1"/>
  <c r="O1329" i="5"/>
  <c r="N1329" i="5"/>
  <c r="M1329" i="5"/>
  <c r="O1328" i="5" a="1"/>
  <c r="O1328" i="5"/>
  <c r="N1328" i="5"/>
  <c r="M1328" i="5"/>
  <c r="O1327" i="5" a="1"/>
  <c r="O1327" i="5"/>
  <c r="N1327" i="5"/>
  <c r="M1327" i="5"/>
  <c r="O1326" i="5" a="1"/>
  <c r="O1326" i="5"/>
  <c r="N1326" i="5"/>
  <c r="M1326" i="5"/>
  <c r="O1325" i="5" a="1"/>
  <c r="O1325" i="5"/>
  <c r="N1325" i="5"/>
  <c r="M1325" i="5"/>
  <c r="O1324" i="5" a="1"/>
  <c r="O1324" i="5"/>
  <c r="N1324" i="5"/>
  <c r="M1324" i="5"/>
  <c r="O1323" i="5" a="1"/>
  <c r="O1323" i="5"/>
  <c r="N1323" i="5"/>
  <c r="M1323" i="5"/>
  <c r="O1322" i="5" a="1"/>
  <c r="O1322" i="5"/>
  <c r="N1322" i="5"/>
  <c r="M1322" i="5"/>
  <c r="O1321" i="5" a="1"/>
  <c r="O1321" i="5"/>
  <c r="N1321" i="5"/>
  <c r="M1321" i="5"/>
  <c r="O1320" i="5" a="1"/>
  <c r="O1320" i="5"/>
  <c r="N1320" i="5"/>
  <c r="M1320" i="5"/>
  <c r="O1319" i="5" a="1"/>
  <c r="O1319" i="5"/>
  <c r="N1319" i="5"/>
  <c r="M1319" i="5"/>
  <c r="O1318" i="5" a="1"/>
  <c r="O1318" i="5"/>
  <c r="N1318" i="5"/>
  <c r="M1318" i="5"/>
  <c r="O1317" i="5" a="1"/>
  <c r="O1317" i="5"/>
  <c r="N1317" i="5"/>
  <c r="M1317" i="5"/>
  <c r="O1316" i="5" a="1"/>
  <c r="O1316" i="5"/>
  <c r="N1316" i="5"/>
  <c r="M1316" i="5"/>
  <c r="O1315" i="5" a="1"/>
  <c r="O1315" i="5"/>
  <c r="N1315" i="5"/>
  <c r="M1315" i="5"/>
  <c r="O1314" i="5" a="1"/>
  <c r="O1314" i="5"/>
  <c r="N1314" i="5"/>
  <c r="M1314" i="5"/>
  <c r="O1313" i="5" a="1"/>
  <c r="O1313" i="5"/>
  <c r="N1313" i="5"/>
  <c r="M1313" i="5"/>
  <c r="O1312" i="5" a="1"/>
  <c r="O1312" i="5"/>
  <c r="N1312" i="5"/>
  <c r="M1312" i="5"/>
  <c r="O1311" i="5" a="1"/>
  <c r="O1311" i="5"/>
  <c r="N1311" i="5"/>
  <c r="M1311" i="5"/>
  <c r="O1310" i="5" a="1"/>
  <c r="O1310" i="5"/>
  <c r="N1310" i="5"/>
  <c r="M1310" i="5"/>
  <c r="O1309" i="5" a="1"/>
  <c r="O1309" i="5"/>
  <c r="N1309" i="5"/>
  <c r="M1309" i="5"/>
  <c r="O1308" i="5" a="1"/>
  <c r="O1308" i="5"/>
  <c r="N1308" i="5"/>
  <c r="M1308" i="5"/>
  <c r="O1307" i="5" a="1"/>
  <c r="O1307" i="5"/>
  <c r="N1307" i="5"/>
  <c r="M1307" i="5"/>
  <c r="O1306" i="5" a="1"/>
  <c r="O1306" i="5"/>
  <c r="N1306" i="5"/>
  <c r="M1306" i="5"/>
  <c r="O1305" i="5" a="1"/>
  <c r="O1305" i="5"/>
  <c r="N1305" i="5"/>
  <c r="M1305" i="5"/>
  <c r="O1304" i="5" a="1"/>
  <c r="O1304" i="5"/>
  <c r="N1304" i="5"/>
  <c r="M1304" i="5"/>
  <c r="O1303" i="5" a="1"/>
  <c r="O1303" i="5"/>
  <c r="N1303" i="5"/>
  <c r="M1303" i="5"/>
  <c r="O1302" i="5" a="1"/>
  <c r="O1302" i="5"/>
  <c r="N1302" i="5"/>
  <c r="M1302" i="5"/>
  <c r="O1301" i="5" a="1"/>
  <c r="O1301" i="5"/>
  <c r="N1301" i="5"/>
  <c r="M1301" i="5"/>
  <c r="O1300" i="5" a="1"/>
  <c r="O1300" i="5"/>
  <c r="N1300" i="5"/>
  <c r="M1300" i="5"/>
  <c r="O1299" i="5" a="1"/>
  <c r="O1299" i="5"/>
  <c r="N1299" i="5"/>
  <c r="M1299" i="5"/>
  <c r="O1298" i="5" a="1"/>
  <c r="O1298" i="5"/>
  <c r="N1298" i="5"/>
  <c r="M1298" i="5"/>
  <c r="O1297" i="5" a="1"/>
  <c r="O1297" i="5"/>
  <c r="N1297" i="5"/>
  <c r="M1297" i="5"/>
  <c r="O1296" i="5" a="1"/>
  <c r="O1296" i="5"/>
  <c r="N1296" i="5"/>
  <c r="M1296" i="5"/>
  <c r="O1295" i="5" a="1"/>
  <c r="O1295" i="5"/>
  <c r="N1295" i="5"/>
  <c r="M1295" i="5"/>
  <c r="O1294" i="5" a="1"/>
  <c r="O1294" i="5"/>
  <c r="N1294" i="5"/>
  <c r="M1294" i="5"/>
  <c r="O1293" i="5" a="1"/>
  <c r="O1293" i="5"/>
  <c r="N1293" i="5"/>
  <c r="M1293" i="5"/>
  <c r="O1292" i="5" a="1"/>
  <c r="O1292" i="5"/>
  <c r="N1292" i="5"/>
  <c r="M1292" i="5"/>
  <c r="O1291" i="5" a="1"/>
  <c r="O1291" i="5"/>
  <c r="N1291" i="5"/>
  <c r="M1291" i="5"/>
  <c r="O1290" i="5" a="1"/>
  <c r="O1290" i="5"/>
  <c r="N1290" i="5"/>
  <c r="M1290" i="5"/>
  <c r="O1289" i="5" a="1"/>
  <c r="O1289" i="5"/>
  <c r="N1289" i="5"/>
  <c r="M1289" i="5"/>
  <c r="O1288" i="5" a="1"/>
  <c r="O1288" i="5"/>
  <c r="N1288" i="5"/>
  <c r="M1288" i="5"/>
  <c r="O1287" i="5" a="1"/>
  <c r="O1287" i="5"/>
  <c r="N1287" i="5"/>
  <c r="M1287" i="5"/>
  <c r="O1286" i="5" a="1"/>
  <c r="O1286" i="5"/>
  <c r="N1286" i="5"/>
  <c r="M1286" i="5"/>
  <c r="O1285" i="5" a="1"/>
  <c r="O1285" i="5"/>
  <c r="N1285" i="5"/>
  <c r="M1285" i="5"/>
  <c r="O1284" i="5" a="1"/>
  <c r="O1284" i="5"/>
  <c r="N1284" i="5"/>
  <c r="M1284" i="5"/>
  <c r="O1283" i="5" a="1"/>
  <c r="O1283" i="5"/>
  <c r="N1283" i="5"/>
  <c r="M1283" i="5"/>
  <c r="O1282" i="5" a="1"/>
  <c r="O1282" i="5"/>
  <c r="N1282" i="5"/>
  <c r="M1282" i="5"/>
  <c r="O1281" i="5" a="1"/>
  <c r="O1281" i="5"/>
  <c r="N1281" i="5"/>
  <c r="M1281" i="5"/>
  <c r="O1280" i="5" a="1"/>
  <c r="O1280" i="5"/>
  <c r="N1280" i="5"/>
  <c r="M1280" i="5"/>
  <c r="O1279" i="5" a="1"/>
  <c r="O1279" i="5"/>
  <c r="N1279" i="5"/>
  <c r="M1279" i="5"/>
  <c r="O1278" i="5" a="1"/>
  <c r="O1278" i="5"/>
  <c r="N1278" i="5"/>
  <c r="M1278" i="5"/>
  <c r="O1277" i="5" a="1"/>
  <c r="O1277" i="5"/>
  <c r="N1277" i="5"/>
  <c r="M1277" i="5"/>
  <c r="O1276" i="5" a="1"/>
  <c r="O1276" i="5"/>
  <c r="N1276" i="5"/>
  <c r="M1276" i="5"/>
  <c r="O1275" i="5" a="1"/>
  <c r="O1275" i="5"/>
  <c r="N1275" i="5"/>
  <c r="M1275" i="5"/>
  <c r="O1274" i="5" a="1"/>
  <c r="O1274" i="5"/>
  <c r="N1274" i="5"/>
  <c r="M1274" i="5"/>
  <c r="O1273" i="5" a="1"/>
  <c r="O1273" i="5"/>
  <c r="N1273" i="5"/>
  <c r="M1273" i="5"/>
  <c r="O1272" i="5" a="1"/>
  <c r="O1272" i="5"/>
  <c r="N1272" i="5"/>
  <c r="M1272" i="5"/>
  <c r="O1271" i="5" a="1"/>
  <c r="O1271" i="5"/>
  <c r="N1271" i="5"/>
  <c r="M1271" i="5"/>
  <c r="O1270" i="5" a="1"/>
  <c r="O1270" i="5"/>
  <c r="N1270" i="5"/>
  <c r="M1270" i="5"/>
  <c r="O1269" i="5" a="1"/>
  <c r="O1269" i="5"/>
  <c r="N1269" i="5"/>
  <c r="M1269" i="5"/>
  <c r="O1268" i="5" a="1"/>
  <c r="O1268" i="5"/>
  <c r="N1268" i="5"/>
  <c r="M1268" i="5"/>
  <c r="O1267" i="5" a="1"/>
  <c r="O1267" i="5"/>
  <c r="N1267" i="5"/>
  <c r="M1267" i="5"/>
  <c r="O1266" i="5" a="1"/>
  <c r="O1266" i="5"/>
  <c r="N1266" i="5"/>
  <c r="M1266" i="5"/>
  <c r="O1265" i="5" a="1"/>
  <c r="O1265" i="5"/>
  <c r="N1265" i="5"/>
  <c r="M1265" i="5"/>
  <c r="O1264" i="5" a="1"/>
  <c r="O1264" i="5"/>
  <c r="N1264" i="5"/>
  <c r="M1264" i="5"/>
  <c r="O1263" i="5" a="1"/>
  <c r="O1263" i="5"/>
  <c r="N1263" i="5"/>
  <c r="M1263" i="5"/>
  <c r="O1262" i="5" a="1"/>
  <c r="O1262" i="5"/>
  <c r="N1262" i="5"/>
  <c r="M1262" i="5"/>
  <c r="O1261" i="5" a="1"/>
  <c r="O1261" i="5"/>
  <c r="N1261" i="5"/>
  <c r="M1261" i="5"/>
  <c r="O1260" i="5" a="1"/>
  <c r="O1260" i="5"/>
  <c r="N1260" i="5"/>
  <c r="M1260" i="5"/>
  <c r="O1259" i="5" a="1"/>
  <c r="O1259" i="5"/>
  <c r="N1259" i="5"/>
  <c r="M1259" i="5"/>
  <c r="O1258" i="5" a="1"/>
  <c r="O1258" i="5"/>
  <c r="N1258" i="5"/>
  <c r="M1258" i="5"/>
  <c r="O1257" i="5" a="1"/>
  <c r="O1257" i="5"/>
  <c r="N1257" i="5"/>
  <c r="M1257" i="5"/>
  <c r="O1256" i="5" a="1"/>
  <c r="O1256" i="5"/>
  <c r="N1256" i="5"/>
  <c r="M1256" i="5"/>
  <c r="O1255" i="5" a="1"/>
  <c r="O1255" i="5"/>
  <c r="N1255" i="5"/>
  <c r="M1255" i="5"/>
  <c r="O1254" i="5" a="1"/>
  <c r="O1254" i="5"/>
  <c r="N1254" i="5"/>
  <c r="M1254" i="5"/>
  <c r="O1253" i="5" a="1"/>
  <c r="O1253" i="5"/>
  <c r="N1253" i="5"/>
  <c r="M1253" i="5"/>
  <c r="O1252" i="5" a="1"/>
  <c r="O1252" i="5"/>
  <c r="N1252" i="5"/>
  <c r="M1252" i="5"/>
  <c r="O1251" i="5" a="1"/>
  <c r="O1251" i="5"/>
  <c r="N1251" i="5"/>
  <c r="M1251" i="5"/>
  <c r="O1250" i="5" a="1"/>
  <c r="O1250" i="5"/>
  <c r="N1250" i="5"/>
  <c r="M1250" i="5"/>
  <c r="O1249" i="5" a="1"/>
  <c r="O1249" i="5"/>
  <c r="N1249" i="5"/>
  <c r="M1249" i="5"/>
  <c r="O1248" i="5" a="1"/>
  <c r="O1248" i="5"/>
  <c r="N1248" i="5"/>
  <c r="M1248" i="5"/>
  <c r="O1247" i="5" a="1"/>
  <c r="O1247" i="5"/>
  <c r="N1247" i="5"/>
  <c r="M1247" i="5"/>
  <c r="O1246" i="5" a="1"/>
  <c r="O1246" i="5"/>
  <c r="N1246" i="5"/>
  <c r="M1246" i="5"/>
  <c r="O1245" i="5" a="1"/>
  <c r="O1245" i="5"/>
  <c r="N1245" i="5"/>
  <c r="M1245" i="5"/>
  <c r="O1244" i="5" a="1"/>
  <c r="O1244" i="5"/>
  <c r="N1244" i="5"/>
  <c r="M1244" i="5"/>
  <c r="O1243" i="5" a="1"/>
  <c r="O1243" i="5"/>
  <c r="N1243" i="5"/>
  <c r="M1243" i="5"/>
  <c r="O1242" i="5" a="1"/>
  <c r="O1242" i="5"/>
  <c r="N1242" i="5"/>
  <c r="M1242" i="5"/>
  <c r="O1241" i="5" a="1"/>
  <c r="O1241" i="5"/>
  <c r="N1241" i="5"/>
  <c r="M1241" i="5"/>
  <c r="O1240" i="5" a="1"/>
  <c r="O1240" i="5"/>
  <c r="N1240" i="5"/>
  <c r="M1240" i="5"/>
  <c r="O1239" i="5" a="1"/>
  <c r="O1239" i="5"/>
  <c r="N1239" i="5"/>
  <c r="M1239" i="5"/>
  <c r="O1238" i="5" a="1"/>
  <c r="O1238" i="5"/>
  <c r="N1238" i="5"/>
  <c r="M1238" i="5"/>
  <c r="O1237" i="5" a="1"/>
  <c r="O1237" i="5"/>
  <c r="N1237" i="5"/>
  <c r="M1237" i="5"/>
  <c r="O1236" i="5" a="1"/>
  <c r="O1236" i="5"/>
  <c r="N1236" i="5"/>
  <c r="M1236" i="5"/>
  <c r="O1235" i="5" a="1"/>
  <c r="O1235" i="5"/>
  <c r="N1235" i="5"/>
  <c r="M1235" i="5"/>
  <c r="O1234" i="5" a="1"/>
  <c r="O1234" i="5"/>
  <c r="N1234" i="5"/>
  <c r="M1234" i="5"/>
  <c r="O1233" i="5" a="1"/>
  <c r="O1233" i="5"/>
  <c r="N1233" i="5"/>
  <c r="M1233" i="5"/>
  <c r="O1232" i="5" a="1"/>
  <c r="O1232" i="5"/>
  <c r="N1232" i="5"/>
  <c r="M1232" i="5"/>
  <c r="O1231" i="5" a="1"/>
  <c r="O1231" i="5"/>
  <c r="N1231" i="5"/>
  <c r="M1231" i="5"/>
  <c r="O1230" i="5" a="1"/>
  <c r="O1230" i="5"/>
  <c r="N1230" i="5"/>
  <c r="M1230" i="5"/>
  <c r="O1229" i="5" a="1"/>
  <c r="O1229" i="5"/>
  <c r="N1229" i="5"/>
  <c r="M1229" i="5"/>
  <c r="O1228" i="5" a="1"/>
  <c r="O1228" i="5"/>
  <c r="N1228" i="5"/>
  <c r="M1228" i="5"/>
  <c r="O1227" i="5" a="1"/>
  <c r="O1227" i="5"/>
  <c r="N1227" i="5"/>
  <c r="M1227" i="5"/>
  <c r="O1226" i="5" a="1"/>
  <c r="O1226" i="5"/>
  <c r="N1226" i="5"/>
  <c r="M1226" i="5"/>
  <c r="O1225" i="5" a="1"/>
  <c r="O1225" i="5"/>
  <c r="N1225" i="5"/>
  <c r="M1225" i="5"/>
  <c r="O1224" i="5" a="1"/>
  <c r="O1224" i="5"/>
  <c r="N1224" i="5"/>
  <c r="M1224" i="5"/>
  <c r="O1223" i="5" a="1"/>
  <c r="O1223" i="5"/>
  <c r="N1223" i="5"/>
  <c r="M1223" i="5"/>
  <c r="O1222" i="5" a="1"/>
  <c r="O1222" i="5"/>
  <c r="N1222" i="5"/>
  <c r="M1222" i="5"/>
  <c r="O1221" i="5" a="1"/>
  <c r="O1221" i="5"/>
  <c r="N1221" i="5"/>
  <c r="M1221" i="5"/>
  <c r="O1220" i="5" a="1"/>
  <c r="O1220" i="5"/>
  <c r="N1220" i="5"/>
  <c r="M1220" i="5"/>
  <c r="O1219" i="5" a="1"/>
  <c r="O1219" i="5"/>
  <c r="N1219" i="5"/>
  <c r="M1219" i="5"/>
  <c r="O1218" i="5" a="1"/>
  <c r="O1218" i="5"/>
  <c r="N1218" i="5"/>
  <c r="M1218" i="5"/>
  <c r="O1217" i="5" a="1"/>
  <c r="O1217" i="5"/>
  <c r="N1217" i="5"/>
  <c r="M1217" i="5"/>
  <c r="O1216" i="5" a="1"/>
  <c r="O1216" i="5"/>
  <c r="N1216" i="5"/>
  <c r="M1216" i="5"/>
  <c r="O1215" i="5" a="1"/>
  <c r="O1215" i="5"/>
  <c r="N1215" i="5"/>
  <c r="M1215" i="5"/>
  <c r="O1214" i="5" a="1"/>
  <c r="O1214" i="5"/>
  <c r="N1214" i="5"/>
  <c r="M1214" i="5"/>
  <c r="O1213" i="5" a="1"/>
  <c r="O1213" i="5"/>
  <c r="N1213" i="5"/>
  <c r="M1213" i="5"/>
  <c r="O1212" i="5" a="1"/>
  <c r="O1212" i="5"/>
  <c r="N1212" i="5"/>
  <c r="M1212" i="5"/>
  <c r="O1211" i="5" a="1"/>
  <c r="O1211" i="5"/>
  <c r="N1211" i="5"/>
  <c r="M1211" i="5"/>
  <c r="O1210" i="5" a="1"/>
  <c r="O1210" i="5"/>
  <c r="N1210" i="5"/>
  <c r="M1210" i="5"/>
  <c r="O1209" i="5" a="1"/>
  <c r="O1209" i="5"/>
  <c r="N1209" i="5"/>
  <c r="M1209" i="5"/>
  <c r="O1208" i="5" a="1"/>
  <c r="O1208" i="5"/>
  <c r="N1208" i="5"/>
  <c r="M1208" i="5"/>
  <c r="O1207" i="5" a="1"/>
  <c r="O1207" i="5"/>
  <c r="N1207" i="5"/>
  <c r="M1207" i="5"/>
  <c r="O1206" i="5" a="1"/>
  <c r="O1206" i="5"/>
  <c r="N1206" i="5"/>
  <c r="M1206" i="5"/>
  <c r="O1205" i="5" a="1"/>
  <c r="O1205" i="5"/>
  <c r="N1205" i="5"/>
  <c r="M1205" i="5"/>
  <c r="O1204" i="5" a="1"/>
  <c r="O1204" i="5"/>
  <c r="N1204" i="5"/>
  <c r="M1204" i="5"/>
  <c r="O1203" i="5" a="1"/>
  <c r="O1203" i="5"/>
  <c r="N1203" i="5"/>
  <c r="M1203" i="5"/>
  <c r="O1202" i="5" a="1"/>
  <c r="O1202" i="5"/>
  <c r="N1202" i="5"/>
  <c r="M1202" i="5"/>
  <c r="O1201" i="5" a="1"/>
  <c r="O1201" i="5"/>
  <c r="N1201" i="5"/>
  <c r="M1201" i="5"/>
  <c r="O1200" i="5" a="1"/>
  <c r="O1200" i="5"/>
  <c r="N1200" i="5"/>
  <c r="M1200" i="5"/>
  <c r="O1199" i="5" a="1"/>
  <c r="O1199" i="5"/>
  <c r="N1199" i="5"/>
  <c r="M1199" i="5"/>
  <c r="O1198" i="5" a="1"/>
  <c r="O1198" i="5"/>
  <c r="N1198" i="5"/>
  <c r="M1198" i="5"/>
  <c r="O1197" i="5" a="1"/>
  <c r="O1197" i="5"/>
  <c r="N1197" i="5"/>
  <c r="M1197" i="5"/>
  <c r="O1196" i="5" a="1"/>
  <c r="O1196" i="5"/>
  <c r="N1196" i="5"/>
  <c r="M1196" i="5"/>
  <c r="O1195" i="5" a="1"/>
  <c r="O1195" i="5"/>
  <c r="N1195" i="5"/>
  <c r="M1195" i="5"/>
  <c r="O1194" i="5" a="1"/>
  <c r="O1194" i="5"/>
  <c r="N1194" i="5"/>
  <c r="M1194" i="5"/>
  <c r="O1193" i="5" a="1"/>
  <c r="O1193" i="5"/>
  <c r="N1193" i="5"/>
  <c r="M1193" i="5"/>
  <c r="O1192" i="5" a="1"/>
  <c r="O1192" i="5"/>
  <c r="N1192" i="5"/>
  <c r="M1192" i="5"/>
  <c r="O1191" i="5" a="1"/>
  <c r="O1191" i="5"/>
  <c r="N1191" i="5"/>
  <c r="M1191" i="5"/>
  <c r="O1190" i="5" a="1"/>
  <c r="O1190" i="5"/>
  <c r="N1190" i="5"/>
  <c r="M1190" i="5"/>
  <c r="O1189" i="5" a="1"/>
  <c r="O1189" i="5"/>
  <c r="N1189" i="5"/>
  <c r="M1189" i="5"/>
  <c r="O1188" i="5" a="1"/>
  <c r="O1188" i="5"/>
  <c r="N1188" i="5"/>
  <c r="M1188" i="5"/>
  <c r="O1187" i="5" a="1"/>
  <c r="O1187" i="5"/>
  <c r="N1187" i="5"/>
  <c r="M1187" i="5"/>
  <c r="O1186" i="5" a="1"/>
  <c r="O1186" i="5"/>
  <c r="N1186" i="5"/>
  <c r="M1186" i="5"/>
  <c r="O1185" i="5" a="1"/>
  <c r="O1185" i="5"/>
  <c r="N1185" i="5"/>
  <c r="M1185" i="5"/>
  <c r="O1184" i="5" a="1"/>
  <c r="O1184" i="5"/>
  <c r="N1184" i="5"/>
  <c r="M1184" i="5"/>
  <c r="O1183" i="5" a="1"/>
  <c r="O1183" i="5"/>
  <c r="N1183" i="5"/>
  <c r="M1183" i="5"/>
  <c r="O1182" i="5" a="1"/>
  <c r="O1182" i="5"/>
  <c r="N1182" i="5"/>
  <c r="M1182" i="5"/>
  <c r="O1181" i="5" a="1"/>
  <c r="O1181" i="5"/>
  <c r="N1181" i="5"/>
  <c r="M1181" i="5"/>
  <c r="O1180" i="5" a="1"/>
  <c r="O1180" i="5"/>
  <c r="N1180" i="5"/>
  <c r="M1180" i="5"/>
  <c r="O1179" i="5" a="1"/>
  <c r="O1179" i="5"/>
  <c r="N1179" i="5"/>
  <c r="M1179" i="5"/>
  <c r="O1178" i="5" a="1"/>
  <c r="O1178" i="5"/>
  <c r="N1178" i="5"/>
  <c r="M1178" i="5"/>
  <c r="O1177" i="5" a="1"/>
  <c r="O1177" i="5"/>
  <c r="N1177" i="5"/>
  <c r="M1177" i="5"/>
  <c r="O1176" i="5" a="1"/>
  <c r="O1176" i="5"/>
  <c r="N1176" i="5"/>
  <c r="M1176" i="5"/>
  <c r="O1175" i="5" a="1"/>
  <c r="O1175" i="5"/>
  <c r="N1175" i="5"/>
  <c r="M1175" i="5"/>
  <c r="O1174" i="5" a="1"/>
  <c r="O1174" i="5"/>
  <c r="N1174" i="5"/>
  <c r="M1174" i="5"/>
  <c r="O1173" i="5" a="1"/>
  <c r="O1173" i="5"/>
  <c r="N1173" i="5"/>
  <c r="M1173" i="5"/>
  <c r="O1172" i="5" a="1"/>
  <c r="O1172" i="5"/>
  <c r="N1172" i="5"/>
  <c r="M1172" i="5"/>
  <c r="O1171" i="5" a="1"/>
  <c r="O1171" i="5"/>
  <c r="N1171" i="5"/>
  <c r="M1171" i="5"/>
  <c r="O1170" i="5" a="1"/>
  <c r="O1170" i="5"/>
  <c r="N1170" i="5"/>
  <c r="M1170" i="5"/>
  <c r="O1169" i="5" a="1"/>
  <c r="O1169" i="5"/>
  <c r="N1169" i="5"/>
  <c r="M1169" i="5"/>
  <c r="O1168" i="5" a="1"/>
  <c r="O1168" i="5"/>
  <c r="N1168" i="5"/>
  <c r="M1168" i="5"/>
  <c r="O1167" i="5" a="1"/>
  <c r="O1167" i="5"/>
  <c r="N1167" i="5"/>
  <c r="M1167" i="5"/>
  <c r="O1166" i="5" a="1"/>
  <c r="O1166" i="5"/>
  <c r="N1166" i="5"/>
  <c r="M1166" i="5"/>
  <c r="O1165" i="5" a="1"/>
  <c r="O1165" i="5"/>
  <c r="N1165" i="5"/>
  <c r="M1165" i="5"/>
  <c r="O1164" i="5" a="1"/>
  <c r="O1164" i="5"/>
  <c r="N1164" i="5"/>
  <c r="M1164" i="5"/>
  <c r="O1163" i="5" a="1"/>
  <c r="O1163" i="5"/>
  <c r="N1163" i="5"/>
  <c r="M1163" i="5"/>
  <c r="O1162" i="5" a="1"/>
  <c r="O1162" i="5"/>
  <c r="N1162" i="5"/>
  <c r="M1162" i="5"/>
  <c r="O1161" i="5" a="1"/>
  <c r="O1161" i="5"/>
  <c r="N1161" i="5"/>
  <c r="M1161" i="5"/>
  <c r="O1160" i="5" a="1"/>
  <c r="O1160" i="5"/>
  <c r="N1160" i="5"/>
  <c r="M1160" i="5"/>
  <c r="O1159" i="5" a="1"/>
  <c r="O1159" i="5"/>
  <c r="N1159" i="5"/>
  <c r="M1159" i="5"/>
  <c r="O1158" i="5" a="1"/>
  <c r="O1158" i="5"/>
  <c r="N1158" i="5"/>
  <c r="M1158" i="5"/>
  <c r="O1157" i="5" a="1"/>
  <c r="O1157" i="5"/>
  <c r="N1157" i="5"/>
  <c r="M1157" i="5"/>
  <c r="O1156" i="5" a="1"/>
  <c r="O1156" i="5"/>
  <c r="N1156" i="5"/>
  <c r="M1156" i="5"/>
  <c r="O1155" i="5" a="1"/>
  <c r="O1155" i="5"/>
  <c r="N1155" i="5"/>
  <c r="M1155" i="5"/>
  <c r="O1154" i="5" a="1"/>
  <c r="O1154" i="5"/>
  <c r="N1154" i="5"/>
  <c r="M1154" i="5"/>
  <c r="O1153" i="5" a="1"/>
  <c r="O1153" i="5"/>
  <c r="N1153" i="5"/>
  <c r="M1153" i="5"/>
  <c r="O1152" i="5" a="1"/>
  <c r="O1152" i="5"/>
  <c r="N1152" i="5"/>
  <c r="M1152" i="5"/>
  <c r="O1151" i="5" a="1"/>
  <c r="O1151" i="5"/>
  <c r="N1151" i="5"/>
  <c r="M1151" i="5"/>
  <c r="O1150" i="5" a="1"/>
  <c r="O1150" i="5"/>
  <c r="N1150" i="5"/>
  <c r="M1150" i="5"/>
  <c r="O1149" i="5" a="1"/>
  <c r="O1149" i="5"/>
  <c r="N1149" i="5"/>
  <c r="M1149" i="5"/>
  <c r="O1148" i="5" a="1"/>
  <c r="O1148" i="5"/>
  <c r="N1148" i="5"/>
  <c r="M1148" i="5"/>
  <c r="O1147" i="5" a="1"/>
  <c r="O1147" i="5"/>
  <c r="N1147" i="5"/>
  <c r="M1147" i="5"/>
  <c r="O1146" i="5" a="1"/>
  <c r="O1146" i="5"/>
  <c r="N1146" i="5"/>
  <c r="M1146" i="5"/>
  <c r="O1145" i="5" a="1"/>
  <c r="O1145" i="5"/>
  <c r="N1145" i="5"/>
  <c r="M1145" i="5"/>
  <c r="O1144" i="5" a="1"/>
  <c r="O1144" i="5"/>
  <c r="N1144" i="5"/>
  <c r="M1144" i="5"/>
  <c r="O1143" i="5" a="1"/>
  <c r="O1143" i="5"/>
  <c r="N1143" i="5"/>
  <c r="M1143" i="5"/>
  <c r="O1142" i="5" a="1"/>
  <c r="O1142" i="5"/>
  <c r="N1142" i="5"/>
  <c r="M1142" i="5"/>
  <c r="O1141" i="5" a="1"/>
  <c r="O1141" i="5"/>
  <c r="N1141" i="5"/>
  <c r="M1141" i="5"/>
  <c r="O1140" i="5" a="1"/>
  <c r="O1140" i="5"/>
  <c r="N1140" i="5"/>
  <c r="M1140" i="5"/>
  <c r="O1139" i="5" a="1"/>
  <c r="O1139" i="5"/>
  <c r="N1139" i="5"/>
  <c r="M1139" i="5"/>
  <c r="O1138" i="5" a="1"/>
  <c r="O1138" i="5"/>
  <c r="N1138" i="5"/>
  <c r="M1138" i="5"/>
  <c r="O1137" i="5" a="1"/>
  <c r="O1137" i="5"/>
  <c r="N1137" i="5"/>
  <c r="M1137" i="5"/>
  <c r="O1136" i="5" a="1"/>
  <c r="O1136" i="5"/>
  <c r="N1136" i="5"/>
  <c r="M1136" i="5"/>
  <c r="O1135" i="5" a="1"/>
  <c r="O1135" i="5"/>
  <c r="N1135" i="5"/>
  <c r="M1135" i="5"/>
  <c r="O1134" i="5" a="1"/>
  <c r="O1134" i="5"/>
  <c r="N1134" i="5"/>
  <c r="M1134" i="5"/>
  <c r="O1133" i="5" a="1"/>
  <c r="O1133" i="5"/>
  <c r="N1133" i="5"/>
  <c r="M1133" i="5"/>
  <c r="O1132" i="5" a="1"/>
  <c r="O1132" i="5"/>
  <c r="N1132" i="5"/>
  <c r="M1132" i="5"/>
  <c r="O1131" i="5" a="1"/>
  <c r="O1131" i="5"/>
  <c r="N1131" i="5"/>
  <c r="M1131" i="5"/>
  <c r="O1130" i="5" a="1"/>
  <c r="O1130" i="5"/>
  <c r="N1130" i="5"/>
  <c r="M1130" i="5"/>
  <c r="O1129" i="5" a="1"/>
  <c r="O1129" i="5"/>
  <c r="N1129" i="5"/>
  <c r="M1129" i="5"/>
  <c r="O1128" i="5" a="1"/>
  <c r="O1128" i="5"/>
  <c r="N1128" i="5"/>
  <c r="M1128" i="5"/>
  <c r="O1127" i="5" a="1"/>
  <c r="O1127" i="5"/>
  <c r="N1127" i="5"/>
  <c r="M1127" i="5"/>
  <c r="O1126" i="5" a="1"/>
  <c r="O1126" i="5"/>
  <c r="N1126" i="5"/>
  <c r="M1126" i="5"/>
  <c r="O1125" i="5" a="1"/>
  <c r="O1125" i="5"/>
  <c r="N1125" i="5"/>
  <c r="M1125" i="5"/>
  <c r="O1124" i="5" a="1"/>
  <c r="O1124" i="5"/>
  <c r="N1124" i="5"/>
  <c r="M1124" i="5"/>
  <c r="O1123" i="5" a="1"/>
  <c r="O1123" i="5"/>
  <c r="N1123" i="5"/>
  <c r="M1123" i="5"/>
  <c r="O1122" i="5" a="1"/>
  <c r="O1122" i="5"/>
  <c r="N1122" i="5"/>
  <c r="M1122" i="5"/>
  <c r="O1121" i="5" a="1"/>
  <c r="O1121" i="5"/>
  <c r="N1121" i="5"/>
  <c r="M1121" i="5"/>
  <c r="O1120" i="5" a="1"/>
  <c r="O1120" i="5"/>
  <c r="N1120" i="5"/>
  <c r="M1120" i="5"/>
  <c r="O1119" i="5" a="1"/>
  <c r="O1119" i="5"/>
  <c r="N1119" i="5"/>
  <c r="M1119" i="5"/>
  <c r="O1118" i="5" a="1"/>
  <c r="O1118" i="5"/>
  <c r="N1118" i="5"/>
  <c r="M1118" i="5"/>
  <c r="O1117" i="5" a="1"/>
  <c r="O1117" i="5"/>
  <c r="N1117" i="5"/>
  <c r="M1117" i="5"/>
  <c r="O1116" i="5" a="1"/>
  <c r="O1116" i="5"/>
  <c r="N1116" i="5"/>
  <c r="M1116" i="5"/>
  <c r="O1115" i="5" a="1"/>
  <c r="O1115" i="5"/>
  <c r="N1115" i="5"/>
  <c r="M1115" i="5"/>
  <c r="O1114" i="5" a="1"/>
  <c r="O1114" i="5"/>
  <c r="N1114" i="5"/>
  <c r="M1114" i="5"/>
  <c r="O1113" i="5" a="1"/>
  <c r="O1113" i="5"/>
  <c r="N1113" i="5"/>
  <c r="M1113" i="5"/>
  <c r="O1112" i="5" a="1"/>
  <c r="O1112" i="5"/>
  <c r="N1112" i="5"/>
  <c r="M1112" i="5"/>
  <c r="O1111" i="5" a="1"/>
  <c r="O1111" i="5"/>
  <c r="N1111" i="5"/>
  <c r="M1111" i="5"/>
  <c r="O1110" i="5" a="1"/>
  <c r="O1110" i="5"/>
  <c r="N1110" i="5"/>
  <c r="M1110" i="5"/>
  <c r="O1109" i="5" a="1"/>
  <c r="O1109" i="5"/>
  <c r="N1109" i="5"/>
  <c r="M1109" i="5"/>
  <c r="O1108" i="5" a="1"/>
  <c r="O1108" i="5"/>
  <c r="N1108" i="5"/>
  <c r="M1108" i="5"/>
  <c r="O1107" i="5" a="1"/>
  <c r="O1107" i="5"/>
  <c r="N1107" i="5"/>
  <c r="M1107" i="5"/>
  <c r="O1106" i="5" a="1"/>
  <c r="O1106" i="5"/>
  <c r="N1106" i="5"/>
  <c r="M1106" i="5"/>
  <c r="O1105" i="5" a="1"/>
  <c r="O1105" i="5"/>
  <c r="N1105" i="5"/>
  <c r="M1105" i="5"/>
  <c r="O1104" i="5" a="1"/>
  <c r="O1104" i="5"/>
  <c r="N1104" i="5"/>
  <c r="M1104" i="5"/>
  <c r="O1103" i="5" a="1"/>
  <c r="O1103" i="5"/>
  <c r="N1103" i="5"/>
  <c r="M1103" i="5"/>
  <c r="O1102" i="5" a="1"/>
  <c r="O1102" i="5"/>
  <c r="N1102" i="5"/>
  <c r="M1102" i="5"/>
  <c r="O1101" i="5" a="1"/>
  <c r="O1101" i="5"/>
  <c r="N1101" i="5"/>
  <c r="M1101" i="5"/>
  <c r="O1100" i="5" a="1"/>
  <c r="O1100" i="5"/>
  <c r="N1100" i="5"/>
  <c r="M1100" i="5"/>
  <c r="O1099" i="5" a="1"/>
  <c r="O1099" i="5"/>
  <c r="N1099" i="5"/>
  <c r="M1099" i="5"/>
  <c r="O1098" i="5" a="1"/>
  <c r="O1098" i="5"/>
  <c r="N1098" i="5"/>
  <c r="M1098" i="5"/>
  <c r="O1097" i="5" a="1"/>
  <c r="O1097" i="5"/>
  <c r="N1097" i="5"/>
  <c r="M1097" i="5"/>
  <c r="O1096" i="5" a="1"/>
  <c r="O1096" i="5"/>
  <c r="N1096" i="5"/>
  <c r="M1096" i="5"/>
  <c r="O1095" i="5" a="1"/>
  <c r="O1095" i="5"/>
  <c r="N1095" i="5"/>
  <c r="M1095" i="5"/>
  <c r="O1094" i="5" a="1"/>
  <c r="O1094" i="5"/>
  <c r="N1094" i="5"/>
  <c r="M1094" i="5"/>
  <c r="O1093" i="5" a="1"/>
  <c r="O1093" i="5"/>
  <c r="N1093" i="5"/>
  <c r="M1093" i="5"/>
  <c r="O1092" i="5" a="1"/>
  <c r="O1092" i="5"/>
  <c r="N1092" i="5"/>
  <c r="M1092" i="5"/>
  <c r="O1091" i="5" a="1"/>
  <c r="O1091" i="5"/>
  <c r="N1091" i="5"/>
  <c r="M1091" i="5"/>
  <c r="O1090" i="5" a="1"/>
  <c r="O1090" i="5"/>
  <c r="N1090" i="5"/>
  <c r="M1090" i="5"/>
  <c r="O1089" i="5" a="1"/>
  <c r="O1089" i="5"/>
  <c r="N1089" i="5"/>
  <c r="M1089" i="5"/>
  <c r="O1088" i="5" a="1"/>
  <c r="O1088" i="5"/>
  <c r="N1088" i="5"/>
  <c r="M1088" i="5"/>
  <c r="O1087" i="5" a="1"/>
  <c r="O1087" i="5"/>
  <c r="N1087" i="5"/>
  <c r="M1087" i="5"/>
  <c r="O1086" i="5" a="1"/>
  <c r="O1086" i="5"/>
  <c r="N1086" i="5"/>
  <c r="M1086" i="5"/>
  <c r="O1085" i="5" a="1"/>
  <c r="O1085" i="5"/>
  <c r="N1085" i="5"/>
  <c r="M1085" i="5"/>
  <c r="O1084" i="5" a="1"/>
  <c r="O1084" i="5"/>
  <c r="N1084" i="5"/>
  <c r="M1084" i="5"/>
  <c r="O1083" i="5" a="1"/>
  <c r="O1083" i="5"/>
  <c r="N1083" i="5"/>
  <c r="M1083" i="5"/>
  <c r="O1082" i="5" a="1"/>
  <c r="O1082" i="5"/>
  <c r="N1082" i="5"/>
  <c r="M1082" i="5"/>
  <c r="O1081" i="5" a="1"/>
  <c r="O1081" i="5"/>
  <c r="N1081" i="5"/>
  <c r="M1081" i="5"/>
  <c r="O1080" i="5" a="1"/>
  <c r="O1080" i="5"/>
  <c r="N1080" i="5"/>
  <c r="M1080" i="5"/>
  <c r="O1079" i="5" a="1"/>
  <c r="O1079" i="5"/>
  <c r="N1079" i="5"/>
  <c r="M1079" i="5"/>
  <c r="O1078" i="5" a="1"/>
  <c r="O1078" i="5"/>
  <c r="N1078" i="5"/>
  <c r="M1078" i="5"/>
  <c r="O1077" i="5" a="1"/>
  <c r="O1077" i="5"/>
  <c r="N1077" i="5"/>
  <c r="M1077" i="5"/>
  <c r="O1076" i="5" a="1"/>
  <c r="O1076" i="5"/>
  <c r="N1076" i="5"/>
  <c r="M1076" i="5"/>
  <c r="O1075" i="5" a="1"/>
  <c r="O1075" i="5"/>
  <c r="N1075" i="5"/>
  <c r="M1075" i="5"/>
  <c r="O1074" i="5" a="1"/>
  <c r="O1074" i="5"/>
  <c r="N1074" i="5"/>
  <c r="M1074" i="5"/>
  <c r="O1073" i="5" a="1"/>
  <c r="O1073" i="5"/>
  <c r="N1073" i="5"/>
  <c r="M1073" i="5"/>
  <c r="O1072" i="5" a="1"/>
  <c r="O1072" i="5"/>
  <c r="N1072" i="5"/>
  <c r="M1072" i="5"/>
  <c r="O1071" i="5" a="1"/>
  <c r="O1071" i="5"/>
  <c r="N1071" i="5"/>
  <c r="M1071" i="5"/>
  <c r="O1070" i="5" a="1"/>
  <c r="O1070" i="5"/>
  <c r="N1070" i="5"/>
  <c r="M1070" i="5"/>
  <c r="O1069" i="5" a="1"/>
  <c r="O1069" i="5"/>
  <c r="N1069" i="5"/>
  <c r="M1069" i="5"/>
  <c r="O1068" i="5" a="1"/>
  <c r="O1068" i="5"/>
  <c r="N1068" i="5"/>
  <c r="M1068" i="5"/>
  <c r="O1067" i="5" a="1"/>
  <c r="O1067" i="5"/>
  <c r="N1067" i="5"/>
  <c r="M1067" i="5"/>
  <c r="O1066" i="5" a="1"/>
  <c r="O1066" i="5"/>
  <c r="N1066" i="5"/>
  <c r="M1066" i="5"/>
  <c r="O1065" i="5" a="1"/>
  <c r="O1065" i="5"/>
  <c r="N1065" i="5"/>
  <c r="M1065" i="5"/>
  <c r="O1064" i="5" a="1"/>
  <c r="O1064" i="5"/>
  <c r="N1064" i="5"/>
  <c r="M1064" i="5"/>
  <c r="O1063" i="5" a="1"/>
  <c r="O1063" i="5"/>
  <c r="N1063" i="5"/>
  <c r="M1063" i="5"/>
  <c r="O1062" i="5" a="1"/>
  <c r="O1062" i="5"/>
  <c r="N1062" i="5"/>
  <c r="M1062" i="5"/>
  <c r="O1061" i="5" a="1"/>
  <c r="O1061" i="5"/>
  <c r="N1061" i="5"/>
  <c r="M1061" i="5"/>
  <c r="O1060" i="5" a="1"/>
  <c r="O1060" i="5"/>
  <c r="N1060" i="5"/>
  <c r="M1060" i="5"/>
  <c r="O1059" i="5" a="1"/>
  <c r="O1059" i="5"/>
  <c r="N1059" i="5"/>
  <c r="M1059" i="5"/>
  <c r="O1058" i="5" a="1"/>
  <c r="O1058" i="5"/>
  <c r="N1058" i="5"/>
  <c r="M1058" i="5"/>
  <c r="O1057" i="5" a="1"/>
  <c r="O1057" i="5"/>
  <c r="N1057" i="5"/>
  <c r="M1057" i="5"/>
  <c r="O1056" i="5" a="1"/>
  <c r="O1056" i="5"/>
  <c r="N1056" i="5"/>
  <c r="M1056" i="5"/>
  <c r="O1055" i="5" a="1"/>
  <c r="O1055" i="5"/>
  <c r="N1055" i="5"/>
  <c r="M1055" i="5"/>
  <c r="O1054" i="5" a="1"/>
  <c r="O1054" i="5"/>
  <c r="N1054" i="5"/>
  <c r="M1054" i="5"/>
  <c r="O1053" i="5" a="1"/>
  <c r="O1053" i="5"/>
  <c r="N1053" i="5"/>
  <c r="M1053" i="5"/>
  <c r="O1052" i="5" a="1"/>
  <c r="O1052" i="5"/>
  <c r="N1052" i="5"/>
  <c r="M1052" i="5"/>
  <c r="O1051" i="5" a="1"/>
  <c r="O1051" i="5"/>
  <c r="N1051" i="5"/>
  <c r="M1051" i="5"/>
  <c r="O1050" i="5" a="1"/>
  <c r="O1050" i="5"/>
  <c r="N1050" i="5"/>
  <c r="M1050" i="5"/>
  <c r="O1049" i="5" a="1"/>
  <c r="O1049" i="5"/>
  <c r="N1049" i="5"/>
  <c r="M1049" i="5"/>
  <c r="O1048" i="5" a="1"/>
  <c r="O1048" i="5"/>
  <c r="N1048" i="5"/>
  <c r="M1048" i="5"/>
  <c r="O1047" i="5" a="1"/>
  <c r="O1047" i="5"/>
  <c r="N1047" i="5"/>
  <c r="M1047" i="5"/>
  <c r="O1046" i="5" a="1"/>
  <c r="O1046" i="5"/>
  <c r="N1046" i="5"/>
  <c r="M1046" i="5"/>
  <c r="O1045" i="5" a="1"/>
  <c r="O1045" i="5"/>
  <c r="N1045" i="5"/>
  <c r="M1045" i="5"/>
  <c r="O1044" i="5" a="1"/>
  <c r="O1044" i="5"/>
  <c r="N1044" i="5"/>
  <c r="M1044" i="5"/>
  <c r="O1043" i="5" a="1"/>
  <c r="O1043" i="5"/>
  <c r="N1043" i="5"/>
  <c r="M1043" i="5"/>
  <c r="O1042" i="5" a="1"/>
  <c r="O1042" i="5"/>
  <c r="N1042" i="5"/>
  <c r="M1042" i="5"/>
  <c r="O1041" i="5" a="1"/>
  <c r="O1041" i="5"/>
  <c r="N1041" i="5"/>
  <c r="M1041" i="5"/>
  <c r="O1040" i="5" a="1"/>
  <c r="O1040" i="5"/>
  <c r="N1040" i="5"/>
  <c r="M1040" i="5"/>
  <c r="O1039" i="5" a="1"/>
  <c r="O1039" i="5"/>
  <c r="N1039" i="5"/>
  <c r="M1039" i="5"/>
  <c r="O1038" i="5" a="1"/>
  <c r="O1038" i="5"/>
  <c r="N1038" i="5"/>
  <c r="M1038" i="5"/>
  <c r="O1037" i="5" a="1"/>
  <c r="O1037" i="5"/>
  <c r="N1037" i="5"/>
  <c r="M1037" i="5"/>
  <c r="O1036" i="5" a="1"/>
  <c r="O1036" i="5"/>
  <c r="N1036" i="5"/>
  <c r="M1036" i="5"/>
  <c r="O1035" i="5" a="1"/>
  <c r="O1035" i="5"/>
  <c r="N1035" i="5"/>
  <c r="M1035" i="5"/>
  <c r="O1034" i="5" a="1"/>
  <c r="O1034" i="5"/>
  <c r="N1034" i="5"/>
  <c r="M1034" i="5"/>
  <c r="O1033" i="5" a="1"/>
  <c r="O1033" i="5"/>
  <c r="N1033" i="5"/>
  <c r="M1033" i="5"/>
  <c r="O1032" i="5" a="1"/>
  <c r="O1032" i="5"/>
  <c r="N1032" i="5"/>
  <c r="M1032" i="5"/>
  <c r="O1031" i="5" a="1"/>
  <c r="O1031" i="5"/>
  <c r="N1031" i="5"/>
  <c r="M1031" i="5"/>
  <c r="O1030" i="5" a="1"/>
  <c r="O1030" i="5"/>
  <c r="N1030" i="5"/>
  <c r="M1030" i="5"/>
  <c r="O1029" i="5" a="1"/>
  <c r="O1029" i="5"/>
  <c r="N1029" i="5"/>
  <c r="M1029" i="5"/>
  <c r="O1028" i="5" a="1"/>
  <c r="O1028" i="5"/>
  <c r="N1028" i="5"/>
  <c r="M1028" i="5"/>
  <c r="O1027" i="5" a="1"/>
  <c r="O1027" i="5"/>
  <c r="N1027" i="5"/>
  <c r="M1027" i="5"/>
  <c r="O1026" i="5" a="1"/>
  <c r="O1026" i="5"/>
  <c r="N1026" i="5"/>
  <c r="M1026" i="5"/>
  <c r="O1025" i="5" a="1"/>
  <c r="O1025" i="5"/>
  <c r="N1025" i="5"/>
  <c r="M1025" i="5"/>
  <c r="O1024" i="5" a="1"/>
  <c r="O1024" i="5"/>
  <c r="N1024" i="5"/>
  <c r="M1024" i="5"/>
  <c r="O1023" i="5" a="1"/>
  <c r="O1023" i="5"/>
  <c r="N1023" i="5"/>
  <c r="M1023" i="5"/>
  <c r="O1022" i="5" a="1"/>
  <c r="O1022" i="5"/>
  <c r="N1022" i="5"/>
  <c r="M1022" i="5"/>
  <c r="O1021" i="5" a="1"/>
  <c r="O1021" i="5"/>
  <c r="N1021" i="5"/>
  <c r="M1021" i="5"/>
  <c r="O1020" i="5" a="1"/>
  <c r="O1020" i="5"/>
  <c r="N1020" i="5"/>
  <c r="M1020" i="5"/>
  <c r="O1019" i="5" a="1"/>
  <c r="O1019" i="5"/>
  <c r="N1019" i="5"/>
  <c r="M1019" i="5"/>
  <c r="O1018" i="5" a="1"/>
  <c r="O1018" i="5"/>
  <c r="N1018" i="5"/>
  <c r="M1018" i="5"/>
  <c r="O1017" i="5" a="1"/>
  <c r="O1017" i="5"/>
  <c r="N1017" i="5"/>
  <c r="M1017" i="5"/>
  <c r="O1016" i="5" a="1"/>
  <c r="O1016" i="5"/>
  <c r="N1016" i="5"/>
  <c r="M1016" i="5"/>
  <c r="O1015" i="5" a="1"/>
  <c r="O1015" i="5"/>
  <c r="N1015" i="5"/>
  <c r="M1015" i="5"/>
  <c r="O1014" i="5" a="1"/>
  <c r="O1014" i="5"/>
  <c r="N1014" i="5"/>
  <c r="M1014" i="5"/>
  <c r="O1013" i="5" a="1"/>
  <c r="O1013" i="5"/>
  <c r="N1013" i="5"/>
  <c r="M1013" i="5"/>
  <c r="O1012" i="5" a="1"/>
  <c r="O1012" i="5"/>
  <c r="N1012" i="5"/>
  <c r="M1012" i="5"/>
  <c r="O1011" i="5" a="1"/>
  <c r="O1011" i="5"/>
  <c r="N1011" i="5"/>
  <c r="M1011" i="5"/>
  <c r="O1010" i="5" a="1"/>
  <c r="O1010" i="5"/>
  <c r="N1010" i="5"/>
  <c r="M1010" i="5"/>
  <c r="O1009" i="5" a="1"/>
  <c r="O1009" i="5"/>
  <c r="N1009" i="5"/>
  <c r="M1009" i="5"/>
  <c r="O1008" i="5" a="1"/>
  <c r="O1008" i="5"/>
  <c r="N1008" i="5"/>
  <c r="M1008" i="5"/>
  <c r="O1007" i="5" a="1"/>
  <c r="O1007" i="5"/>
  <c r="N1007" i="5"/>
  <c r="M1007" i="5"/>
  <c r="O1006" i="5" a="1"/>
  <c r="O1006" i="5"/>
  <c r="N1006" i="5"/>
  <c r="M1006" i="5"/>
  <c r="O1005" i="5" a="1"/>
  <c r="O1005" i="5"/>
  <c r="N1005" i="5"/>
  <c r="M1005" i="5"/>
  <c r="O1004" i="5" a="1"/>
  <c r="O1004" i="5"/>
  <c r="N1004" i="5"/>
  <c r="M1004" i="5"/>
  <c r="O1003" i="5" a="1"/>
  <c r="O1003" i="5"/>
  <c r="N1003" i="5"/>
  <c r="M1003" i="5"/>
  <c r="O1002" i="5" a="1"/>
  <c r="O1002" i="5"/>
  <c r="N1002" i="5"/>
  <c r="M1002" i="5"/>
  <c r="O1001" i="5" a="1"/>
  <c r="O1001" i="5"/>
  <c r="N1001" i="5"/>
  <c r="M1001" i="5"/>
  <c r="O1000" i="5" a="1"/>
  <c r="O1000" i="5"/>
  <c r="N1000" i="5"/>
  <c r="M1000" i="5"/>
  <c r="O999" i="5" a="1"/>
  <c r="O999" i="5"/>
  <c r="N999" i="5"/>
  <c r="M999" i="5"/>
  <c r="O998" i="5" a="1"/>
  <c r="O998" i="5"/>
  <c r="N998" i="5"/>
  <c r="M998" i="5"/>
  <c r="O997" i="5" a="1"/>
  <c r="O997" i="5"/>
  <c r="N997" i="5"/>
  <c r="M997" i="5"/>
  <c r="O996" i="5" a="1"/>
  <c r="O996" i="5"/>
  <c r="N996" i="5"/>
  <c r="M996" i="5"/>
  <c r="O995" i="5" a="1"/>
  <c r="O995" i="5"/>
  <c r="N995" i="5"/>
  <c r="M995" i="5"/>
  <c r="O994" i="5" a="1"/>
  <c r="O994" i="5"/>
  <c r="N994" i="5"/>
  <c r="M994" i="5"/>
  <c r="O993" i="5" a="1"/>
  <c r="O993" i="5"/>
  <c r="N993" i="5"/>
  <c r="M993" i="5"/>
  <c r="O992" i="5" a="1"/>
  <c r="O992" i="5"/>
  <c r="N992" i="5"/>
  <c r="M992" i="5"/>
  <c r="O991" i="5" a="1"/>
  <c r="O991" i="5"/>
  <c r="N991" i="5"/>
  <c r="M991" i="5"/>
  <c r="O990" i="5" a="1"/>
  <c r="O990" i="5"/>
  <c r="N990" i="5"/>
  <c r="M990" i="5"/>
  <c r="O989" i="5" a="1"/>
  <c r="O989" i="5"/>
  <c r="N989" i="5"/>
  <c r="M989" i="5"/>
  <c r="O988" i="5" a="1"/>
  <c r="O988" i="5"/>
  <c r="N988" i="5"/>
  <c r="M988" i="5"/>
  <c r="O987" i="5" a="1"/>
  <c r="O987" i="5"/>
  <c r="N987" i="5"/>
  <c r="M987" i="5"/>
  <c r="O986" i="5" a="1"/>
  <c r="O986" i="5"/>
  <c r="N986" i="5"/>
  <c r="M986" i="5"/>
  <c r="O985" i="5" a="1"/>
  <c r="O985" i="5"/>
  <c r="N985" i="5"/>
  <c r="M985" i="5"/>
  <c r="O984" i="5" a="1"/>
  <c r="O984" i="5"/>
  <c r="N984" i="5"/>
  <c r="M984" i="5"/>
  <c r="O983" i="5" a="1"/>
  <c r="O983" i="5"/>
  <c r="N983" i="5"/>
  <c r="M983" i="5"/>
  <c r="O982" i="5" a="1"/>
  <c r="O982" i="5"/>
  <c r="N982" i="5"/>
  <c r="M982" i="5"/>
  <c r="O981" i="5" a="1"/>
  <c r="O981" i="5"/>
  <c r="N981" i="5"/>
  <c r="M981" i="5"/>
  <c r="O980" i="5" a="1"/>
  <c r="O980" i="5"/>
  <c r="N980" i="5"/>
  <c r="M980" i="5"/>
  <c r="O979" i="5" a="1"/>
  <c r="O979" i="5"/>
  <c r="N979" i="5"/>
  <c r="M979" i="5"/>
  <c r="O978" i="5" a="1"/>
  <c r="O978" i="5"/>
  <c r="N978" i="5"/>
  <c r="M978" i="5"/>
  <c r="O977" i="5" a="1"/>
  <c r="O977" i="5"/>
  <c r="N977" i="5"/>
  <c r="M977" i="5"/>
  <c r="O976" i="5" a="1"/>
  <c r="O976" i="5"/>
  <c r="N976" i="5"/>
  <c r="M976" i="5"/>
  <c r="O975" i="5" a="1"/>
  <c r="O975" i="5"/>
  <c r="N975" i="5"/>
  <c r="M975" i="5"/>
  <c r="O974" i="5" a="1"/>
  <c r="O974" i="5"/>
  <c r="N974" i="5"/>
  <c r="M974" i="5"/>
  <c r="O973" i="5" a="1"/>
  <c r="O973" i="5"/>
  <c r="N973" i="5"/>
  <c r="M973" i="5"/>
  <c r="O972" i="5" a="1"/>
  <c r="O972" i="5"/>
  <c r="N972" i="5"/>
  <c r="M972" i="5"/>
  <c r="O971" i="5" a="1"/>
  <c r="O971" i="5"/>
  <c r="N971" i="5"/>
  <c r="M971" i="5"/>
  <c r="O970" i="5" a="1"/>
  <c r="O970" i="5"/>
  <c r="N970" i="5"/>
  <c r="M970" i="5"/>
  <c r="O969" i="5" a="1"/>
  <c r="O969" i="5"/>
  <c r="N969" i="5"/>
  <c r="M969" i="5"/>
  <c r="O968" i="5" a="1"/>
  <c r="O968" i="5"/>
  <c r="N968" i="5"/>
  <c r="M968" i="5"/>
  <c r="O967" i="5" a="1"/>
  <c r="O967" i="5"/>
  <c r="N967" i="5"/>
  <c r="M967" i="5"/>
  <c r="O966" i="5" a="1"/>
  <c r="O966" i="5"/>
  <c r="N966" i="5"/>
  <c r="M966" i="5"/>
  <c r="O965" i="5" a="1"/>
  <c r="O965" i="5"/>
  <c r="N965" i="5"/>
  <c r="M965" i="5"/>
  <c r="O964" i="5" a="1"/>
  <c r="O964" i="5"/>
  <c r="N964" i="5"/>
  <c r="M964" i="5"/>
  <c r="O963" i="5" a="1"/>
  <c r="O963" i="5"/>
  <c r="N963" i="5"/>
  <c r="M963" i="5"/>
  <c r="O962" i="5" a="1"/>
  <c r="O962" i="5"/>
  <c r="N962" i="5"/>
  <c r="M962" i="5"/>
  <c r="O961" i="5" a="1"/>
  <c r="O961" i="5"/>
  <c r="N961" i="5"/>
  <c r="M961" i="5"/>
  <c r="O960" i="5" a="1"/>
  <c r="O960" i="5"/>
  <c r="N960" i="5"/>
  <c r="M960" i="5"/>
  <c r="O959" i="5" a="1"/>
  <c r="O959" i="5"/>
  <c r="N959" i="5"/>
  <c r="M959" i="5"/>
  <c r="O958" i="5" a="1"/>
  <c r="O958" i="5"/>
  <c r="N958" i="5"/>
  <c r="M958" i="5"/>
  <c r="O957" i="5" a="1"/>
  <c r="O957" i="5"/>
  <c r="N957" i="5"/>
  <c r="M957" i="5"/>
  <c r="O956" i="5" a="1"/>
  <c r="O956" i="5"/>
  <c r="N956" i="5"/>
  <c r="M956" i="5"/>
  <c r="O955" i="5" a="1"/>
  <c r="O955" i="5"/>
  <c r="N955" i="5"/>
  <c r="M955" i="5"/>
  <c r="O954" i="5" a="1"/>
  <c r="O954" i="5"/>
  <c r="N954" i="5"/>
  <c r="M954" i="5"/>
  <c r="O953" i="5" a="1"/>
  <c r="O953" i="5"/>
  <c r="N953" i="5"/>
  <c r="M953" i="5"/>
  <c r="O952" i="5" a="1"/>
  <c r="O952" i="5"/>
  <c r="N952" i="5"/>
  <c r="M952" i="5"/>
  <c r="O951" i="5" a="1"/>
  <c r="O951" i="5"/>
  <c r="N951" i="5"/>
  <c r="M951" i="5"/>
  <c r="O950" i="5" a="1"/>
  <c r="O950" i="5"/>
  <c r="N950" i="5"/>
  <c r="M950" i="5"/>
  <c r="O949" i="5" a="1"/>
  <c r="O949" i="5"/>
  <c r="N949" i="5"/>
  <c r="M949" i="5"/>
  <c r="O948" i="5" a="1"/>
  <c r="O948" i="5"/>
  <c r="N948" i="5"/>
  <c r="M948" i="5"/>
  <c r="O947" i="5" a="1"/>
  <c r="O947" i="5"/>
  <c r="N947" i="5"/>
  <c r="M947" i="5"/>
  <c r="O946" i="5" a="1"/>
  <c r="O946" i="5"/>
  <c r="N946" i="5"/>
  <c r="M946" i="5"/>
  <c r="O945" i="5" a="1"/>
  <c r="O945" i="5"/>
  <c r="N945" i="5"/>
  <c r="M945" i="5"/>
  <c r="O944" i="5" a="1"/>
  <c r="O944" i="5"/>
  <c r="N944" i="5"/>
  <c r="M944" i="5"/>
  <c r="O943" i="5" a="1"/>
  <c r="O943" i="5"/>
  <c r="N943" i="5"/>
  <c r="M943" i="5"/>
  <c r="O942" i="5" a="1"/>
  <c r="O942" i="5"/>
  <c r="N942" i="5"/>
  <c r="M942" i="5"/>
  <c r="O941" i="5" a="1"/>
  <c r="O941" i="5"/>
  <c r="N941" i="5"/>
  <c r="M941" i="5"/>
  <c r="O940" i="5" a="1"/>
  <c r="O940" i="5"/>
  <c r="N940" i="5"/>
  <c r="M940" i="5"/>
  <c r="O939" i="5" a="1"/>
  <c r="O939" i="5"/>
  <c r="N939" i="5"/>
  <c r="M939" i="5"/>
  <c r="O938" i="5" a="1"/>
  <c r="O938" i="5"/>
  <c r="N938" i="5"/>
  <c r="M938" i="5"/>
  <c r="O937" i="5" a="1"/>
  <c r="O937" i="5"/>
  <c r="N937" i="5"/>
  <c r="M937" i="5"/>
  <c r="O936" i="5" a="1"/>
  <c r="O936" i="5"/>
  <c r="N936" i="5"/>
  <c r="M936" i="5"/>
  <c r="O935" i="5" a="1"/>
  <c r="O935" i="5"/>
  <c r="N935" i="5"/>
  <c r="M935" i="5"/>
  <c r="O934" i="5" a="1"/>
  <c r="O934" i="5"/>
  <c r="N934" i="5"/>
  <c r="M934" i="5"/>
  <c r="O933" i="5" a="1"/>
  <c r="O933" i="5"/>
  <c r="N933" i="5"/>
  <c r="M933" i="5"/>
  <c r="O932" i="5" a="1"/>
  <c r="O932" i="5"/>
  <c r="N932" i="5"/>
  <c r="M932" i="5"/>
  <c r="O931" i="5" a="1"/>
  <c r="O931" i="5"/>
  <c r="N931" i="5"/>
  <c r="M931" i="5"/>
  <c r="O930" i="5" a="1"/>
  <c r="O930" i="5"/>
  <c r="N930" i="5"/>
  <c r="M930" i="5"/>
  <c r="O929" i="5" a="1"/>
  <c r="O929" i="5"/>
  <c r="N929" i="5"/>
  <c r="M929" i="5"/>
  <c r="O928" i="5" a="1"/>
  <c r="O928" i="5"/>
  <c r="N928" i="5"/>
  <c r="M928" i="5"/>
  <c r="O927" i="5" a="1"/>
  <c r="O927" i="5"/>
  <c r="N927" i="5"/>
  <c r="M927" i="5"/>
  <c r="O926" i="5" a="1"/>
  <c r="O926" i="5"/>
  <c r="N926" i="5"/>
  <c r="M926" i="5"/>
  <c r="O925" i="5" a="1"/>
  <c r="O925" i="5"/>
  <c r="N925" i="5"/>
  <c r="M925" i="5"/>
  <c r="O924" i="5" a="1"/>
  <c r="O924" i="5"/>
  <c r="N924" i="5"/>
  <c r="M924" i="5"/>
  <c r="O923" i="5" a="1"/>
  <c r="O923" i="5"/>
  <c r="N923" i="5"/>
  <c r="M923" i="5"/>
  <c r="O922" i="5" a="1"/>
  <c r="O922" i="5"/>
  <c r="N922" i="5"/>
  <c r="M922" i="5"/>
  <c r="O921" i="5" a="1"/>
  <c r="O921" i="5"/>
  <c r="N921" i="5"/>
  <c r="M921" i="5"/>
  <c r="O920" i="5" a="1"/>
  <c r="O920" i="5"/>
  <c r="N920" i="5"/>
  <c r="M920" i="5"/>
  <c r="O919" i="5" a="1"/>
  <c r="O919" i="5"/>
  <c r="N919" i="5"/>
  <c r="M919" i="5"/>
  <c r="O918" i="5" a="1"/>
  <c r="O918" i="5"/>
  <c r="N918" i="5"/>
  <c r="M918" i="5"/>
  <c r="O917" i="5" a="1"/>
  <c r="O917" i="5"/>
  <c r="N917" i="5"/>
  <c r="M917" i="5"/>
  <c r="O916" i="5" a="1"/>
  <c r="O916" i="5"/>
  <c r="N916" i="5"/>
  <c r="M916" i="5"/>
  <c r="O915" i="5" a="1"/>
  <c r="O915" i="5"/>
  <c r="N915" i="5"/>
  <c r="M915" i="5"/>
  <c r="O914" i="5" a="1"/>
  <c r="O914" i="5"/>
  <c r="N914" i="5"/>
  <c r="M914" i="5"/>
  <c r="O913" i="5" a="1"/>
  <c r="O913" i="5"/>
  <c r="N913" i="5"/>
  <c r="M913" i="5"/>
  <c r="O912" i="5" a="1"/>
  <c r="O912" i="5"/>
  <c r="N912" i="5"/>
  <c r="M912" i="5"/>
  <c r="O911" i="5" a="1"/>
  <c r="O911" i="5"/>
  <c r="N911" i="5"/>
  <c r="M911" i="5"/>
  <c r="O910" i="5" a="1"/>
  <c r="O910" i="5"/>
  <c r="N910" i="5"/>
  <c r="M910" i="5"/>
  <c r="O909" i="5" a="1"/>
  <c r="O909" i="5"/>
  <c r="N909" i="5"/>
  <c r="M909" i="5"/>
  <c r="O908" i="5" a="1"/>
  <c r="O908" i="5"/>
  <c r="N908" i="5"/>
  <c r="M908" i="5"/>
  <c r="O907" i="5" a="1"/>
  <c r="O907" i="5"/>
  <c r="N907" i="5"/>
  <c r="M907" i="5"/>
  <c r="O906" i="5" a="1"/>
  <c r="O906" i="5"/>
  <c r="N906" i="5"/>
  <c r="M906" i="5"/>
  <c r="O905" i="5" a="1"/>
  <c r="O905" i="5"/>
  <c r="N905" i="5"/>
  <c r="M905" i="5"/>
  <c r="O904" i="5" a="1"/>
  <c r="O904" i="5"/>
  <c r="N904" i="5"/>
  <c r="M904" i="5"/>
  <c r="O903" i="5" a="1"/>
  <c r="O903" i="5"/>
  <c r="N903" i="5"/>
  <c r="M903" i="5"/>
  <c r="O902" i="5" a="1"/>
  <c r="O902" i="5"/>
  <c r="N902" i="5"/>
  <c r="M902" i="5"/>
  <c r="O901" i="5" a="1"/>
  <c r="O901" i="5"/>
  <c r="N901" i="5"/>
  <c r="M901" i="5"/>
  <c r="O900" i="5" a="1"/>
  <c r="O900" i="5"/>
  <c r="N900" i="5"/>
  <c r="M900" i="5"/>
  <c r="O899" i="5" a="1"/>
  <c r="O899" i="5"/>
  <c r="N899" i="5"/>
  <c r="M899" i="5"/>
  <c r="O898" i="5" a="1"/>
  <c r="O898" i="5"/>
  <c r="N898" i="5"/>
  <c r="M898" i="5"/>
  <c r="O897" i="5" a="1"/>
  <c r="O897" i="5"/>
  <c r="N897" i="5"/>
  <c r="M897" i="5"/>
  <c r="O896" i="5" a="1"/>
  <c r="O896" i="5"/>
  <c r="N896" i="5"/>
  <c r="M896" i="5"/>
  <c r="O895" i="5" a="1"/>
  <c r="O895" i="5"/>
  <c r="N895" i="5"/>
  <c r="M895" i="5"/>
  <c r="O894" i="5" a="1"/>
  <c r="O894" i="5"/>
  <c r="N894" i="5"/>
  <c r="M894" i="5"/>
  <c r="O893" i="5" a="1"/>
  <c r="O893" i="5"/>
  <c r="N893" i="5"/>
  <c r="M893" i="5"/>
  <c r="O892" i="5" a="1"/>
  <c r="O892" i="5"/>
  <c r="N892" i="5"/>
  <c r="M892" i="5"/>
  <c r="O891" i="5" a="1"/>
  <c r="O891" i="5"/>
  <c r="N891" i="5"/>
  <c r="M891" i="5"/>
  <c r="O890" i="5" a="1"/>
  <c r="O890" i="5"/>
  <c r="N890" i="5"/>
  <c r="M890" i="5"/>
  <c r="O889" i="5" a="1"/>
  <c r="O889" i="5"/>
  <c r="N889" i="5"/>
  <c r="M889" i="5"/>
  <c r="O888" i="5" a="1"/>
  <c r="O888" i="5"/>
  <c r="N888" i="5"/>
  <c r="M888" i="5"/>
  <c r="O887" i="5" a="1"/>
  <c r="O887" i="5"/>
  <c r="N887" i="5"/>
  <c r="M887" i="5"/>
  <c r="O886" i="5" a="1"/>
  <c r="O886" i="5"/>
  <c r="N886" i="5"/>
  <c r="M886" i="5"/>
  <c r="O885" i="5" a="1"/>
  <c r="O885" i="5"/>
  <c r="N885" i="5"/>
  <c r="M885" i="5"/>
  <c r="O884" i="5" a="1"/>
  <c r="O884" i="5"/>
  <c r="N884" i="5"/>
  <c r="M884" i="5"/>
  <c r="O883" i="5" a="1"/>
  <c r="O883" i="5"/>
  <c r="N883" i="5"/>
  <c r="M883" i="5"/>
  <c r="O882" i="5" a="1"/>
  <c r="O882" i="5"/>
  <c r="N882" i="5"/>
  <c r="M882" i="5"/>
  <c r="O881" i="5" a="1"/>
  <c r="O881" i="5"/>
  <c r="N881" i="5"/>
  <c r="M881" i="5"/>
  <c r="O880" i="5" a="1"/>
  <c r="O880" i="5"/>
  <c r="N880" i="5"/>
  <c r="M880" i="5"/>
  <c r="O879" i="5" a="1"/>
  <c r="O879" i="5"/>
  <c r="N879" i="5"/>
  <c r="M879" i="5"/>
  <c r="O878" i="5" a="1"/>
  <c r="O878" i="5"/>
  <c r="N878" i="5"/>
  <c r="M878" i="5"/>
  <c r="O877" i="5" a="1"/>
  <c r="O877" i="5"/>
  <c r="N877" i="5"/>
  <c r="M877" i="5"/>
  <c r="O876" i="5" a="1"/>
  <c r="O876" i="5"/>
  <c r="N876" i="5"/>
  <c r="M876" i="5"/>
  <c r="O875" i="5" a="1"/>
  <c r="O875" i="5"/>
  <c r="N875" i="5"/>
  <c r="M875" i="5"/>
  <c r="O874" i="5" a="1"/>
  <c r="O874" i="5"/>
  <c r="N874" i="5"/>
  <c r="M874" i="5"/>
  <c r="O873" i="5" a="1"/>
  <c r="O873" i="5"/>
  <c r="N873" i="5"/>
  <c r="M873" i="5"/>
  <c r="O872" i="5" a="1"/>
  <c r="O872" i="5"/>
  <c r="N872" i="5"/>
  <c r="M872" i="5"/>
  <c r="O871" i="5" a="1"/>
  <c r="O871" i="5"/>
  <c r="N871" i="5"/>
  <c r="M871" i="5"/>
  <c r="O870" i="5" a="1"/>
  <c r="O870" i="5"/>
  <c r="N870" i="5"/>
  <c r="M870" i="5"/>
  <c r="O869" i="5" a="1"/>
  <c r="O869" i="5"/>
  <c r="N869" i="5"/>
  <c r="M869" i="5"/>
  <c r="O868" i="5" a="1"/>
  <c r="O868" i="5"/>
  <c r="N868" i="5"/>
  <c r="M868" i="5"/>
  <c r="O867" i="5" a="1"/>
  <c r="O867" i="5"/>
  <c r="N867" i="5"/>
  <c r="M867" i="5"/>
  <c r="O866" i="5" a="1"/>
  <c r="O866" i="5"/>
  <c r="N866" i="5"/>
  <c r="M866" i="5"/>
  <c r="O865" i="5" a="1"/>
  <c r="O865" i="5"/>
  <c r="N865" i="5"/>
  <c r="M865" i="5"/>
  <c r="O864" i="5" a="1"/>
  <c r="O864" i="5"/>
  <c r="N864" i="5"/>
  <c r="M864" i="5"/>
  <c r="O863" i="5" a="1"/>
  <c r="O863" i="5"/>
  <c r="N863" i="5"/>
  <c r="M863" i="5"/>
  <c r="O862" i="5" a="1"/>
  <c r="O862" i="5"/>
  <c r="N862" i="5"/>
  <c r="M862" i="5"/>
  <c r="O861" i="5" a="1"/>
  <c r="O861" i="5"/>
  <c r="N861" i="5"/>
  <c r="M861" i="5"/>
  <c r="O860" i="5" a="1"/>
  <c r="O860" i="5"/>
  <c r="N860" i="5"/>
  <c r="M860" i="5"/>
  <c r="O859" i="5" a="1"/>
  <c r="O859" i="5"/>
  <c r="N859" i="5"/>
  <c r="M859" i="5"/>
  <c r="O858" i="5" a="1"/>
  <c r="O858" i="5"/>
  <c r="N858" i="5"/>
  <c r="M858" i="5"/>
  <c r="O857" i="5" a="1"/>
  <c r="O857" i="5"/>
  <c r="N857" i="5"/>
  <c r="M857" i="5"/>
  <c r="O856" i="5" a="1"/>
  <c r="O856" i="5"/>
  <c r="N856" i="5"/>
  <c r="M856" i="5"/>
  <c r="O855" i="5" a="1"/>
  <c r="O855" i="5"/>
  <c r="N855" i="5"/>
  <c r="M855" i="5"/>
  <c r="O854" i="5" a="1"/>
  <c r="O854" i="5"/>
  <c r="N854" i="5"/>
  <c r="M854" i="5"/>
  <c r="O853" i="5" a="1"/>
  <c r="O853" i="5"/>
  <c r="N853" i="5"/>
  <c r="M853" i="5"/>
  <c r="O852" i="5" a="1"/>
  <c r="O852" i="5"/>
  <c r="N852" i="5"/>
  <c r="M852" i="5"/>
  <c r="O851" i="5" a="1"/>
  <c r="O851" i="5"/>
  <c r="N851" i="5"/>
  <c r="M851" i="5"/>
  <c r="O850" i="5" a="1"/>
  <c r="O850" i="5"/>
  <c r="N850" i="5"/>
  <c r="M850" i="5"/>
  <c r="O849" i="5" a="1"/>
  <c r="O849" i="5"/>
  <c r="N849" i="5"/>
  <c r="M849" i="5"/>
  <c r="O848" i="5" a="1"/>
  <c r="O848" i="5"/>
  <c r="N848" i="5"/>
  <c r="M848" i="5"/>
  <c r="O847" i="5" a="1"/>
  <c r="O847" i="5"/>
  <c r="N847" i="5"/>
  <c r="M847" i="5"/>
  <c r="O846" i="5" a="1"/>
  <c r="O846" i="5"/>
  <c r="N846" i="5"/>
  <c r="M846" i="5"/>
  <c r="O845" i="5" a="1"/>
  <c r="O845" i="5"/>
  <c r="N845" i="5"/>
  <c r="M845" i="5"/>
  <c r="O844" i="5" a="1"/>
  <c r="O844" i="5"/>
  <c r="N844" i="5"/>
  <c r="M844" i="5"/>
  <c r="O843" i="5" a="1"/>
  <c r="O843" i="5"/>
  <c r="N843" i="5"/>
  <c r="M843" i="5"/>
  <c r="O842" i="5" a="1"/>
  <c r="O842" i="5"/>
  <c r="N842" i="5"/>
  <c r="M842" i="5"/>
  <c r="O841" i="5" a="1"/>
  <c r="O841" i="5"/>
  <c r="N841" i="5"/>
  <c r="M841" i="5"/>
  <c r="O840" i="5" a="1"/>
  <c r="O840" i="5"/>
  <c r="N840" i="5"/>
  <c r="M840" i="5"/>
  <c r="O839" i="5" a="1"/>
  <c r="O839" i="5"/>
  <c r="N839" i="5"/>
  <c r="M839" i="5"/>
  <c r="O838" i="5" a="1"/>
  <c r="O838" i="5"/>
  <c r="N838" i="5"/>
  <c r="M838" i="5"/>
  <c r="O837" i="5" a="1"/>
  <c r="O837" i="5"/>
  <c r="N837" i="5"/>
  <c r="M837" i="5"/>
  <c r="O836" i="5" a="1"/>
  <c r="O836" i="5"/>
  <c r="N836" i="5"/>
  <c r="M836" i="5"/>
  <c r="O835" i="5" a="1"/>
  <c r="O835" i="5"/>
  <c r="N835" i="5"/>
  <c r="M835" i="5"/>
  <c r="O834" i="5" a="1"/>
  <c r="O834" i="5"/>
  <c r="N834" i="5"/>
  <c r="M834" i="5"/>
  <c r="O833" i="5" a="1"/>
  <c r="O833" i="5"/>
  <c r="N833" i="5"/>
  <c r="M833" i="5"/>
  <c r="O832" i="5" a="1"/>
  <c r="O832" i="5"/>
  <c r="N832" i="5"/>
  <c r="M832" i="5"/>
  <c r="O831" i="5" a="1"/>
  <c r="O831" i="5"/>
  <c r="N831" i="5"/>
  <c r="M831" i="5"/>
  <c r="O830" i="5" a="1"/>
  <c r="O830" i="5"/>
  <c r="N830" i="5"/>
  <c r="M830" i="5"/>
  <c r="O829" i="5" a="1"/>
  <c r="O829" i="5"/>
  <c r="N829" i="5"/>
  <c r="M829" i="5"/>
  <c r="O828" i="5" a="1"/>
  <c r="O828" i="5"/>
  <c r="N828" i="5"/>
  <c r="M828" i="5"/>
  <c r="O827" i="5" a="1"/>
  <c r="O827" i="5"/>
  <c r="N827" i="5"/>
  <c r="M827" i="5"/>
  <c r="O826" i="5" a="1"/>
  <c r="O826" i="5"/>
  <c r="N826" i="5"/>
  <c r="M826" i="5"/>
  <c r="O825" i="5" a="1"/>
  <c r="O825" i="5"/>
  <c r="N825" i="5"/>
  <c r="M825" i="5"/>
  <c r="O824" i="5" a="1"/>
  <c r="O824" i="5"/>
  <c r="N824" i="5"/>
  <c r="M824" i="5"/>
  <c r="O823" i="5" a="1"/>
  <c r="O823" i="5"/>
  <c r="N823" i="5"/>
  <c r="M823" i="5"/>
  <c r="O822" i="5" a="1"/>
  <c r="O822" i="5"/>
  <c r="N822" i="5"/>
  <c r="M822" i="5"/>
  <c r="O821" i="5" a="1"/>
  <c r="O821" i="5"/>
  <c r="N821" i="5"/>
  <c r="M821" i="5"/>
  <c r="O820" i="5" a="1"/>
  <c r="O820" i="5"/>
  <c r="N820" i="5"/>
  <c r="M820" i="5"/>
  <c r="O819" i="5" a="1"/>
  <c r="O819" i="5"/>
  <c r="N819" i="5"/>
  <c r="M819" i="5"/>
  <c r="O818" i="5" a="1"/>
  <c r="O818" i="5"/>
  <c r="N818" i="5"/>
  <c r="M818" i="5"/>
  <c r="O817" i="5" a="1"/>
  <c r="O817" i="5"/>
  <c r="N817" i="5"/>
  <c r="M817" i="5"/>
  <c r="O816" i="5" a="1"/>
  <c r="O816" i="5"/>
  <c r="N816" i="5"/>
  <c r="M816" i="5"/>
  <c r="O815" i="5" a="1"/>
  <c r="O815" i="5"/>
  <c r="N815" i="5"/>
  <c r="M815" i="5"/>
  <c r="O814" i="5" a="1"/>
  <c r="O814" i="5"/>
  <c r="N814" i="5"/>
  <c r="M814" i="5"/>
  <c r="O813" i="5" a="1"/>
  <c r="O813" i="5"/>
  <c r="N813" i="5"/>
  <c r="M813" i="5"/>
  <c r="O812" i="5" a="1"/>
  <c r="O812" i="5"/>
  <c r="N812" i="5"/>
  <c r="M812" i="5"/>
  <c r="O811" i="5" a="1"/>
  <c r="O811" i="5"/>
  <c r="N811" i="5"/>
  <c r="M811" i="5"/>
  <c r="O810" i="5" a="1"/>
  <c r="O810" i="5"/>
  <c r="N810" i="5"/>
  <c r="M810" i="5"/>
  <c r="O809" i="5" a="1"/>
  <c r="O809" i="5"/>
  <c r="N809" i="5"/>
  <c r="M809" i="5"/>
  <c r="O808" i="5" a="1"/>
  <c r="O808" i="5"/>
  <c r="N808" i="5"/>
  <c r="M808" i="5"/>
  <c r="O807" i="5" a="1"/>
  <c r="O807" i="5"/>
  <c r="N807" i="5"/>
  <c r="M807" i="5"/>
  <c r="O806" i="5" a="1"/>
  <c r="O806" i="5"/>
  <c r="N806" i="5"/>
  <c r="M806" i="5"/>
  <c r="O805" i="5" a="1"/>
  <c r="O805" i="5"/>
  <c r="N805" i="5"/>
  <c r="M805" i="5"/>
  <c r="O804" i="5" a="1"/>
  <c r="O804" i="5"/>
  <c r="N804" i="5"/>
  <c r="M804" i="5"/>
  <c r="O803" i="5" a="1"/>
  <c r="O803" i="5"/>
  <c r="N803" i="5"/>
  <c r="M803" i="5"/>
  <c r="O802" i="5" a="1"/>
  <c r="O802" i="5"/>
  <c r="N802" i="5"/>
  <c r="M802" i="5"/>
  <c r="O801" i="5" a="1"/>
  <c r="O801" i="5"/>
  <c r="N801" i="5"/>
  <c r="M801" i="5"/>
  <c r="O800" i="5" a="1"/>
  <c r="O800" i="5"/>
  <c r="N800" i="5"/>
  <c r="M800" i="5"/>
  <c r="O799" i="5" a="1"/>
  <c r="O799" i="5"/>
  <c r="N799" i="5"/>
  <c r="M799" i="5"/>
  <c r="O798" i="5" a="1"/>
  <c r="O798" i="5"/>
  <c r="N798" i="5"/>
  <c r="M798" i="5"/>
  <c r="O797" i="5" a="1"/>
  <c r="O797" i="5"/>
  <c r="N797" i="5"/>
  <c r="M797" i="5"/>
  <c r="O796" i="5" a="1"/>
  <c r="O796" i="5"/>
  <c r="N796" i="5"/>
  <c r="M796" i="5"/>
  <c r="O795" i="5" a="1"/>
  <c r="O795" i="5"/>
  <c r="N795" i="5"/>
  <c r="M795" i="5"/>
  <c r="O794" i="5" a="1"/>
  <c r="O794" i="5"/>
  <c r="N794" i="5"/>
  <c r="M794" i="5"/>
  <c r="O793" i="5" a="1"/>
  <c r="O793" i="5"/>
  <c r="N793" i="5"/>
  <c r="M793" i="5"/>
  <c r="O792" i="5" a="1"/>
  <c r="O792" i="5"/>
  <c r="N792" i="5"/>
  <c r="M792" i="5"/>
  <c r="O791" i="5" a="1"/>
  <c r="O791" i="5"/>
  <c r="N791" i="5"/>
  <c r="M791" i="5"/>
  <c r="O790" i="5" a="1"/>
  <c r="O790" i="5"/>
  <c r="N790" i="5"/>
  <c r="M790" i="5"/>
  <c r="O789" i="5" a="1"/>
  <c r="O789" i="5"/>
  <c r="N789" i="5"/>
  <c r="M789" i="5"/>
  <c r="O788" i="5" a="1"/>
  <c r="O788" i="5"/>
  <c r="N788" i="5"/>
  <c r="M788" i="5"/>
  <c r="O787" i="5" a="1"/>
  <c r="O787" i="5"/>
  <c r="N787" i="5"/>
  <c r="M787" i="5"/>
  <c r="O786" i="5" a="1"/>
  <c r="O786" i="5"/>
  <c r="N786" i="5"/>
  <c r="M786" i="5"/>
  <c r="O785" i="5" a="1"/>
  <c r="O785" i="5"/>
  <c r="N785" i="5"/>
  <c r="M785" i="5"/>
  <c r="O784" i="5" a="1"/>
  <c r="O784" i="5"/>
  <c r="N784" i="5"/>
  <c r="M784" i="5"/>
  <c r="O783" i="5" a="1"/>
  <c r="O783" i="5"/>
  <c r="N783" i="5"/>
  <c r="M783" i="5"/>
  <c r="O782" i="5" a="1"/>
  <c r="O782" i="5"/>
  <c r="N782" i="5"/>
  <c r="M782" i="5"/>
  <c r="O781" i="5" a="1"/>
  <c r="O781" i="5"/>
  <c r="N781" i="5"/>
  <c r="M781" i="5"/>
  <c r="O780" i="5" a="1"/>
  <c r="O780" i="5"/>
  <c r="N780" i="5"/>
  <c r="M780" i="5"/>
  <c r="O779" i="5" a="1"/>
  <c r="O779" i="5"/>
  <c r="N779" i="5"/>
  <c r="M779" i="5"/>
  <c r="O778" i="5" a="1"/>
  <c r="O778" i="5"/>
  <c r="N778" i="5"/>
  <c r="M778" i="5"/>
  <c r="O777" i="5" a="1"/>
  <c r="O777" i="5"/>
  <c r="N777" i="5"/>
  <c r="M777" i="5"/>
  <c r="O776" i="5" a="1"/>
  <c r="O776" i="5"/>
  <c r="N776" i="5"/>
  <c r="M776" i="5"/>
  <c r="O775" i="5" a="1"/>
  <c r="O775" i="5"/>
  <c r="N775" i="5"/>
  <c r="M775" i="5"/>
  <c r="O774" i="5" a="1"/>
  <c r="O774" i="5"/>
  <c r="N774" i="5"/>
  <c r="M774" i="5"/>
  <c r="O773" i="5" a="1"/>
  <c r="O773" i="5"/>
  <c r="N773" i="5"/>
  <c r="M773" i="5"/>
  <c r="O772" i="5" a="1"/>
  <c r="O772" i="5"/>
  <c r="N772" i="5"/>
  <c r="M772" i="5"/>
  <c r="O771" i="5" a="1"/>
  <c r="O771" i="5"/>
  <c r="N771" i="5"/>
  <c r="M771" i="5"/>
  <c r="O770" i="5" a="1"/>
  <c r="O770" i="5"/>
  <c r="N770" i="5"/>
  <c r="M770" i="5"/>
  <c r="O769" i="5" a="1"/>
  <c r="O769" i="5"/>
  <c r="N769" i="5"/>
  <c r="M769" i="5"/>
  <c r="O768" i="5" a="1"/>
  <c r="O768" i="5"/>
  <c r="N768" i="5"/>
  <c r="M768" i="5"/>
  <c r="O767" i="5" a="1"/>
  <c r="O767" i="5"/>
  <c r="N767" i="5"/>
  <c r="M767" i="5"/>
  <c r="O766" i="5" a="1"/>
  <c r="O766" i="5"/>
  <c r="N766" i="5"/>
  <c r="M766" i="5"/>
  <c r="O765" i="5" a="1"/>
  <c r="O765" i="5"/>
  <c r="N765" i="5"/>
  <c r="M765" i="5"/>
  <c r="O764" i="5" a="1"/>
  <c r="O764" i="5"/>
  <c r="N764" i="5"/>
  <c r="M764" i="5"/>
  <c r="O763" i="5" a="1"/>
  <c r="O763" i="5"/>
  <c r="N763" i="5"/>
  <c r="M763" i="5"/>
  <c r="O762" i="5" a="1"/>
  <c r="O762" i="5"/>
  <c r="N762" i="5"/>
  <c r="M762" i="5"/>
  <c r="O761" i="5" a="1"/>
  <c r="O761" i="5"/>
  <c r="N761" i="5"/>
  <c r="M761" i="5"/>
  <c r="O760" i="5" a="1"/>
  <c r="O760" i="5"/>
  <c r="N760" i="5"/>
  <c r="M760" i="5"/>
  <c r="O759" i="5" a="1"/>
  <c r="O759" i="5"/>
  <c r="N759" i="5"/>
  <c r="M759" i="5"/>
  <c r="O758" i="5" a="1"/>
  <c r="O758" i="5"/>
  <c r="N758" i="5"/>
  <c r="M758" i="5"/>
  <c r="O757" i="5" a="1"/>
  <c r="O757" i="5"/>
  <c r="N757" i="5"/>
  <c r="M757" i="5"/>
  <c r="O756" i="5" a="1"/>
  <c r="O756" i="5"/>
  <c r="N756" i="5"/>
  <c r="M756" i="5"/>
  <c r="O755" i="5" a="1"/>
  <c r="O755" i="5"/>
  <c r="N755" i="5"/>
  <c r="M755" i="5"/>
  <c r="O754" i="5" a="1"/>
  <c r="O754" i="5"/>
  <c r="N754" i="5"/>
  <c r="M754" i="5"/>
  <c r="O753" i="5" a="1"/>
  <c r="O753" i="5"/>
  <c r="N753" i="5"/>
  <c r="M753" i="5"/>
  <c r="O752" i="5" a="1"/>
  <c r="O752" i="5"/>
  <c r="N752" i="5"/>
  <c r="M752" i="5"/>
  <c r="O751" i="5" a="1"/>
  <c r="O751" i="5"/>
  <c r="N751" i="5"/>
  <c r="M751" i="5"/>
  <c r="O750" i="5" a="1"/>
  <c r="O750" i="5"/>
  <c r="N750" i="5"/>
  <c r="M750" i="5"/>
  <c r="O749" i="5" a="1"/>
  <c r="O749" i="5"/>
  <c r="N749" i="5"/>
  <c r="M749" i="5"/>
  <c r="O748" i="5" a="1"/>
  <c r="O748" i="5"/>
  <c r="N748" i="5"/>
  <c r="M748" i="5"/>
  <c r="O747" i="5" a="1"/>
  <c r="O747" i="5"/>
  <c r="N747" i="5"/>
  <c r="M747" i="5"/>
  <c r="O746" i="5" a="1"/>
  <c r="O746" i="5"/>
  <c r="N746" i="5"/>
  <c r="M746" i="5"/>
  <c r="O745" i="5" a="1"/>
  <c r="O745" i="5"/>
  <c r="N745" i="5"/>
  <c r="M745" i="5"/>
  <c r="O744" i="5" a="1"/>
  <c r="O744" i="5"/>
  <c r="N744" i="5"/>
  <c r="M744" i="5"/>
  <c r="O743" i="5" a="1"/>
  <c r="O743" i="5"/>
  <c r="N743" i="5"/>
  <c r="M743" i="5"/>
  <c r="O742" i="5" a="1"/>
  <c r="O742" i="5"/>
  <c r="N742" i="5"/>
  <c r="M742" i="5"/>
  <c r="O741" i="5" a="1"/>
  <c r="O741" i="5"/>
  <c r="N741" i="5"/>
  <c r="M741" i="5"/>
  <c r="O740" i="5" a="1"/>
  <c r="O740" i="5"/>
  <c r="N740" i="5"/>
  <c r="M740" i="5"/>
  <c r="O739" i="5" a="1"/>
  <c r="O739" i="5" s="1"/>
  <c r="N739" i="5"/>
  <c r="M739" i="5"/>
  <c r="O738" i="5" a="1"/>
  <c r="O738" i="5" s="1"/>
  <c r="N738" i="5"/>
  <c r="M738" i="5"/>
  <c r="O737" i="5" a="1"/>
  <c r="O737" i="5" s="1"/>
  <c r="N737" i="5"/>
  <c r="M737" i="5"/>
  <c r="O736" i="5" a="1"/>
  <c r="O736" i="5" s="1"/>
  <c r="N736" i="5"/>
  <c r="M736" i="5"/>
  <c r="O735" i="5" a="1"/>
  <c r="O735" i="5" s="1"/>
  <c r="N735" i="5"/>
  <c r="M735" i="5"/>
  <c r="O734" i="5" a="1"/>
  <c r="O734" i="5" s="1"/>
  <c r="N734" i="5"/>
  <c r="M734" i="5"/>
  <c r="O733" i="5" a="1"/>
  <c r="O733" i="5" s="1"/>
  <c r="N733" i="5"/>
  <c r="M733" i="5"/>
  <c r="O732" i="5" a="1"/>
  <c r="O732" i="5" s="1"/>
  <c r="N732" i="5"/>
  <c r="M732" i="5"/>
  <c r="O731" i="5" a="1"/>
  <c r="O731" i="5" s="1"/>
  <c r="N731" i="5"/>
  <c r="M731" i="5"/>
  <c r="O730" i="5" a="1"/>
  <c r="O730" i="5" s="1"/>
  <c r="N730" i="5"/>
  <c r="M730" i="5"/>
  <c r="O729" i="5" a="1"/>
  <c r="O729" i="5" s="1"/>
  <c r="N729" i="5"/>
  <c r="M729" i="5"/>
  <c r="O728" i="5" a="1"/>
  <c r="O728" i="5" s="1"/>
  <c r="N728" i="5"/>
  <c r="M728" i="5"/>
  <c r="O727" i="5" a="1"/>
  <c r="O727" i="5" s="1"/>
  <c r="N727" i="5"/>
  <c r="M727" i="5"/>
  <c r="O726" i="5" a="1"/>
  <c r="O726" i="5" s="1"/>
  <c r="N726" i="5"/>
  <c r="M726" i="5"/>
  <c r="O725" i="5" a="1"/>
  <c r="O725" i="5" s="1"/>
  <c r="N725" i="5"/>
  <c r="M725" i="5"/>
  <c r="O724" i="5" a="1"/>
  <c r="O724" i="5" s="1"/>
  <c r="N724" i="5"/>
  <c r="M724" i="5"/>
  <c r="O723" i="5" a="1"/>
  <c r="O723" i="5" s="1"/>
  <c r="N723" i="5"/>
  <c r="M723" i="5"/>
  <c r="O722" i="5" a="1"/>
  <c r="O722" i="5" s="1"/>
  <c r="N722" i="5"/>
  <c r="M722" i="5"/>
  <c r="O721" i="5" a="1"/>
  <c r="O721" i="5" s="1"/>
  <c r="N721" i="5"/>
  <c r="M721" i="5"/>
  <c r="O720" i="5" a="1"/>
  <c r="O720" i="5" s="1"/>
  <c r="N720" i="5"/>
  <c r="M720" i="5"/>
  <c r="O719" i="5" a="1"/>
  <c r="O719" i="5" s="1"/>
  <c r="N719" i="5"/>
  <c r="M719" i="5"/>
  <c r="O718" i="5" a="1"/>
  <c r="O718" i="5" s="1"/>
  <c r="N718" i="5"/>
  <c r="M718" i="5"/>
  <c r="O717" i="5" a="1"/>
  <c r="O717" i="5" s="1"/>
  <c r="N717" i="5"/>
  <c r="M717" i="5"/>
  <c r="O716" i="5" a="1"/>
  <c r="O716" i="5" s="1"/>
  <c r="N716" i="5"/>
  <c r="M716" i="5"/>
  <c r="O715" i="5" a="1"/>
  <c r="O715" i="5" s="1"/>
  <c r="N715" i="5"/>
  <c r="M715" i="5"/>
  <c r="O714" i="5" a="1"/>
  <c r="O714" i="5" s="1"/>
  <c r="N714" i="5"/>
  <c r="M714" i="5"/>
  <c r="O713" i="5" a="1"/>
  <c r="O713" i="5" s="1"/>
  <c r="N713" i="5"/>
  <c r="M713" i="5"/>
  <c r="O712" i="5" a="1"/>
  <c r="O712" i="5" s="1"/>
  <c r="N712" i="5"/>
  <c r="M712" i="5"/>
  <c r="O711" i="5" a="1"/>
  <c r="O711" i="5" s="1"/>
  <c r="N711" i="5"/>
  <c r="M711" i="5"/>
  <c r="O710" i="5" a="1"/>
  <c r="O710" i="5" s="1"/>
  <c r="N710" i="5"/>
  <c r="M710" i="5"/>
  <c r="O709" i="5" a="1"/>
  <c r="O709" i="5" s="1"/>
  <c r="N709" i="5"/>
  <c r="M709" i="5"/>
  <c r="O708" i="5" a="1"/>
  <c r="O708" i="5" s="1"/>
  <c r="N708" i="5"/>
  <c r="M708" i="5"/>
  <c r="O707" i="5" a="1"/>
  <c r="O707" i="5" s="1"/>
  <c r="N707" i="5"/>
  <c r="M707" i="5"/>
  <c r="O706" i="5" a="1"/>
  <c r="O706" i="5" s="1"/>
  <c r="N706" i="5"/>
  <c r="M706" i="5"/>
  <c r="O705" i="5" a="1"/>
  <c r="O705" i="5" s="1"/>
  <c r="N705" i="5"/>
  <c r="M705" i="5"/>
  <c r="O704" i="5" a="1"/>
  <c r="O704" i="5" s="1"/>
  <c r="N704" i="5"/>
  <c r="M704" i="5"/>
  <c r="O703" i="5" a="1"/>
  <c r="O703" i="5" s="1"/>
  <c r="N703" i="5"/>
  <c r="M703" i="5"/>
  <c r="O702" i="5" a="1"/>
  <c r="O702" i="5" s="1"/>
  <c r="N702" i="5"/>
  <c r="M702" i="5"/>
  <c r="O701" i="5" a="1"/>
  <c r="O701" i="5" s="1"/>
  <c r="N701" i="5"/>
  <c r="M701" i="5"/>
  <c r="O700" i="5" a="1"/>
  <c r="O700" i="5" s="1"/>
  <c r="N700" i="5"/>
  <c r="M700" i="5"/>
  <c r="O699" i="5" a="1"/>
  <c r="O699" i="5" s="1"/>
  <c r="N699" i="5"/>
  <c r="M699" i="5"/>
  <c r="O698" i="5" a="1"/>
  <c r="O698" i="5" s="1"/>
  <c r="N698" i="5"/>
  <c r="M698" i="5"/>
  <c r="O697" i="5" a="1"/>
  <c r="O697" i="5" s="1"/>
  <c r="N697" i="5"/>
  <c r="M697" i="5"/>
  <c r="O696" i="5" a="1"/>
  <c r="O696" i="5" s="1"/>
  <c r="N696" i="5"/>
  <c r="M696" i="5"/>
  <c r="O695" i="5" a="1"/>
  <c r="O695" i="5" s="1"/>
  <c r="N695" i="5"/>
  <c r="M695" i="5"/>
  <c r="O694" i="5" a="1"/>
  <c r="O694" i="5" s="1"/>
  <c r="N694" i="5"/>
  <c r="M694" i="5"/>
  <c r="O693" i="5" a="1"/>
  <c r="O693" i="5" s="1"/>
  <c r="N693" i="5"/>
  <c r="M693" i="5"/>
  <c r="O692" i="5" a="1"/>
  <c r="O692" i="5" s="1"/>
  <c r="N692" i="5"/>
  <c r="M692" i="5"/>
  <c r="O691" i="5" a="1"/>
  <c r="O691" i="5" s="1"/>
  <c r="N691" i="5"/>
  <c r="M691" i="5"/>
  <c r="O690" i="5" a="1"/>
  <c r="O690" i="5" s="1"/>
  <c r="N690" i="5"/>
  <c r="M690" i="5"/>
  <c r="O689" i="5" a="1"/>
  <c r="O689" i="5" s="1"/>
  <c r="N689" i="5"/>
  <c r="M689" i="5"/>
  <c r="O688" i="5" a="1"/>
  <c r="O688" i="5" s="1"/>
  <c r="N688" i="5"/>
  <c r="M688" i="5"/>
  <c r="O687" i="5" a="1"/>
  <c r="O687" i="5" s="1"/>
  <c r="N687" i="5"/>
  <c r="M687" i="5"/>
  <c r="O686" i="5" a="1"/>
  <c r="O686" i="5" s="1"/>
  <c r="N686" i="5"/>
  <c r="M686" i="5"/>
  <c r="O685" i="5" a="1"/>
  <c r="O685" i="5" s="1"/>
  <c r="N685" i="5"/>
  <c r="M685" i="5"/>
  <c r="O684" i="5" a="1"/>
  <c r="O684" i="5" s="1"/>
  <c r="N684" i="5"/>
  <c r="M684" i="5"/>
  <c r="O683" i="5" a="1"/>
  <c r="O683" i="5" s="1"/>
  <c r="N683" i="5"/>
  <c r="M683" i="5"/>
  <c r="O682" i="5" a="1"/>
  <c r="O682" i="5" s="1"/>
  <c r="N682" i="5"/>
  <c r="M682" i="5"/>
  <c r="O681" i="5" a="1"/>
  <c r="O681" i="5" s="1"/>
  <c r="N681" i="5"/>
  <c r="M681" i="5"/>
  <c r="O680" i="5" a="1"/>
  <c r="O680" i="5" s="1"/>
  <c r="N680" i="5"/>
  <c r="M680" i="5"/>
  <c r="O679" i="5" a="1"/>
  <c r="O679" i="5" s="1"/>
  <c r="N679" i="5"/>
  <c r="M679" i="5"/>
  <c r="O678" i="5" a="1"/>
  <c r="O678" i="5" s="1"/>
  <c r="N678" i="5"/>
  <c r="M678" i="5"/>
  <c r="O677" i="5" a="1"/>
  <c r="O677" i="5" s="1"/>
  <c r="N677" i="5"/>
  <c r="M677" i="5"/>
  <c r="O676" i="5" a="1"/>
  <c r="O676" i="5" s="1"/>
  <c r="N676" i="5"/>
  <c r="M676" i="5"/>
  <c r="O675" i="5" a="1"/>
  <c r="O675" i="5" s="1"/>
  <c r="N675" i="5"/>
  <c r="M675" i="5"/>
  <c r="O674" i="5" a="1"/>
  <c r="O674" i="5" s="1"/>
  <c r="N674" i="5"/>
  <c r="M674" i="5"/>
  <c r="O673" i="5" a="1"/>
  <c r="O673" i="5" s="1"/>
  <c r="N673" i="5"/>
  <c r="M673" i="5"/>
  <c r="O672" i="5" a="1"/>
  <c r="O672" i="5" s="1"/>
  <c r="N672" i="5"/>
  <c r="M672" i="5"/>
  <c r="O671" i="5" a="1"/>
  <c r="O671" i="5" s="1"/>
  <c r="N671" i="5"/>
  <c r="M671" i="5"/>
  <c r="O670" i="5" a="1"/>
  <c r="O670" i="5" s="1"/>
  <c r="N670" i="5"/>
  <c r="M670" i="5"/>
  <c r="O669" i="5" a="1"/>
  <c r="O669" i="5" s="1"/>
  <c r="N669" i="5"/>
  <c r="M669" i="5"/>
  <c r="O668" i="5" a="1"/>
  <c r="O668" i="5" s="1"/>
  <c r="N668" i="5"/>
  <c r="M668" i="5"/>
  <c r="O667" i="5" a="1"/>
  <c r="O667" i="5" s="1"/>
  <c r="N667" i="5"/>
  <c r="M667" i="5"/>
  <c r="O666" i="5" a="1"/>
  <c r="O666" i="5" s="1"/>
  <c r="N666" i="5"/>
  <c r="M666" i="5"/>
  <c r="O665" i="5" a="1"/>
  <c r="O665" i="5" s="1"/>
  <c r="N665" i="5"/>
  <c r="M665" i="5"/>
  <c r="O664" i="5" a="1"/>
  <c r="O664" i="5" s="1"/>
  <c r="N664" i="5"/>
  <c r="M664" i="5"/>
  <c r="O663" i="5" a="1"/>
  <c r="O663" i="5" s="1"/>
  <c r="N663" i="5"/>
  <c r="M663" i="5"/>
  <c r="O662" i="5" a="1"/>
  <c r="O662" i="5" s="1"/>
  <c r="N662" i="5"/>
  <c r="M662" i="5"/>
  <c r="O661" i="5" a="1"/>
  <c r="O661" i="5" s="1"/>
  <c r="N661" i="5"/>
  <c r="M661" i="5"/>
  <c r="O660" i="5" a="1"/>
  <c r="O660" i="5" s="1"/>
  <c r="N660" i="5"/>
  <c r="M660" i="5"/>
  <c r="O659" i="5" a="1"/>
  <c r="O659" i="5" s="1"/>
  <c r="N659" i="5"/>
  <c r="M659" i="5"/>
  <c r="O658" i="5" a="1"/>
  <c r="O658" i="5" s="1"/>
  <c r="N658" i="5"/>
  <c r="M658" i="5"/>
  <c r="O657" i="5" a="1"/>
  <c r="O657" i="5" s="1"/>
  <c r="N657" i="5"/>
  <c r="M657" i="5"/>
  <c r="O656" i="5" a="1"/>
  <c r="O656" i="5" s="1"/>
  <c r="N656" i="5"/>
  <c r="M656" i="5"/>
  <c r="O655" i="5" a="1"/>
  <c r="O655" i="5" s="1"/>
  <c r="N655" i="5"/>
  <c r="M655" i="5"/>
  <c r="O654" i="5" a="1"/>
  <c r="O654" i="5" s="1"/>
  <c r="N654" i="5"/>
  <c r="M654" i="5"/>
  <c r="O653" i="5" a="1"/>
  <c r="O653" i="5" s="1"/>
  <c r="N653" i="5"/>
  <c r="M653" i="5"/>
  <c r="O652" i="5" a="1"/>
  <c r="O652" i="5" s="1"/>
  <c r="N652" i="5"/>
  <c r="M652" i="5"/>
  <c r="O651" i="5" a="1"/>
  <c r="O651" i="5" s="1"/>
  <c r="N651" i="5"/>
  <c r="M651" i="5"/>
  <c r="O650" i="5" a="1"/>
  <c r="O650" i="5" s="1"/>
  <c r="N650" i="5"/>
  <c r="M650" i="5"/>
  <c r="O649" i="5" a="1"/>
  <c r="O649" i="5" s="1"/>
  <c r="N649" i="5"/>
  <c r="M649" i="5"/>
  <c r="O648" i="5" a="1"/>
  <c r="O648" i="5" s="1"/>
  <c r="N648" i="5"/>
  <c r="M648" i="5"/>
  <c r="O647" i="5" a="1"/>
  <c r="O647" i="5" s="1"/>
  <c r="N647" i="5"/>
  <c r="M647" i="5"/>
  <c r="O646" i="5" a="1"/>
  <c r="O646" i="5" s="1"/>
  <c r="N646" i="5"/>
  <c r="M646" i="5"/>
  <c r="O645" i="5" a="1"/>
  <c r="O645" i="5" s="1"/>
  <c r="N645" i="5"/>
  <c r="M645" i="5"/>
  <c r="O644" i="5" a="1"/>
  <c r="O644" i="5" s="1"/>
  <c r="N644" i="5"/>
  <c r="M644" i="5"/>
  <c r="O643" i="5" a="1"/>
  <c r="O643" i="5" s="1"/>
  <c r="N643" i="5"/>
  <c r="M643" i="5"/>
  <c r="O642" i="5" a="1"/>
  <c r="O642" i="5" s="1"/>
  <c r="N642" i="5"/>
  <c r="M642" i="5"/>
  <c r="O641" i="5" a="1"/>
  <c r="O641" i="5" s="1"/>
  <c r="N641" i="5"/>
  <c r="M641" i="5"/>
  <c r="O640" i="5" a="1"/>
  <c r="O640" i="5" s="1"/>
  <c r="N640" i="5"/>
  <c r="M640" i="5"/>
  <c r="O639" i="5" a="1"/>
  <c r="O639" i="5" s="1"/>
  <c r="N639" i="5"/>
  <c r="M639" i="5"/>
  <c r="O638" i="5" a="1"/>
  <c r="O638" i="5" s="1"/>
  <c r="N638" i="5"/>
  <c r="M638" i="5"/>
  <c r="O637" i="5" a="1"/>
  <c r="O637" i="5" s="1"/>
  <c r="N637" i="5"/>
  <c r="M637" i="5"/>
  <c r="O636" i="5" a="1"/>
  <c r="O636" i="5" s="1"/>
  <c r="N636" i="5"/>
  <c r="M636" i="5"/>
  <c r="O635" i="5" a="1"/>
  <c r="O635" i="5" s="1"/>
  <c r="N635" i="5"/>
  <c r="M635" i="5"/>
  <c r="O634" i="5" a="1"/>
  <c r="O634" i="5" s="1"/>
  <c r="N634" i="5"/>
  <c r="M634" i="5"/>
  <c r="O633" i="5" a="1"/>
  <c r="O633" i="5" s="1"/>
  <c r="N633" i="5"/>
  <c r="M633" i="5"/>
  <c r="O632" i="5" a="1"/>
  <c r="O632" i="5" s="1"/>
  <c r="N632" i="5"/>
  <c r="M632" i="5"/>
  <c r="O631" i="5" a="1"/>
  <c r="O631" i="5" s="1"/>
  <c r="N631" i="5"/>
  <c r="M631" i="5"/>
  <c r="O630" i="5" a="1"/>
  <c r="O630" i="5" s="1"/>
  <c r="N630" i="5"/>
  <c r="M630" i="5"/>
  <c r="O629" i="5" a="1"/>
  <c r="O629" i="5" s="1"/>
  <c r="N629" i="5"/>
  <c r="M629" i="5"/>
  <c r="O628" i="5" a="1"/>
  <c r="O628" i="5" s="1"/>
  <c r="N628" i="5"/>
  <c r="M628" i="5"/>
  <c r="O627" i="5" a="1"/>
  <c r="O627" i="5" s="1"/>
  <c r="N627" i="5"/>
  <c r="M627" i="5"/>
  <c r="O626" i="5" a="1"/>
  <c r="O626" i="5" s="1"/>
  <c r="N626" i="5"/>
  <c r="M626" i="5"/>
  <c r="O625" i="5" a="1"/>
  <c r="O625" i="5" s="1"/>
  <c r="N625" i="5"/>
  <c r="M625" i="5"/>
  <c r="O624" i="5" a="1"/>
  <c r="O624" i="5" s="1"/>
  <c r="N624" i="5"/>
  <c r="M624" i="5"/>
  <c r="O623" i="5" a="1"/>
  <c r="O623" i="5" s="1"/>
  <c r="N623" i="5"/>
  <c r="M623" i="5"/>
  <c r="O622" i="5" a="1"/>
  <c r="O622" i="5" s="1"/>
  <c r="N622" i="5"/>
  <c r="M622" i="5"/>
  <c r="O621" i="5" a="1"/>
  <c r="O621" i="5" s="1"/>
  <c r="N621" i="5"/>
  <c r="M621" i="5"/>
  <c r="O620" i="5" a="1"/>
  <c r="O620" i="5" s="1"/>
  <c r="N620" i="5"/>
  <c r="M620" i="5"/>
  <c r="O619" i="5" a="1"/>
  <c r="O619" i="5" s="1"/>
  <c r="N619" i="5"/>
  <c r="M619" i="5"/>
  <c r="O618" i="5" a="1"/>
  <c r="O618" i="5" s="1"/>
  <c r="N618" i="5"/>
  <c r="M618" i="5"/>
  <c r="O617" i="5" a="1"/>
  <c r="O617" i="5" s="1"/>
  <c r="N617" i="5"/>
  <c r="M617" i="5"/>
  <c r="O616" i="5" a="1"/>
  <c r="O616" i="5" s="1"/>
  <c r="N616" i="5"/>
  <c r="M616" i="5"/>
  <c r="O615" i="5" a="1"/>
  <c r="O615" i="5" s="1"/>
  <c r="N615" i="5"/>
  <c r="M615" i="5"/>
  <c r="O614" i="5" a="1"/>
  <c r="O614" i="5" s="1"/>
  <c r="N614" i="5"/>
  <c r="M614" i="5"/>
  <c r="O613" i="5" a="1"/>
  <c r="O613" i="5" s="1"/>
  <c r="N613" i="5"/>
  <c r="M613" i="5"/>
  <c r="O612" i="5" a="1"/>
  <c r="O612" i="5" s="1"/>
  <c r="N612" i="5"/>
  <c r="M612" i="5"/>
  <c r="O611" i="5" a="1"/>
  <c r="O611" i="5" s="1"/>
  <c r="N611" i="5"/>
  <c r="M611" i="5"/>
  <c r="O610" i="5" a="1"/>
  <c r="O610" i="5" s="1"/>
  <c r="N610" i="5"/>
  <c r="M610" i="5"/>
  <c r="O609" i="5" a="1"/>
  <c r="O609" i="5" s="1"/>
  <c r="N609" i="5"/>
  <c r="M609" i="5"/>
  <c r="O608" i="5" a="1"/>
  <c r="O608" i="5" s="1"/>
  <c r="N608" i="5"/>
  <c r="M608" i="5"/>
  <c r="O607" i="5" a="1"/>
  <c r="O607" i="5" s="1"/>
  <c r="N607" i="5"/>
  <c r="M607" i="5"/>
  <c r="O606" i="5" a="1"/>
  <c r="O606" i="5" s="1"/>
  <c r="N606" i="5"/>
  <c r="M606" i="5"/>
  <c r="O605" i="5" a="1"/>
  <c r="O605" i="5" s="1"/>
  <c r="N605" i="5"/>
  <c r="M605" i="5"/>
  <c r="O604" i="5" a="1"/>
  <c r="O604" i="5" s="1"/>
  <c r="N604" i="5"/>
  <c r="M604" i="5"/>
  <c r="O603" i="5" a="1"/>
  <c r="O603" i="5" s="1"/>
  <c r="N603" i="5"/>
  <c r="M603" i="5"/>
  <c r="O602" i="5" a="1"/>
  <c r="O602" i="5" s="1"/>
  <c r="N602" i="5"/>
  <c r="M602" i="5"/>
  <c r="O601" i="5" a="1"/>
  <c r="O601" i="5" s="1"/>
  <c r="N601" i="5"/>
  <c r="M601" i="5"/>
  <c r="O600" i="5" a="1"/>
  <c r="O600" i="5" s="1"/>
  <c r="N600" i="5"/>
  <c r="M600" i="5"/>
  <c r="O599" i="5" a="1"/>
  <c r="O599" i="5" s="1"/>
  <c r="N599" i="5"/>
  <c r="M599" i="5"/>
  <c r="O598" i="5" a="1"/>
  <c r="O598" i="5" s="1"/>
  <c r="N598" i="5"/>
  <c r="M598" i="5"/>
  <c r="O597" i="5" a="1"/>
  <c r="O597" i="5" s="1"/>
  <c r="N597" i="5"/>
  <c r="M597" i="5"/>
  <c r="O596" i="5" a="1"/>
  <c r="O596" i="5" s="1"/>
  <c r="N596" i="5"/>
  <c r="M596" i="5"/>
  <c r="O595" i="5" a="1"/>
  <c r="O595" i="5" s="1"/>
  <c r="N595" i="5"/>
  <c r="M595" i="5"/>
  <c r="O594" i="5" a="1"/>
  <c r="O594" i="5" s="1"/>
  <c r="N594" i="5"/>
  <c r="M594" i="5"/>
  <c r="O593" i="5" a="1"/>
  <c r="O593" i="5" s="1"/>
  <c r="N593" i="5"/>
  <c r="M593" i="5"/>
  <c r="O592" i="5" a="1"/>
  <c r="O592" i="5" s="1"/>
  <c r="N592" i="5"/>
  <c r="M592" i="5"/>
  <c r="O591" i="5" a="1"/>
  <c r="O591" i="5" s="1"/>
  <c r="N591" i="5"/>
  <c r="M591" i="5"/>
  <c r="O590" i="5" a="1"/>
  <c r="O590" i="5" s="1"/>
  <c r="N590" i="5"/>
  <c r="M590" i="5"/>
  <c r="O589" i="5" a="1"/>
  <c r="O589" i="5" s="1"/>
  <c r="N589" i="5"/>
  <c r="M589" i="5"/>
  <c r="O588" i="5" a="1"/>
  <c r="O588" i="5" s="1"/>
  <c r="N588" i="5"/>
  <c r="M588" i="5"/>
  <c r="O587" i="5" a="1"/>
  <c r="O587" i="5" s="1"/>
  <c r="N587" i="5"/>
  <c r="M587" i="5"/>
  <c r="O586" i="5" a="1"/>
  <c r="O586" i="5" s="1"/>
  <c r="N586" i="5"/>
  <c r="M586" i="5"/>
  <c r="O585" i="5" a="1"/>
  <c r="O585" i="5" s="1"/>
  <c r="N585" i="5"/>
  <c r="M585" i="5"/>
  <c r="O584" i="5" a="1"/>
  <c r="O584" i="5" s="1"/>
  <c r="N584" i="5"/>
  <c r="M584" i="5"/>
  <c r="O583" i="5" a="1"/>
  <c r="O583" i="5" s="1"/>
  <c r="N583" i="5"/>
  <c r="M583" i="5"/>
  <c r="O582" i="5" a="1"/>
  <c r="O582" i="5" s="1"/>
  <c r="N582" i="5"/>
  <c r="M582" i="5"/>
  <c r="O581" i="5" a="1"/>
  <c r="O581" i="5" s="1"/>
  <c r="N581" i="5"/>
  <c r="M581" i="5"/>
  <c r="O580" i="5" a="1"/>
  <c r="O580" i="5" s="1"/>
  <c r="N580" i="5"/>
  <c r="M580" i="5"/>
  <c r="O579" i="5" a="1"/>
  <c r="O579" i="5" s="1"/>
  <c r="N579" i="5"/>
  <c r="M579" i="5"/>
  <c r="O578" i="5" a="1"/>
  <c r="O578" i="5" s="1"/>
  <c r="N578" i="5"/>
  <c r="M578" i="5"/>
  <c r="O577" i="5" a="1"/>
  <c r="O577" i="5" s="1"/>
  <c r="N577" i="5"/>
  <c r="M577" i="5"/>
  <c r="O576" i="5" a="1"/>
  <c r="O576" i="5" s="1"/>
  <c r="N576" i="5"/>
  <c r="M576" i="5"/>
  <c r="O575" i="5" a="1"/>
  <c r="O575" i="5" s="1"/>
  <c r="N575" i="5"/>
  <c r="M575" i="5"/>
  <c r="O574" i="5" a="1"/>
  <c r="O574" i="5" s="1"/>
  <c r="N574" i="5"/>
  <c r="M574" i="5"/>
  <c r="O573" i="5" a="1"/>
  <c r="O573" i="5" s="1"/>
  <c r="N573" i="5"/>
  <c r="M573" i="5"/>
  <c r="O572" i="5" a="1"/>
  <c r="O572" i="5" s="1"/>
  <c r="N572" i="5"/>
  <c r="M572" i="5"/>
  <c r="O571" i="5" a="1"/>
  <c r="O571" i="5" s="1"/>
  <c r="N571" i="5"/>
  <c r="M571" i="5"/>
  <c r="O570" i="5" a="1"/>
  <c r="O570" i="5" s="1"/>
  <c r="N570" i="5"/>
  <c r="M570" i="5"/>
  <c r="O569" i="5" a="1"/>
  <c r="O569" i="5" s="1"/>
  <c r="N569" i="5"/>
  <c r="M569" i="5"/>
  <c r="O568" i="5" a="1"/>
  <c r="O568" i="5" s="1"/>
  <c r="N568" i="5"/>
  <c r="M568" i="5"/>
  <c r="O567" i="5" a="1"/>
  <c r="O567" i="5" s="1"/>
  <c r="N567" i="5"/>
  <c r="M567" i="5"/>
  <c r="O566" i="5" a="1"/>
  <c r="O566" i="5" s="1"/>
  <c r="N566" i="5"/>
  <c r="M566" i="5"/>
  <c r="O565" i="5" a="1"/>
  <c r="O565" i="5" s="1"/>
  <c r="N565" i="5"/>
  <c r="M565" i="5"/>
  <c r="O564" i="5" a="1"/>
  <c r="O564" i="5" s="1"/>
  <c r="N564" i="5"/>
  <c r="M564" i="5"/>
  <c r="O563" i="5" a="1"/>
  <c r="O563" i="5" s="1"/>
  <c r="N563" i="5"/>
  <c r="M563" i="5"/>
  <c r="O562" i="5" a="1"/>
  <c r="O562" i="5" s="1"/>
  <c r="N562" i="5"/>
  <c r="M562" i="5"/>
  <c r="O561" i="5" a="1"/>
  <c r="O561" i="5" s="1"/>
  <c r="N561" i="5"/>
  <c r="M561" i="5"/>
  <c r="O560" i="5" a="1"/>
  <c r="O560" i="5" s="1"/>
  <c r="N560" i="5"/>
  <c r="M560" i="5"/>
  <c r="O559" i="5" a="1"/>
  <c r="O559" i="5" s="1"/>
  <c r="N559" i="5"/>
  <c r="M559" i="5"/>
  <c r="O558" i="5" a="1"/>
  <c r="O558" i="5" s="1"/>
  <c r="N558" i="5"/>
  <c r="M558" i="5"/>
  <c r="O557" i="5" a="1"/>
  <c r="O557" i="5" s="1"/>
  <c r="N557" i="5"/>
  <c r="M557" i="5"/>
  <c r="O556" i="5" a="1"/>
  <c r="O556" i="5" s="1"/>
  <c r="N556" i="5"/>
  <c r="M556" i="5"/>
  <c r="O555" i="5" a="1"/>
  <c r="O555" i="5" s="1"/>
  <c r="N555" i="5"/>
  <c r="M555" i="5"/>
  <c r="O554" i="5" a="1"/>
  <c r="O554" i="5" s="1"/>
  <c r="N554" i="5"/>
  <c r="M554" i="5"/>
  <c r="O553" i="5" a="1"/>
  <c r="O553" i="5" s="1"/>
  <c r="N553" i="5"/>
  <c r="M553" i="5"/>
  <c r="O552" i="5" a="1"/>
  <c r="O552" i="5" s="1"/>
  <c r="N552" i="5"/>
  <c r="M552" i="5"/>
  <c r="O551" i="5" a="1"/>
  <c r="O551" i="5" s="1"/>
  <c r="N551" i="5"/>
  <c r="M551" i="5"/>
  <c r="O550" i="5" a="1"/>
  <c r="O550" i="5" s="1"/>
  <c r="N550" i="5"/>
  <c r="M550" i="5"/>
  <c r="O549" i="5" a="1"/>
  <c r="O549" i="5" s="1"/>
  <c r="N549" i="5"/>
  <c r="M549" i="5"/>
  <c r="O548" i="5" a="1"/>
  <c r="O548" i="5" s="1"/>
  <c r="N548" i="5"/>
  <c r="M548" i="5"/>
  <c r="O547" i="5" a="1"/>
  <c r="O547" i="5" s="1"/>
  <c r="N547" i="5"/>
  <c r="M547" i="5"/>
  <c r="O546" i="5" a="1"/>
  <c r="O546" i="5" s="1"/>
  <c r="N546" i="5"/>
  <c r="M546" i="5"/>
  <c r="O545" i="5" a="1"/>
  <c r="O545" i="5" s="1"/>
  <c r="N545" i="5"/>
  <c r="M545" i="5"/>
  <c r="O544" i="5" a="1"/>
  <c r="O544" i="5" s="1"/>
  <c r="N544" i="5"/>
  <c r="M544" i="5"/>
  <c r="O543" i="5" a="1"/>
  <c r="O543" i="5" s="1"/>
  <c r="N543" i="5"/>
  <c r="M543" i="5"/>
  <c r="O542" i="5" a="1"/>
  <c r="O542" i="5" s="1"/>
  <c r="N542" i="5"/>
  <c r="M542" i="5"/>
  <c r="O541" i="5" a="1"/>
  <c r="O541" i="5" s="1"/>
  <c r="N541" i="5"/>
  <c r="M541" i="5"/>
  <c r="O540" i="5" a="1"/>
  <c r="O540" i="5" s="1"/>
  <c r="N540" i="5"/>
  <c r="M540" i="5"/>
  <c r="O539" i="5" a="1"/>
  <c r="O539" i="5" s="1"/>
  <c r="N539" i="5"/>
  <c r="M539" i="5"/>
  <c r="O538" i="5" a="1"/>
  <c r="O538" i="5" s="1"/>
  <c r="N538" i="5"/>
  <c r="M538" i="5"/>
  <c r="O537" i="5" a="1"/>
  <c r="O537" i="5" s="1"/>
  <c r="N537" i="5"/>
  <c r="M537" i="5"/>
  <c r="O536" i="5" a="1"/>
  <c r="O536" i="5" s="1"/>
  <c r="N536" i="5"/>
  <c r="M536" i="5"/>
  <c r="O535" i="5" a="1"/>
  <c r="O535" i="5" s="1"/>
  <c r="N535" i="5"/>
  <c r="M535" i="5"/>
  <c r="O534" i="5" a="1"/>
  <c r="O534" i="5" s="1"/>
  <c r="N534" i="5"/>
  <c r="M534" i="5"/>
  <c r="O533" i="5" a="1"/>
  <c r="O533" i="5" s="1"/>
  <c r="N533" i="5"/>
  <c r="M533" i="5"/>
  <c r="O532" i="5" a="1"/>
  <c r="O532" i="5" s="1"/>
  <c r="N532" i="5"/>
  <c r="M532" i="5"/>
  <c r="O531" i="5" a="1"/>
  <c r="O531" i="5" s="1"/>
  <c r="N531" i="5"/>
  <c r="M531" i="5"/>
  <c r="O530" i="5" a="1"/>
  <c r="O530" i="5" s="1"/>
  <c r="N530" i="5"/>
  <c r="M530" i="5"/>
  <c r="O529" i="5" a="1"/>
  <c r="O529" i="5" s="1"/>
  <c r="N529" i="5"/>
  <c r="M529" i="5"/>
  <c r="O528" i="5" a="1"/>
  <c r="O528" i="5" s="1"/>
  <c r="N528" i="5"/>
  <c r="M528" i="5"/>
  <c r="O527" i="5" a="1"/>
  <c r="O527" i="5" s="1"/>
  <c r="N527" i="5"/>
  <c r="M527" i="5"/>
  <c r="O526" i="5" a="1"/>
  <c r="O526" i="5" s="1"/>
  <c r="N526" i="5"/>
  <c r="M526" i="5"/>
  <c r="O525" i="5" a="1"/>
  <c r="O525" i="5" s="1"/>
  <c r="N525" i="5"/>
  <c r="M525" i="5"/>
  <c r="O524" i="5" a="1"/>
  <c r="O524" i="5" s="1"/>
  <c r="N524" i="5"/>
  <c r="M524" i="5"/>
  <c r="O523" i="5" a="1"/>
  <c r="O523" i="5" s="1"/>
  <c r="N523" i="5"/>
  <c r="M523" i="5"/>
  <c r="O522" i="5" a="1"/>
  <c r="O522" i="5" s="1"/>
  <c r="N522" i="5"/>
  <c r="M522" i="5"/>
  <c r="O521" i="5" a="1"/>
  <c r="O521" i="5" s="1"/>
  <c r="N521" i="5"/>
  <c r="M521" i="5"/>
  <c r="O520" i="5" a="1"/>
  <c r="O520" i="5" s="1"/>
  <c r="N520" i="5"/>
  <c r="M520" i="5"/>
  <c r="O519" i="5" a="1"/>
  <c r="O519" i="5" s="1"/>
  <c r="N519" i="5"/>
  <c r="M519" i="5"/>
  <c r="O518" i="5" a="1"/>
  <c r="O518" i="5" s="1"/>
  <c r="N518" i="5"/>
  <c r="M518" i="5"/>
  <c r="O517" i="5" a="1"/>
  <c r="O517" i="5" s="1"/>
  <c r="N517" i="5"/>
  <c r="M517" i="5"/>
  <c r="O516" i="5" a="1"/>
  <c r="O516" i="5" s="1"/>
  <c r="N516" i="5"/>
  <c r="M516" i="5"/>
  <c r="O515" i="5" a="1"/>
  <c r="O515" i="5" s="1"/>
  <c r="N515" i="5"/>
  <c r="M515" i="5"/>
  <c r="O514" i="5" a="1"/>
  <c r="O514" i="5" s="1"/>
  <c r="N514" i="5"/>
  <c r="M514" i="5"/>
  <c r="O513" i="5" a="1"/>
  <c r="O513" i="5" s="1"/>
  <c r="N513" i="5"/>
  <c r="M513" i="5"/>
  <c r="O512" i="5" a="1"/>
  <c r="O512" i="5" s="1"/>
  <c r="N512" i="5"/>
  <c r="M512" i="5"/>
  <c r="O511" i="5" a="1"/>
  <c r="O511" i="5" s="1"/>
  <c r="N511" i="5"/>
  <c r="M511" i="5"/>
  <c r="O510" i="5" a="1"/>
  <c r="O510" i="5" s="1"/>
  <c r="N510" i="5"/>
  <c r="M510" i="5"/>
  <c r="O509" i="5" a="1"/>
  <c r="O509" i="5" s="1"/>
  <c r="N509" i="5"/>
  <c r="M509" i="5"/>
  <c r="O508" i="5" a="1"/>
  <c r="O508" i="5" s="1"/>
  <c r="N508" i="5"/>
  <c r="M508" i="5"/>
  <c r="O507" i="5" a="1"/>
  <c r="O507" i="5" s="1"/>
  <c r="N507" i="5"/>
  <c r="M507" i="5"/>
  <c r="O506" i="5" a="1"/>
  <c r="O506" i="5" s="1"/>
  <c r="N506" i="5"/>
  <c r="M506" i="5"/>
  <c r="O505" i="5" a="1"/>
  <c r="O505" i="5" s="1"/>
  <c r="N505" i="5"/>
  <c r="M505" i="5"/>
  <c r="O504" i="5" a="1"/>
  <c r="O504" i="5" s="1"/>
  <c r="N504" i="5"/>
  <c r="M504" i="5"/>
  <c r="O503" i="5" a="1"/>
  <c r="O503" i="5" s="1"/>
  <c r="N503" i="5"/>
  <c r="M503" i="5"/>
  <c r="O502" i="5" a="1"/>
  <c r="O502" i="5" s="1"/>
  <c r="N502" i="5"/>
  <c r="M502" i="5"/>
  <c r="O501" i="5" a="1"/>
  <c r="O501" i="5" s="1"/>
  <c r="N501" i="5"/>
  <c r="M501" i="5"/>
  <c r="O500" i="5" a="1"/>
  <c r="O500" i="5" s="1"/>
  <c r="N500" i="5"/>
  <c r="M500" i="5"/>
  <c r="O499" i="5" a="1"/>
  <c r="O499" i="5" s="1"/>
  <c r="N499" i="5"/>
  <c r="M499" i="5"/>
  <c r="O498" i="5" a="1"/>
  <c r="O498" i="5" s="1"/>
  <c r="N498" i="5"/>
  <c r="M498" i="5"/>
  <c r="O497" i="5" a="1"/>
  <c r="O497" i="5" s="1"/>
  <c r="N497" i="5"/>
  <c r="M497" i="5"/>
  <c r="O496" i="5" a="1"/>
  <c r="O496" i="5" s="1"/>
  <c r="N496" i="5"/>
  <c r="M496" i="5"/>
  <c r="O495" i="5" a="1"/>
  <c r="O495" i="5" s="1"/>
  <c r="N495" i="5"/>
  <c r="M495" i="5"/>
  <c r="O494" i="5" a="1"/>
  <c r="O494" i="5" s="1"/>
  <c r="N494" i="5"/>
  <c r="M494" i="5"/>
  <c r="O493" i="5" a="1"/>
  <c r="O493" i="5" s="1"/>
  <c r="N493" i="5"/>
  <c r="M493" i="5"/>
  <c r="O492" i="5" a="1"/>
  <c r="O492" i="5" s="1"/>
  <c r="N492" i="5"/>
  <c r="M492" i="5"/>
  <c r="O491" i="5" a="1"/>
  <c r="O491" i="5" s="1"/>
  <c r="N491" i="5"/>
  <c r="M491" i="5"/>
  <c r="O490" i="5" a="1"/>
  <c r="O490" i="5" s="1"/>
  <c r="N490" i="5"/>
  <c r="M490" i="5"/>
  <c r="O489" i="5" a="1"/>
  <c r="O489" i="5" s="1"/>
  <c r="N489" i="5"/>
  <c r="M489" i="5"/>
  <c r="O488" i="5" a="1"/>
  <c r="O488" i="5" s="1"/>
  <c r="N488" i="5"/>
  <c r="M488" i="5"/>
  <c r="O487" i="5" a="1"/>
  <c r="O487" i="5" s="1"/>
  <c r="N487" i="5"/>
  <c r="M487" i="5"/>
  <c r="O486" i="5" a="1"/>
  <c r="O486" i="5" s="1"/>
  <c r="N486" i="5"/>
  <c r="M486" i="5"/>
  <c r="O485" i="5" a="1"/>
  <c r="O485" i="5" s="1"/>
  <c r="N485" i="5"/>
  <c r="M485" i="5"/>
  <c r="O484" i="5" a="1"/>
  <c r="O484" i="5" s="1"/>
  <c r="N484" i="5"/>
  <c r="M484" i="5"/>
  <c r="O483" i="5" a="1"/>
  <c r="O483" i="5" s="1"/>
  <c r="N483" i="5"/>
  <c r="M483" i="5"/>
  <c r="O482" i="5" a="1"/>
  <c r="O482" i="5" s="1"/>
  <c r="N482" i="5"/>
  <c r="M482" i="5"/>
  <c r="O481" i="5" a="1"/>
  <c r="O481" i="5" s="1"/>
  <c r="N481" i="5"/>
  <c r="M481" i="5"/>
  <c r="O480" i="5" a="1"/>
  <c r="O480" i="5" s="1"/>
  <c r="N480" i="5"/>
  <c r="M480" i="5"/>
  <c r="O479" i="5" a="1"/>
  <c r="O479" i="5" s="1"/>
  <c r="N479" i="5"/>
  <c r="M479" i="5"/>
  <c r="O478" i="5" a="1"/>
  <c r="O478" i="5" s="1"/>
  <c r="N478" i="5"/>
  <c r="M478" i="5"/>
  <c r="O477" i="5" a="1"/>
  <c r="O477" i="5" s="1"/>
  <c r="N477" i="5"/>
  <c r="M477" i="5"/>
  <c r="O476" i="5" a="1"/>
  <c r="O476" i="5" s="1"/>
  <c r="N476" i="5"/>
  <c r="M476" i="5"/>
  <c r="O475" i="5" a="1"/>
  <c r="O475" i="5" s="1"/>
  <c r="N475" i="5"/>
  <c r="M475" i="5"/>
  <c r="O474" i="5" a="1"/>
  <c r="O474" i="5" s="1"/>
  <c r="N474" i="5"/>
  <c r="M474" i="5"/>
  <c r="O473" i="5" a="1"/>
  <c r="O473" i="5" s="1"/>
  <c r="N473" i="5"/>
  <c r="M473" i="5"/>
  <c r="O472" i="5" a="1"/>
  <c r="O472" i="5" s="1"/>
  <c r="N472" i="5"/>
  <c r="M472" i="5"/>
  <c r="O471" i="5" a="1"/>
  <c r="O471" i="5" s="1"/>
  <c r="N471" i="5"/>
  <c r="M471" i="5"/>
  <c r="O470" i="5" a="1"/>
  <c r="O470" i="5" s="1"/>
  <c r="N470" i="5"/>
  <c r="M470" i="5"/>
  <c r="O469" i="5" a="1"/>
  <c r="O469" i="5" s="1"/>
  <c r="N469" i="5"/>
  <c r="M469" i="5"/>
  <c r="O468" i="5" a="1"/>
  <c r="O468" i="5" s="1"/>
  <c r="N468" i="5"/>
  <c r="M468" i="5"/>
  <c r="O467" i="5" a="1"/>
  <c r="O467" i="5" s="1"/>
  <c r="N467" i="5"/>
  <c r="M467" i="5"/>
  <c r="O466" i="5" a="1"/>
  <c r="O466" i="5" s="1"/>
  <c r="N466" i="5"/>
  <c r="M466" i="5"/>
  <c r="O465" i="5" a="1"/>
  <c r="O465" i="5" s="1"/>
  <c r="N465" i="5"/>
  <c r="M465" i="5"/>
  <c r="O464" i="5" a="1"/>
  <c r="O464" i="5" s="1"/>
  <c r="N464" i="5"/>
  <c r="M464" i="5"/>
  <c r="O463" i="5" a="1"/>
  <c r="O463" i="5" s="1"/>
  <c r="N463" i="5"/>
  <c r="M463" i="5"/>
  <c r="O462" i="5" a="1"/>
  <c r="O462" i="5" s="1"/>
  <c r="N462" i="5"/>
  <c r="M462" i="5"/>
  <c r="O461" i="5" a="1"/>
  <c r="O461" i="5" s="1"/>
  <c r="N461" i="5"/>
  <c r="M461" i="5"/>
  <c r="O460" i="5" a="1"/>
  <c r="O460" i="5" s="1"/>
  <c r="N460" i="5"/>
  <c r="M460" i="5"/>
  <c r="O459" i="5" a="1"/>
  <c r="O459" i="5" s="1"/>
  <c r="N459" i="5"/>
  <c r="M459" i="5"/>
  <c r="O458" i="5" a="1"/>
  <c r="O458" i="5" s="1"/>
  <c r="N458" i="5"/>
  <c r="M458" i="5"/>
  <c r="O457" i="5" a="1"/>
  <c r="O457" i="5" s="1"/>
  <c r="N457" i="5"/>
  <c r="M457" i="5"/>
  <c r="O456" i="5" a="1"/>
  <c r="O456" i="5" s="1"/>
  <c r="N456" i="5"/>
  <c r="M456" i="5"/>
  <c r="O455" i="5" a="1"/>
  <c r="O455" i="5" s="1"/>
  <c r="N455" i="5"/>
  <c r="M455" i="5"/>
  <c r="O454" i="5" a="1"/>
  <c r="O454" i="5" s="1"/>
  <c r="N454" i="5"/>
  <c r="M454" i="5"/>
  <c r="O453" i="5" a="1"/>
  <c r="O453" i="5" s="1"/>
  <c r="N453" i="5"/>
  <c r="M453" i="5"/>
  <c r="O452" i="5" a="1"/>
  <c r="O452" i="5" s="1"/>
  <c r="N452" i="5"/>
  <c r="M452" i="5"/>
  <c r="O451" i="5" a="1"/>
  <c r="O451" i="5" s="1"/>
  <c r="N451" i="5"/>
  <c r="M451" i="5"/>
  <c r="O450" i="5" a="1"/>
  <c r="O450" i="5" s="1"/>
  <c r="N450" i="5"/>
  <c r="M450" i="5"/>
  <c r="O449" i="5" a="1"/>
  <c r="O449" i="5" s="1"/>
  <c r="N449" i="5"/>
  <c r="M449" i="5"/>
  <c r="O448" i="5" a="1"/>
  <c r="O448" i="5" s="1"/>
  <c r="N448" i="5"/>
  <c r="M448" i="5"/>
  <c r="O447" i="5" a="1"/>
  <c r="O447" i="5" s="1"/>
  <c r="N447" i="5"/>
  <c r="M447" i="5"/>
  <c r="O446" i="5" a="1"/>
  <c r="O446" i="5" s="1"/>
  <c r="N446" i="5"/>
  <c r="M446" i="5"/>
  <c r="O445" i="5" a="1"/>
  <c r="O445" i="5" s="1"/>
  <c r="N445" i="5"/>
  <c r="M445" i="5"/>
  <c r="O444" i="5" a="1"/>
  <c r="O444" i="5" s="1"/>
  <c r="N444" i="5"/>
  <c r="M444" i="5"/>
  <c r="O443" i="5" a="1"/>
  <c r="O443" i="5" s="1"/>
  <c r="N443" i="5"/>
  <c r="M443" i="5"/>
  <c r="O442" i="5" a="1"/>
  <c r="O442" i="5" s="1"/>
  <c r="N442" i="5"/>
  <c r="M442" i="5"/>
  <c r="O441" i="5" a="1"/>
  <c r="O441" i="5" s="1"/>
  <c r="N441" i="5"/>
  <c r="M441" i="5"/>
  <c r="O440" i="5" a="1"/>
  <c r="O440" i="5" s="1"/>
  <c r="N440" i="5"/>
  <c r="M440" i="5"/>
  <c r="O439" i="5" a="1"/>
  <c r="O439" i="5" s="1"/>
  <c r="N439" i="5"/>
  <c r="M439" i="5"/>
  <c r="O438" i="5" a="1"/>
  <c r="O438" i="5" s="1"/>
  <c r="N438" i="5"/>
  <c r="M438" i="5"/>
  <c r="O437" i="5" a="1"/>
  <c r="O437" i="5" s="1"/>
  <c r="N437" i="5"/>
  <c r="M437" i="5"/>
  <c r="O436" i="5" a="1"/>
  <c r="O436" i="5" s="1"/>
  <c r="N436" i="5"/>
  <c r="M436" i="5"/>
  <c r="O435" i="5" a="1"/>
  <c r="O435" i="5" s="1"/>
  <c r="N435" i="5"/>
  <c r="M435" i="5"/>
  <c r="O434" i="5" a="1"/>
  <c r="O434" i="5" s="1"/>
  <c r="N434" i="5"/>
  <c r="M434" i="5"/>
  <c r="O433" i="5" a="1"/>
  <c r="O433" i="5" s="1"/>
  <c r="N433" i="5"/>
  <c r="M433" i="5"/>
  <c r="O432" i="5" a="1"/>
  <c r="O432" i="5" s="1"/>
  <c r="N432" i="5"/>
  <c r="M432" i="5"/>
  <c r="O431" i="5" a="1"/>
  <c r="O431" i="5" s="1"/>
  <c r="N431" i="5"/>
  <c r="M431" i="5"/>
  <c r="O430" i="5" a="1"/>
  <c r="O430" i="5" s="1"/>
  <c r="N430" i="5"/>
  <c r="M430" i="5"/>
  <c r="O429" i="5" a="1"/>
  <c r="O429" i="5" s="1"/>
  <c r="N429" i="5"/>
  <c r="M429" i="5"/>
  <c r="O428" i="5" a="1"/>
  <c r="O428" i="5" s="1"/>
  <c r="N428" i="5"/>
  <c r="M428" i="5"/>
  <c r="O427" i="5" a="1"/>
  <c r="O427" i="5" s="1"/>
  <c r="N427" i="5"/>
  <c r="M427" i="5"/>
  <c r="O426" i="5" a="1"/>
  <c r="O426" i="5" s="1"/>
  <c r="N426" i="5"/>
  <c r="M426" i="5"/>
  <c r="O425" i="5" a="1"/>
  <c r="O425" i="5" s="1"/>
  <c r="N425" i="5"/>
  <c r="M425" i="5"/>
  <c r="O424" i="5" a="1"/>
  <c r="O424" i="5" s="1"/>
  <c r="N424" i="5"/>
  <c r="M424" i="5"/>
  <c r="O423" i="5" a="1"/>
  <c r="O423" i="5" s="1"/>
  <c r="N423" i="5"/>
  <c r="M423" i="5"/>
  <c r="O422" i="5" a="1"/>
  <c r="O422" i="5" s="1"/>
  <c r="N422" i="5"/>
  <c r="M422" i="5"/>
  <c r="O421" i="5" a="1"/>
  <c r="O421" i="5" s="1"/>
  <c r="N421" i="5"/>
  <c r="M421" i="5"/>
  <c r="O420" i="5" a="1"/>
  <c r="O420" i="5" s="1"/>
  <c r="N420" i="5"/>
  <c r="M420" i="5"/>
  <c r="O419" i="5" a="1"/>
  <c r="O419" i="5" s="1"/>
  <c r="N419" i="5"/>
  <c r="M419" i="5"/>
  <c r="O418" i="5" a="1"/>
  <c r="O418" i="5" s="1"/>
  <c r="N418" i="5"/>
  <c r="M418" i="5"/>
  <c r="O417" i="5" a="1"/>
  <c r="O417" i="5" s="1"/>
  <c r="N417" i="5"/>
  <c r="M417" i="5"/>
  <c r="O416" i="5" a="1"/>
  <c r="O416" i="5" s="1"/>
  <c r="N416" i="5"/>
  <c r="M416" i="5"/>
  <c r="O415" i="5" a="1"/>
  <c r="O415" i="5" s="1"/>
  <c r="N415" i="5"/>
  <c r="M415" i="5"/>
  <c r="O414" i="5" a="1"/>
  <c r="O414" i="5" s="1"/>
  <c r="N414" i="5"/>
  <c r="M414" i="5"/>
  <c r="O413" i="5" a="1"/>
  <c r="O413" i="5" s="1"/>
  <c r="N413" i="5"/>
  <c r="M413" i="5"/>
  <c r="O412" i="5" a="1"/>
  <c r="O412" i="5" s="1"/>
  <c r="N412" i="5"/>
  <c r="M412" i="5"/>
  <c r="O411" i="5" a="1"/>
  <c r="O411" i="5" s="1"/>
  <c r="N411" i="5"/>
  <c r="M411" i="5"/>
  <c r="O410" i="5" a="1"/>
  <c r="O410" i="5" s="1"/>
  <c r="N410" i="5"/>
  <c r="M410" i="5"/>
  <c r="O409" i="5" a="1"/>
  <c r="O409" i="5" s="1"/>
  <c r="N409" i="5"/>
  <c r="M409" i="5"/>
  <c r="O408" i="5" a="1"/>
  <c r="O408" i="5" s="1"/>
  <c r="N408" i="5"/>
  <c r="M408" i="5"/>
  <c r="O407" i="5" a="1"/>
  <c r="O407" i="5" s="1"/>
  <c r="N407" i="5"/>
  <c r="M407" i="5"/>
  <c r="O406" i="5" a="1"/>
  <c r="O406" i="5" s="1"/>
  <c r="N406" i="5"/>
  <c r="M406" i="5"/>
  <c r="O405" i="5" a="1"/>
  <c r="O405" i="5" s="1"/>
  <c r="N405" i="5"/>
  <c r="M405" i="5"/>
  <c r="O404" i="5" a="1"/>
  <c r="O404" i="5" s="1"/>
  <c r="N404" i="5"/>
  <c r="M404" i="5"/>
  <c r="O403" i="5" a="1"/>
  <c r="O403" i="5" s="1"/>
  <c r="N403" i="5"/>
  <c r="M403" i="5"/>
  <c r="O402" i="5" a="1"/>
  <c r="O402" i="5" s="1"/>
  <c r="N402" i="5"/>
  <c r="M402" i="5"/>
  <c r="O401" i="5" a="1"/>
  <c r="O401" i="5" s="1"/>
  <c r="N401" i="5"/>
  <c r="M401" i="5"/>
  <c r="O400" i="5" a="1"/>
  <c r="O400" i="5" s="1"/>
  <c r="N400" i="5"/>
  <c r="M400" i="5"/>
  <c r="O399" i="5" a="1"/>
  <c r="O399" i="5" s="1"/>
  <c r="N399" i="5"/>
  <c r="M399" i="5"/>
  <c r="O398" i="5" a="1"/>
  <c r="O398" i="5" s="1"/>
  <c r="N398" i="5"/>
  <c r="M398" i="5"/>
  <c r="O397" i="5" a="1"/>
  <c r="O397" i="5" s="1"/>
  <c r="N397" i="5"/>
  <c r="M397" i="5"/>
  <c r="O396" i="5" a="1"/>
  <c r="O396" i="5" s="1"/>
  <c r="N396" i="5"/>
  <c r="M396" i="5"/>
  <c r="O395" i="5" a="1"/>
  <c r="O395" i="5" s="1"/>
  <c r="N395" i="5"/>
  <c r="M395" i="5"/>
  <c r="O394" i="5" a="1"/>
  <c r="O394" i="5" s="1"/>
  <c r="N394" i="5"/>
  <c r="M394" i="5"/>
  <c r="O393" i="5" a="1"/>
  <c r="O393" i="5" s="1"/>
  <c r="N393" i="5"/>
  <c r="M393" i="5"/>
  <c r="O392" i="5" a="1"/>
  <c r="O392" i="5" s="1"/>
  <c r="N392" i="5"/>
  <c r="M392" i="5"/>
  <c r="O391" i="5" a="1"/>
  <c r="O391" i="5" s="1"/>
  <c r="N391" i="5"/>
  <c r="M391" i="5"/>
  <c r="O390" i="5" a="1"/>
  <c r="O390" i="5" s="1"/>
  <c r="N390" i="5"/>
  <c r="M390" i="5"/>
  <c r="O389" i="5" a="1"/>
  <c r="O389" i="5" s="1"/>
  <c r="N389" i="5"/>
  <c r="M389" i="5"/>
  <c r="O388" i="5" a="1"/>
  <c r="O388" i="5" s="1"/>
  <c r="N388" i="5"/>
  <c r="M388" i="5"/>
  <c r="O387" i="5" a="1"/>
  <c r="O387" i="5" s="1"/>
  <c r="N387" i="5"/>
  <c r="M387" i="5"/>
  <c r="O386" i="5" a="1"/>
  <c r="O386" i="5" s="1"/>
  <c r="N386" i="5"/>
  <c r="M386" i="5"/>
  <c r="O385" i="5" a="1"/>
  <c r="O385" i="5" s="1"/>
  <c r="N385" i="5"/>
  <c r="M385" i="5"/>
  <c r="O384" i="5" a="1"/>
  <c r="O384" i="5" s="1"/>
  <c r="N384" i="5"/>
  <c r="M384" i="5"/>
  <c r="O383" i="5" a="1"/>
  <c r="O383" i="5" s="1"/>
  <c r="N383" i="5"/>
  <c r="M383" i="5"/>
  <c r="O382" i="5" a="1"/>
  <c r="O382" i="5" s="1"/>
  <c r="N382" i="5"/>
  <c r="M382" i="5"/>
  <c r="O381" i="5" a="1"/>
  <c r="O381" i="5" s="1"/>
  <c r="N381" i="5"/>
  <c r="M381" i="5"/>
  <c r="O380" i="5" a="1"/>
  <c r="O380" i="5" s="1"/>
  <c r="N380" i="5"/>
  <c r="M380" i="5"/>
  <c r="O379" i="5" a="1"/>
  <c r="O379" i="5" s="1"/>
  <c r="N379" i="5"/>
  <c r="M379" i="5"/>
  <c r="O378" i="5" a="1"/>
  <c r="O378" i="5" s="1"/>
  <c r="N378" i="5"/>
  <c r="M378" i="5"/>
  <c r="O377" i="5" a="1"/>
  <c r="O377" i="5" s="1"/>
  <c r="N377" i="5"/>
  <c r="M377" i="5"/>
  <c r="O376" i="5" a="1"/>
  <c r="O376" i="5" s="1"/>
  <c r="N376" i="5"/>
  <c r="M376" i="5"/>
  <c r="O375" i="5" a="1"/>
  <c r="O375" i="5" s="1"/>
  <c r="N375" i="5"/>
  <c r="M375" i="5"/>
  <c r="O374" i="5" a="1"/>
  <c r="O374" i="5" s="1"/>
  <c r="N374" i="5"/>
  <c r="M374" i="5"/>
  <c r="O373" i="5" a="1"/>
  <c r="O373" i="5" s="1"/>
  <c r="N373" i="5"/>
  <c r="M373" i="5"/>
  <c r="O372" i="5" a="1"/>
  <c r="O372" i="5" s="1"/>
  <c r="N372" i="5"/>
  <c r="M372" i="5"/>
  <c r="O371" i="5" a="1"/>
  <c r="O371" i="5" s="1"/>
  <c r="N371" i="5"/>
  <c r="M371" i="5"/>
  <c r="O370" i="5" a="1"/>
  <c r="O370" i="5" s="1"/>
  <c r="N370" i="5"/>
  <c r="M370" i="5"/>
  <c r="O369" i="5" a="1"/>
  <c r="O369" i="5" s="1"/>
  <c r="N369" i="5"/>
  <c r="M369" i="5"/>
  <c r="O368" i="5" a="1"/>
  <c r="O368" i="5" s="1"/>
  <c r="N368" i="5"/>
  <c r="M368" i="5"/>
  <c r="O367" i="5" a="1"/>
  <c r="O367" i="5" s="1"/>
  <c r="N367" i="5"/>
  <c r="M367" i="5"/>
  <c r="O366" i="5" a="1"/>
  <c r="O366" i="5" s="1"/>
  <c r="N366" i="5"/>
  <c r="M366" i="5"/>
  <c r="O365" i="5" a="1"/>
  <c r="O365" i="5" s="1"/>
  <c r="N365" i="5"/>
  <c r="M365" i="5"/>
  <c r="O364" i="5" a="1"/>
  <c r="O364" i="5" s="1"/>
  <c r="N364" i="5"/>
  <c r="M364" i="5"/>
  <c r="O363" i="5" a="1"/>
  <c r="O363" i="5" s="1"/>
  <c r="N363" i="5"/>
  <c r="M363" i="5"/>
  <c r="O362" i="5" a="1"/>
  <c r="O362" i="5" s="1"/>
  <c r="N362" i="5"/>
  <c r="M362" i="5"/>
  <c r="O361" i="5" a="1"/>
  <c r="O361" i="5" s="1"/>
  <c r="N361" i="5"/>
  <c r="M361" i="5"/>
  <c r="O360" i="5" a="1"/>
  <c r="O360" i="5" s="1"/>
  <c r="N360" i="5"/>
  <c r="M360" i="5"/>
  <c r="O359" i="5" a="1"/>
  <c r="O359" i="5" s="1"/>
  <c r="N359" i="5"/>
  <c r="M359" i="5"/>
  <c r="O358" i="5" a="1"/>
  <c r="O358" i="5" s="1"/>
  <c r="N358" i="5"/>
  <c r="M358" i="5"/>
  <c r="O357" i="5" a="1"/>
  <c r="O357" i="5" s="1"/>
  <c r="N357" i="5"/>
  <c r="M357" i="5"/>
  <c r="O356" i="5" a="1"/>
  <c r="O356" i="5" s="1"/>
  <c r="N356" i="5"/>
  <c r="M356" i="5"/>
  <c r="O355" i="5" a="1"/>
  <c r="O355" i="5" s="1"/>
  <c r="N355" i="5"/>
  <c r="M355" i="5"/>
  <c r="O354" i="5" a="1"/>
  <c r="O354" i="5" s="1"/>
  <c r="N354" i="5"/>
  <c r="M354" i="5"/>
  <c r="O353" i="5" a="1"/>
  <c r="O353" i="5" s="1"/>
  <c r="N353" i="5"/>
  <c r="M353" i="5"/>
  <c r="O352" i="5" a="1"/>
  <c r="O352" i="5" s="1"/>
  <c r="N352" i="5"/>
  <c r="M352" i="5"/>
  <c r="O351" i="5" a="1"/>
  <c r="O351" i="5" s="1"/>
  <c r="N351" i="5"/>
  <c r="M351" i="5"/>
  <c r="O350" i="5" a="1"/>
  <c r="O350" i="5" s="1"/>
  <c r="N350" i="5"/>
  <c r="M350" i="5"/>
  <c r="O349" i="5" a="1"/>
  <c r="O349" i="5" s="1"/>
  <c r="N349" i="5"/>
  <c r="M349" i="5"/>
  <c r="O348" i="5" a="1"/>
  <c r="O348" i="5" s="1"/>
  <c r="N348" i="5"/>
  <c r="M348" i="5"/>
  <c r="O347" i="5" a="1"/>
  <c r="O347" i="5" s="1"/>
  <c r="N347" i="5"/>
  <c r="M347" i="5"/>
  <c r="O346" i="5" a="1"/>
  <c r="O346" i="5" s="1"/>
  <c r="N346" i="5"/>
  <c r="M346" i="5"/>
  <c r="O345" i="5" a="1"/>
  <c r="O345" i="5" s="1"/>
  <c r="N345" i="5"/>
  <c r="M345" i="5"/>
  <c r="O344" i="5" a="1"/>
  <c r="O344" i="5" s="1"/>
  <c r="N344" i="5"/>
  <c r="M344" i="5"/>
  <c r="O343" i="5" a="1"/>
  <c r="O343" i="5" s="1"/>
  <c r="N343" i="5"/>
  <c r="M343" i="5"/>
  <c r="O342" i="5" a="1"/>
  <c r="O342" i="5" s="1"/>
  <c r="N342" i="5"/>
  <c r="M342" i="5"/>
  <c r="O341" i="5" a="1"/>
  <c r="O341" i="5" s="1"/>
  <c r="N341" i="5"/>
  <c r="M341" i="5"/>
  <c r="O340" i="5" a="1"/>
  <c r="O340" i="5" s="1"/>
  <c r="N340" i="5"/>
  <c r="M340" i="5"/>
  <c r="O339" i="5" a="1"/>
  <c r="O339" i="5" s="1"/>
  <c r="N339" i="5"/>
  <c r="M339" i="5"/>
  <c r="O338" i="5" a="1"/>
  <c r="O338" i="5" s="1"/>
  <c r="N338" i="5"/>
  <c r="M338" i="5"/>
  <c r="O337" i="5" a="1"/>
  <c r="O337" i="5" s="1"/>
  <c r="N337" i="5"/>
  <c r="M337" i="5"/>
  <c r="O336" i="5" a="1"/>
  <c r="O336" i="5" s="1"/>
  <c r="N336" i="5"/>
  <c r="M336" i="5"/>
  <c r="O335" i="5" a="1"/>
  <c r="O335" i="5" s="1"/>
  <c r="N335" i="5"/>
  <c r="M335" i="5"/>
  <c r="O334" i="5" a="1"/>
  <c r="O334" i="5" s="1"/>
  <c r="N334" i="5"/>
  <c r="M334" i="5"/>
  <c r="O333" i="5" a="1"/>
  <c r="O333" i="5" s="1"/>
  <c r="N333" i="5"/>
  <c r="M333" i="5"/>
  <c r="O332" i="5" a="1"/>
  <c r="O332" i="5" s="1"/>
  <c r="N332" i="5"/>
  <c r="M332" i="5"/>
  <c r="O331" i="5" a="1"/>
  <c r="O331" i="5" s="1"/>
  <c r="N331" i="5"/>
  <c r="M331" i="5"/>
  <c r="O330" i="5" a="1"/>
  <c r="O330" i="5" s="1"/>
  <c r="N330" i="5"/>
  <c r="M330" i="5"/>
  <c r="O329" i="5" a="1"/>
  <c r="O329" i="5" s="1"/>
  <c r="N329" i="5"/>
  <c r="M329" i="5"/>
  <c r="O328" i="5" a="1"/>
  <c r="O328" i="5" s="1"/>
  <c r="N328" i="5"/>
  <c r="M328" i="5"/>
  <c r="O327" i="5" a="1"/>
  <c r="O327" i="5" s="1"/>
  <c r="N327" i="5"/>
  <c r="M327" i="5"/>
  <c r="O326" i="5" a="1"/>
  <c r="O326" i="5" s="1"/>
  <c r="N326" i="5"/>
  <c r="M326" i="5"/>
  <c r="O325" i="5" a="1"/>
  <c r="O325" i="5" s="1"/>
  <c r="N325" i="5"/>
  <c r="M325" i="5"/>
  <c r="O324" i="5" a="1"/>
  <c r="O324" i="5" s="1"/>
  <c r="N324" i="5"/>
  <c r="M324" i="5"/>
  <c r="O323" i="5" a="1"/>
  <c r="O323" i="5" s="1"/>
  <c r="N323" i="5"/>
  <c r="M323" i="5"/>
  <c r="O322" i="5" a="1"/>
  <c r="O322" i="5" s="1"/>
  <c r="N322" i="5"/>
  <c r="M322" i="5"/>
  <c r="O321" i="5" a="1"/>
  <c r="O321" i="5" s="1"/>
  <c r="N321" i="5"/>
  <c r="M321" i="5"/>
  <c r="O320" i="5" a="1"/>
  <c r="O320" i="5" s="1"/>
  <c r="N320" i="5"/>
  <c r="M320" i="5"/>
  <c r="O319" i="5" a="1"/>
  <c r="O319" i="5" s="1"/>
  <c r="N319" i="5"/>
  <c r="M319" i="5"/>
  <c r="O318" i="5" a="1"/>
  <c r="O318" i="5" s="1"/>
  <c r="N318" i="5"/>
  <c r="M318" i="5"/>
  <c r="O317" i="5" a="1"/>
  <c r="O317" i="5" s="1"/>
  <c r="N317" i="5"/>
  <c r="M317" i="5"/>
  <c r="O316" i="5" a="1"/>
  <c r="O316" i="5" s="1"/>
  <c r="N316" i="5"/>
  <c r="M316" i="5"/>
  <c r="O315" i="5" a="1"/>
  <c r="O315" i="5" s="1"/>
  <c r="N315" i="5"/>
  <c r="M315" i="5"/>
  <c r="O314" i="5" a="1"/>
  <c r="O314" i="5" s="1"/>
  <c r="N314" i="5"/>
  <c r="M314" i="5"/>
  <c r="O313" i="5" a="1"/>
  <c r="O313" i="5" s="1"/>
  <c r="N313" i="5"/>
  <c r="M313" i="5"/>
  <c r="O312" i="5" a="1"/>
  <c r="O312" i="5" s="1"/>
  <c r="N312" i="5"/>
  <c r="M312" i="5"/>
  <c r="O311" i="5" a="1"/>
  <c r="O311" i="5" s="1"/>
  <c r="N311" i="5"/>
  <c r="M311" i="5"/>
  <c r="O310" i="5" a="1"/>
  <c r="O310" i="5" s="1"/>
  <c r="N310" i="5"/>
  <c r="M310" i="5"/>
  <c r="O309" i="5" a="1"/>
  <c r="O309" i="5" s="1"/>
  <c r="N309" i="5"/>
  <c r="M309" i="5"/>
  <c r="O308" i="5" a="1"/>
  <c r="O308" i="5" s="1"/>
  <c r="N308" i="5"/>
  <c r="M308" i="5"/>
  <c r="O307" i="5" a="1"/>
  <c r="O307" i="5" s="1"/>
  <c r="N307" i="5"/>
  <c r="M307" i="5"/>
  <c r="O306" i="5" a="1"/>
  <c r="O306" i="5" s="1"/>
  <c r="N306" i="5"/>
  <c r="M306" i="5"/>
  <c r="O305" i="5" a="1"/>
  <c r="O305" i="5" s="1"/>
  <c r="N305" i="5"/>
  <c r="M305" i="5"/>
  <c r="O304" i="5" a="1"/>
  <c r="O304" i="5" s="1"/>
  <c r="N304" i="5"/>
  <c r="M304" i="5"/>
  <c r="O303" i="5" a="1"/>
  <c r="O303" i="5" s="1"/>
  <c r="N303" i="5"/>
  <c r="M303" i="5"/>
  <c r="O302" i="5" a="1"/>
  <c r="O302" i="5" s="1"/>
  <c r="N302" i="5"/>
  <c r="M302" i="5"/>
  <c r="O301" i="5" a="1"/>
  <c r="O301" i="5" s="1"/>
  <c r="N301" i="5"/>
  <c r="M301" i="5"/>
  <c r="O300" i="5" a="1"/>
  <c r="O300" i="5" s="1"/>
  <c r="N300" i="5"/>
  <c r="M300" i="5"/>
  <c r="O299" i="5" a="1"/>
  <c r="O299" i="5" s="1"/>
  <c r="N299" i="5"/>
  <c r="M299" i="5"/>
  <c r="O298" i="5" a="1"/>
  <c r="O298" i="5" s="1"/>
  <c r="N298" i="5"/>
  <c r="M298" i="5"/>
  <c r="O297" i="5" a="1"/>
  <c r="O297" i="5" s="1"/>
  <c r="N297" i="5"/>
  <c r="M297" i="5"/>
  <c r="O296" i="5" a="1"/>
  <c r="O296" i="5" s="1"/>
  <c r="N296" i="5"/>
  <c r="M296" i="5"/>
  <c r="O295" i="5" a="1"/>
  <c r="O295" i="5" s="1"/>
  <c r="N295" i="5"/>
  <c r="M295" i="5"/>
  <c r="O294" i="5" a="1"/>
  <c r="O294" i="5" s="1"/>
  <c r="N294" i="5"/>
  <c r="M294" i="5"/>
  <c r="O293" i="5" a="1"/>
  <c r="O293" i="5" s="1"/>
  <c r="N293" i="5"/>
  <c r="M293" i="5"/>
  <c r="O292" i="5" a="1"/>
  <c r="O292" i="5" s="1"/>
  <c r="N292" i="5"/>
  <c r="M292" i="5"/>
  <c r="O291" i="5" a="1"/>
  <c r="O291" i="5" s="1"/>
  <c r="N291" i="5"/>
  <c r="M291" i="5"/>
  <c r="O290" i="5" a="1"/>
  <c r="O290" i="5" s="1"/>
  <c r="N290" i="5"/>
  <c r="M290" i="5"/>
  <c r="O289" i="5" a="1"/>
  <c r="O289" i="5" s="1"/>
  <c r="N289" i="5"/>
  <c r="M289" i="5"/>
  <c r="O288" i="5" a="1"/>
  <c r="O288" i="5" s="1"/>
  <c r="N288" i="5"/>
  <c r="M288" i="5"/>
  <c r="O287" i="5" a="1"/>
  <c r="O287" i="5" s="1"/>
  <c r="N287" i="5"/>
  <c r="M287" i="5"/>
  <c r="O286" i="5" a="1"/>
  <c r="O286" i="5" s="1"/>
  <c r="N286" i="5"/>
  <c r="M286" i="5"/>
  <c r="O285" i="5" a="1"/>
  <c r="O285" i="5" s="1"/>
  <c r="N285" i="5"/>
  <c r="M285" i="5"/>
  <c r="O284" i="5" a="1"/>
  <c r="O284" i="5" s="1"/>
  <c r="N284" i="5"/>
  <c r="M284" i="5"/>
  <c r="O283" i="5" a="1"/>
  <c r="O283" i="5" s="1"/>
  <c r="N283" i="5"/>
  <c r="M283" i="5"/>
  <c r="O282" i="5" a="1"/>
  <c r="O282" i="5" s="1"/>
  <c r="N282" i="5"/>
  <c r="M282" i="5"/>
  <c r="O281" i="5" a="1"/>
  <c r="O281" i="5" s="1"/>
  <c r="N281" i="5"/>
  <c r="M281" i="5"/>
  <c r="O280" i="5" a="1"/>
  <c r="O280" i="5" s="1"/>
  <c r="N280" i="5"/>
  <c r="M280" i="5"/>
  <c r="O279" i="5" a="1"/>
  <c r="O279" i="5" s="1"/>
  <c r="N279" i="5"/>
  <c r="M279" i="5"/>
  <c r="O278" i="5" a="1"/>
  <c r="O278" i="5" s="1"/>
  <c r="N278" i="5"/>
  <c r="M278" i="5"/>
  <c r="O277" i="5" a="1"/>
  <c r="O277" i="5" s="1"/>
  <c r="N277" i="5"/>
  <c r="M277" i="5"/>
  <c r="O276" i="5" a="1"/>
  <c r="O276" i="5" s="1"/>
  <c r="N276" i="5"/>
  <c r="M276" i="5"/>
  <c r="O275" i="5" a="1"/>
  <c r="O275" i="5" s="1"/>
  <c r="N275" i="5"/>
  <c r="M275" i="5"/>
  <c r="O274" i="5" a="1"/>
  <c r="O274" i="5" s="1"/>
  <c r="N274" i="5"/>
  <c r="M274" i="5"/>
  <c r="O273" i="5" a="1"/>
  <c r="O273" i="5" s="1"/>
  <c r="N273" i="5"/>
  <c r="M273" i="5"/>
  <c r="O272" i="5" a="1"/>
  <c r="O272" i="5" s="1"/>
  <c r="N272" i="5"/>
  <c r="M272" i="5"/>
  <c r="O271" i="5" a="1"/>
  <c r="O271" i="5" s="1"/>
  <c r="N271" i="5"/>
  <c r="M271" i="5"/>
  <c r="O270" i="5" a="1"/>
  <c r="O270" i="5" s="1"/>
  <c r="N270" i="5"/>
  <c r="M270" i="5"/>
  <c r="O269" i="5" a="1"/>
  <c r="O269" i="5" s="1"/>
  <c r="N269" i="5"/>
  <c r="M269" i="5"/>
  <c r="O268" i="5" a="1"/>
  <c r="O268" i="5" s="1"/>
  <c r="N268" i="5"/>
  <c r="M268" i="5"/>
  <c r="O267" i="5" a="1"/>
  <c r="O267" i="5" s="1"/>
  <c r="N267" i="5"/>
  <c r="M267" i="5"/>
  <c r="O266" i="5" a="1"/>
  <c r="O266" i="5" s="1"/>
  <c r="N266" i="5"/>
  <c r="M266" i="5"/>
  <c r="O265" i="5" a="1"/>
  <c r="O265" i="5" s="1"/>
  <c r="N265" i="5"/>
  <c r="M265" i="5"/>
  <c r="O264" i="5" a="1"/>
  <c r="O264" i="5" s="1"/>
  <c r="N264" i="5"/>
  <c r="M264" i="5"/>
  <c r="O263" i="5" a="1"/>
  <c r="O263" i="5" s="1"/>
  <c r="N263" i="5"/>
  <c r="M263" i="5"/>
  <c r="O262" i="5" a="1"/>
  <c r="O262" i="5" s="1"/>
  <c r="N262" i="5"/>
  <c r="M262" i="5"/>
  <c r="O261" i="5" a="1"/>
  <c r="O261" i="5" s="1"/>
  <c r="N261" i="5"/>
  <c r="M261" i="5"/>
  <c r="O260" i="5" a="1"/>
  <c r="O260" i="5" s="1"/>
  <c r="N260" i="5"/>
  <c r="M260" i="5"/>
  <c r="O259" i="5" a="1"/>
  <c r="O259" i="5" s="1"/>
  <c r="N259" i="5"/>
  <c r="M259" i="5"/>
  <c r="O258" i="5" a="1"/>
  <c r="O258" i="5" s="1"/>
  <c r="N258" i="5"/>
  <c r="M258" i="5"/>
  <c r="O257" i="5" a="1"/>
  <c r="O257" i="5" s="1"/>
  <c r="N257" i="5"/>
  <c r="M257" i="5"/>
  <c r="O256" i="5" a="1"/>
  <c r="O256" i="5" s="1"/>
  <c r="N256" i="5"/>
  <c r="M256" i="5"/>
  <c r="O255" i="5" a="1"/>
  <c r="O255" i="5" s="1"/>
  <c r="N255" i="5"/>
  <c r="M255" i="5"/>
  <c r="O254" i="5" a="1"/>
  <c r="O254" i="5" s="1"/>
  <c r="N254" i="5"/>
  <c r="M254" i="5"/>
  <c r="O253" i="5" a="1"/>
  <c r="O253" i="5" s="1"/>
  <c r="N253" i="5"/>
  <c r="M253" i="5"/>
  <c r="O252" i="5" a="1"/>
  <c r="O252" i="5" s="1"/>
  <c r="N252" i="5"/>
  <c r="M252" i="5"/>
  <c r="O251" i="5" a="1"/>
  <c r="O251" i="5" s="1"/>
  <c r="N251" i="5"/>
  <c r="M251" i="5"/>
  <c r="O250" i="5" a="1"/>
  <c r="O250" i="5" s="1"/>
  <c r="N250" i="5"/>
  <c r="M250" i="5"/>
  <c r="O249" i="5" a="1"/>
  <c r="O249" i="5" s="1"/>
  <c r="N249" i="5"/>
  <c r="M249" i="5"/>
  <c r="O248" i="5" a="1"/>
  <c r="O248" i="5" s="1"/>
  <c r="N248" i="5"/>
  <c r="M248" i="5"/>
  <c r="O247" i="5" a="1"/>
  <c r="O247" i="5" s="1"/>
  <c r="N247" i="5"/>
  <c r="M247" i="5"/>
  <c r="O246" i="5" a="1"/>
  <c r="O246" i="5" s="1"/>
  <c r="N246" i="5"/>
  <c r="M246" i="5"/>
  <c r="O245" i="5" a="1"/>
  <c r="O245" i="5" s="1"/>
  <c r="N245" i="5"/>
  <c r="M245" i="5"/>
  <c r="O244" i="5" a="1"/>
  <c r="O244" i="5" s="1"/>
  <c r="N244" i="5"/>
  <c r="M244" i="5"/>
  <c r="O243" i="5" a="1"/>
  <c r="O243" i="5" s="1"/>
  <c r="N243" i="5"/>
  <c r="M243" i="5"/>
  <c r="O242" i="5" a="1"/>
  <c r="O242" i="5" s="1"/>
  <c r="N242" i="5"/>
  <c r="M242" i="5"/>
  <c r="O241" i="5" a="1"/>
  <c r="O241" i="5" s="1"/>
  <c r="N241" i="5"/>
  <c r="M241" i="5"/>
  <c r="O240" i="5" a="1"/>
  <c r="O240" i="5" s="1"/>
  <c r="N240" i="5"/>
  <c r="M240" i="5"/>
  <c r="O239" i="5" a="1"/>
  <c r="O239" i="5" s="1"/>
  <c r="N239" i="5"/>
  <c r="M239" i="5"/>
  <c r="O238" i="5" a="1"/>
  <c r="O238" i="5" s="1"/>
  <c r="N238" i="5"/>
  <c r="M238" i="5"/>
  <c r="O237" i="5" a="1"/>
  <c r="O237" i="5" s="1"/>
  <c r="N237" i="5"/>
  <c r="M237" i="5"/>
  <c r="O236" i="5" a="1"/>
  <c r="O236" i="5" s="1"/>
  <c r="N236" i="5"/>
  <c r="M236" i="5"/>
  <c r="O235" i="5" a="1"/>
  <c r="O235" i="5" s="1"/>
  <c r="N235" i="5"/>
  <c r="M235" i="5"/>
  <c r="O234" i="5" a="1"/>
  <c r="O234" i="5" s="1"/>
  <c r="N234" i="5"/>
  <c r="M234" i="5"/>
  <c r="O233" i="5" a="1"/>
  <c r="O233" i="5" s="1"/>
  <c r="N233" i="5"/>
  <c r="M233" i="5"/>
  <c r="O232" i="5" a="1"/>
  <c r="O232" i="5" s="1"/>
  <c r="N232" i="5"/>
  <c r="M232" i="5"/>
  <c r="O231" i="5" a="1"/>
  <c r="O231" i="5" s="1"/>
  <c r="N231" i="5"/>
  <c r="M231" i="5"/>
  <c r="O230" i="5" a="1"/>
  <c r="O230" i="5" s="1"/>
  <c r="N230" i="5"/>
  <c r="M230" i="5"/>
  <c r="O229" i="5" a="1"/>
  <c r="O229" i="5" s="1"/>
  <c r="N229" i="5"/>
  <c r="M229" i="5"/>
  <c r="O228" i="5" a="1"/>
  <c r="O228" i="5" s="1"/>
  <c r="N228" i="5"/>
  <c r="M228" i="5"/>
  <c r="O227" i="5" a="1"/>
  <c r="O227" i="5" s="1"/>
  <c r="N227" i="5"/>
  <c r="M227" i="5"/>
  <c r="O226" i="5" a="1"/>
  <c r="O226" i="5" s="1"/>
  <c r="N226" i="5"/>
  <c r="M226" i="5"/>
  <c r="O225" i="5" a="1"/>
  <c r="O225" i="5" s="1"/>
  <c r="N225" i="5"/>
  <c r="M225" i="5"/>
  <c r="O224" i="5" a="1"/>
  <c r="O224" i="5" s="1"/>
  <c r="N224" i="5"/>
  <c r="M224" i="5"/>
  <c r="O223" i="5" a="1"/>
  <c r="O223" i="5" s="1"/>
  <c r="N223" i="5"/>
  <c r="M223" i="5"/>
  <c r="O222" i="5" a="1"/>
  <c r="O222" i="5" s="1"/>
  <c r="N222" i="5"/>
  <c r="M222" i="5"/>
  <c r="O221" i="5" a="1"/>
  <c r="O221" i="5" s="1"/>
  <c r="N221" i="5"/>
  <c r="M221" i="5"/>
  <c r="O220" i="5" a="1"/>
  <c r="O220" i="5" s="1"/>
  <c r="N220" i="5"/>
  <c r="M220" i="5"/>
  <c r="O219" i="5" a="1"/>
  <c r="O219" i="5" s="1"/>
  <c r="N219" i="5"/>
  <c r="M219" i="5"/>
  <c r="O218" i="5" a="1"/>
  <c r="O218" i="5" s="1"/>
  <c r="N218" i="5"/>
  <c r="M218" i="5"/>
  <c r="O217" i="5" a="1"/>
  <c r="O217" i="5" s="1"/>
  <c r="N217" i="5"/>
  <c r="M217" i="5"/>
  <c r="O216" i="5" a="1"/>
  <c r="O216" i="5" s="1"/>
  <c r="N216" i="5"/>
  <c r="M216" i="5"/>
  <c r="O215" i="5" a="1"/>
  <c r="O215" i="5" s="1"/>
  <c r="N215" i="5"/>
  <c r="M215" i="5"/>
  <c r="O214" i="5" a="1"/>
  <c r="O214" i="5" s="1"/>
  <c r="N214" i="5"/>
  <c r="M214" i="5"/>
  <c r="O213" i="5" a="1"/>
  <c r="O213" i="5" s="1"/>
  <c r="N213" i="5"/>
  <c r="M213" i="5"/>
  <c r="O212" i="5" a="1"/>
  <c r="O212" i="5" s="1"/>
  <c r="N212" i="5"/>
  <c r="M212" i="5"/>
  <c r="O211" i="5" a="1"/>
  <c r="O211" i="5" s="1"/>
  <c r="N211" i="5"/>
  <c r="M211" i="5"/>
  <c r="O210" i="5" a="1"/>
  <c r="O210" i="5" s="1"/>
  <c r="N210" i="5"/>
  <c r="M210" i="5"/>
  <c r="O209" i="5" a="1"/>
  <c r="O209" i="5" s="1"/>
  <c r="N209" i="5"/>
  <c r="M209" i="5"/>
  <c r="O208" i="5" a="1"/>
  <c r="O208" i="5" s="1"/>
  <c r="N208" i="5"/>
  <c r="M208" i="5"/>
  <c r="O207" i="5" a="1"/>
  <c r="O207" i="5" s="1"/>
  <c r="N207" i="5"/>
  <c r="M207" i="5"/>
  <c r="O206" i="5" a="1"/>
  <c r="O206" i="5" s="1"/>
  <c r="N206" i="5"/>
  <c r="M206" i="5"/>
  <c r="O205" i="5" a="1"/>
  <c r="O205" i="5" s="1"/>
  <c r="N205" i="5"/>
  <c r="M205" i="5"/>
  <c r="O204" i="5" a="1"/>
  <c r="O204" i="5" s="1"/>
  <c r="N204" i="5"/>
  <c r="M204" i="5"/>
  <c r="O203" i="5" a="1"/>
  <c r="O203" i="5" s="1"/>
  <c r="N203" i="5"/>
  <c r="M203" i="5"/>
  <c r="O202" i="5" a="1"/>
  <c r="O202" i="5" s="1"/>
  <c r="N202" i="5"/>
  <c r="M202" i="5"/>
  <c r="O201" i="5" a="1"/>
  <c r="O201" i="5" s="1"/>
  <c r="N201" i="5"/>
  <c r="M201" i="5"/>
  <c r="O200" i="5" a="1"/>
  <c r="O200" i="5" s="1"/>
  <c r="N200" i="5"/>
  <c r="M200" i="5"/>
  <c r="O199" i="5" a="1"/>
  <c r="O199" i="5" s="1"/>
  <c r="N199" i="5"/>
  <c r="M199" i="5"/>
  <c r="O198" i="5" a="1"/>
  <c r="O198" i="5" s="1"/>
  <c r="N198" i="5"/>
  <c r="M198" i="5"/>
  <c r="O197" i="5" a="1"/>
  <c r="O197" i="5" s="1"/>
  <c r="N197" i="5"/>
  <c r="M197" i="5"/>
  <c r="O196" i="5" a="1"/>
  <c r="O196" i="5" s="1"/>
  <c r="N196" i="5"/>
  <c r="M196" i="5"/>
  <c r="O195" i="5" a="1"/>
  <c r="O195" i="5" s="1"/>
  <c r="N195" i="5"/>
  <c r="M195" i="5"/>
  <c r="O194" i="5" a="1"/>
  <c r="O194" i="5" s="1"/>
  <c r="N194" i="5"/>
  <c r="M194" i="5"/>
  <c r="O193" i="5" a="1"/>
  <c r="O193" i="5" s="1"/>
  <c r="N193" i="5"/>
  <c r="M193" i="5"/>
  <c r="O192" i="5" a="1"/>
  <c r="O192" i="5" s="1"/>
  <c r="N192" i="5"/>
  <c r="M192" i="5"/>
  <c r="O191" i="5" a="1"/>
  <c r="O191" i="5" s="1"/>
  <c r="N191" i="5"/>
  <c r="M191" i="5"/>
  <c r="O190" i="5" a="1"/>
  <c r="O190" i="5" s="1"/>
  <c r="N190" i="5"/>
  <c r="M190" i="5"/>
  <c r="O189" i="5" a="1"/>
  <c r="O189" i="5" s="1"/>
  <c r="N189" i="5"/>
  <c r="M189" i="5"/>
  <c r="O188" i="5" a="1"/>
  <c r="O188" i="5" s="1"/>
  <c r="N188" i="5"/>
  <c r="M188" i="5"/>
  <c r="O187" i="5" a="1"/>
  <c r="O187" i="5" s="1"/>
  <c r="N187" i="5"/>
  <c r="M187" i="5"/>
  <c r="O186" i="5" a="1"/>
  <c r="O186" i="5" s="1"/>
  <c r="N186" i="5"/>
  <c r="M186" i="5"/>
  <c r="O185" i="5" a="1"/>
  <c r="O185" i="5" s="1"/>
  <c r="N185" i="5"/>
  <c r="M185" i="5"/>
  <c r="O184" i="5" a="1"/>
  <c r="O184" i="5" s="1"/>
  <c r="N184" i="5"/>
  <c r="M184" i="5"/>
  <c r="O183" i="5" a="1"/>
  <c r="O183" i="5" s="1"/>
  <c r="N183" i="5"/>
  <c r="M183" i="5"/>
  <c r="O182" i="5" a="1"/>
  <c r="O182" i="5" s="1"/>
  <c r="N182" i="5"/>
  <c r="M182" i="5"/>
  <c r="O181" i="5" a="1"/>
  <c r="O181" i="5" s="1"/>
  <c r="N181" i="5"/>
  <c r="M181" i="5"/>
  <c r="O180" i="5" a="1"/>
  <c r="O180" i="5" s="1"/>
  <c r="N180" i="5"/>
  <c r="M180" i="5"/>
  <c r="O179" i="5" a="1"/>
  <c r="O179" i="5" s="1"/>
  <c r="N179" i="5"/>
  <c r="M179" i="5"/>
  <c r="O178" i="5" a="1"/>
  <c r="O178" i="5" s="1"/>
  <c r="N178" i="5"/>
  <c r="M178" i="5"/>
  <c r="O177" i="5" a="1"/>
  <c r="O177" i="5" s="1"/>
  <c r="N177" i="5"/>
  <c r="M177" i="5"/>
  <c r="O176" i="5" a="1"/>
  <c r="O176" i="5" s="1"/>
  <c r="N176" i="5"/>
  <c r="M176" i="5"/>
  <c r="O175" i="5" a="1"/>
  <c r="O175" i="5" s="1"/>
  <c r="N175" i="5"/>
  <c r="M175" i="5"/>
  <c r="O174" i="5" a="1"/>
  <c r="O174" i="5" s="1"/>
  <c r="N174" i="5"/>
  <c r="M174" i="5"/>
  <c r="O173" i="5" a="1"/>
  <c r="O173" i="5" s="1"/>
  <c r="N173" i="5"/>
  <c r="M173" i="5"/>
  <c r="O172" i="5" a="1"/>
  <c r="O172" i="5" s="1"/>
  <c r="N172" i="5"/>
  <c r="M172" i="5"/>
  <c r="O171" i="5" a="1"/>
  <c r="O171" i="5" s="1"/>
  <c r="N171" i="5"/>
  <c r="M171" i="5"/>
  <c r="O170" i="5" a="1"/>
  <c r="O170" i="5" s="1"/>
  <c r="N170" i="5"/>
  <c r="M170" i="5"/>
  <c r="O169" i="5" a="1"/>
  <c r="O169" i="5" s="1"/>
  <c r="N169" i="5"/>
  <c r="M169" i="5"/>
  <c r="O168" i="5" a="1"/>
  <c r="O168" i="5" s="1"/>
  <c r="N168" i="5"/>
  <c r="M168" i="5"/>
  <c r="O167" i="5" a="1"/>
  <c r="O167" i="5" s="1"/>
  <c r="N167" i="5"/>
  <c r="M167" i="5"/>
  <c r="O166" i="5" a="1"/>
  <c r="O166" i="5" s="1"/>
  <c r="N166" i="5"/>
  <c r="M166" i="5"/>
  <c r="O165" i="5" a="1"/>
  <c r="O165" i="5" s="1"/>
  <c r="N165" i="5"/>
  <c r="M165" i="5"/>
  <c r="O164" i="5" a="1"/>
  <c r="O164" i="5" s="1"/>
  <c r="N164" i="5"/>
  <c r="M164" i="5"/>
  <c r="O163" i="5" a="1"/>
  <c r="O163" i="5" s="1"/>
  <c r="N163" i="5"/>
  <c r="M163" i="5"/>
  <c r="O162" i="5" a="1"/>
  <c r="O162" i="5" s="1"/>
  <c r="N162" i="5"/>
  <c r="M162" i="5"/>
  <c r="O161" i="5" a="1"/>
  <c r="O161" i="5" s="1"/>
  <c r="N161" i="5"/>
  <c r="M161" i="5"/>
  <c r="O160" i="5" a="1"/>
  <c r="O160" i="5" s="1"/>
  <c r="N160" i="5"/>
  <c r="M160" i="5"/>
  <c r="O159" i="5" a="1"/>
  <c r="O159" i="5" s="1"/>
  <c r="N159" i="5"/>
  <c r="M159" i="5"/>
  <c r="O158" i="5" a="1"/>
  <c r="O158" i="5" s="1"/>
  <c r="N158" i="5"/>
  <c r="M158" i="5"/>
  <c r="O157" i="5" a="1"/>
  <c r="O157" i="5" s="1"/>
  <c r="N157" i="5"/>
  <c r="M157" i="5"/>
  <c r="O156" i="5" a="1"/>
  <c r="O156" i="5" s="1"/>
  <c r="N156" i="5"/>
  <c r="M156" i="5"/>
  <c r="O155" i="5" a="1"/>
  <c r="O155" i="5" s="1"/>
  <c r="N155" i="5"/>
  <c r="M155" i="5"/>
  <c r="O154" i="5" a="1"/>
  <c r="O154" i="5" s="1"/>
  <c r="N154" i="5"/>
  <c r="M154" i="5"/>
  <c r="O153" i="5" a="1"/>
  <c r="O153" i="5" s="1"/>
  <c r="N153" i="5"/>
  <c r="M153" i="5"/>
  <c r="O152" i="5" a="1"/>
  <c r="O152" i="5" s="1"/>
  <c r="N152" i="5"/>
  <c r="M152" i="5"/>
  <c r="O151" i="5" a="1"/>
  <c r="O151" i="5" s="1"/>
  <c r="N151" i="5"/>
  <c r="M151" i="5"/>
  <c r="O150" i="5" a="1"/>
  <c r="O150" i="5" s="1"/>
  <c r="N150" i="5"/>
  <c r="M150" i="5"/>
  <c r="O149" i="5" a="1"/>
  <c r="O149" i="5" s="1"/>
  <c r="N149" i="5"/>
  <c r="M149" i="5"/>
  <c r="O148" i="5" a="1"/>
  <c r="O148" i="5" s="1"/>
  <c r="N148" i="5"/>
  <c r="M148" i="5"/>
  <c r="O147" i="5" a="1"/>
  <c r="O147" i="5" s="1"/>
  <c r="N147" i="5"/>
  <c r="M147" i="5"/>
  <c r="O146" i="5" a="1"/>
  <c r="O146" i="5" s="1"/>
  <c r="N146" i="5"/>
  <c r="M146" i="5"/>
  <c r="O145" i="5" a="1"/>
  <c r="O145" i="5" s="1"/>
  <c r="N145" i="5"/>
  <c r="M145" i="5"/>
  <c r="O144" i="5" a="1"/>
  <c r="O144" i="5" s="1"/>
  <c r="N144" i="5"/>
  <c r="M144" i="5"/>
  <c r="O143" i="5" a="1"/>
  <c r="O143" i="5" s="1"/>
  <c r="N143" i="5"/>
  <c r="M143" i="5"/>
  <c r="O142" i="5" a="1"/>
  <c r="O142" i="5" s="1"/>
  <c r="N142" i="5"/>
  <c r="M142" i="5"/>
  <c r="O141" i="5" a="1"/>
  <c r="O141" i="5" s="1"/>
  <c r="N141" i="5"/>
  <c r="M141" i="5"/>
  <c r="O140" i="5" a="1"/>
  <c r="O140" i="5" s="1"/>
  <c r="N140" i="5"/>
  <c r="M140" i="5"/>
  <c r="O139" i="5" a="1"/>
  <c r="O139" i="5" s="1"/>
  <c r="N139" i="5"/>
  <c r="M139" i="5"/>
  <c r="O138" i="5" a="1"/>
  <c r="O138" i="5" s="1"/>
  <c r="N138" i="5"/>
  <c r="M138" i="5"/>
  <c r="O137" i="5" a="1"/>
  <c r="O137" i="5" s="1"/>
  <c r="N137" i="5"/>
  <c r="M137" i="5"/>
  <c r="O136" i="5" a="1"/>
  <c r="O136" i="5" s="1"/>
  <c r="N136" i="5"/>
  <c r="M136" i="5"/>
  <c r="O135" i="5" a="1"/>
  <c r="O135" i="5" s="1"/>
  <c r="N135" i="5"/>
  <c r="M135" i="5"/>
  <c r="O134" i="5" a="1"/>
  <c r="O134" i="5" s="1"/>
  <c r="N134" i="5"/>
  <c r="M134" i="5"/>
  <c r="O133" i="5" a="1"/>
  <c r="O133" i="5" s="1"/>
  <c r="N133" i="5"/>
  <c r="M133" i="5"/>
  <c r="O132" i="5" a="1"/>
  <c r="O132" i="5" s="1"/>
  <c r="N132" i="5"/>
  <c r="M132" i="5"/>
  <c r="O131" i="5" a="1"/>
  <c r="O131" i="5" s="1"/>
  <c r="N131" i="5"/>
  <c r="M131" i="5"/>
  <c r="O130" i="5" a="1"/>
  <c r="O130" i="5" s="1"/>
  <c r="N130" i="5"/>
  <c r="M130" i="5"/>
  <c r="O129" i="5" a="1"/>
  <c r="O129" i="5" s="1"/>
  <c r="N129" i="5"/>
  <c r="M129" i="5"/>
  <c r="O128" i="5" a="1"/>
  <c r="O128" i="5" s="1"/>
  <c r="N128" i="5"/>
  <c r="M128" i="5"/>
  <c r="O127" i="5" a="1"/>
  <c r="O127" i="5" s="1"/>
  <c r="N127" i="5"/>
  <c r="M127" i="5"/>
  <c r="O126" i="5" a="1"/>
  <c r="O126" i="5" s="1"/>
  <c r="N126" i="5"/>
  <c r="M126" i="5"/>
  <c r="O125" i="5" a="1"/>
  <c r="O125" i="5" s="1"/>
  <c r="N125" i="5"/>
  <c r="M125" i="5"/>
  <c r="O124" i="5" a="1"/>
  <c r="O124" i="5" s="1"/>
  <c r="N124" i="5"/>
  <c r="M124" i="5"/>
  <c r="O123" i="5" a="1"/>
  <c r="O123" i="5" s="1"/>
  <c r="N123" i="5"/>
  <c r="M123" i="5"/>
  <c r="O122" i="5" a="1"/>
  <c r="O122" i="5" s="1"/>
  <c r="N122" i="5"/>
  <c r="M122" i="5"/>
  <c r="O121" i="5" a="1"/>
  <c r="O121" i="5" s="1"/>
  <c r="N121" i="5"/>
  <c r="M121" i="5"/>
  <c r="O120" i="5" a="1"/>
  <c r="O120" i="5" s="1"/>
  <c r="N120" i="5"/>
  <c r="M120" i="5"/>
  <c r="O119" i="5" a="1"/>
  <c r="O119" i="5" s="1"/>
  <c r="N119" i="5"/>
  <c r="M119" i="5"/>
  <c r="O118" i="5" a="1"/>
  <c r="O118" i="5" s="1"/>
  <c r="N118" i="5"/>
  <c r="M118" i="5"/>
  <c r="O117" i="5" a="1"/>
  <c r="O117" i="5" s="1"/>
  <c r="N117" i="5"/>
  <c r="M117" i="5"/>
  <c r="O116" i="5" a="1"/>
  <c r="O116" i="5" s="1"/>
  <c r="N116" i="5"/>
  <c r="M116" i="5"/>
  <c r="O115" i="5" a="1"/>
  <c r="O115" i="5" s="1"/>
  <c r="N115" i="5"/>
  <c r="M115" i="5"/>
  <c r="O114" i="5" a="1"/>
  <c r="O114" i="5" s="1"/>
  <c r="N114" i="5"/>
  <c r="M114" i="5"/>
  <c r="O113" i="5" a="1"/>
  <c r="O113" i="5" s="1"/>
  <c r="N113" i="5"/>
  <c r="M113" i="5"/>
  <c r="O112" i="5" a="1"/>
  <c r="O112" i="5" s="1"/>
  <c r="N112" i="5"/>
  <c r="M112" i="5"/>
  <c r="O111" i="5" a="1"/>
  <c r="O111" i="5" s="1"/>
  <c r="N111" i="5"/>
  <c r="M111" i="5"/>
  <c r="O110" i="5" a="1"/>
  <c r="O110" i="5" s="1"/>
  <c r="N110" i="5"/>
  <c r="M110" i="5"/>
  <c r="O109" i="5" a="1"/>
  <c r="O109" i="5" s="1"/>
  <c r="N109" i="5"/>
  <c r="M109" i="5"/>
  <c r="O108" i="5" a="1"/>
  <c r="O108" i="5" s="1"/>
  <c r="N108" i="5"/>
  <c r="M108" i="5"/>
  <c r="O107" i="5" a="1"/>
  <c r="O107" i="5" s="1"/>
  <c r="N107" i="5"/>
  <c r="M107" i="5"/>
  <c r="O106" i="5" a="1"/>
  <c r="O106" i="5" s="1"/>
  <c r="N106" i="5"/>
  <c r="M106" i="5"/>
  <c r="O105" i="5" a="1"/>
  <c r="O105" i="5" s="1"/>
  <c r="N105" i="5"/>
  <c r="M105" i="5"/>
  <c r="O104" i="5" a="1"/>
  <c r="O104" i="5" s="1"/>
  <c r="N104" i="5"/>
  <c r="M104" i="5"/>
  <c r="O103" i="5" a="1"/>
  <c r="O103" i="5" s="1"/>
  <c r="N103" i="5"/>
  <c r="M103" i="5"/>
  <c r="O102" i="5" a="1"/>
  <c r="O102" i="5" s="1"/>
  <c r="N102" i="5"/>
  <c r="M102" i="5"/>
  <c r="O101" i="5" a="1"/>
  <c r="O101" i="5" s="1"/>
  <c r="N101" i="5"/>
  <c r="M101" i="5"/>
  <c r="O100" i="5" a="1"/>
  <c r="O100" i="5" s="1"/>
  <c r="N100" i="5"/>
  <c r="M100" i="5"/>
  <c r="O99" i="5" a="1"/>
  <c r="O99" i="5" s="1"/>
  <c r="N99" i="5"/>
  <c r="M99" i="5"/>
  <c r="O98" i="5" a="1"/>
  <c r="O98" i="5" s="1"/>
  <c r="N98" i="5"/>
  <c r="M98" i="5"/>
  <c r="O97" i="5" a="1"/>
  <c r="O97" i="5" s="1"/>
  <c r="N97" i="5"/>
  <c r="M97" i="5"/>
  <c r="O96" i="5" a="1"/>
  <c r="O96" i="5" s="1"/>
  <c r="N96" i="5"/>
  <c r="M96" i="5"/>
  <c r="O95" i="5" a="1"/>
  <c r="O95" i="5" s="1"/>
  <c r="N95" i="5"/>
  <c r="M95" i="5"/>
  <c r="O94" i="5" a="1"/>
  <c r="O94" i="5" s="1"/>
  <c r="N94" i="5"/>
  <c r="M94" i="5"/>
  <c r="O93" i="5" a="1"/>
  <c r="O93" i="5" s="1"/>
  <c r="N93" i="5"/>
  <c r="M93" i="5"/>
  <c r="O92" i="5" a="1"/>
  <c r="O92" i="5" s="1"/>
  <c r="N92" i="5"/>
  <c r="M92" i="5"/>
  <c r="O91" i="5" a="1"/>
  <c r="O91" i="5" s="1"/>
  <c r="N91" i="5"/>
  <c r="M91" i="5"/>
  <c r="O90" i="5" a="1"/>
  <c r="O90" i="5" s="1"/>
  <c r="N90" i="5"/>
  <c r="M90" i="5"/>
  <c r="O89" i="5" a="1"/>
  <c r="O89" i="5" s="1"/>
  <c r="N89" i="5"/>
  <c r="M89" i="5"/>
  <c r="O88" i="5" a="1"/>
  <c r="O88" i="5" s="1"/>
  <c r="N88" i="5"/>
  <c r="M88" i="5"/>
  <c r="O87" i="5" a="1"/>
  <c r="O87" i="5" s="1"/>
  <c r="N87" i="5"/>
  <c r="M87" i="5"/>
  <c r="O86" i="5" a="1"/>
  <c r="O86" i="5" s="1"/>
  <c r="N86" i="5"/>
  <c r="M86" i="5"/>
  <c r="O85" i="5" a="1"/>
  <c r="O85" i="5" s="1"/>
  <c r="N85" i="5"/>
  <c r="M85" i="5"/>
  <c r="O84" i="5" a="1"/>
  <c r="O84" i="5" s="1"/>
  <c r="N84" i="5"/>
  <c r="M84" i="5"/>
  <c r="O83" i="5" a="1"/>
  <c r="O83" i="5" s="1"/>
  <c r="N83" i="5"/>
  <c r="M83" i="5"/>
  <c r="O82" i="5" a="1"/>
  <c r="O82" i="5" s="1"/>
  <c r="N82" i="5"/>
  <c r="M82" i="5"/>
  <c r="O81" i="5" a="1"/>
  <c r="O81" i="5" s="1"/>
  <c r="N81" i="5"/>
  <c r="M81" i="5"/>
  <c r="O80" i="5" a="1"/>
  <c r="O80" i="5" s="1"/>
  <c r="N80" i="5"/>
  <c r="M80" i="5"/>
  <c r="O79" i="5" a="1"/>
  <c r="O79" i="5" s="1"/>
  <c r="N79" i="5"/>
  <c r="M79" i="5"/>
  <c r="O78" i="5" a="1"/>
  <c r="O78" i="5" s="1"/>
  <c r="N78" i="5"/>
  <c r="M78" i="5"/>
  <c r="O77" i="5" a="1"/>
  <c r="O77" i="5" s="1"/>
  <c r="N77" i="5"/>
  <c r="M77" i="5"/>
  <c r="O76" i="5" a="1"/>
  <c r="O76" i="5" s="1"/>
  <c r="N76" i="5"/>
  <c r="M76" i="5"/>
  <c r="O75" i="5" a="1"/>
  <c r="O75" i="5" s="1"/>
  <c r="N75" i="5"/>
  <c r="M75" i="5"/>
  <c r="O74" i="5" a="1"/>
  <c r="O74" i="5" s="1"/>
  <c r="N74" i="5"/>
  <c r="M74" i="5"/>
  <c r="O73" i="5" a="1"/>
  <c r="O73" i="5" s="1"/>
  <c r="N73" i="5"/>
  <c r="M73" i="5"/>
  <c r="O72" i="5" a="1"/>
  <c r="O72" i="5" s="1"/>
  <c r="N72" i="5"/>
  <c r="M72" i="5"/>
  <c r="O71" i="5" a="1"/>
  <c r="O71" i="5" s="1"/>
  <c r="N71" i="5"/>
  <c r="M71" i="5"/>
  <c r="O70" i="5" a="1"/>
  <c r="O70" i="5" s="1"/>
  <c r="N70" i="5"/>
  <c r="M70" i="5"/>
  <c r="O69" i="5" a="1"/>
  <c r="O69" i="5" s="1"/>
  <c r="N69" i="5"/>
  <c r="M69" i="5"/>
  <c r="O68" i="5" a="1"/>
  <c r="O68" i="5" s="1"/>
  <c r="N68" i="5"/>
  <c r="M68" i="5"/>
  <c r="O67" i="5" a="1"/>
  <c r="O67" i="5" s="1"/>
  <c r="N67" i="5"/>
  <c r="M67" i="5"/>
  <c r="O66" i="5" a="1"/>
  <c r="O66" i="5" s="1"/>
  <c r="N66" i="5"/>
  <c r="M66" i="5"/>
  <c r="O65" i="5" a="1"/>
  <c r="O65" i="5" s="1"/>
  <c r="N65" i="5"/>
  <c r="M65" i="5"/>
  <c r="O64" i="5" a="1"/>
  <c r="O64" i="5" s="1"/>
  <c r="N64" i="5"/>
  <c r="M64" i="5"/>
  <c r="O63" i="5" a="1"/>
  <c r="O63" i="5" s="1"/>
  <c r="N63" i="5"/>
  <c r="M63" i="5"/>
  <c r="O62" i="5" a="1"/>
  <c r="O62" i="5" s="1"/>
  <c r="N62" i="5"/>
  <c r="M62" i="5"/>
  <c r="O61" i="5" a="1"/>
  <c r="O61" i="5" s="1"/>
  <c r="N61" i="5"/>
  <c r="M61" i="5"/>
  <c r="O60" i="5" a="1"/>
  <c r="O60" i="5" s="1"/>
  <c r="N60" i="5"/>
  <c r="M60" i="5"/>
  <c r="O59" i="5" a="1"/>
  <c r="O59" i="5" s="1"/>
  <c r="N59" i="5"/>
  <c r="M59" i="5"/>
  <c r="O58" i="5" a="1"/>
  <c r="O58" i="5" s="1"/>
  <c r="N58" i="5"/>
  <c r="M58" i="5"/>
  <c r="O57" i="5" a="1"/>
  <c r="O57" i="5" s="1"/>
  <c r="N57" i="5"/>
  <c r="M57" i="5"/>
  <c r="O56" i="5" a="1"/>
  <c r="O56" i="5" s="1"/>
  <c r="N56" i="5"/>
  <c r="M56" i="5"/>
  <c r="O55" i="5" a="1"/>
  <c r="O55" i="5" s="1"/>
  <c r="N55" i="5"/>
  <c r="M55" i="5"/>
  <c r="O54" i="5" a="1"/>
  <c r="O54" i="5" s="1"/>
  <c r="N54" i="5"/>
  <c r="M54" i="5"/>
  <c r="O53" i="5" a="1"/>
  <c r="O53" i="5" s="1"/>
  <c r="N53" i="5"/>
  <c r="M53" i="5"/>
  <c r="O52" i="5" a="1"/>
  <c r="O52" i="5" s="1"/>
  <c r="N52" i="5"/>
  <c r="M52" i="5"/>
  <c r="O51" i="5" a="1"/>
  <c r="O51" i="5" s="1"/>
  <c r="N51" i="5"/>
  <c r="M51" i="5"/>
  <c r="O50" i="5" a="1"/>
  <c r="O50" i="5" s="1"/>
  <c r="N50" i="5"/>
  <c r="M50" i="5"/>
  <c r="O49" i="5" a="1"/>
  <c r="O49" i="5" s="1"/>
  <c r="N49" i="5"/>
  <c r="M49" i="5"/>
  <c r="O48" i="5" a="1"/>
  <c r="O48" i="5" s="1"/>
  <c r="N48" i="5"/>
  <c r="M48" i="5"/>
  <c r="O47" i="5" a="1"/>
  <c r="O47" i="5" s="1"/>
  <c r="N47" i="5"/>
  <c r="M47" i="5"/>
  <c r="O46" i="5" a="1"/>
  <c r="O46" i="5" s="1"/>
  <c r="N46" i="5"/>
  <c r="M46" i="5"/>
  <c r="O45" i="5" a="1"/>
  <c r="O45" i="5" s="1"/>
  <c r="N45" i="5"/>
  <c r="M45" i="5"/>
  <c r="O44" i="5" a="1"/>
  <c r="O44" i="5" s="1"/>
  <c r="N44" i="5"/>
  <c r="M44" i="5"/>
  <c r="O43" i="5" a="1"/>
  <c r="O43" i="5" s="1"/>
  <c r="N43" i="5"/>
  <c r="M43" i="5"/>
  <c r="O42" i="5" a="1"/>
  <c r="O42" i="5" s="1"/>
  <c r="N42" i="5"/>
  <c r="M42" i="5"/>
  <c r="O41" i="5" a="1"/>
  <c r="O41" i="5" s="1"/>
  <c r="N41" i="5"/>
  <c r="M41" i="5"/>
  <c r="O40" i="5" a="1"/>
  <c r="O40" i="5" s="1"/>
  <c r="N40" i="5"/>
  <c r="M40" i="5"/>
  <c r="O39" i="5" a="1"/>
  <c r="O39" i="5" s="1"/>
  <c r="N39" i="5"/>
  <c r="M39" i="5"/>
  <c r="O38" i="5" a="1"/>
  <c r="O38" i="5" s="1"/>
  <c r="N38" i="5"/>
  <c r="M38" i="5"/>
  <c r="O37" i="5" a="1"/>
  <c r="O37" i="5" s="1"/>
  <c r="N37" i="5"/>
  <c r="M37" i="5"/>
  <c r="O36" i="5" a="1"/>
  <c r="O36" i="5" s="1"/>
  <c r="N36" i="5"/>
  <c r="M36" i="5"/>
  <c r="O35" i="5" a="1"/>
  <c r="O35" i="5" s="1"/>
  <c r="N35" i="5"/>
  <c r="M35" i="5"/>
  <c r="O34" i="5" a="1"/>
  <c r="O34" i="5" s="1"/>
  <c r="N34" i="5"/>
  <c r="M34" i="5"/>
  <c r="O33" i="5" a="1"/>
  <c r="O33" i="5" s="1"/>
  <c r="N33" i="5"/>
  <c r="M33" i="5"/>
  <c r="O32" i="5" a="1"/>
  <c r="O32" i="5" s="1"/>
  <c r="N32" i="5"/>
  <c r="M32" i="5"/>
  <c r="O31" i="5" a="1"/>
  <c r="O31" i="5" s="1"/>
  <c r="N31" i="5"/>
  <c r="M31" i="5"/>
  <c r="O30" i="5" a="1"/>
  <c r="O30" i="5" s="1"/>
  <c r="N30" i="5"/>
  <c r="M30" i="5"/>
  <c r="O29" i="5" a="1"/>
  <c r="O29" i="5" s="1"/>
  <c r="N29" i="5"/>
  <c r="M29" i="5"/>
  <c r="O28" i="5" a="1"/>
  <c r="O28" i="5" s="1"/>
  <c r="N28" i="5"/>
  <c r="M28" i="5"/>
  <c r="O27" i="5" a="1"/>
  <c r="O27" i="5" s="1"/>
  <c r="N27" i="5"/>
  <c r="M27" i="5"/>
  <c r="O26" i="5" a="1"/>
  <c r="O26" i="5" s="1"/>
  <c r="N26" i="5"/>
  <c r="M26" i="5"/>
  <c r="O25" i="5" a="1"/>
  <c r="O25" i="5" s="1"/>
  <c r="N25" i="5"/>
  <c r="M25" i="5"/>
  <c r="O24" i="5" a="1"/>
  <c r="O24" i="5" s="1"/>
  <c r="N24" i="5"/>
  <c r="M24" i="5"/>
  <c r="O23" i="5" a="1"/>
  <c r="O23" i="5" s="1"/>
  <c r="N23" i="5"/>
  <c r="M23" i="5"/>
  <c r="O22" i="5" a="1"/>
  <c r="O22" i="5" s="1"/>
  <c r="N22" i="5"/>
  <c r="M22" i="5"/>
  <c r="O21" i="5" a="1"/>
  <c r="O21" i="5" s="1"/>
  <c r="N21" i="5"/>
  <c r="M21" i="5"/>
  <c r="O20" i="5" a="1"/>
  <c r="O20" i="5" s="1"/>
  <c r="N20" i="5"/>
  <c r="M20" i="5"/>
  <c r="O19" i="5" a="1"/>
  <c r="O19" i="5" s="1"/>
  <c r="N19" i="5"/>
  <c r="M19" i="5"/>
  <c r="O18" i="5" a="1"/>
  <c r="O18" i="5" s="1"/>
  <c r="N18" i="5"/>
  <c r="M18" i="5"/>
  <c r="O17" i="5" a="1"/>
  <c r="O17" i="5" s="1"/>
  <c r="N17" i="5"/>
  <c r="M17" i="5"/>
  <c r="O16" i="5" a="1"/>
  <c r="O16" i="5" s="1"/>
  <c r="N16" i="5"/>
  <c r="M16" i="5"/>
  <c r="O15" i="5" a="1"/>
  <c r="O15" i="5" s="1"/>
  <c r="N15" i="5"/>
  <c r="M15" i="5"/>
  <c r="O14" i="5" a="1"/>
  <c r="O14" i="5" s="1"/>
  <c r="N14" i="5"/>
  <c r="M14" i="5"/>
  <c r="O13" i="5" a="1"/>
  <c r="O13" i="5" s="1"/>
  <c r="N13" i="5"/>
  <c r="M13" i="5"/>
  <c r="O12" i="5" a="1"/>
  <c r="O12" i="5" s="1"/>
  <c r="N12" i="5"/>
  <c r="M12" i="5"/>
  <c r="O11" i="5" a="1"/>
  <c r="O11" i="5" s="1"/>
  <c r="N11" i="5"/>
  <c r="M11" i="5"/>
  <c r="O10" i="5" a="1"/>
  <c r="O10" i="5" s="1"/>
  <c r="N10" i="5"/>
  <c r="M10" i="5"/>
  <c r="O9" i="5" a="1"/>
  <c r="O9" i="5" s="1"/>
  <c r="N9" i="5"/>
  <c r="M9" i="5"/>
  <c r="O8" i="5" a="1"/>
  <c r="O8" i="5" s="1"/>
  <c r="N8" i="5"/>
  <c r="M8" i="5"/>
  <c r="O7" i="5" a="1"/>
  <c r="O7" i="5" s="1"/>
  <c r="N7" i="5"/>
  <c r="M7" i="5"/>
  <c r="O6" i="5" a="1"/>
  <c r="O6" i="5" s="1"/>
  <c r="N6" i="5"/>
  <c r="M6" i="5"/>
  <c r="O5" i="5" a="1"/>
  <c r="O5" i="5" s="1"/>
  <c r="N5" i="5"/>
  <c r="M5" i="5"/>
  <c r="O4" i="5" a="1"/>
  <c r="O4" i="5" s="1"/>
  <c r="N4" i="5"/>
  <c r="M4" i="5"/>
  <c r="O3" i="5" a="1"/>
  <c r="O3" i="5" s="1"/>
  <c r="N3" i="5"/>
  <c r="M3" i="5"/>
  <c r="O2" i="5" a="1"/>
  <c r="O2" i="5" s="1"/>
  <c r="N2" i="5"/>
  <c r="M2" i="5"/>
  <c r="I2401" i="3"/>
  <c r="H2401" i="3"/>
  <c r="F2401" i="3"/>
  <c r="E2401" i="3"/>
  <c r="G2401" i="3" s="1"/>
  <c r="D2401" i="3"/>
  <c r="C2401" i="3"/>
  <c r="B2401" i="3"/>
  <c r="A2401" i="3"/>
  <c r="H2400" i="3"/>
  <c r="F2400" i="3"/>
  <c r="E2400" i="3"/>
  <c r="G2400" i="3" s="1"/>
  <c r="D2400" i="3"/>
  <c r="I2400" i="3" s="1"/>
  <c r="C2400" i="3"/>
  <c r="B2400" i="3"/>
  <c r="A2400" i="3"/>
  <c r="H2399" i="3"/>
  <c r="F2399" i="3"/>
  <c r="E2399" i="3"/>
  <c r="G2399" i="3" s="1"/>
  <c r="C2399" i="3"/>
  <c r="I2399" i="3" s="1"/>
  <c r="B2399" i="3"/>
  <c r="A2399" i="3"/>
  <c r="H2398" i="3"/>
  <c r="G2398" i="3"/>
  <c r="F2398" i="3"/>
  <c r="E2398" i="3"/>
  <c r="D2398" i="3"/>
  <c r="I2398" i="3" s="1"/>
  <c r="C2398" i="3"/>
  <c r="B2398" i="3"/>
  <c r="A2398" i="3"/>
  <c r="H2397" i="3"/>
  <c r="F2397" i="3"/>
  <c r="E2397" i="3"/>
  <c r="G2397" i="3" s="1"/>
  <c r="D2397" i="3"/>
  <c r="I2397" i="3" s="1"/>
  <c r="C2397" i="3"/>
  <c r="B2397" i="3"/>
  <c r="A2397" i="3"/>
  <c r="H2396" i="3"/>
  <c r="F2396" i="3"/>
  <c r="E2396" i="3"/>
  <c r="G2396" i="3" s="1"/>
  <c r="D2396" i="3"/>
  <c r="I2396" i="3" s="1"/>
  <c r="C2396" i="3"/>
  <c r="B2396" i="3"/>
  <c r="A2396" i="3"/>
  <c r="I2395" i="3"/>
  <c r="H2395" i="3"/>
  <c r="F2395" i="3"/>
  <c r="E2395" i="3"/>
  <c r="G2395" i="3" s="1"/>
  <c r="C2395" i="3"/>
  <c r="B2395" i="3"/>
  <c r="A2395" i="3"/>
  <c r="H2394" i="3"/>
  <c r="G2394" i="3"/>
  <c r="F2394" i="3"/>
  <c r="E2394" i="3"/>
  <c r="D2394" i="3"/>
  <c r="I2394" i="3" s="1"/>
  <c r="C2394" i="3"/>
  <c r="B2394" i="3"/>
  <c r="A2394" i="3"/>
  <c r="I2393" i="3"/>
  <c r="H2393" i="3"/>
  <c r="F2393" i="3"/>
  <c r="E2393" i="3"/>
  <c r="G2393" i="3" s="1"/>
  <c r="C2393" i="3"/>
  <c r="B2393" i="3"/>
  <c r="A2393" i="3"/>
  <c r="H2392" i="3"/>
  <c r="F2392" i="3"/>
  <c r="E2392" i="3"/>
  <c r="G2392" i="3" s="1"/>
  <c r="C2392" i="3"/>
  <c r="B2392" i="3"/>
  <c r="A2392" i="3"/>
  <c r="H2391" i="3"/>
  <c r="G2391" i="3"/>
  <c r="F2391" i="3"/>
  <c r="E2391" i="3"/>
  <c r="C2391" i="3"/>
  <c r="B2391" i="3"/>
  <c r="A2391" i="3"/>
  <c r="H2390" i="3"/>
  <c r="G2390" i="3"/>
  <c r="F2390" i="3"/>
  <c r="E2390" i="3"/>
  <c r="C2390" i="3"/>
  <c r="B2390" i="3"/>
  <c r="A2390" i="3"/>
  <c r="H2389" i="3"/>
  <c r="G2389" i="3"/>
  <c r="F2389" i="3"/>
  <c r="E2389" i="3"/>
  <c r="D2389" i="3"/>
  <c r="I2389" i="3" s="1"/>
  <c r="C2389" i="3"/>
  <c r="B2389" i="3"/>
  <c r="A2389" i="3"/>
  <c r="H2388" i="3"/>
  <c r="F2388" i="3"/>
  <c r="E2388" i="3"/>
  <c r="G2388" i="3" s="1"/>
  <c r="D2388" i="3"/>
  <c r="I2388" i="3" s="1"/>
  <c r="C2388" i="3"/>
  <c r="B2388" i="3"/>
  <c r="A2388" i="3"/>
  <c r="I2387" i="3"/>
  <c r="H2387" i="3"/>
  <c r="F2387" i="3"/>
  <c r="E2387" i="3"/>
  <c r="G2387" i="3" s="1"/>
  <c r="C2387" i="3"/>
  <c r="B2387" i="3"/>
  <c r="A2387" i="3"/>
  <c r="H2386" i="3"/>
  <c r="G2386" i="3"/>
  <c r="F2386" i="3"/>
  <c r="E2386" i="3"/>
  <c r="D2386" i="3"/>
  <c r="I2386" i="3" s="1"/>
  <c r="C2386" i="3"/>
  <c r="B2386" i="3"/>
  <c r="A2386" i="3"/>
  <c r="I2385" i="3"/>
  <c r="H2385" i="3"/>
  <c r="F2385" i="3"/>
  <c r="E2385" i="3"/>
  <c r="G2385" i="3" s="1"/>
  <c r="D2385" i="3"/>
  <c r="C2385" i="3"/>
  <c r="B2385" i="3"/>
  <c r="A2385" i="3"/>
  <c r="H2384" i="3"/>
  <c r="F2384" i="3"/>
  <c r="E2384" i="3"/>
  <c r="G2384" i="3" s="1"/>
  <c r="D2384" i="3"/>
  <c r="I2384" i="3" s="1"/>
  <c r="C2384" i="3"/>
  <c r="B2384" i="3"/>
  <c r="A2384" i="3"/>
  <c r="H2383" i="3"/>
  <c r="F2383" i="3"/>
  <c r="E2383" i="3"/>
  <c r="G2383" i="3" s="1"/>
  <c r="C2383" i="3"/>
  <c r="I2383" i="3" s="1"/>
  <c r="B2383" i="3"/>
  <c r="A2383" i="3"/>
  <c r="H2382" i="3"/>
  <c r="G2382" i="3"/>
  <c r="F2382" i="3"/>
  <c r="E2382" i="3"/>
  <c r="D2382" i="3"/>
  <c r="I2382" i="3" s="1"/>
  <c r="C2382" i="3"/>
  <c r="B2382" i="3"/>
  <c r="A2382" i="3"/>
  <c r="H2381" i="3"/>
  <c r="F2381" i="3"/>
  <c r="E2381" i="3"/>
  <c r="G2381" i="3" s="1"/>
  <c r="D2381" i="3"/>
  <c r="I2381" i="3" s="1"/>
  <c r="C2381" i="3"/>
  <c r="B2381" i="3"/>
  <c r="A2381" i="3"/>
  <c r="H2380" i="3"/>
  <c r="F2380" i="3"/>
  <c r="E2380" i="3"/>
  <c r="G2380" i="3" s="1"/>
  <c r="D2380" i="3"/>
  <c r="I2380" i="3" s="1"/>
  <c r="C2380" i="3"/>
  <c r="B2380" i="3"/>
  <c r="A2380" i="3"/>
  <c r="I2379" i="3"/>
  <c r="H2379" i="3"/>
  <c r="F2379" i="3"/>
  <c r="E2379" i="3"/>
  <c r="G2379" i="3" s="1"/>
  <c r="C2379" i="3"/>
  <c r="B2379" i="3"/>
  <c r="A2379" i="3"/>
  <c r="H2378" i="3"/>
  <c r="G2378" i="3"/>
  <c r="F2378" i="3"/>
  <c r="E2378" i="3"/>
  <c r="D2378" i="3"/>
  <c r="I2378" i="3" s="1"/>
  <c r="C2378" i="3"/>
  <c r="B2378" i="3"/>
  <c r="A2378" i="3"/>
  <c r="I2377" i="3"/>
  <c r="H2377" i="3"/>
  <c r="F2377" i="3"/>
  <c r="E2377" i="3"/>
  <c r="G2377" i="3" s="1"/>
  <c r="C2377" i="3"/>
  <c r="B2377" i="3"/>
  <c r="A2377" i="3"/>
  <c r="H2376" i="3"/>
  <c r="F2376" i="3"/>
  <c r="E2376" i="3"/>
  <c r="G2376" i="3" s="1"/>
  <c r="C2376" i="3"/>
  <c r="B2376" i="3"/>
  <c r="A2376" i="3"/>
  <c r="H2375" i="3"/>
  <c r="G2375" i="3"/>
  <c r="F2375" i="3"/>
  <c r="E2375" i="3"/>
  <c r="C2375" i="3"/>
  <c r="B2375" i="3"/>
  <c r="A2375" i="3"/>
  <c r="H2374" i="3"/>
  <c r="G2374" i="3"/>
  <c r="F2374" i="3"/>
  <c r="E2374" i="3"/>
  <c r="C2374" i="3"/>
  <c r="B2374" i="3"/>
  <c r="A2374" i="3"/>
  <c r="H2373" i="3"/>
  <c r="G2373" i="3"/>
  <c r="F2373" i="3"/>
  <c r="E2373" i="3"/>
  <c r="D2373" i="3"/>
  <c r="I2373" i="3" s="1"/>
  <c r="C2373" i="3"/>
  <c r="B2373" i="3"/>
  <c r="A2373" i="3"/>
  <c r="H2372" i="3"/>
  <c r="F2372" i="3"/>
  <c r="E2372" i="3"/>
  <c r="G2372" i="3" s="1"/>
  <c r="D2372" i="3"/>
  <c r="I2372" i="3" s="1"/>
  <c r="C2372" i="3"/>
  <c r="B2372" i="3"/>
  <c r="A2372" i="3"/>
  <c r="I2371" i="3"/>
  <c r="H2371" i="3"/>
  <c r="F2371" i="3"/>
  <c r="E2371" i="3"/>
  <c r="G2371" i="3" s="1"/>
  <c r="C2371" i="3"/>
  <c r="B2371" i="3"/>
  <c r="A2371" i="3"/>
  <c r="H2370" i="3"/>
  <c r="G2370" i="3"/>
  <c r="F2370" i="3"/>
  <c r="E2370" i="3"/>
  <c r="D2370" i="3"/>
  <c r="I2370" i="3" s="1"/>
  <c r="C2370" i="3"/>
  <c r="B2370" i="3"/>
  <c r="A2370" i="3"/>
  <c r="I2369" i="3"/>
  <c r="H2369" i="3"/>
  <c r="F2369" i="3"/>
  <c r="E2369" i="3"/>
  <c r="G2369" i="3" s="1"/>
  <c r="D2369" i="3"/>
  <c r="C2369" i="3"/>
  <c r="B2369" i="3"/>
  <c r="A2369" i="3"/>
  <c r="H2368" i="3"/>
  <c r="F2368" i="3"/>
  <c r="E2368" i="3"/>
  <c r="G2368" i="3" s="1"/>
  <c r="D2368" i="3"/>
  <c r="I2368" i="3" s="1"/>
  <c r="C2368" i="3"/>
  <c r="B2368" i="3"/>
  <c r="A2368" i="3"/>
  <c r="H2367" i="3"/>
  <c r="F2367" i="3"/>
  <c r="E2367" i="3"/>
  <c r="G2367" i="3" s="1"/>
  <c r="C2367" i="3"/>
  <c r="I2367" i="3" s="1"/>
  <c r="B2367" i="3"/>
  <c r="A2367" i="3"/>
  <c r="H2366" i="3"/>
  <c r="G2366" i="3"/>
  <c r="F2366" i="3"/>
  <c r="E2366" i="3"/>
  <c r="D2366" i="3"/>
  <c r="I2366" i="3" s="1"/>
  <c r="C2366" i="3"/>
  <c r="B2366" i="3"/>
  <c r="A2366" i="3"/>
  <c r="H2365" i="3"/>
  <c r="F2365" i="3"/>
  <c r="E2365" i="3"/>
  <c r="G2365" i="3" s="1"/>
  <c r="D2365" i="3"/>
  <c r="I2365" i="3" s="1"/>
  <c r="C2365" i="3"/>
  <c r="B2365" i="3"/>
  <c r="A2365" i="3"/>
  <c r="H2364" i="3"/>
  <c r="F2364" i="3"/>
  <c r="E2364" i="3"/>
  <c r="G2364" i="3" s="1"/>
  <c r="D2364" i="3"/>
  <c r="I2364" i="3" s="1"/>
  <c r="C2364" i="3"/>
  <c r="B2364" i="3"/>
  <c r="A2364" i="3"/>
  <c r="I2363" i="3"/>
  <c r="H2363" i="3"/>
  <c r="F2363" i="3"/>
  <c r="E2363" i="3"/>
  <c r="G2363" i="3" s="1"/>
  <c r="C2363" i="3"/>
  <c r="B2363" i="3"/>
  <c r="A2363" i="3"/>
  <c r="H2362" i="3"/>
  <c r="G2362" i="3"/>
  <c r="F2362" i="3"/>
  <c r="E2362" i="3"/>
  <c r="D2362" i="3"/>
  <c r="I2362" i="3" s="1"/>
  <c r="C2362" i="3"/>
  <c r="B2362" i="3"/>
  <c r="A2362" i="3"/>
  <c r="I2361" i="3"/>
  <c r="H2361" i="3"/>
  <c r="F2361" i="3"/>
  <c r="E2361" i="3"/>
  <c r="G2361" i="3" s="1"/>
  <c r="C2361" i="3"/>
  <c r="B2361" i="3"/>
  <c r="A2361" i="3"/>
  <c r="H2360" i="3"/>
  <c r="F2360" i="3"/>
  <c r="E2360" i="3"/>
  <c r="G2360" i="3" s="1"/>
  <c r="C2360" i="3"/>
  <c r="B2360" i="3"/>
  <c r="A2360" i="3"/>
  <c r="H2359" i="3"/>
  <c r="G2359" i="3"/>
  <c r="F2359" i="3"/>
  <c r="E2359" i="3"/>
  <c r="C2359" i="3"/>
  <c r="B2359" i="3"/>
  <c r="A2359" i="3"/>
  <c r="H2358" i="3"/>
  <c r="G2358" i="3"/>
  <c r="F2358" i="3"/>
  <c r="E2358" i="3"/>
  <c r="C2358" i="3"/>
  <c r="B2358" i="3"/>
  <c r="A2358" i="3"/>
  <c r="H2357" i="3"/>
  <c r="G2357" i="3"/>
  <c r="F2357" i="3"/>
  <c r="E2357" i="3"/>
  <c r="D2357" i="3"/>
  <c r="I2357" i="3" s="1"/>
  <c r="C2357" i="3"/>
  <c r="B2357" i="3"/>
  <c r="A2357" i="3"/>
  <c r="H2356" i="3"/>
  <c r="F2356" i="3"/>
  <c r="E2356" i="3"/>
  <c r="G2356" i="3" s="1"/>
  <c r="D2356" i="3"/>
  <c r="I2356" i="3" s="1"/>
  <c r="C2356" i="3"/>
  <c r="B2356" i="3"/>
  <c r="A2356" i="3"/>
  <c r="I2355" i="3"/>
  <c r="H2355" i="3"/>
  <c r="F2355" i="3"/>
  <c r="E2355" i="3"/>
  <c r="G2355" i="3" s="1"/>
  <c r="C2355" i="3"/>
  <c r="B2355" i="3"/>
  <c r="A2355" i="3"/>
  <c r="H2354" i="3"/>
  <c r="G2354" i="3"/>
  <c r="F2354" i="3"/>
  <c r="E2354" i="3"/>
  <c r="D2354" i="3"/>
  <c r="I2354" i="3" s="1"/>
  <c r="C2354" i="3"/>
  <c r="B2354" i="3"/>
  <c r="A2354" i="3"/>
  <c r="I2353" i="3"/>
  <c r="H2353" i="3"/>
  <c r="F2353" i="3"/>
  <c r="E2353" i="3"/>
  <c r="G2353" i="3" s="1"/>
  <c r="D2353" i="3"/>
  <c r="C2353" i="3"/>
  <c r="B2353" i="3"/>
  <c r="A2353" i="3"/>
  <c r="H2352" i="3"/>
  <c r="F2352" i="3"/>
  <c r="E2352" i="3"/>
  <c r="G2352" i="3" s="1"/>
  <c r="D2352" i="3"/>
  <c r="I2352" i="3" s="1"/>
  <c r="C2352" i="3"/>
  <c r="B2352" i="3"/>
  <c r="A2352" i="3"/>
  <c r="H2351" i="3"/>
  <c r="F2351" i="3"/>
  <c r="E2351" i="3"/>
  <c r="G2351" i="3" s="1"/>
  <c r="C2351" i="3"/>
  <c r="I2351" i="3" s="1"/>
  <c r="B2351" i="3"/>
  <c r="A2351" i="3"/>
  <c r="H2350" i="3"/>
  <c r="G2350" i="3"/>
  <c r="F2350" i="3"/>
  <c r="E2350" i="3"/>
  <c r="D2350" i="3"/>
  <c r="I2350" i="3" s="1"/>
  <c r="C2350" i="3"/>
  <c r="B2350" i="3"/>
  <c r="A2350" i="3"/>
  <c r="H2349" i="3"/>
  <c r="F2349" i="3"/>
  <c r="E2349" i="3"/>
  <c r="G2349" i="3" s="1"/>
  <c r="D2349" i="3"/>
  <c r="I2349" i="3" s="1"/>
  <c r="C2349" i="3"/>
  <c r="B2349" i="3"/>
  <c r="A2349" i="3"/>
  <c r="H2348" i="3"/>
  <c r="F2348" i="3"/>
  <c r="E2348" i="3"/>
  <c r="G2348" i="3" s="1"/>
  <c r="D2348" i="3"/>
  <c r="I2348" i="3" s="1"/>
  <c r="C2348" i="3"/>
  <c r="B2348" i="3"/>
  <c r="A2348" i="3"/>
  <c r="I2347" i="3"/>
  <c r="H2347" i="3"/>
  <c r="F2347" i="3"/>
  <c r="E2347" i="3"/>
  <c r="G2347" i="3" s="1"/>
  <c r="C2347" i="3"/>
  <c r="B2347" i="3"/>
  <c r="A2347" i="3"/>
  <c r="H2346" i="3"/>
  <c r="G2346" i="3"/>
  <c r="F2346" i="3"/>
  <c r="E2346" i="3"/>
  <c r="D2346" i="3"/>
  <c r="I2346" i="3" s="1"/>
  <c r="C2346" i="3"/>
  <c r="B2346" i="3"/>
  <c r="A2346" i="3"/>
  <c r="I2345" i="3"/>
  <c r="H2345" i="3"/>
  <c r="F2345" i="3"/>
  <c r="E2345" i="3"/>
  <c r="G2345" i="3" s="1"/>
  <c r="C2345" i="3"/>
  <c r="B2345" i="3"/>
  <c r="A2345" i="3"/>
  <c r="H2344" i="3"/>
  <c r="F2344" i="3"/>
  <c r="E2344" i="3"/>
  <c r="G2344" i="3" s="1"/>
  <c r="C2344" i="3"/>
  <c r="B2344" i="3"/>
  <c r="A2344" i="3"/>
  <c r="H2343" i="3"/>
  <c r="G2343" i="3"/>
  <c r="F2343" i="3"/>
  <c r="E2343" i="3"/>
  <c r="C2343" i="3"/>
  <c r="B2343" i="3"/>
  <c r="A2343" i="3"/>
  <c r="H2342" i="3"/>
  <c r="G2342" i="3"/>
  <c r="F2342" i="3"/>
  <c r="E2342" i="3"/>
  <c r="C2342" i="3"/>
  <c r="B2342" i="3"/>
  <c r="A2342" i="3"/>
  <c r="H2341" i="3"/>
  <c r="G2341" i="3"/>
  <c r="F2341" i="3"/>
  <c r="E2341" i="3"/>
  <c r="D2341" i="3"/>
  <c r="I2341" i="3" s="1"/>
  <c r="C2341" i="3"/>
  <c r="B2341" i="3"/>
  <c r="A2341" i="3"/>
  <c r="H2340" i="3"/>
  <c r="F2340" i="3"/>
  <c r="E2340" i="3"/>
  <c r="G2340" i="3" s="1"/>
  <c r="D2340" i="3"/>
  <c r="I2340" i="3" s="1"/>
  <c r="C2340" i="3"/>
  <c r="B2340" i="3"/>
  <c r="A2340" i="3"/>
  <c r="I2339" i="3"/>
  <c r="H2339" i="3"/>
  <c r="F2339" i="3"/>
  <c r="E2339" i="3"/>
  <c r="G2339" i="3" s="1"/>
  <c r="C2339" i="3"/>
  <c r="B2339" i="3"/>
  <c r="A2339" i="3"/>
  <c r="H2338" i="3"/>
  <c r="G2338" i="3"/>
  <c r="F2338" i="3"/>
  <c r="E2338" i="3"/>
  <c r="D2338" i="3"/>
  <c r="I2338" i="3" s="1"/>
  <c r="C2338" i="3"/>
  <c r="B2338" i="3"/>
  <c r="A2338" i="3"/>
  <c r="I2337" i="3"/>
  <c r="H2337" i="3"/>
  <c r="F2337" i="3"/>
  <c r="E2337" i="3"/>
  <c r="G2337" i="3" s="1"/>
  <c r="D2337" i="3"/>
  <c r="C2337" i="3"/>
  <c r="B2337" i="3"/>
  <c r="A2337" i="3"/>
  <c r="H2336" i="3"/>
  <c r="F2336" i="3"/>
  <c r="E2336" i="3"/>
  <c r="G2336" i="3" s="1"/>
  <c r="D2336" i="3"/>
  <c r="I2336" i="3" s="1"/>
  <c r="C2336" i="3"/>
  <c r="B2336" i="3"/>
  <c r="A2336" i="3"/>
  <c r="H2335" i="3"/>
  <c r="F2335" i="3"/>
  <c r="E2335" i="3"/>
  <c r="G2335" i="3" s="1"/>
  <c r="C2335" i="3"/>
  <c r="I2335" i="3" s="1"/>
  <c r="B2335" i="3"/>
  <c r="A2335" i="3"/>
  <c r="H2334" i="3"/>
  <c r="G2334" i="3"/>
  <c r="F2334" i="3"/>
  <c r="E2334" i="3"/>
  <c r="D2334" i="3"/>
  <c r="I2334" i="3" s="1"/>
  <c r="C2334" i="3"/>
  <c r="B2334" i="3"/>
  <c r="A2334" i="3"/>
  <c r="H2333" i="3"/>
  <c r="F2333" i="3"/>
  <c r="E2333" i="3"/>
  <c r="G2333" i="3" s="1"/>
  <c r="D2333" i="3"/>
  <c r="I2333" i="3" s="1"/>
  <c r="C2333" i="3"/>
  <c r="B2333" i="3"/>
  <c r="A2333" i="3"/>
  <c r="H2332" i="3"/>
  <c r="F2332" i="3"/>
  <c r="E2332" i="3"/>
  <c r="G2332" i="3" s="1"/>
  <c r="D2332" i="3"/>
  <c r="I2332" i="3" s="1"/>
  <c r="C2332" i="3"/>
  <c r="B2332" i="3"/>
  <c r="A2332" i="3"/>
  <c r="I2331" i="3"/>
  <c r="H2331" i="3"/>
  <c r="F2331" i="3"/>
  <c r="E2331" i="3"/>
  <c r="G2331" i="3" s="1"/>
  <c r="C2331" i="3"/>
  <c r="B2331" i="3"/>
  <c r="A2331" i="3"/>
  <c r="H2330" i="3"/>
  <c r="G2330" i="3"/>
  <c r="F2330" i="3"/>
  <c r="E2330" i="3"/>
  <c r="D2330" i="3"/>
  <c r="I2330" i="3" s="1"/>
  <c r="C2330" i="3"/>
  <c r="B2330" i="3"/>
  <c r="A2330" i="3"/>
  <c r="I2329" i="3"/>
  <c r="H2329" i="3"/>
  <c r="F2329" i="3"/>
  <c r="E2329" i="3"/>
  <c r="G2329" i="3" s="1"/>
  <c r="C2329" i="3"/>
  <c r="B2329" i="3"/>
  <c r="A2329" i="3"/>
  <c r="H2328" i="3"/>
  <c r="F2328" i="3"/>
  <c r="E2328" i="3"/>
  <c r="G2328" i="3" s="1"/>
  <c r="C2328" i="3"/>
  <c r="B2328" i="3"/>
  <c r="A2328" i="3"/>
  <c r="H2327" i="3"/>
  <c r="G2327" i="3"/>
  <c r="F2327" i="3"/>
  <c r="E2327" i="3"/>
  <c r="C2327" i="3"/>
  <c r="B2327" i="3"/>
  <c r="A2327" i="3"/>
  <c r="H2326" i="3"/>
  <c r="G2326" i="3"/>
  <c r="F2326" i="3"/>
  <c r="E2326" i="3"/>
  <c r="C2326" i="3"/>
  <c r="B2326" i="3"/>
  <c r="A2326" i="3"/>
  <c r="H2325" i="3"/>
  <c r="G2325" i="3"/>
  <c r="F2325" i="3"/>
  <c r="E2325" i="3"/>
  <c r="D2325" i="3"/>
  <c r="I2325" i="3" s="1"/>
  <c r="C2325" i="3"/>
  <c r="B2325" i="3"/>
  <c r="A2325" i="3"/>
  <c r="H2324" i="3"/>
  <c r="F2324" i="3"/>
  <c r="E2324" i="3"/>
  <c r="G2324" i="3" s="1"/>
  <c r="D2324" i="3"/>
  <c r="I2324" i="3" s="1"/>
  <c r="C2324" i="3"/>
  <c r="B2324" i="3"/>
  <c r="A2324" i="3"/>
  <c r="I2323" i="3"/>
  <c r="H2323" i="3"/>
  <c r="F2323" i="3"/>
  <c r="E2323" i="3"/>
  <c r="G2323" i="3" s="1"/>
  <c r="C2323" i="3"/>
  <c r="B2323" i="3"/>
  <c r="A2323" i="3"/>
  <c r="H2322" i="3"/>
  <c r="G2322" i="3"/>
  <c r="F2322" i="3"/>
  <c r="E2322" i="3"/>
  <c r="D2322" i="3"/>
  <c r="I2322" i="3" s="1"/>
  <c r="C2322" i="3"/>
  <c r="B2322" i="3"/>
  <c r="A2322" i="3"/>
  <c r="I2321" i="3"/>
  <c r="H2321" i="3"/>
  <c r="F2321" i="3"/>
  <c r="E2321" i="3"/>
  <c r="G2321" i="3" s="1"/>
  <c r="D2321" i="3"/>
  <c r="C2321" i="3"/>
  <c r="B2321" i="3"/>
  <c r="A2321" i="3"/>
  <c r="H2320" i="3"/>
  <c r="F2320" i="3"/>
  <c r="E2320" i="3"/>
  <c r="G2320" i="3" s="1"/>
  <c r="D2320" i="3"/>
  <c r="I2320" i="3" s="1"/>
  <c r="C2320" i="3"/>
  <c r="B2320" i="3"/>
  <c r="A2320" i="3"/>
  <c r="H2319" i="3"/>
  <c r="F2319" i="3"/>
  <c r="E2319" i="3"/>
  <c r="G2319" i="3" s="1"/>
  <c r="C2319" i="3"/>
  <c r="I2319" i="3" s="1"/>
  <c r="B2319" i="3"/>
  <c r="A2319" i="3"/>
  <c r="H2318" i="3"/>
  <c r="G2318" i="3"/>
  <c r="F2318" i="3"/>
  <c r="E2318" i="3"/>
  <c r="D2318" i="3"/>
  <c r="I2318" i="3" s="1"/>
  <c r="C2318" i="3"/>
  <c r="B2318" i="3"/>
  <c r="A2318" i="3"/>
  <c r="H2317" i="3"/>
  <c r="F2317" i="3"/>
  <c r="E2317" i="3"/>
  <c r="G2317" i="3" s="1"/>
  <c r="D2317" i="3"/>
  <c r="I2317" i="3" s="1"/>
  <c r="C2317" i="3"/>
  <c r="B2317" i="3"/>
  <c r="A2317" i="3"/>
  <c r="H2316" i="3"/>
  <c r="F2316" i="3"/>
  <c r="E2316" i="3"/>
  <c r="G2316" i="3" s="1"/>
  <c r="D2316" i="3"/>
  <c r="I2316" i="3" s="1"/>
  <c r="C2316" i="3"/>
  <c r="B2316" i="3"/>
  <c r="A2316" i="3"/>
  <c r="I2315" i="3"/>
  <c r="H2315" i="3"/>
  <c r="F2315" i="3"/>
  <c r="E2315" i="3"/>
  <c r="G2315" i="3" s="1"/>
  <c r="C2315" i="3"/>
  <c r="B2315" i="3"/>
  <c r="A2315" i="3"/>
  <c r="H2314" i="3"/>
  <c r="G2314" i="3"/>
  <c r="F2314" i="3"/>
  <c r="E2314" i="3"/>
  <c r="D2314" i="3"/>
  <c r="I2314" i="3" s="1"/>
  <c r="C2314" i="3"/>
  <c r="B2314" i="3"/>
  <c r="A2314" i="3"/>
  <c r="I2313" i="3"/>
  <c r="H2313" i="3"/>
  <c r="F2313" i="3"/>
  <c r="E2313" i="3"/>
  <c r="G2313" i="3" s="1"/>
  <c r="C2313" i="3"/>
  <c r="B2313" i="3"/>
  <c r="A2313" i="3"/>
  <c r="H2312" i="3"/>
  <c r="F2312" i="3"/>
  <c r="E2312" i="3"/>
  <c r="G2312" i="3" s="1"/>
  <c r="C2312" i="3"/>
  <c r="B2312" i="3"/>
  <c r="A2312" i="3"/>
  <c r="H2311" i="3"/>
  <c r="G2311" i="3"/>
  <c r="F2311" i="3"/>
  <c r="E2311" i="3"/>
  <c r="C2311" i="3"/>
  <c r="B2311" i="3"/>
  <c r="A2311" i="3"/>
  <c r="H2310" i="3"/>
  <c r="G2310" i="3"/>
  <c r="F2310" i="3"/>
  <c r="E2310" i="3"/>
  <c r="C2310" i="3"/>
  <c r="B2310" i="3"/>
  <c r="A2310" i="3"/>
  <c r="H2309" i="3"/>
  <c r="G2309" i="3"/>
  <c r="F2309" i="3"/>
  <c r="E2309" i="3"/>
  <c r="D2309" i="3"/>
  <c r="I2309" i="3" s="1"/>
  <c r="C2309" i="3"/>
  <c r="B2309" i="3"/>
  <c r="A2309" i="3"/>
  <c r="H2308" i="3"/>
  <c r="F2308" i="3"/>
  <c r="E2308" i="3"/>
  <c r="G2308" i="3" s="1"/>
  <c r="D2308" i="3"/>
  <c r="I2308" i="3" s="1"/>
  <c r="C2308" i="3"/>
  <c r="B2308" i="3"/>
  <c r="A2308" i="3"/>
  <c r="I2307" i="3"/>
  <c r="H2307" i="3"/>
  <c r="F2307" i="3"/>
  <c r="E2307" i="3"/>
  <c r="G2307" i="3" s="1"/>
  <c r="C2307" i="3"/>
  <c r="B2307" i="3"/>
  <c r="A2307" i="3"/>
  <c r="H2306" i="3"/>
  <c r="G2306" i="3"/>
  <c r="F2306" i="3"/>
  <c r="E2306" i="3"/>
  <c r="D2306" i="3"/>
  <c r="I2306" i="3" s="1"/>
  <c r="C2306" i="3"/>
  <c r="B2306" i="3"/>
  <c r="A2306" i="3"/>
  <c r="I2305" i="3"/>
  <c r="H2305" i="3"/>
  <c r="F2305" i="3"/>
  <c r="E2305" i="3"/>
  <c r="G2305" i="3" s="1"/>
  <c r="D2305" i="3"/>
  <c r="C2305" i="3"/>
  <c r="B2305" i="3"/>
  <c r="A2305" i="3"/>
  <c r="H2304" i="3"/>
  <c r="F2304" i="3"/>
  <c r="E2304" i="3"/>
  <c r="G2304" i="3" s="1"/>
  <c r="D2304" i="3"/>
  <c r="I2304" i="3" s="1"/>
  <c r="C2304" i="3"/>
  <c r="B2304" i="3"/>
  <c r="A2304" i="3"/>
  <c r="H2303" i="3"/>
  <c r="F2303" i="3"/>
  <c r="E2303" i="3"/>
  <c r="G2303" i="3" s="1"/>
  <c r="C2303" i="3"/>
  <c r="I2303" i="3" s="1"/>
  <c r="B2303" i="3"/>
  <c r="A2303" i="3"/>
  <c r="H2302" i="3"/>
  <c r="G2302" i="3"/>
  <c r="F2302" i="3"/>
  <c r="E2302" i="3"/>
  <c r="D2302" i="3"/>
  <c r="I2302" i="3" s="1"/>
  <c r="C2302" i="3"/>
  <c r="B2302" i="3"/>
  <c r="A2302" i="3"/>
  <c r="H2301" i="3"/>
  <c r="F2301" i="3"/>
  <c r="E2301" i="3"/>
  <c r="G2301" i="3" s="1"/>
  <c r="D2301" i="3"/>
  <c r="I2301" i="3" s="1"/>
  <c r="C2301" i="3"/>
  <c r="B2301" i="3"/>
  <c r="A2301" i="3"/>
  <c r="H2300" i="3"/>
  <c r="F2300" i="3"/>
  <c r="E2300" i="3"/>
  <c r="G2300" i="3" s="1"/>
  <c r="D2300" i="3"/>
  <c r="I2300" i="3" s="1"/>
  <c r="C2300" i="3"/>
  <c r="B2300" i="3"/>
  <c r="A2300" i="3"/>
  <c r="I2299" i="3"/>
  <c r="H2299" i="3"/>
  <c r="F2299" i="3"/>
  <c r="E2299" i="3"/>
  <c r="G2299" i="3" s="1"/>
  <c r="C2299" i="3"/>
  <c r="B2299" i="3"/>
  <c r="A2299" i="3"/>
  <c r="H2298" i="3"/>
  <c r="G2298" i="3"/>
  <c r="F2298" i="3"/>
  <c r="E2298" i="3"/>
  <c r="D2298" i="3"/>
  <c r="I2298" i="3" s="1"/>
  <c r="C2298" i="3"/>
  <c r="B2298" i="3"/>
  <c r="A2298" i="3"/>
  <c r="I2297" i="3"/>
  <c r="H2297" i="3"/>
  <c r="F2297" i="3"/>
  <c r="E2297" i="3"/>
  <c r="G2297" i="3" s="1"/>
  <c r="C2297" i="3"/>
  <c r="B2297" i="3"/>
  <c r="A2297" i="3"/>
  <c r="H2296" i="3"/>
  <c r="F2296" i="3"/>
  <c r="E2296" i="3"/>
  <c r="G2296" i="3" s="1"/>
  <c r="C2296" i="3"/>
  <c r="B2296" i="3"/>
  <c r="A2296" i="3"/>
  <c r="H2295" i="3"/>
  <c r="G2295" i="3"/>
  <c r="F2295" i="3"/>
  <c r="E2295" i="3"/>
  <c r="C2295" i="3"/>
  <c r="B2295" i="3"/>
  <c r="A2295" i="3"/>
  <c r="H2294" i="3"/>
  <c r="G2294" i="3"/>
  <c r="F2294" i="3"/>
  <c r="E2294" i="3"/>
  <c r="C2294" i="3"/>
  <c r="B2294" i="3"/>
  <c r="A2294" i="3"/>
  <c r="H2293" i="3"/>
  <c r="G2293" i="3"/>
  <c r="F2293" i="3"/>
  <c r="E2293" i="3"/>
  <c r="D2293" i="3"/>
  <c r="I2293" i="3" s="1"/>
  <c r="C2293" i="3"/>
  <c r="B2293" i="3"/>
  <c r="A2293" i="3"/>
  <c r="H2292" i="3"/>
  <c r="F2292" i="3"/>
  <c r="E2292" i="3"/>
  <c r="G2292" i="3" s="1"/>
  <c r="D2292" i="3"/>
  <c r="I2292" i="3" s="1"/>
  <c r="C2292" i="3"/>
  <c r="B2292" i="3"/>
  <c r="A2292" i="3"/>
  <c r="I2291" i="3"/>
  <c r="H2291" i="3"/>
  <c r="F2291" i="3"/>
  <c r="E2291" i="3"/>
  <c r="G2291" i="3" s="1"/>
  <c r="C2291" i="3"/>
  <c r="B2291" i="3"/>
  <c r="A2291" i="3"/>
  <c r="H2290" i="3"/>
  <c r="G2290" i="3"/>
  <c r="F2290" i="3"/>
  <c r="E2290" i="3"/>
  <c r="D2290" i="3"/>
  <c r="I2290" i="3" s="1"/>
  <c r="C2290" i="3"/>
  <c r="B2290" i="3"/>
  <c r="A2290" i="3"/>
  <c r="I2289" i="3"/>
  <c r="H2289" i="3"/>
  <c r="F2289" i="3"/>
  <c r="E2289" i="3"/>
  <c r="G2289" i="3" s="1"/>
  <c r="D2289" i="3"/>
  <c r="C2289" i="3"/>
  <c r="B2289" i="3"/>
  <c r="A2289" i="3"/>
  <c r="H2288" i="3"/>
  <c r="F2288" i="3"/>
  <c r="E2288" i="3"/>
  <c r="G2288" i="3" s="1"/>
  <c r="D2288" i="3"/>
  <c r="I2288" i="3" s="1"/>
  <c r="C2288" i="3"/>
  <c r="B2288" i="3"/>
  <c r="A2288" i="3"/>
  <c r="H2287" i="3"/>
  <c r="F2287" i="3"/>
  <c r="E2287" i="3"/>
  <c r="G2287" i="3" s="1"/>
  <c r="D2287" i="3"/>
  <c r="I2287" i="3" s="1"/>
  <c r="C2287" i="3"/>
  <c r="B2287" i="3"/>
  <c r="A2287" i="3"/>
  <c r="H2286" i="3"/>
  <c r="F2286" i="3"/>
  <c r="E2286" i="3"/>
  <c r="G2286" i="3" s="1"/>
  <c r="C2286" i="3"/>
  <c r="I2286" i="3" s="1"/>
  <c r="B2286" i="3"/>
  <c r="A2286" i="3"/>
  <c r="H2285" i="3"/>
  <c r="G2285" i="3"/>
  <c r="F2285" i="3"/>
  <c r="E2285" i="3"/>
  <c r="D2285" i="3"/>
  <c r="I2285" i="3" s="1"/>
  <c r="C2285" i="3"/>
  <c r="B2285" i="3"/>
  <c r="A2285" i="3"/>
  <c r="H2284" i="3"/>
  <c r="F2284" i="3"/>
  <c r="E2284" i="3"/>
  <c r="G2284" i="3" s="1"/>
  <c r="D2284" i="3"/>
  <c r="I2284" i="3" s="1"/>
  <c r="C2284" i="3"/>
  <c r="B2284" i="3"/>
  <c r="A2284" i="3"/>
  <c r="H2283" i="3"/>
  <c r="F2283" i="3"/>
  <c r="E2283" i="3"/>
  <c r="G2283" i="3" s="1"/>
  <c r="D2283" i="3"/>
  <c r="I2283" i="3" s="1"/>
  <c r="C2283" i="3"/>
  <c r="B2283" i="3"/>
  <c r="A2283" i="3"/>
  <c r="I2282" i="3"/>
  <c r="H2282" i="3"/>
  <c r="F2282" i="3"/>
  <c r="E2282" i="3"/>
  <c r="G2282" i="3" s="1"/>
  <c r="C2282" i="3"/>
  <c r="B2282" i="3"/>
  <c r="A2282" i="3"/>
  <c r="H2281" i="3"/>
  <c r="G2281" i="3"/>
  <c r="F2281" i="3"/>
  <c r="E2281" i="3"/>
  <c r="D2281" i="3"/>
  <c r="I2281" i="3" s="1"/>
  <c r="C2281" i="3"/>
  <c r="B2281" i="3"/>
  <c r="A2281" i="3"/>
  <c r="I2280" i="3"/>
  <c r="H2280" i="3"/>
  <c r="F2280" i="3"/>
  <c r="E2280" i="3"/>
  <c r="G2280" i="3" s="1"/>
  <c r="C2280" i="3"/>
  <c r="B2280" i="3"/>
  <c r="A2280" i="3"/>
  <c r="H2279" i="3"/>
  <c r="F2279" i="3"/>
  <c r="E2279" i="3"/>
  <c r="G2279" i="3" s="1"/>
  <c r="C2279" i="3"/>
  <c r="B2279" i="3"/>
  <c r="A2279" i="3"/>
  <c r="H2278" i="3"/>
  <c r="G2278" i="3"/>
  <c r="F2278" i="3"/>
  <c r="E2278" i="3"/>
  <c r="C2278" i="3"/>
  <c r="B2278" i="3"/>
  <c r="A2278" i="3"/>
  <c r="H2277" i="3"/>
  <c r="G2277" i="3"/>
  <c r="F2277" i="3"/>
  <c r="E2277" i="3"/>
  <c r="C2277" i="3"/>
  <c r="B2277" i="3"/>
  <c r="A2277" i="3"/>
  <c r="H2276" i="3"/>
  <c r="G2276" i="3"/>
  <c r="F2276" i="3"/>
  <c r="E2276" i="3"/>
  <c r="D2276" i="3"/>
  <c r="I2276" i="3" s="1"/>
  <c r="C2276" i="3"/>
  <c r="B2276" i="3"/>
  <c r="A2276" i="3"/>
  <c r="H2275" i="3"/>
  <c r="F2275" i="3"/>
  <c r="E2275" i="3"/>
  <c r="G2275" i="3" s="1"/>
  <c r="D2275" i="3"/>
  <c r="I2275" i="3" s="1"/>
  <c r="C2275" i="3"/>
  <c r="B2275" i="3"/>
  <c r="A2275" i="3"/>
  <c r="I2274" i="3"/>
  <c r="H2274" i="3"/>
  <c r="F2274" i="3"/>
  <c r="E2274" i="3"/>
  <c r="G2274" i="3" s="1"/>
  <c r="C2274" i="3"/>
  <c r="B2274" i="3"/>
  <c r="A2274" i="3"/>
  <c r="H2273" i="3"/>
  <c r="G2273" i="3"/>
  <c r="F2273" i="3"/>
  <c r="E2273" i="3"/>
  <c r="D2273" i="3"/>
  <c r="I2273" i="3" s="1"/>
  <c r="C2273" i="3"/>
  <c r="B2273" i="3"/>
  <c r="A2273" i="3"/>
  <c r="I2272" i="3"/>
  <c r="H2272" i="3"/>
  <c r="F2272" i="3"/>
  <c r="E2272" i="3"/>
  <c r="G2272" i="3" s="1"/>
  <c r="D2272" i="3"/>
  <c r="C2272" i="3"/>
  <c r="B2272" i="3"/>
  <c r="A2272" i="3"/>
  <c r="H2271" i="3"/>
  <c r="F2271" i="3"/>
  <c r="E2271" i="3"/>
  <c r="G2271" i="3" s="1"/>
  <c r="D2271" i="3"/>
  <c r="I2271" i="3" s="1"/>
  <c r="C2271" i="3"/>
  <c r="B2271" i="3"/>
  <c r="A2271" i="3"/>
  <c r="H2270" i="3"/>
  <c r="F2270" i="3"/>
  <c r="E2270" i="3"/>
  <c r="G2270" i="3" s="1"/>
  <c r="C2270" i="3"/>
  <c r="I2270" i="3" s="1"/>
  <c r="B2270" i="3"/>
  <c r="A2270" i="3"/>
  <c r="H2269" i="3"/>
  <c r="G2269" i="3"/>
  <c r="F2269" i="3"/>
  <c r="E2269" i="3"/>
  <c r="D2269" i="3"/>
  <c r="I2269" i="3" s="1"/>
  <c r="C2269" i="3"/>
  <c r="B2269" i="3"/>
  <c r="A2269" i="3"/>
  <c r="H2268" i="3"/>
  <c r="F2268" i="3"/>
  <c r="E2268" i="3"/>
  <c r="G2268" i="3" s="1"/>
  <c r="D2268" i="3"/>
  <c r="I2268" i="3" s="1"/>
  <c r="C2268" i="3"/>
  <c r="B2268" i="3"/>
  <c r="A2268" i="3"/>
  <c r="H2267" i="3"/>
  <c r="F2267" i="3"/>
  <c r="E2267" i="3"/>
  <c r="G2267" i="3" s="1"/>
  <c r="D2267" i="3"/>
  <c r="I2267" i="3" s="1"/>
  <c r="C2267" i="3"/>
  <c r="B2267" i="3"/>
  <c r="A2267" i="3"/>
  <c r="I2266" i="3"/>
  <c r="H2266" i="3"/>
  <c r="F2266" i="3"/>
  <c r="E2266" i="3"/>
  <c r="G2266" i="3" s="1"/>
  <c r="C2266" i="3"/>
  <c r="B2266" i="3"/>
  <c r="A2266" i="3"/>
  <c r="H2265" i="3"/>
  <c r="G2265" i="3"/>
  <c r="F2265" i="3"/>
  <c r="E2265" i="3"/>
  <c r="D2265" i="3"/>
  <c r="I2265" i="3" s="1"/>
  <c r="C2265" i="3"/>
  <c r="B2265" i="3"/>
  <c r="A2265" i="3"/>
  <c r="I2264" i="3"/>
  <c r="H2264" i="3"/>
  <c r="F2264" i="3"/>
  <c r="E2264" i="3"/>
  <c r="G2264" i="3" s="1"/>
  <c r="C2264" i="3"/>
  <c r="B2264" i="3"/>
  <c r="A2264" i="3"/>
  <c r="H2263" i="3"/>
  <c r="F2263" i="3"/>
  <c r="E2263" i="3"/>
  <c r="G2263" i="3" s="1"/>
  <c r="C2263" i="3"/>
  <c r="B2263" i="3"/>
  <c r="A2263" i="3"/>
  <c r="H2262" i="3"/>
  <c r="G2262" i="3"/>
  <c r="F2262" i="3"/>
  <c r="E2262" i="3"/>
  <c r="C2262" i="3"/>
  <c r="B2262" i="3"/>
  <c r="A2262" i="3"/>
  <c r="H2261" i="3"/>
  <c r="G2261" i="3"/>
  <c r="F2261" i="3"/>
  <c r="E2261" i="3"/>
  <c r="C2261" i="3"/>
  <c r="B2261" i="3"/>
  <c r="A2261" i="3"/>
  <c r="H2260" i="3"/>
  <c r="G2260" i="3"/>
  <c r="F2260" i="3"/>
  <c r="E2260" i="3"/>
  <c r="D2260" i="3"/>
  <c r="I2260" i="3" s="1"/>
  <c r="C2260" i="3"/>
  <c r="B2260" i="3"/>
  <c r="A2260" i="3"/>
  <c r="H2259" i="3"/>
  <c r="F2259" i="3"/>
  <c r="E2259" i="3"/>
  <c r="G2259" i="3" s="1"/>
  <c r="D2259" i="3"/>
  <c r="I2259" i="3" s="1"/>
  <c r="C2259" i="3"/>
  <c r="B2259" i="3"/>
  <c r="A2259" i="3"/>
  <c r="I2258" i="3"/>
  <c r="H2258" i="3"/>
  <c r="F2258" i="3"/>
  <c r="E2258" i="3"/>
  <c r="G2258" i="3" s="1"/>
  <c r="C2258" i="3"/>
  <c r="B2258" i="3"/>
  <c r="A2258" i="3"/>
  <c r="H2257" i="3"/>
  <c r="G2257" i="3"/>
  <c r="F2257" i="3"/>
  <c r="E2257" i="3"/>
  <c r="D2257" i="3"/>
  <c r="I2257" i="3" s="1"/>
  <c r="C2257" i="3"/>
  <c r="B2257" i="3"/>
  <c r="A2257" i="3"/>
  <c r="I2256" i="3"/>
  <c r="H2256" i="3"/>
  <c r="F2256" i="3"/>
  <c r="E2256" i="3"/>
  <c r="G2256" i="3" s="1"/>
  <c r="D2256" i="3"/>
  <c r="C2256" i="3"/>
  <c r="B2256" i="3"/>
  <c r="A2256" i="3"/>
  <c r="H2255" i="3"/>
  <c r="F2255" i="3"/>
  <c r="E2255" i="3"/>
  <c r="G2255" i="3" s="1"/>
  <c r="D2255" i="3"/>
  <c r="I2255" i="3" s="1"/>
  <c r="C2255" i="3"/>
  <c r="B2255" i="3"/>
  <c r="A2255" i="3"/>
  <c r="H2254" i="3"/>
  <c r="F2254" i="3"/>
  <c r="E2254" i="3"/>
  <c r="G2254" i="3" s="1"/>
  <c r="C2254" i="3"/>
  <c r="I2254" i="3" s="1"/>
  <c r="B2254" i="3"/>
  <c r="A2254" i="3"/>
  <c r="H2253" i="3"/>
  <c r="G2253" i="3"/>
  <c r="F2253" i="3"/>
  <c r="E2253" i="3"/>
  <c r="D2253" i="3"/>
  <c r="I2253" i="3" s="1"/>
  <c r="C2253" i="3"/>
  <c r="B2253" i="3"/>
  <c r="A2253" i="3"/>
  <c r="H2252" i="3"/>
  <c r="F2252" i="3"/>
  <c r="E2252" i="3"/>
  <c r="G2252" i="3" s="1"/>
  <c r="D2252" i="3"/>
  <c r="I2252" i="3" s="1"/>
  <c r="C2252" i="3"/>
  <c r="B2252" i="3"/>
  <c r="A2252" i="3"/>
  <c r="H2251" i="3"/>
  <c r="F2251" i="3"/>
  <c r="E2251" i="3"/>
  <c r="G2251" i="3" s="1"/>
  <c r="D2251" i="3"/>
  <c r="I2251" i="3" s="1"/>
  <c r="C2251" i="3"/>
  <c r="B2251" i="3"/>
  <c r="A2251" i="3"/>
  <c r="I2250" i="3"/>
  <c r="H2250" i="3"/>
  <c r="F2250" i="3"/>
  <c r="E2250" i="3"/>
  <c r="G2250" i="3" s="1"/>
  <c r="C2250" i="3"/>
  <c r="B2250" i="3"/>
  <c r="A2250" i="3"/>
  <c r="H2249" i="3"/>
  <c r="G2249" i="3"/>
  <c r="F2249" i="3"/>
  <c r="E2249" i="3"/>
  <c r="D2249" i="3"/>
  <c r="I2249" i="3" s="1"/>
  <c r="C2249" i="3"/>
  <c r="B2249" i="3"/>
  <c r="A2249" i="3"/>
  <c r="I2248" i="3"/>
  <c r="H2248" i="3"/>
  <c r="F2248" i="3"/>
  <c r="E2248" i="3"/>
  <c r="G2248" i="3" s="1"/>
  <c r="C2248" i="3"/>
  <c r="B2248" i="3"/>
  <c r="A2248" i="3"/>
  <c r="H2247" i="3"/>
  <c r="F2247" i="3"/>
  <c r="E2247" i="3"/>
  <c r="G2247" i="3" s="1"/>
  <c r="C2247" i="3"/>
  <c r="B2247" i="3"/>
  <c r="A2247" i="3"/>
  <c r="H2246" i="3"/>
  <c r="G2246" i="3"/>
  <c r="F2246" i="3"/>
  <c r="E2246" i="3"/>
  <c r="C2246" i="3"/>
  <c r="B2246" i="3"/>
  <c r="A2246" i="3"/>
  <c r="H2245" i="3"/>
  <c r="G2245" i="3"/>
  <c r="F2245" i="3"/>
  <c r="E2245" i="3"/>
  <c r="C2245" i="3"/>
  <c r="B2245" i="3"/>
  <c r="A2245" i="3"/>
  <c r="H2244" i="3"/>
  <c r="G2244" i="3"/>
  <c r="F2244" i="3"/>
  <c r="E2244" i="3"/>
  <c r="D2244" i="3"/>
  <c r="I2244" i="3" s="1"/>
  <c r="C2244" i="3"/>
  <c r="B2244" i="3"/>
  <c r="A2244" i="3"/>
  <c r="H2243" i="3"/>
  <c r="F2243" i="3"/>
  <c r="E2243" i="3"/>
  <c r="G2243" i="3" s="1"/>
  <c r="D2243" i="3"/>
  <c r="I2243" i="3" s="1"/>
  <c r="C2243" i="3"/>
  <c r="B2243" i="3"/>
  <c r="A2243" i="3"/>
  <c r="I2242" i="3"/>
  <c r="H2242" i="3"/>
  <c r="F2242" i="3"/>
  <c r="E2242" i="3"/>
  <c r="G2242" i="3" s="1"/>
  <c r="C2242" i="3"/>
  <c r="B2242" i="3"/>
  <c r="A2242" i="3"/>
  <c r="H2241" i="3"/>
  <c r="G2241" i="3"/>
  <c r="F2241" i="3"/>
  <c r="E2241" i="3"/>
  <c r="D2241" i="3"/>
  <c r="I2241" i="3" s="1"/>
  <c r="C2241" i="3"/>
  <c r="B2241" i="3"/>
  <c r="A2241" i="3"/>
  <c r="I2240" i="3"/>
  <c r="H2240" i="3"/>
  <c r="F2240" i="3"/>
  <c r="E2240" i="3"/>
  <c r="G2240" i="3" s="1"/>
  <c r="D2240" i="3"/>
  <c r="C2240" i="3"/>
  <c r="B2240" i="3"/>
  <c r="A2240" i="3"/>
  <c r="H2239" i="3"/>
  <c r="F2239" i="3"/>
  <c r="E2239" i="3"/>
  <c r="G2239" i="3" s="1"/>
  <c r="D2239" i="3"/>
  <c r="I2239" i="3" s="1"/>
  <c r="C2239" i="3"/>
  <c r="B2239" i="3"/>
  <c r="A2239" i="3"/>
  <c r="H2238" i="3"/>
  <c r="F2238" i="3"/>
  <c r="E2238" i="3"/>
  <c r="G2238" i="3" s="1"/>
  <c r="C2238" i="3"/>
  <c r="I2238" i="3" s="1"/>
  <c r="B2238" i="3"/>
  <c r="A2238" i="3"/>
  <c r="H2237" i="3"/>
  <c r="G2237" i="3"/>
  <c r="F2237" i="3"/>
  <c r="E2237" i="3"/>
  <c r="D2237" i="3"/>
  <c r="I2237" i="3" s="1"/>
  <c r="C2237" i="3"/>
  <c r="B2237" i="3"/>
  <c r="A2237" i="3"/>
  <c r="H2236" i="3"/>
  <c r="F2236" i="3"/>
  <c r="E2236" i="3"/>
  <c r="G2236" i="3" s="1"/>
  <c r="D2236" i="3"/>
  <c r="I2236" i="3" s="1"/>
  <c r="C2236" i="3"/>
  <c r="B2236" i="3"/>
  <c r="A2236" i="3"/>
  <c r="H2235" i="3"/>
  <c r="F2235" i="3"/>
  <c r="E2235" i="3"/>
  <c r="G2235" i="3" s="1"/>
  <c r="D2235" i="3"/>
  <c r="I2235" i="3" s="1"/>
  <c r="C2235" i="3"/>
  <c r="B2235" i="3"/>
  <c r="A2235" i="3"/>
  <c r="I2234" i="3"/>
  <c r="H2234" i="3"/>
  <c r="F2234" i="3"/>
  <c r="E2234" i="3"/>
  <c r="G2234" i="3" s="1"/>
  <c r="C2234" i="3"/>
  <c r="B2234" i="3"/>
  <c r="A2234" i="3"/>
  <c r="H2233" i="3"/>
  <c r="G2233" i="3"/>
  <c r="F2233" i="3"/>
  <c r="E2233" i="3"/>
  <c r="D2233" i="3"/>
  <c r="I2233" i="3" s="1"/>
  <c r="C2233" i="3"/>
  <c r="B2233" i="3"/>
  <c r="A2233" i="3"/>
  <c r="I2232" i="3"/>
  <c r="H2232" i="3"/>
  <c r="F2232" i="3"/>
  <c r="E2232" i="3"/>
  <c r="G2232" i="3" s="1"/>
  <c r="C2232" i="3"/>
  <c r="B2232" i="3"/>
  <c r="A2232" i="3"/>
  <c r="H2231" i="3"/>
  <c r="F2231" i="3"/>
  <c r="E2231" i="3"/>
  <c r="G2231" i="3" s="1"/>
  <c r="C2231" i="3"/>
  <c r="B2231" i="3"/>
  <c r="A2231" i="3"/>
  <c r="H2230" i="3"/>
  <c r="G2230" i="3"/>
  <c r="F2230" i="3"/>
  <c r="E2230" i="3"/>
  <c r="C2230" i="3"/>
  <c r="B2230" i="3"/>
  <c r="A2230" i="3"/>
  <c r="H2229" i="3"/>
  <c r="G2229" i="3"/>
  <c r="F2229" i="3"/>
  <c r="E2229" i="3"/>
  <c r="C2229" i="3"/>
  <c r="B2229" i="3"/>
  <c r="A2229" i="3"/>
  <c r="H2228" i="3"/>
  <c r="G2228" i="3"/>
  <c r="F2228" i="3"/>
  <c r="E2228" i="3"/>
  <c r="D2228" i="3"/>
  <c r="I2228" i="3" s="1"/>
  <c r="C2228" i="3"/>
  <c r="B2228" i="3"/>
  <c r="A2228" i="3"/>
  <c r="H2227" i="3"/>
  <c r="F2227" i="3"/>
  <c r="E2227" i="3"/>
  <c r="G2227" i="3" s="1"/>
  <c r="D2227" i="3"/>
  <c r="I2227" i="3" s="1"/>
  <c r="C2227" i="3"/>
  <c r="B2227" i="3"/>
  <c r="A2227" i="3"/>
  <c r="I2226" i="3"/>
  <c r="H2226" i="3"/>
  <c r="F2226" i="3"/>
  <c r="E2226" i="3"/>
  <c r="G2226" i="3" s="1"/>
  <c r="C2226" i="3"/>
  <c r="B2226" i="3"/>
  <c r="A2226" i="3"/>
  <c r="H2225" i="3"/>
  <c r="G2225" i="3"/>
  <c r="F2225" i="3"/>
  <c r="E2225" i="3"/>
  <c r="D2225" i="3"/>
  <c r="I2225" i="3" s="1"/>
  <c r="C2225" i="3"/>
  <c r="B2225" i="3"/>
  <c r="A2225" i="3"/>
  <c r="I2224" i="3"/>
  <c r="H2224" i="3"/>
  <c r="F2224" i="3"/>
  <c r="E2224" i="3"/>
  <c r="G2224" i="3" s="1"/>
  <c r="D2224" i="3"/>
  <c r="C2224" i="3"/>
  <c r="B2224" i="3"/>
  <c r="A2224" i="3"/>
  <c r="H2223" i="3"/>
  <c r="F2223" i="3"/>
  <c r="E2223" i="3"/>
  <c r="G2223" i="3" s="1"/>
  <c r="D2223" i="3"/>
  <c r="I2223" i="3" s="1"/>
  <c r="C2223" i="3"/>
  <c r="B2223" i="3"/>
  <c r="A2223" i="3"/>
  <c r="H2222" i="3"/>
  <c r="F2222" i="3"/>
  <c r="E2222" i="3"/>
  <c r="G2222" i="3" s="1"/>
  <c r="C2222" i="3"/>
  <c r="I2222" i="3" s="1"/>
  <c r="B2222" i="3"/>
  <c r="A2222" i="3"/>
  <c r="H2221" i="3"/>
  <c r="G2221" i="3"/>
  <c r="F2221" i="3"/>
  <c r="E2221" i="3"/>
  <c r="D2221" i="3"/>
  <c r="I2221" i="3" s="1"/>
  <c r="C2221" i="3"/>
  <c r="B2221" i="3"/>
  <c r="A2221" i="3"/>
  <c r="H2220" i="3"/>
  <c r="F2220" i="3"/>
  <c r="E2220" i="3"/>
  <c r="G2220" i="3" s="1"/>
  <c r="D2220" i="3"/>
  <c r="I2220" i="3" s="1"/>
  <c r="C2220" i="3"/>
  <c r="B2220" i="3"/>
  <c r="A2220" i="3"/>
  <c r="H2219" i="3"/>
  <c r="F2219" i="3"/>
  <c r="E2219" i="3"/>
  <c r="G2219" i="3" s="1"/>
  <c r="D2219" i="3"/>
  <c r="I2219" i="3" s="1"/>
  <c r="C2219" i="3"/>
  <c r="B2219" i="3"/>
  <c r="A2219" i="3"/>
  <c r="I2218" i="3"/>
  <c r="H2218" i="3"/>
  <c r="F2218" i="3"/>
  <c r="E2218" i="3"/>
  <c r="G2218" i="3" s="1"/>
  <c r="C2218" i="3"/>
  <c r="B2218" i="3"/>
  <c r="A2218" i="3"/>
  <c r="H2217" i="3"/>
  <c r="G2217" i="3"/>
  <c r="F2217" i="3"/>
  <c r="E2217" i="3"/>
  <c r="D2217" i="3"/>
  <c r="I2217" i="3" s="1"/>
  <c r="C2217" i="3"/>
  <c r="B2217" i="3"/>
  <c r="A2217" i="3"/>
  <c r="I2216" i="3"/>
  <c r="H2216" i="3"/>
  <c r="F2216" i="3"/>
  <c r="E2216" i="3"/>
  <c r="G2216" i="3" s="1"/>
  <c r="C2216" i="3"/>
  <c r="B2216" i="3"/>
  <c r="A2216" i="3"/>
  <c r="H2215" i="3"/>
  <c r="F2215" i="3"/>
  <c r="E2215" i="3"/>
  <c r="G2215" i="3" s="1"/>
  <c r="C2215" i="3"/>
  <c r="B2215" i="3"/>
  <c r="A2215" i="3"/>
  <c r="H2214" i="3"/>
  <c r="G2214" i="3"/>
  <c r="F2214" i="3"/>
  <c r="E2214" i="3"/>
  <c r="C2214" i="3"/>
  <c r="B2214" i="3"/>
  <c r="A2214" i="3"/>
  <c r="H2213" i="3"/>
  <c r="G2213" i="3"/>
  <c r="F2213" i="3"/>
  <c r="E2213" i="3"/>
  <c r="C2213" i="3"/>
  <c r="B2213" i="3"/>
  <c r="A2213" i="3"/>
  <c r="H2212" i="3"/>
  <c r="G2212" i="3"/>
  <c r="F2212" i="3"/>
  <c r="E2212" i="3"/>
  <c r="D2212" i="3"/>
  <c r="I2212" i="3" s="1"/>
  <c r="C2212" i="3"/>
  <c r="B2212" i="3"/>
  <c r="A2212" i="3"/>
  <c r="H2211" i="3"/>
  <c r="F2211" i="3"/>
  <c r="E2211" i="3"/>
  <c r="G2211" i="3" s="1"/>
  <c r="D2211" i="3"/>
  <c r="I2211" i="3" s="1"/>
  <c r="C2211" i="3"/>
  <c r="B2211" i="3"/>
  <c r="A2211" i="3"/>
  <c r="I2210" i="3"/>
  <c r="H2210" i="3"/>
  <c r="F2210" i="3"/>
  <c r="E2210" i="3"/>
  <c r="G2210" i="3" s="1"/>
  <c r="C2210" i="3"/>
  <c r="B2210" i="3"/>
  <c r="A2210" i="3"/>
  <c r="H2209" i="3"/>
  <c r="G2209" i="3"/>
  <c r="F2209" i="3"/>
  <c r="E2209" i="3"/>
  <c r="D2209" i="3"/>
  <c r="I2209" i="3" s="1"/>
  <c r="C2209" i="3"/>
  <c r="B2209" i="3"/>
  <c r="A2209" i="3"/>
  <c r="I2208" i="3"/>
  <c r="H2208" i="3"/>
  <c r="F2208" i="3"/>
  <c r="E2208" i="3"/>
  <c r="G2208" i="3" s="1"/>
  <c r="D2208" i="3"/>
  <c r="C2208" i="3"/>
  <c r="B2208" i="3"/>
  <c r="A2208" i="3"/>
  <c r="H2207" i="3"/>
  <c r="F2207" i="3"/>
  <c r="E2207" i="3"/>
  <c r="G2207" i="3" s="1"/>
  <c r="D2207" i="3"/>
  <c r="I2207" i="3" s="1"/>
  <c r="C2207" i="3"/>
  <c r="B2207" i="3"/>
  <c r="A2207" i="3"/>
  <c r="H2206" i="3"/>
  <c r="F2206" i="3"/>
  <c r="E2206" i="3"/>
  <c r="G2206" i="3" s="1"/>
  <c r="C2206" i="3"/>
  <c r="I2206" i="3" s="1"/>
  <c r="B2206" i="3"/>
  <c r="A2206" i="3"/>
  <c r="H2205" i="3"/>
  <c r="G2205" i="3"/>
  <c r="F2205" i="3"/>
  <c r="E2205" i="3"/>
  <c r="D2205" i="3"/>
  <c r="I2205" i="3" s="1"/>
  <c r="C2205" i="3"/>
  <c r="B2205" i="3"/>
  <c r="A2205" i="3"/>
  <c r="H2204" i="3"/>
  <c r="F2204" i="3"/>
  <c r="E2204" i="3"/>
  <c r="G2204" i="3" s="1"/>
  <c r="D2204" i="3"/>
  <c r="I2204" i="3" s="1"/>
  <c r="C2204" i="3"/>
  <c r="B2204" i="3"/>
  <c r="A2204" i="3"/>
  <c r="H2203" i="3"/>
  <c r="F2203" i="3"/>
  <c r="E2203" i="3"/>
  <c r="G2203" i="3" s="1"/>
  <c r="D2203" i="3"/>
  <c r="I2203" i="3" s="1"/>
  <c r="C2203" i="3"/>
  <c r="B2203" i="3"/>
  <c r="A2203" i="3"/>
  <c r="I2202" i="3"/>
  <c r="H2202" i="3"/>
  <c r="F2202" i="3"/>
  <c r="E2202" i="3"/>
  <c r="G2202" i="3" s="1"/>
  <c r="C2202" i="3"/>
  <c r="B2202" i="3"/>
  <c r="A2202" i="3"/>
  <c r="H2201" i="3"/>
  <c r="G2201" i="3"/>
  <c r="F2201" i="3"/>
  <c r="E2201" i="3"/>
  <c r="D2201" i="3"/>
  <c r="I2201" i="3" s="1"/>
  <c r="C2201" i="3"/>
  <c r="B2201" i="3"/>
  <c r="A2201" i="3"/>
  <c r="I2200" i="3"/>
  <c r="H2200" i="3"/>
  <c r="F2200" i="3"/>
  <c r="E2200" i="3"/>
  <c r="G2200" i="3" s="1"/>
  <c r="C2200" i="3"/>
  <c r="B2200" i="3"/>
  <c r="A2200" i="3"/>
  <c r="H2199" i="3"/>
  <c r="F2199" i="3"/>
  <c r="E2199" i="3"/>
  <c r="G2199" i="3" s="1"/>
  <c r="C2199" i="3"/>
  <c r="B2199" i="3"/>
  <c r="A2199" i="3"/>
  <c r="H2198" i="3"/>
  <c r="G2198" i="3"/>
  <c r="F2198" i="3"/>
  <c r="E2198" i="3"/>
  <c r="C2198" i="3"/>
  <c r="B2198" i="3"/>
  <c r="A2198" i="3"/>
  <c r="H2197" i="3"/>
  <c r="G2197" i="3"/>
  <c r="F2197" i="3"/>
  <c r="E2197" i="3"/>
  <c r="C2197" i="3"/>
  <c r="B2197" i="3"/>
  <c r="A2197" i="3"/>
  <c r="H2196" i="3"/>
  <c r="G2196" i="3"/>
  <c r="F2196" i="3"/>
  <c r="E2196" i="3"/>
  <c r="D2196" i="3"/>
  <c r="I2196" i="3" s="1"/>
  <c r="C2196" i="3"/>
  <c r="B2196" i="3"/>
  <c r="A2196" i="3"/>
  <c r="H2195" i="3"/>
  <c r="F2195" i="3"/>
  <c r="E2195" i="3"/>
  <c r="G2195" i="3" s="1"/>
  <c r="D2195" i="3"/>
  <c r="I2195" i="3" s="1"/>
  <c r="C2195" i="3"/>
  <c r="B2195" i="3"/>
  <c r="A2195" i="3"/>
  <c r="I2194" i="3"/>
  <c r="H2194" i="3"/>
  <c r="F2194" i="3"/>
  <c r="E2194" i="3"/>
  <c r="G2194" i="3" s="1"/>
  <c r="C2194" i="3"/>
  <c r="B2194" i="3"/>
  <c r="A2194" i="3"/>
  <c r="H2193" i="3"/>
  <c r="G2193" i="3"/>
  <c r="F2193" i="3"/>
  <c r="E2193" i="3"/>
  <c r="D2193" i="3"/>
  <c r="I2193" i="3" s="1"/>
  <c r="C2193" i="3"/>
  <c r="B2193" i="3"/>
  <c r="A2193" i="3"/>
  <c r="I2192" i="3"/>
  <c r="H2192" i="3"/>
  <c r="F2192" i="3"/>
  <c r="E2192" i="3"/>
  <c r="G2192" i="3" s="1"/>
  <c r="D2192" i="3"/>
  <c r="C2192" i="3"/>
  <c r="B2192" i="3"/>
  <c r="A2192" i="3"/>
  <c r="H2191" i="3"/>
  <c r="F2191" i="3"/>
  <c r="E2191" i="3"/>
  <c r="G2191" i="3" s="1"/>
  <c r="D2191" i="3"/>
  <c r="I2191" i="3" s="1"/>
  <c r="C2191" i="3"/>
  <c r="B2191" i="3"/>
  <c r="A2191" i="3"/>
  <c r="H2190" i="3"/>
  <c r="F2190" i="3"/>
  <c r="E2190" i="3"/>
  <c r="G2190" i="3" s="1"/>
  <c r="C2190" i="3"/>
  <c r="I2190" i="3" s="1"/>
  <c r="B2190" i="3"/>
  <c r="A2190" i="3"/>
  <c r="H2189" i="3"/>
  <c r="G2189" i="3"/>
  <c r="F2189" i="3"/>
  <c r="E2189" i="3"/>
  <c r="D2189" i="3"/>
  <c r="I2189" i="3" s="1"/>
  <c r="C2189" i="3"/>
  <c r="B2189" i="3"/>
  <c r="A2189" i="3"/>
  <c r="H2188" i="3"/>
  <c r="F2188" i="3"/>
  <c r="E2188" i="3"/>
  <c r="G2188" i="3" s="1"/>
  <c r="D2188" i="3"/>
  <c r="I2188" i="3" s="1"/>
  <c r="C2188" i="3"/>
  <c r="B2188" i="3"/>
  <c r="A2188" i="3"/>
  <c r="H2187" i="3"/>
  <c r="F2187" i="3"/>
  <c r="E2187" i="3"/>
  <c r="G2187" i="3" s="1"/>
  <c r="D2187" i="3"/>
  <c r="I2187" i="3" s="1"/>
  <c r="C2187" i="3"/>
  <c r="B2187" i="3"/>
  <c r="A2187" i="3"/>
  <c r="I2186" i="3"/>
  <c r="H2186" i="3"/>
  <c r="F2186" i="3"/>
  <c r="E2186" i="3"/>
  <c r="G2186" i="3" s="1"/>
  <c r="C2186" i="3"/>
  <c r="B2186" i="3"/>
  <c r="A2186" i="3"/>
  <c r="H2185" i="3"/>
  <c r="G2185" i="3"/>
  <c r="F2185" i="3"/>
  <c r="E2185" i="3"/>
  <c r="D2185" i="3"/>
  <c r="I2185" i="3" s="1"/>
  <c r="C2185" i="3"/>
  <c r="B2185" i="3"/>
  <c r="A2185" i="3"/>
  <c r="I2184" i="3"/>
  <c r="F74" i="2" s="1"/>
  <c r="H2184" i="3"/>
  <c r="F2184" i="3"/>
  <c r="E2184" i="3"/>
  <c r="G2184" i="3" s="1"/>
  <c r="C2184" i="3"/>
  <c r="B2184" i="3"/>
  <c r="A2184" i="3"/>
  <c r="H2183" i="3"/>
  <c r="F2183" i="3"/>
  <c r="E2183" i="3"/>
  <c r="G2183" i="3" s="1"/>
  <c r="C2183" i="3"/>
  <c r="B2183" i="3"/>
  <c r="A2183" i="3"/>
  <c r="H2182" i="3"/>
  <c r="G2182" i="3"/>
  <c r="F2182" i="3"/>
  <c r="E2182" i="3"/>
  <c r="C2182" i="3"/>
  <c r="B2182" i="3"/>
  <c r="A2182" i="3"/>
  <c r="H2181" i="3"/>
  <c r="G2181" i="3"/>
  <c r="F2181" i="3"/>
  <c r="E2181" i="3"/>
  <c r="C2181" i="3"/>
  <c r="B2181" i="3"/>
  <c r="A2181" i="3"/>
  <c r="H2180" i="3"/>
  <c r="G2180" i="3"/>
  <c r="F2180" i="3"/>
  <c r="E2180" i="3"/>
  <c r="D2180" i="3"/>
  <c r="I2180" i="3" s="1"/>
  <c r="C2180" i="3"/>
  <c r="B2180" i="3"/>
  <c r="A2180" i="3"/>
  <c r="H2179" i="3"/>
  <c r="F2179" i="3"/>
  <c r="E2179" i="3"/>
  <c r="G2179" i="3" s="1"/>
  <c r="D2179" i="3"/>
  <c r="I2179" i="3" s="1"/>
  <c r="C2179" i="3"/>
  <c r="B2179" i="3"/>
  <c r="A2179" i="3"/>
  <c r="I2178" i="3"/>
  <c r="H2178" i="3"/>
  <c r="F2178" i="3"/>
  <c r="E2178" i="3"/>
  <c r="G2178" i="3" s="1"/>
  <c r="C2178" i="3"/>
  <c r="B2178" i="3"/>
  <c r="A2178" i="3"/>
  <c r="H2177" i="3"/>
  <c r="G2177" i="3"/>
  <c r="F2177" i="3"/>
  <c r="E2177" i="3"/>
  <c r="D2177" i="3"/>
  <c r="I2177" i="3" s="1"/>
  <c r="C2177" i="3"/>
  <c r="B2177" i="3"/>
  <c r="A2177" i="3"/>
  <c r="I2176" i="3"/>
  <c r="H2176" i="3"/>
  <c r="F2176" i="3"/>
  <c r="E2176" i="3"/>
  <c r="G2176" i="3" s="1"/>
  <c r="D2176" i="3"/>
  <c r="C2176" i="3"/>
  <c r="B2176" i="3"/>
  <c r="A2176" i="3"/>
  <c r="H2175" i="3"/>
  <c r="F2175" i="3"/>
  <c r="E2175" i="3"/>
  <c r="G2175" i="3" s="1"/>
  <c r="D2175" i="3"/>
  <c r="I2175" i="3" s="1"/>
  <c r="C2175" i="3"/>
  <c r="B2175" i="3"/>
  <c r="A2175" i="3"/>
  <c r="H2174" i="3"/>
  <c r="F2174" i="3"/>
  <c r="E2174" i="3"/>
  <c r="G2174" i="3" s="1"/>
  <c r="C2174" i="3"/>
  <c r="I2174" i="3" s="1"/>
  <c r="B2174" i="3"/>
  <c r="A2174" i="3"/>
  <c r="H2173" i="3"/>
  <c r="G2173" i="3"/>
  <c r="F2173" i="3"/>
  <c r="E2173" i="3"/>
  <c r="D2173" i="3"/>
  <c r="I2173" i="3" s="1"/>
  <c r="C2173" i="3"/>
  <c r="B2173" i="3"/>
  <c r="A2173" i="3"/>
  <c r="H2172" i="3"/>
  <c r="F2172" i="3"/>
  <c r="E2172" i="3"/>
  <c r="G2172" i="3" s="1"/>
  <c r="D2172" i="3"/>
  <c r="I2172" i="3" s="1"/>
  <c r="C2172" i="3"/>
  <c r="B2172" i="3"/>
  <c r="A2172" i="3"/>
  <c r="H2171" i="3"/>
  <c r="F2171" i="3"/>
  <c r="E2171" i="3"/>
  <c r="G2171" i="3" s="1"/>
  <c r="D2171" i="3"/>
  <c r="I2171" i="3" s="1"/>
  <c r="C2171" i="3"/>
  <c r="B2171" i="3"/>
  <c r="A2171" i="3"/>
  <c r="I2170" i="3"/>
  <c r="H2170" i="3"/>
  <c r="F2170" i="3"/>
  <c r="E2170" i="3"/>
  <c r="G2170" i="3" s="1"/>
  <c r="C2170" i="3"/>
  <c r="B2170" i="3"/>
  <c r="A2170" i="3"/>
  <c r="H2169" i="3"/>
  <c r="G2169" i="3"/>
  <c r="F2169" i="3"/>
  <c r="E2169" i="3"/>
  <c r="D2169" i="3"/>
  <c r="I2169" i="3" s="1"/>
  <c r="C2169" i="3"/>
  <c r="B2169" i="3"/>
  <c r="A2169" i="3"/>
  <c r="I2168" i="3"/>
  <c r="H2168" i="3"/>
  <c r="F2168" i="3"/>
  <c r="E2168" i="3"/>
  <c r="G2168" i="3" s="1"/>
  <c r="C2168" i="3"/>
  <c r="B2168" i="3"/>
  <c r="A2168" i="3"/>
  <c r="H2167" i="3"/>
  <c r="F2167" i="3"/>
  <c r="E2167" i="3"/>
  <c r="G2167" i="3" s="1"/>
  <c r="C2167" i="3"/>
  <c r="B2167" i="3"/>
  <c r="A2167" i="3"/>
  <c r="H2166" i="3"/>
  <c r="G2166" i="3"/>
  <c r="F2166" i="3"/>
  <c r="E2166" i="3"/>
  <c r="C2166" i="3"/>
  <c r="B2166" i="3"/>
  <c r="A2166" i="3"/>
  <c r="H2165" i="3"/>
  <c r="G2165" i="3"/>
  <c r="F2165" i="3"/>
  <c r="E2165" i="3"/>
  <c r="C2165" i="3"/>
  <c r="B2165" i="3"/>
  <c r="A2165" i="3"/>
  <c r="H2164" i="3"/>
  <c r="G2164" i="3"/>
  <c r="F2164" i="3"/>
  <c r="E2164" i="3"/>
  <c r="D2164" i="3"/>
  <c r="I2164" i="3" s="1"/>
  <c r="C2164" i="3"/>
  <c r="B2164" i="3"/>
  <c r="A2164" i="3"/>
  <c r="H2163" i="3"/>
  <c r="F2163" i="3"/>
  <c r="E2163" i="3"/>
  <c r="G2163" i="3" s="1"/>
  <c r="D2163" i="3"/>
  <c r="I2163" i="3" s="1"/>
  <c r="C2163" i="3"/>
  <c r="B2163" i="3"/>
  <c r="A2163" i="3"/>
  <c r="I2162" i="3"/>
  <c r="H2162" i="3"/>
  <c r="F2162" i="3"/>
  <c r="E2162" i="3"/>
  <c r="G2162" i="3" s="1"/>
  <c r="C2162" i="3"/>
  <c r="B2162" i="3"/>
  <c r="A2162" i="3"/>
  <c r="H2161" i="3"/>
  <c r="G2161" i="3"/>
  <c r="F2161" i="3"/>
  <c r="E2161" i="3"/>
  <c r="D2161" i="3"/>
  <c r="I2161" i="3" s="1"/>
  <c r="C2161" i="3"/>
  <c r="B2161" i="3"/>
  <c r="A2161" i="3"/>
  <c r="I2160" i="3"/>
  <c r="H2160" i="3"/>
  <c r="F2160" i="3"/>
  <c r="E2160" i="3"/>
  <c r="G2160" i="3" s="1"/>
  <c r="D2160" i="3"/>
  <c r="C2160" i="3"/>
  <c r="B2160" i="3"/>
  <c r="A2160" i="3"/>
  <c r="H2159" i="3"/>
  <c r="F2159" i="3"/>
  <c r="E2159" i="3"/>
  <c r="G2159" i="3" s="1"/>
  <c r="D2159" i="3"/>
  <c r="I2159" i="3" s="1"/>
  <c r="C2159" i="3"/>
  <c r="B2159" i="3"/>
  <c r="A2159" i="3"/>
  <c r="H2158" i="3"/>
  <c r="F2158" i="3"/>
  <c r="E2158" i="3"/>
  <c r="G2158" i="3" s="1"/>
  <c r="C2158" i="3"/>
  <c r="I2158" i="3" s="1"/>
  <c r="B2158" i="3"/>
  <c r="A2158" i="3"/>
  <c r="H2157" i="3"/>
  <c r="G2157" i="3"/>
  <c r="F2157" i="3"/>
  <c r="E2157" i="3"/>
  <c r="D2157" i="3"/>
  <c r="I2157" i="3" s="1"/>
  <c r="C2157" i="3"/>
  <c r="B2157" i="3"/>
  <c r="A2157" i="3"/>
  <c r="H2156" i="3"/>
  <c r="F2156" i="3"/>
  <c r="E2156" i="3"/>
  <c r="G2156" i="3" s="1"/>
  <c r="D2156" i="3"/>
  <c r="I2156" i="3" s="1"/>
  <c r="C2156" i="3"/>
  <c r="B2156" i="3"/>
  <c r="A2156" i="3"/>
  <c r="H2155" i="3"/>
  <c r="F2155" i="3"/>
  <c r="E2155" i="3"/>
  <c r="G2155" i="3" s="1"/>
  <c r="D2155" i="3"/>
  <c r="I2155" i="3" s="1"/>
  <c r="C2155" i="3"/>
  <c r="B2155" i="3"/>
  <c r="A2155" i="3"/>
  <c r="I2154" i="3"/>
  <c r="H2154" i="3"/>
  <c r="F2154" i="3"/>
  <c r="E2154" i="3"/>
  <c r="G2154" i="3" s="1"/>
  <c r="C2154" i="3"/>
  <c r="B2154" i="3"/>
  <c r="A2154" i="3"/>
  <c r="H2153" i="3"/>
  <c r="G2153" i="3"/>
  <c r="F2153" i="3"/>
  <c r="E2153" i="3"/>
  <c r="D2153" i="3"/>
  <c r="I2153" i="3" s="1"/>
  <c r="C2153" i="3"/>
  <c r="B2153" i="3"/>
  <c r="A2153" i="3"/>
  <c r="I2152" i="3"/>
  <c r="H2152" i="3"/>
  <c r="F2152" i="3"/>
  <c r="E2152" i="3"/>
  <c r="G2152" i="3" s="1"/>
  <c r="C2152" i="3"/>
  <c r="B2152" i="3"/>
  <c r="A2152" i="3"/>
  <c r="H2151" i="3"/>
  <c r="F2151" i="3"/>
  <c r="E2151" i="3"/>
  <c r="G2151" i="3" s="1"/>
  <c r="C2151" i="3"/>
  <c r="B2151" i="3"/>
  <c r="A2151" i="3"/>
  <c r="H2150" i="3"/>
  <c r="G2150" i="3"/>
  <c r="F2150" i="3"/>
  <c r="E2150" i="3"/>
  <c r="C2150" i="3"/>
  <c r="B2150" i="3"/>
  <c r="A2150" i="3"/>
  <c r="H2149" i="3"/>
  <c r="G2149" i="3"/>
  <c r="F2149" i="3"/>
  <c r="E2149" i="3"/>
  <c r="C2149" i="3"/>
  <c r="B2149" i="3"/>
  <c r="A2149" i="3"/>
  <c r="H2148" i="3"/>
  <c r="G2148" i="3"/>
  <c r="F2148" i="3"/>
  <c r="E2148" i="3"/>
  <c r="D2148" i="3"/>
  <c r="I2148" i="3" s="1"/>
  <c r="C2148" i="3"/>
  <c r="B2148" i="3"/>
  <c r="A2148" i="3"/>
  <c r="H2147" i="3"/>
  <c r="F2147" i="3"/>
  <c r="E2147" i="3"/>
  <c r="G2147" i="3" s="1"/>
  <c r="D2147" i="3"/>
  <c r="I2147" i="3" s="1"/>
  <c r="C2147" i="3"/>
  <c r="B2147" i="3"/>
  <c r="A2147" i="3"/>
  <c r="I2146" i="3"/>
  <c r="H2146" i="3"/>
  <c r="F2146" i="3"/>
  <c r="E2146" i="3"/>
  <c r="G2146" i="3" s="1"/>
  <c r="C2146" i="3"/>
  <c r="B2146" i="3"/>
  <c r="A2146" i="3"/>
  <c r="H2145" i="3"/>
  <c r="G2145" i="3"/>
  <c r="F2145" i="3"/>
  <c r="E2145" i="3"/>
  <c r="D2145" i="3"/>
  <c r="I2145" i="3" s="1"/>
  <c r="C2145" i="3"/>
  <c r="B2145" i="3"/>
  <c r="A2145" i="3"/>
  <c r="I2144" i="3"/>
  <c r="H2144" i="3"/>
  <c r="F2144" i="3"/>
  <c r="E2144" i="3"/>
  <c r="G2144" i="3" s="1"/>
  <c r="D2144" i="3"/>
  <c r="C2144" i="3"/>
  <c r="B2144" i="3"/>
  <c r="A2144" i="3"/>
  <c r="H2143" i="3"/>
  <c r="F2143" i="3"/>
  <c r="E2143" i="3"/>
  <c r="G2143" i="3" s="1"/>
  <c r="D2143" i="3"/>
  <c r="I2143" i="3" s="1"/>
  <c r="C2143" i="3"/>
  <c r="B2143" i="3"/>
  <c r="A2143" i="3"/>
  <c r="H2142" i="3"/>
  <c r="F2142" i="3"/>
  <c r="E2142" i="3"/>
  <c r="G2142" i="3" s="1"/>
  <c r="C2142" i="3"/>
  <c r="I2142" i="3" s="1"/>
  <c r="B2142" i="3"/>
  <c r="A2142" i="3"/>
  <c r="H2141" i="3"/>
  <c r="G2141" i="3"/>
  <c r="F2141" i="3"/>
  <c r="E2141" i="3"/>
  <c r="D2141" i="3"/>
  <c r="I2141" i="3" s="1"/>
  <c r="C2141" i="3"/>
  <c r="B2141" i="3"/>
  <c r="A2141" i="3"/>
  <c r="H2140" i="3"/>
  <c r="F2140" i="3"/>
  <c r="E2140" i="3"/>
  <c r="G2140" i="3" s="1"/>
  <c r="D2140" i="3"/>
  <c r="I2140" i="3" s="1"/>
  <c r="C2140" i="3"/>
  <c r="B2140" i="3"/>
  <c r="A2140" i="3"/>
  <c r="H2139" i="3"/>
  <c r="F2139" i="3"/>
  <c r="E2139" i="3"/>
  <c r="G2139" i="3" s="1"/>
  <c r="D2139" i="3"/>
  <c r="I2139" i="3" s="1"/>
  <c r="C2139" i="3"/>
  <c r="B2139" i="3"/>
  <c r="A2139" i="3"/>
  <c r="I2138" i="3"/>
  <c r="H2138" i="3"/>
  <c r="F2138" i="3"/>
  <c r="E2138" i="3"/>
  <c r="G2138" i="3" s="1"/>
  <c r="C2138" i="3"/>
  <c r="B2138" i="3"/>
  <c r="A2138" i="3"/>
  <c r="H2137" i="3"/>
  <c r="F2137" i="3"/>
  <c r="E2137" i="3"/>
  <c r="G2137" i="3" s="1"/>
  <c r="D2137" i="3"/>
  <c r="I2137" i="3" s="1"/>
  <c r="C2137" i="3"/>
  <c r="B2137" i="3"/>
  <c r="A2137" i="3"/>
  <c r="H2136" i="3"/>
  <c r="F2136" i="3"/>
  <c r="E2136" i="3"/>
  <c r="G2136" i="3" s="1"/>
  <c r="C2136" i="3"/>
  <c r="I2136" i="3" s="1"/>
  <c r="B2136" i="3"/>
  <c r="A2136" i="3"/>
  <c r="H2135" i="3"/>
  <c r="G2135" i="3"/>
  <c r="F2135" i="3"/>
  <c r="E2135" i="3"/>
  <c r="D2135" i="3"/>
  <c r="C2135" i="3"/>
  <c r="B2135" i="3"/>
  <c r="A2135" i="3"/>
  <c r="H2134" i="3"/>
  <c r="F2134" i="3"/>
  <c r="E2134" i="3"/>
  <c r="G2134" i="3" s="1"/>
  <c r="D2134" i="3"/>
  <c r="I2134" i="3" s="1"/>
  <c r="C2134" i="3"/>
  <c r="B2134" i="3"/>
  <c r="A2134" i="3"/>
  <c r="H2133" i="3"/>
  <c r="F2133" i="3"/>
  <c r="E2133" i="3"/>
  <c r="G2133" i="3" s="1"/>
  <c r="D2133" i="3"/>
  <c r="I2133" i="3" s="1"/>
  <c r="C2133" i="3"/>
  <c r="B2133" i="3"/>
  <c r="A2133" i="3"/>
  <c r="I2132" i="3"/>
  <c r="H2132" i="3"/>
  <c r="F2132" i="3"/>
  <c r="E2132" i="3"/>
  <c r="G2132" i="3" s="1"/>
  <c r="C2132" i="3"/>
  <c r="B2132" i="3"/>
  <c r="A2132" i="3"/>
  <c r="H2131" i="3"/>
  <c r="G2131" i="3"/>
  <c r="F2131" i="3"/>
  <c r="E2131" i="3"/>
  <c r="D2131" i="3"/>
  <c r="I2131" i="3" s="1"/>
  <c r="C2131" i="3"/>
  <c r="B2131" i="3"/>
  <c r="A2131" i="3"/>
  <c r="I2130" i="3"/>
  <c r="H2130" i="3"/>
  <c r="F2130" i="3"/>
  <c r="E2130" i="3"/>
  <c r="G2130" i="3" s="1"/>
  <c r="D2130" i="3"/>
  <c r="C2130" i="3"/>
  <c r="B2130" i="3"/>
  <c r="A2130" i="3"/>
  <c r="H2129" i="3"/>
  <c r="F2129" i="3"/>
  <c r="E2129" i="3"/>
  <c r="G2129" i="3" s="1"/>
  <c r="D2129" i="3"/>
  <c r="I2129" i="3" s="1"/>
  <c r="C2129" i="3"/>
  <c r="B2129" i="3"/>
  <c r="A2129" i="3"/>
  <c r="I2128" i="3"/>
  <c r="H2128" i="3"/>
  <c r="F2128" i="3"/>
  <c r="E2128" i="3"/>
  <c r="G2128" i="3" s="1"/>
  <c r="C2128" i="3"/>
  <c r="B2128" i="3"/>
  <c r="A2128" i="3"/>
  <c r="H2127" i="3"/>
  <c r="G2127" i="3"/>
  <c r="F2127" i="3"/>
  <c r="E2127" i="3"/>
  <c r="D2127" i="3"/>
  <c r="I2127" i="3" s="1"/>
  <c r="C2127" i="3"/>
  <c r="B2127" i="3"/>
  <c r="A2127" i="3"/>
  <c r="I2126" i="3"/>
  <c r="H2126" i="3"/>
  <c r="F2126" i="3"/>
  <c r="E2126" i="3"/>
  <c r="G2126" i="3" s="1"/>
  <c r="D2126" i="3"/>
  <c r="C2126" i="3"/>
  <c r="B2126" i="3"/>
  <c r="A2126" i="3"/>
  <c r="H2125" i="3"/>
  <c r="F2125" i="3"/>
  <c r="E2125" i="3"/>
  <c r="G2125" i="3" s="1"/>
  <c r="D2125" i="3"/>
  <c r="I2125" i="3" s="1"/>
  <c r="C2125" i="3"/>
  <c r="B2125" i="3"/>
  <c r="A2125" i="3"/>
  <c r="H2124" i="3"/>
  <c r="G2124" i="3"/>
  <c r="F2124" i="3"/>
  <c r="E2124" i="3"/>
  <c r="C2124" i="3"/>
  <c r="I2124" i="3" s="1"/>
  <c r="B2124" i="3"/>
  <c r="A2124" i="3"/>
  <c r="H2123" i="3"/>
  <c r="G2123" i="3"/>
  <c r="F2123" i="3"/>
  <c r="E2123" i="3"/>
  <c r="D2123" i="3"/>
  <c r="C2123" i="3"/>
  <c r="B2123" i="3"/>
  <c r="A2123" i="3"/>
  <c r="H2122" i="3"/>
  <c r="G2122" i="3"/>
  <c r="F2122" i="3"/>
  <c r="E2122" i="3"/>
  <c r="D2122" i="3"/>
  <c r="C2122" i="3"/>
  <c r="B2122" i="3"/>
  <c r="A2122" i="3"/>
  <c r="H2121" i="3"/>
  <c r="F2121" i="3"/>
  <c r="E2121" i="3"/>
  <c r="G2121" i="3" s="1"/>
  <c r="D2121" i="3"/>
  <c r="I2121" i="3" s="1"/>
  <c r="C2121" i="3"/>
  <c r="B2121" i="3"/>
  <c r="A2121" i="3"/>
  <c r="H2120" i="3"/>
  <c r="F2120" i="3"/>
  <c r="E2120" i="3"/>
  <c r="G2120" i="3" s="1"/>
  <c r="C2120" i="3"/>
  <c r="I2120" i="3" s="1"/>
  <c r="B2120" i="3"/>
  <c r="A2120" i="3"/>
  <c r="H2119" i="3"/>
  <c r="G2119" i="3"/>
  <c r="F2119" i="3"/>
  <c r="E2119" i="3"/>
  <c r="D2119" i="3"/>
  <c r="I2119" i="3" s="1"/>
  <c r="C2119" i="3"/>
  <c r="B2119" i="3"/>
  <c r="A2119" i="3"/>
  <c r="H2118" i="3"/>
  <c r="F2118" i="3"/>
  <c r="E2118" i="3"/>
  <c r="G2118" i="3" s="1"/>
  <c r="D2118" i="3"/>
  <c r="I2118" i="3" s="1"/>
  <c r="C2118" i="3"/>
  <c r="B2118" i="3"/>
  <c r="A2118" i="3"/>
  <c r="H2117" i="3"/>
  <c r="F2117" i="3"/>
  <c r="E2117" i="3"/>
  <c r="G2117" i="3" s="1"/>
  <c r="D2117" i="3"/>
  <c r="I2117" i="3" s="1"/>
  <c r="C2117" i="3"/>
  <c r="B2117" i="3"/>
  <c r="A2117" i="3"/>
  <c r="H2116" i="3"/>
  <c r="F2116" i="3"/>
  <c r="E2116" i="3"/>
  <c r="G2116" i="3" s="1"/>
  <c r="C2116" i="3"/>
  <c r="I2116" i="3" s="1"/>
  <c r="B2116" i="3"/>
  <c r="A2116" i="3"/>
  <c r="H2115" i="3"/>
  <c r="G2115" i="3"/>
  <c r="F2115" i="3"/>
  <c r="E2115" i="3"/>
  <c r="D2115" i="3"/>
  <c r="I2115" i="3" s="1"/>
  <c r="C2115" i="3"/>
  <c r="B2115" i="3"/>
  <c r="A2115" i="3"/>
  <c r="H2114" i="3"/>
  <c r="F2114" i="3"/>
  <c r="E2114" i="3"/>
  <c r="G2114" i="3" s="1"/>
  <c r="D2114" i="3"/>
  <c r="I2114" i="3" s="1"/>
  <c r="C2114" i="3"/>
  <c r="B2114" i="3"/>
  <c r="A2114" i="3"/>
  <c r="H2113" i="3"/>
  <c r="F2113" i="3"/>
  <c r="E2113" i="3"/>
  <c r="G2113" i="3" s="1"/>
  <c r="D2113" i="3"/>
  <c r="I2113" i="3" s="1"/>
  <c r="C2113" i="3"/>
  <c r="B2113" i="3"/>
  <c r="A2113" i="3"/>
  <c r="I2112" i="3"/>
  <c r="H2112" i="3"/>
  <c r="F2112" i="3"/>
  <c r="E2112" i="3"/>
  <c r="G2112" i="3" s="1"/>
  <c r="C2112" i="3"/>
  <c r="B2112" i="3"/>
  <c r="A2112" i="3"/>
  <c r="H2111" i="3"/>
  <c r="G2111" i="3"/>
  <c r="F2111" i="3"/>
  <c r="E2111" i="3"/>
  <c r="D2111" i="3"/>
  <c r="I2111" i="3" s="1"/>
  <c r="C2111" i="3"/>
  <c r="B2111" i="3"/>
  <c r="A2111" i="3"/>
  <c r="I2110" i="3"/>
  <c r="H2110" i="3"/>
  <c r="F2110" i="3"/>
  <c r="E2110" i="3"/>
  <c r="G2110" i="3" s="1"/>
  <c r="D2110" i="3"/>
  <c r="C2110" i="3"/>
  <c r="B2110" i="3"/>
  <c r="A2110" i="3"/>
  <c r="H2109" i="3"/>
  <c r="F2109" i="3"/>
  <c r="E2109" i="3"/>
  <c r="G2109" i="3" s="1"/>
  <c r="D2109" i="3"/>
  <c r="I2109" i="3" s="1"/>
  <c r="C2109" i="3"/>
  <c r="B2109" i="3"/>
  <c r="A2109" i="3"/>
  <c r="H2108" i="3"/>
  <c r="G2108" i="3"/>
  <c r="F2108" i="3"/>
  <c r="E2108" i="3"/>
  <c r="C2108" i="3"/>
  <c r="I2108" i="3" s="1"/>
  <c r="B2108" i="3"/>
  <c r="A2108" i="3"/>
  <c r="H2107" i="3"/>
  <c r="G2107" i="3"/>
  <c r="F2107" i="3"/>
  <c r="E2107" i="3"/>
  <c r="D2107" i="3"/>
  <c r="C2107" i="3"/>
  <c r="B2107" i="3"/>
  <c r="A2107" i="3"/>
  <c r="H2106" i="3"/>
  <c r="G2106" i="3"/>
  <c r="F2106" i="3"/>
  <c r="E2106" i="3"/>
  <c r="D2106" i="3"/>
  <c r="C2106" i="3"/>
  <c r="B2106" i="3"/>
  <c r="A2106" i="3"/>
  <c r="H2105" i="3"/>
  <c r="F2105" i="3"/>
  <c r="E2105" i="3"/>
  <c r="G2105" i="3" s="1"/>
  <c r="D2105" i="3"/>
  <c r="I2105" i="3" s="1"/>
  <c r="C2105" i="3"/>
  <c r="B2105" i="3"/>
  <c r="A2105" i="3"/>
  <c r="H2104" i="3"/>
  <c r="G2104" i="3"/>
  <c r="F2104" i="3"/>
  <c r="E2104" i="3"/>
  <c r="C2104" i="3"/>
  <c r="I2104" i="3" s="1"/>
  <c r="B2104" i="3"/>
  <c r="A2104" i="3"/>
  <c r="H2103" i="3"/>
  <c r="G2103" i="3"/>
  <c r="F2103" i="3"/>
  <c r="E2103" i="3"/>
  <c r="D2103" i="3"/>
  <c r="C2103" i="3"/>
  <c r="B2103" i="3"/>
  <c r="A2103" i="3"/>
  <c r="H2102" i="3"/>
  <c r="G2102" i="3"/>
  <c r="F2102" i="3"/>
  <c r="E2102" i="3"/>
  <c r="D2102" i="3"/>
  <c r="C2102" i="3"/>
  <c r="B2102" i="3"/>
  <c r="A2102" i="3"/>
  <c r="H2101" i="3"/>
  <c r="F2101" i="3"/>
  <c r="E2101" i="3"/>
  <c r="G2101" i="3" s="1"/>
  <c r="D2101" i="3"/>
  <c r="I2101" i="3" s="1"/>
  <c r="C2101" i="3"/>
  <c r="B2101" i="3"/>
  <c r="A2101" i="3"/>
  <c r="H2100" i="3"/>
  <c r="F2100" i="3"/>
  <c r="E2100" i="3"/>
  <c r="G2100" i="3" s="1"/>
  <c r="C2100" i="3"/>
  <c r="I2100" i="3" s="1"/>
  <c r="B2100" i="3"/>
  <c r="A2100" i="3"/>
  <c r="H2099" i="3"/>
  <c r="G2099" i="3"/>
  <c r="F2099" i="3"/>
  <c r="E2099" i="3"/>
  <c r="D2099" i="3"/>
  <c r="C2099" i="3"/>
  <c r="B2099" i="3"/>
  <c r="A2099" i="3"/>
  <c r="H2098" i="3"/>
  <c r="F2098" i="3"/>
  <c r="E2098" i="3"/>
  <c r="G2098" i="3" s="1"/>
  <c r="D2098" i="3"/>
  <c r="I2098" i="3" s="1"/>
  <c r="C2098" i="3"/>
  <c r="B2098" i="3"/>
  <c r="A2098" i="3"/>
  <c r="H2097" i="3"/>
  <c r="F2097" i="3"/>
  <c r="E2097" i="3"/>
  <c r="G2097" i="3" s="1"/>
  <c r="D2097" i="3"/>
  <c r="I2097" i="3" s="1"/>
  <c r="C2097" i="3"/>
  <c r="B2097" i="3"/>
  <c r="A2097" i="3"/>
  <c r="I2096" i="3"/>
  <c r="H2096" i="3"/>
  <c r="G2096" i="3"/>
  <c r="F2096" i="3"/>
  <c r="E2096" i="3"/>
  <c r="C2096" i="3"/>
  <c r="B2096" i="3"/>
  <c r="A2096" i="3"/>
  <c r="H2095" i="3"/>
  <c r="G2095" i="3"/>
  <c r="F2095" i="3"/>
  <c r="E2095" i="3"/>
  <c r="D2095" i="3"/>
  <c r="I2095" i="3" s="1"/>
  <c r="C2095" i="3"/>
  <c r="B2095" i="3"/>
  <c r="A2095" i="3"/>
  <c r="H2094" i="3"/>
  <c r="G2094" i="3"/>
  <c r="F2094" i="3"/>
  <c r="E2094" i="3"/>
  <c r="D2094" i="3"/>
  <c r="C2094" i="3"/>
  <c r="I2094" i="3" s="1"/>
  <c r="B2094" i="3"/>
  <c r="A2094" i="3"/>
  <c r="H2093" i="3"/>
  <c r="F2093" i="3"/>
  <c r="E2093" i="3"/>
  <c r="G2093" i="3" s="1"/>
  <c r="D2093" i="3"/>
  <c r="I2093" i="3" s="1"/>
  <c r="C2093" i="3"/>
  <c r="B2093" i="3"/>
  <c r="A2093" i="3"/>
  <c r="H2092" i="3"/>
  <c r="G2092" i="3"/>
  <c r="F2092" i="3"/>
  <c r="E2092" i="3"/>
  <c r="C2092" i="3"/>
  <c r="I2092" i="3" s="1"/>
  <c r="B2092" i="3"/>
  <c r="A2092" i="3"/>
  <c r="H2091" i="3"/>
  <c r="G2091" i="3"/>
  <c r="F2091" i="3"/>
  <c r="E2091" i="3"/>
  <c r="D2091" i="3"/>
  <c r="C2091" i="3"/>
  <c r="B2091" i="3"/>
  <c r="A2091" i="3"/>
  <c r="H2090" i="3"/>
  <c r="G2090" i="3"/>
  <c r="F2090" i="3"/>
  <c r="E2090" i="3"/>
  <c r="D2090" i="3"/>
  <c r="I2090" i="3" s="1"/>
  <c r="C2090" i="3"/>
  <c r="B2090" i="3"/>
  <c r="A2090" i="3"/>
  <c r="H2089" i="3"/>
  <c r="F2089" i="3"/>
  <c r="E2089" i="3"/>
  <c r="G2089" i="3" s="1"/>
  <c r="D2089" i="3"/>
  <c r="I2089" i="3" s="1"/>
  <c r="C2089" i="3"/>
  <c r="B2089" i="3"/>
  <c r="A2089" i="3"/>
  <c r="I2088" i="3"/>
  <c r="H2088" i="3"/>
  <c r="G2088" i="3"/>
  <c r="F2088" i="3"/>
  <c r="E2088" i="3"/>
  <c r="C2088" i="3"/>
  <c r="B2088" i="3"/>
  <c r="A2088" i="3"/>
  <c r="H2087" i="3"/>
  <c r="G2087" i="3"/>
  <c r="F2087" i="3"/>
  <c r="E2087" i="3"/>
  <c r="D2087" i="3"/>
  <c r="I2087" i="3" s="1"/>
  <c r="C2087" i="3"/>
  <c r="B2087" i="3"/>
  <c r="A2087" i="3"/>
  <c r="H2086" i="3"/>
  <c r="G2086" i="3"/>
  <c r="F2086" i="3"/>
  <c r="E2086" i="3"/>
  <c r="D2086" i="3"/>
  <c r="C2086" i="3"/>
  <c r="I2086" i="3" s="1"/>
  <c r="B2086" i="3"/>
  <c r="A2086" i="3"/>
  <c r="H2085" i="3"/>
  <c r="F2085" i="3"/>
  <c r="E2085" i="3"/>
  <c r="G2085" i="3" s="1"/>
  <c r="D2085" i="3"/>
  <c r="I2085" i="3" s="1"/>
  <c r="C2085" i="3"/>
  <c r="B2085" i="3"/>
  <c r="A2085" i="3"/>
  <c r="H2084" i="3"/>
  <c r="F2084" i="3"/>
  <c r="E2084" i="3"/>
  <c r="G2084" i="3" s="1"/>
  <c r="C2084" i="3"/>
  <c r="I2084" i="3" s="1"/>
  <c r="B2084" i="3"/>
  <c r="A2084" i="3"/>
  <c r="H2083" i="3"/>
  <c r="G2083" i="3"/>
  <c r="F2083" i="3"/>
  <c r="E2083" i="3"/>
  <c r="D2083" i="3"/>
  <c r="I2083" i="3" s="1"/>
  <c r="C2083" i="3"/>
  <c r="B2083" i="3"/>
  <c r="A2083" i="3"/>
  <c r="H2082" i="3"/>
  <c r="F2082" i="3"/>
  <c r="E2082" i="3"/>
  <c r="G2082" i="3" s="1"/>
  <c r="D2082" i="3"/>
  <c r="I2082" i="3" s="1"/>
  <c r="C2082" i="3"/>
  <c r="B2082" i="3"/>
  <c r="A2082" i="3"/>
  <c r="H2081" i="3"/>
  <c r="F2081" i="3"/>
  <c r="E2081" i="3"/>
  <c r="G2081" i="3" s="1"/>
  <c r="D2081" i="3"/>
  <c r="I2081" i="3" s="1"/>
  <c r="C2081" i="3"/>
  <c r="B2081" i="3"/>
  <c r="A2081" i="3"/>
  <c r="I2080" i="3"/>
  <c r="H2080" i="3"/>
  <c r="G2080" i="3"/>
  <c r="F2080" i="3"/>
  <c r="E2080" i="3"/>
  <c r="C2080" i="3"/>
  <c r="B2080" i="3"/>
  <c r="A2080" i="3"/>
  <c r="H2079" i="3"/>
  <c r="G2079" i="3"/>
  <c r="F2079" i="3"/>
  <c r="E2079" i="3"/>
  <c r="D2079" i="3"/>
  <c r="I2079" i="3" s="1"/>
  <c r="C2079" i="3"/>
  <c r="B2079" i="3"/>
  <c r="A2079" i="3"/>
  <c r="H2078" i="3"/>
  <c r="G2078" i="3"/>
  <c r="F2078" i="3"/>
  <c r="E2078" i="3"/>
  <c r="D2078" i="3"/>
  <c r="C2078" i="3"/>
  <c r="I2078" i="3" s="1"/>
  <c r="B2078" i="3"/>
  <c r="A2078" i="3"/>
  <c r="H2077" i="3"/>
  <c r="F2077" i="3"/>
  <c r="E2077" i="3"/>
  <c r="G2077" i="3" s="1"/>
  <c r="D2077" i="3"/>
  <c r="I2077" i="3" s="1"/>
  <c r="C2077" i="3"/>
  <c r="B2077" i="3"/>
  <c r="A2077" i="3"/>
  <c r="H2076" i="3"/>
  <c r="G2076" i="3"/>
  <c r="F2076" i="3"/>
  <c r="E2076" i="3"/>
  <c r="C2076" i="3"/>
  <c r="I2076" i="3" s="1"/>
  <c r="B2076" i="3"/>
  <c r="A2076" i="3"/>
  <c r="H2075" i="3"/>
  <c r="G2075" i="3"/>
  <c r="F2075" i="3"/>
  <c r="E2075" i="3"/>
  <c r="D2075" i="3"/>
  <c r="C2075" i="3"/>
  <c r="B2075" i="3"/>
  <c r="A2075" i="3"/>
  <c r="H2074" i="3"/>
  <c r="G2074" i="3"/>
  <c r="F2074" i="3"/>
  <c r="E2074" i="3"/>
  <c r="D2074" i="3"/>
  <c r="I2074" i="3" s="1"/>
  <c r="C2074" i="3"/>
  <c r="B2074" i="3"/>
  <c r="A2074" i="3"/>
  <c r="H2073" i="3"/>
  <c r="F2073" i="3"/>
  <c r="E2073" i="3"/>
  <c r="G2073" i="3" s="1"/>
  <c r="D2073" i="3"/>
  <c r="I2073" i="3" s="1"/>
  <c r="C2073" i="3"/>
  <c r="B2073" i="3"/>
  <c r="A2073" i="3"/>
  <c r="I2072" i="3"/>
  <c r="H2072" i="3"/>
  <c r="F2072" i="3"/>
  <c r="E2072" i="3"/>
  <c r="G2072" i="3" s="1"/>
  <c r="C2072" i="3"/>
  <c r="B2072" i="3"/>
  <c r="A2072" i="3"/>
  <c r="H2071" i="3"/>
  <c r="G2071" i="3"/>
  <c r="F2071" i="3"/>
  <c r="E2071" i="3"/>
  <c r="D2071" i="3"/>
  <c r="I2071" i="3" s="1"/>
  <c r="C2071" i="3"/>
  <c r="B2071" i="3"/>
  <c r="A2071" i="3"/>
  <c r="I2070" i="3"/>
  <c r="H2070" i="3"/>
  <c r="F2070" i="3"/>
  <c r="E2070" i="3"/>
  <c r="G2070" i="3" s="1"/>
  <c r="D2070" i="3"/>
  <c r="C2070" i="3"/>
  <c r="B2070" i="3"/>
  <c r="A2070" i="3"/>
  <c r="H2069" i="3"/>
  <c r="F2069" i="3"/>
  <c r="E2069" i="3"/>
  <c r="G2069" i="3" s="1"/>
  <c r="D2069" i="3"/>
  <c r="I2069" i="3" s="1"/>
  <c r="C2069" i="3"/>
  <c r="B2069" i="3"/>
  <c r="A2069" i="3"/>
  <c r="H2068" i="3"/>
  <c r="F2068" i="3"/>
  <c r="E2068" i="3"/>
  <c r="G2068" i="3" s="1"/>
  <c r="C2068" i="3"/>
  <c r="I2068" i="3" s="1"/>
  <c r="B2068" i="3"/>
  <c r="A2068" i="3"/>
  <c r="H2067" i="3"/>
  <c r="G2067" i="3"/>
  <c r="F2067" i="3"/>
  <c r="E2067" i="3"/>
  <c r="D2067" i="3"/>
  <c r="I2067" i="3" s="1"/>
  <c r="C2067" i="3"/>
  <c r="B2067" i="3"/>
  <c r="A2067" i="3"/>
  <c r="H2066" i="3"/>
  <c r="F2066" i="3"/>
  <c r="E2066" i="3"/>
  <c r="G2066" i="3" s="1"/>
  <c r="D2066" i="3"/>
  <c r="I2066" i="3" s="1"/>
  <c r="C2066" i="3"/>
  <c r="B2066" i="3"/>
  <c r="A2066" i="3"/>
  <c r="H2065" i="3"/>
  <c r="F2065" i="3"/>
  <c r="E2065" i="3"/>
  <c r="G2065" i="3" s="1"/>
  <c r="D2065" i="3"/>
  <c r="I2065" i="3" s="1"/>
  <c r="C2065" i="3"/>
  <c r="B2065" i="3"/>
  <c r="A2065" i="3"/>
  <c r="I2064" i="3"/>
  <c r="H2064" i="3"/>
  <c r="F2064" i="3"/>
  <c r="E2064" i="3"/>
  <c r="G2064" i="3" s="1"/>
  <c r="C2064" i="3"/>
  <c r="B2064" i="3"/>
  <c r="A2064" i="3"/>
  <c r="H2063" i="3"/>
  <c r="G2063" i="3"/>
  <c r="F2063" i="3"/>
  <c r="E2063" i="3"/>
  <c r="D2063" i="3"/>
  <c r="I2063" i="3" s="1"/>
  <c r="C2063" i="3"/>
  <c r="B2063" i="3"/>
  <c r="A2063" i="3"/>
  <c r="I2062" i="3"/>
  <c r="H2062" i="3"/>
  <c r="F2062" i="3"/>
  <c r="E2062" i="3"/>
  <c r="G2062" i="3" s="1"/>
  <c r="D2062" i="3"/>
  <c r="C2062" i="3"/>
  <c r="B2062" i="3"/>
  <c r="A2062" i="3"/>
  <c r="H2061" i="3"/>
  <c r="F2061" i="3"/>
  <c r="E2061" i="3"/>
  <c r="G2061" i="3" s="1"/>
  <c r="D2061" i="3"/>
  <c r="I2061" i="3" s="1"/>
  <c r="C2061" i="3"/>
  <c r="B2061" i="3"/>
  <c r="A2061" i="3"/>
  <c r="H2060" i="3"/>
  <c r="G2060" i="3"/>
  <c r="F2060" i="3"/>
  <c r="E2060" i="3"/>
  <c r="C2060" i="3"/>
  <c r="I2060" i="3" s="1"/>
  <c r="B2060" i="3"/>
  <c r="A2060" i="3"/>
  <c r="H2059" i="3"/>
  <c r="G2059" i="3"/>
  <c r="F2059" i="3"/>
  <c r="E2059" i="3"/>
  <c r="D2059" i="3"/>
  <c r="C2059" i="3"/>
  <c r="B2059" i="3"/>
  <c r="A2059" i="3"/>
  <c r="H2058" i="3"/>
  <c r="G2058" i="3"/>
  <c r="F2058" i="3"/>
  <c r="E2058" i="3"/>
  <c r="D2058" i="3"/>
  <c r="C2058" i="3"/>
  <c r="B2058" i="3"/>
  <c r="A2058" i="3"/>
  <c r="H2057" i="3"/>
  <c r="F2057" i="3"/>
  <c r="E2057" i="3"/>
  <c r="G2057" i="3" s="1"/>
  <c r="D2057" i="3"/>
  <c r="I2057" i="3" s="1"/>
  <c r="C2057" i="3"/>
  <c r="B2057" i="3"/>
  <c r="A2057" i="3"/>
  <c r="H2056" i="3"/>
  <c r="F2056" i="3"/>
  <c r="E2056" i="3"/>
  <c r="G2056" i="3" s="1"/>
  <c r="C2056" i="3"/>
  <c r="I2056" i="3" s="1"/>
  <c r="B2056" i="3"/>
  <c r="A2056" i="3"/>
  <c r="H2055" i="3"/>
  <c r="G2055" i="3"/>
  <c r="F2055" i="3"/>
  <c r="E2055" i="3"/>
  <c r="D2055" i="3"/>
  <c r="C2055" i="3"/>
  <c r="B2055" i="3"/>
  <c r="A2055" i="3"/>
  <c r="H2054" i="3"/>
  <c r="F2054" i="3"/>
  <c r="E2054" i="3"/>
  <c r="G2054" i="3" s="1"/>
  <c r="D2054" i="3"/>
  <c r="I2054" i="3" s="1"/>
  <c r="C2054" i="3"/>
  <c r="B2054" i="3"/>
  <c r="A2054" i="3"/>
  <c r="H2053" i="3"/>
  <c r="F2053" i="3"/>
  <c r="E2053" i="3"/>
  <c r="G2053" i="3" s="1"/>
  <c r="D2053" i="3"/>
  <c r="I2053" i="3" s="1"/>
  <c r="C2053" i="3"/>
  <c r="B2053" i="3"/>
  <c r="A2053" i="3"/>
  <c r="H2052" i="3"/>
  <c r="F2052" i="3"/>
  <c r="E2052" i="3"/>
  <c r="G2052" i="3" s="1"/>
  <c r="C2052" i="3"/>
  <c r="I2052" i="3" s="1"/>
  <c r="B2052" i="3"/>
  <c r="A2052" i="3"/>
  <c r="H2051" i="3"/>
  <c r="G2051" i="3"/>
  <c r="F2051" i="3"/>
  <c r="E2051" i="3"/>
  <c r="D2051" i="3"/>
  <c r="I2051" i="3" s="1"/>
  <c r="C2051" i="3"/>
  <c r="B2051" i="3"/>
  <c r="A2051" i="3"/>
  <c r="H2050" i="3"/>
  <c r="F2050" i="3"/>
  <c r="E2050" i="3"/>
  <c r="G2050" i="3" s="1"/>
  <c r="D2050" i="3"/>
  <c r="I2050" i="3" s="1"/>
  <c r="C2050" i="3"/>
  <c r="B2050" i="3"/>
  <c r="A2050" i="3"/>
  <c r="H2049" i="3"/>
  <c r="F2049" i="3"/>
  <c r="E2049" i="3"/>
  <c r="G2049" i="3" s="1"/>
  <c r="D2049" i="3"/>
  <c r="I2049" i="3" s="1"/>
  <c r="C2049" i="3"/>
  <c r="B2049" i="3"/>
  <c r="A2049" i="3"/>
  <c r="I2048" i="3"/>
  <c r="H2048" i="3"/>
  <c r="F2048" i="3"/>
  <c r="E2048" i="3"/>
  <c r="G2048" i="3" s="1"/>
  <c r="C2048" i="3"/>
  <c r="B2048" i="3"/>
  <c r="A2048" i="3"/>
  <c r="H2047" i="3"/>
  <c r="G2047" i="3"/>
  <c r="F2047" i="3"/>
  <c r="E2047" i="3"/>
  <c r="D2047" i="3"/>
  <c r="I2047" i="3" s="1"/>
  <c r="C2047" i="3"/>
  <c r="B2047" i="3"/>
  <c r="A2047" i="3"/>
  <c r="I2046" i="3"/>
  <c r="H2046" i="3"/>
  <c r="F2046" i="3"/>
  <c r="E2046" i="3"/>
  <c r="G2046" i="3" s="1"/>
  <c r="D2046" i="3"/>
  <c r="C2046" i="3"/>
  <c r="B2046" i="3"/>
  <c r="A2046" i="3"/>
  <c r="H2045" i="3"/>
  <c r="F2045" i="3"/>
  <c r="E2045" i="3"/>
  <c r="G2045" i="3" s="1"/>
  <c r="D2045" i="3"/>
  <c r="I2045" i="3" s="1"/>
  <c r="C2045" i="3"/>
  <c r="B2045" i="3"/>
  <c r="A2045" i="3"/>
  <c r="H2044" i="3"/>
  <c r="G2044" i="3"/>
  <c r="F2044" i="3"/>
  <c r="E2044" i="3"/>
  <c r="C2044" i="3"/>
  <c r="I2044" i="3" s="1"/>
  <c r="B2044" i="3"/>
  <c r="A2044" i="3"/>
  <c r="H2043" i="3"/>
  <c r="G2043" i="3"/>
  <c r="F2043" i="3"/>
  <c r="E2043" i="3"/>
  <c r="D2043" i="3"/>
  <c r="C2043" i="3"/>
  <c r="B2043" i="3"/>
  <c r="A2043" i="3"/>
  <c r="H2042" i="3"/>
  <c r="G2042" i="3"/>
  <c r="F2042" i="3"/>
  <c r="E2042" i="3"/>
  <c r="D2042" i="3"/>
  <c r="C2042" i="3"/>
  <c r="B2042" i="3"/>
  <c r="A2042" i="3"/>
  <c r="H2041" i="3"/>
  <c r="F2041" i="3"/>
  <c r="E2041" i="3"/>
  <c r="G2041" i="3" s="1"/>
  <c r="D2041" i="3"/>
  <c r="I2041" i="3" s="1"/>
  <c r="C2041" i="3"/>
  <c r="B2041" i="3"/>
  <c r="A2041" i="3"/>
  <c r="H2040" i="3"/>
  <c r="G2040" i="3"/>
  <c r="F2040" i="3"/>
  <c r="E2040" i="3"/>
  <c r="C2040" i="3"/>
  <c r="I2040" i="3" s="1"/>
  <c r="B2040" i="3"/>
  <c r="A2040" i="3"/>
  <c r="H2039" i="3"/>
  <c r="G2039" i="3"/>
  <c r="F2039" i="3"/>
  <c r="E2039" i="3"/>
  <c r="D2039" i="3"/>
  <c r="C2039" i="3"/>
  <c r="B2039" i="3"/>
  <c r="A2039" i="3"/>
  <c r="H2038" i="3"/>
  <c r="G2038" i="3"/>
  <c r="F2038" i="3"/>
  <c r="E2038" i="3"/>
  <c r="D2038" i="3"/>
  <c r="I2038" i="3" s="1"/>
  <c r="C2038" i="3"/>
  <c r="B2038" i="3"/>
  <c r="A2038" i="3"/>
  <c r="H2037" i="3"/>
  <c r="F2037" i="3"/>
  <c r="E2037" i="3"/>
  <c r="G2037" i="3" s="1"/>
  <c r="D2037" i="3"/>
  <c r="I2037" i="3" s="1"/>
  <c r="C2037" i="3"/>
  <c r="B2037" i="3"/>
  <c r="A2037" i="3"/>
  <c r="H2036" i="3"/>
  <c r="F2036" i="3"/>
  <c r="E2036" i="3"/>
  <c r="G2036" i="3" s="1"/>
  <c r="C2036" i="3"/>
  <c r="I2036" i="3" s="1"/>
  <c r="B2036" i="3"/>
  <c r="A2036" i="3"/>
  <c r="H2035" i="3"/>
  <c r="G2035" i="3"/>
  <c r="F2035" i="3"/>
  <c r="E2035" i="3"/>
  <c r="D2035" i="3"/>
  <c r="C2035" i="3"/>
  <c r="B2035" i="3"/>
  <c r="A2035" i="3"/>
  <c r="H2034" i="3"/>
  <c r="F2034" i="3"/>
  <c r="E2034" i="3"/>
  <c r="G2034" i="3" s="1"/>
  <c r="D2034" i="3"/>
  <c r="I2034" i="3" s="1"/>
  <c r="C2034" i="3"/>
  <c r="B2034" i="3"/>
  <c r="A2034" i="3"/>
  <c r="H2033" i="3"/>
  <c r="F2033" i="3"/>
  <c r="E2033" i="3"/>
  <c r="G2033" i="3" s="1"/>
  <c r="D2033" i="3"/>
  <c r="I2033" i="3" s="1"/>
  <c r="C2033" i="3"/>
  <c r="B2033" i="3"/>
  <c r="A2033" i="3"/>
  <c r="I2032" i="3"/>
  <c r="H2032" i="3"/>
  <c r="G2032" i="3"/>
  <c r="F2032" i="3"/>
  <c r="E2032" i="3"/>
  <c r="C2032" i="3"/>
  <c r="B2032" i="3"/>
  <c r="A2032" i="3"/>
  <c r="H2031" i="3"/>
  <c r="G2031" i="3"/>
  <c r="F2031" i="3"/>
  <c r="E2031" i="3"/>
  <c r="D2031" i="3"/>
  <c r="I2031" i="3" s="1"/>
  <c r="C2031" i="3"/>
  <c r="B2031" i="3"/>
  <c r="A2031" i="3"/>
  <c r="H2030" i="3"/>
  <c r="G2030" i="3"/>
  <c r="F2030" i="3"/>
  <c r="E2030" i="3"/>
  <c r="D2030" i="3"/>
  <c r="C2030" i="3"/>
  <c r="I2030" i="3" s="1"/>
  <c r="B2030" i="3"/>
  <c r="A2030" i="3"/>
  <c r="H2029" i="3"/>
  <c r="F2029" i="3"/>
  <c r="E2029" i="3"/>
  <c r="G2029" i="3" s="1"/>
  <c r="D2029" i="3"/>
  <c r="I2029" i="3" s="1"/>
  <c r="C2029" i="3"/>
  <c r="B2029" i="3"/>
  <c r="A2029" i="3"/>
  <c r="H2028" i="3"/>
  <c r="G2028" i="3"/>
  <c r="F2028" i="3"/>
  <c r="E2028" i="3"/>
  <c r="C2028" i="3"/>
  <c r="I2028" i="3" s="1"/>
  <c r="B2028" i="3"/>
  <c r="A2028" i="3"/>
  <c r="H2027" i="3"/>
  <c r="G2027" i="3"/>
  <c r="F2027" i="3"/>
  <c r="E2027" i="3"/>
  <c r="D2027" i="3"/>
  <c r="C2027" i="3"/>
  <c r="B2027" i="3"/>
  <c r="A2027" i="3"/>
  <c r="H2026" i="3"/>
  <c r="G2026" i="3"/>
  <c r="F2026" i="3"/>
  <c r="E2026" i="3"/>
  <c r="D2026" i="3"/>
  <c r="I2026" i="3" s="1"/>
  <c r="C2026" i="3"/>
  <c r="B2026" i="3"/>
  <c r="A2026" i="3"/>
  <c r="H2025" i="3"/>
  <c r="F2025" i="3"/>
  <c r="E2025" i="3"/>
  <c r="G2025" i="3" s="1"/>
  <c r="D2025" i="3"/>
  <c r="I2025" i="3" s="1"/>
  <c r="C2025" i="3"/>
  <c r="B2025" i="3"/>
  <c r="A2025" i="3"/>
  <c r="I2024" i="3"/>
  <c r="H2024" i="3"/>
  <c r="G2024" i="3"/>
  <c r="F2024" i="3"/>
  <c r="E2024" i="3"/>
  <c r="C2024" i="3"/>
  <c r="B2024" i="3"/>
  <c r="A2024" i="3"/>
  <c r="H2023" i="3"/>
  <c r="G2023" i="3"/>
  <c r="F2023" i="3"/>
  <c r="E2023" i="3"/>
  <c r="D2023" i="3"/>
  <c r="I2023" i="3" s="1"/>
  <c r="C2023" i="3"/>
  <c r="B2023" i="3"/>
  <c r="A2023" i="3"/>
  <c r="H2022" i="3"/>
  <c r="G2022" i="3"/>
  <c r="F2022" i="3"/>
  <c r="E2022" i="3"/>
  <c r="D2022" i="3"/>
  <c r="C2022" i="3"/>
  <c r="I2022" i="3" s="1"/>
  <c r="B2022" i="3"/>
  <c r="A2022" i="3"/>
  <c r="H2021" i="3"/>
  <c r="F2021" i="3"/>
  <c r="E2021" i="3"/>
  <c r="G2021" i="3" s="1"/>
  <c r="D2021" i="3"/>
  <c r="I2021" i="3" s="1"/>
  <c r="C2021" i="3"/>
  <c r="B2021" i="3"/>
  <c r="A2021" i="3"/>
  <c r="H2020" i="3"/>
  <c r="F2020" i="3"/>
  <c r="E2020" i="3"/>
  <c r="G2020" i="3" s="1"/>
  <c r="C2020" i="3"/>
  <c r="I2020" i="3" s="1"/>
  <c r="B2020" i="3"/>
  <c r="A2020" i="3"/>
  <c r="H2019" i="3"/>
  <c r="G2019" i="3"/>
  <c r="F2019" i="3"/>
  <c r="E2019" i="3"/>
  <c r="D2019" i="3"/>
  <c r="I2019" i="3" s="1"/>
  <c r="C2019" i="3"/>
  <c r="B2019" i="3"/>
  <c r="A2019" i="3"/>
  <c r="H2018" i="3"/>
  <c r="F2018" i="3"/>
  <c r="E2018" i="3"/>
  <c r="G2018" i="3" s="1"/>
  <c r="D2018" i="3"/>
  <c r="I2018" i="3" s="1"/>
  <c r="C2018" i="3"/>
  <c r="B2018" i="3"/>
  <c r="A2018" i="3"/>
  <c r="H2017" i="3"/>
  <c r="F2017" i="3"/>
  <c r="E2017" i="3"/>
  <c r="G2017" i="3" s="1"/>
  <c r="D2017" i="3"/>
  <c r="I2017" i="3" s="1"/>
  <c r="C2017" i="3"/>
  <c r="B2017" i="3"/>
  <c r="A2017" i="3"/>
  <c r="I2016" i="3"/>
  <c r="H2016" i="3"/>
  <c r="G2016" i="3"/>
  <c r="F2016" i="3"/>
  <c r="E2016" i="3"/>
  <c r="C2016" i="3"/>
  <c r="B2016" i="3"/>
  <c r="A2016" i="3"/>
  <c r="H2015" i="3"/>
  <c r="G2015" i="3"/>
  <c r="F2015" i="3"/>
  <c r="E2015" i="3"/>
  <c r="D2015" i="3"/>
  <c r="I2015" i="3" s="1"/>
  <c r="C2015" i="3"/>
  <c r="B2015" i="3"/>
  <c r="A2015" i="3"/>
  <c r="H2014" i="3"/>
  <c r="G2014" i="3"/>
  <c r="F2014" i="3"/>
  <c r="E2014" i="3"/>
  <c r="D2014" i="3"/>
  <c r="C2014" i="3"/>
  <c r="I2014" i="3" s="1"/>
  <c r="B2014" i="3"/>
  <c r="A2014" i="3"/>
  <c r="H2013" i="3"/>
  <c r="F2013" i="3"/>
  <c r="E2013" i="3"/>
  <c r="G2013" i="3" s="1"/>
  <c r="D2013" i="3"/>
  <c r="I2013" i="3" s="1"/>
  <c r="C2013" i="3"/>
  <c r="B2013" i="3"/>
  <c r="A2013" i="3"/>
  <c r="H2012" i="3"/>
  <c r="G2012" i="3"/>
  <c r="F2012" i="3"/>
  <c r="E2012" i="3"/>
  <c r="C2012" i="3"/>
  <c r="I2012" i="3" s="1"/>
  <c r="B2012" i="3"/>
  <c r="A2012" i="3"/>
  <c r="H2011" i="3"/>
  <c r="G2011" i="3"/>
  <c r="F2011" i="3"/>
  <c r="E2011" i="3"/>
  <c r="D2011" i="3"/>
  <c r="C2011" i="3"/>
  <c r="B2011" i="3"/>
  <c r="A2011" i="3"/>
  <c r="H2010" i="3"/>
  <c r="G2010" i="3"/>
  <c r="F2010" i="3"/>
  <c r="E2010" i="3"/>
  <c r="D2010" i="3"/>
  <c r="I2010" i="3" s="1"/>
  <c r="C2010" i="3"/>
  <c r="B2010" i="3"/>
  <c r="A2010" i="3"/>
  <c r="H2009" i="3"/>
  <c r="F2009" i="3"/>
  <c r="E2009" i="3"/>
  <c r="G2009" i="3" s="1"/>
  <c r="D2009" i="3"/>
  <c r="I2009" i="3" s="1"/>
  <c r="C2009" i="3"/>
  <c r="B2009" i="3"/>
  <c r="A2009" i="3"/>
  <c r="I2008" i="3"/>
  <c r="H2008" i="3"/>
  <c r="F2008" i="3"/>
  <c r="E2008" i="3"/>
  <c r="G2008" i="3" s="1"/>
  <c r="C2008" i="3"/>
  <c r="B2008" i="3"/>
  <c r="A2008" i="3"/>
  <c r="H2007" i="3"/>
  <c r="G2007" i="3"/>
  <c r="F2007" i="3"/>
  <c r="E2007" i="3"/>
  <c r="D2007" i="3"/>
  <c r="I2007" i="3" s="1"/>
  <c r="C2007" i="3"/>
  <c r="B2007" i="3"/>
  <c r="A2007" i="3"/>
  <c r="I2006" i="3"/>
  <c r="H2006" i="3"/>
  <c r="F2006" i="3"/>
  <c r="E2006" i="3"/>
  <c r="G2006" i="3" s="1"/>
  <c r="D2006" i="3"/>
  <c r="C2006" i="3"/>
  <c r="B2006" i="3"/>
  <c r="A2006" i="3"/>
  <c r="H2005" i="3"/>
  <c r="F2005" i="3"/>
  <c r="E2005" i="3"/>
  <c r="G2005" i="3" s="1"/>
  <c r="D2005" i="3"/>
  <c r="I2005" i="3" s="1"/>
  <c r="C2005" i="3"/>
  <c r="B2005" i="3"/>
  <c r="A2005" i="3"/>
  <c r="H2004" i="3"/>
  <c r="F2004" i="3"/>
  <c r="E2004" i="3"/>
  <c r="G2004" i="3" s="1"/>
  <c r="C2004" i="3"/>
  <c r="I2004" i="3" s="1"/>
  <c r="B2004" i="3"/>
  <c r="A2004" i="3"/>
  <c r="H2003" i="3"/>
  <c r="G2003" i="3"/>
  <c r="F2003" i="3"/>
  <c r="E2003" i="3"/>
  <c r="D2003" i="3"/>
  <c r="I2003" i="3" s="1"/>
  <c r="C2003" i="3"/>
  <c r="B2003" i="3"/>
  <c r="A2003" i="3"/>
  <c r="H2002" i="3"/>
  <c r="F2002" i="3"/>
  <c r="E2002" i="3"/>
  <c r="G2002" i="3" s="1"/>
  <c r="D2002" i="3"/>
  <c r="I2002" i="3" s="1"/>
  <c r="C2002" i="3"/>
  <c r="B2002" i="3"/>
  <c r="A2002" i="3"/>
  <c r="H2001" i="3"/>
  <c r="F2001" i="3"/>
  <c r="E2001" i="3"/>
  <c r="G2001" i="3" s="1"/>
  <c r="D2001" i="3"/>
  <c r="I2001" i="3" s="1"/>
  <c r="C2001" i="3"/>
  <c r="B2001" i="3"/>
  <c r="A2001" i="3"/>
  <c r="I2000" i="3"/>
  <c r="H2000" i="3"/>
  <c r="F2000" i="3"/>
  <c r="E2000" i="3"/>
  <c r="G2000" i="3" s="1"/>
  <c r="C2000" i="3"/>
  <c r="B2000" i="3"/>
  <c r="A2000" i="3"/>
  <c r="H1999" i="3"/>
  <c r="G1999" i="3"/>
  <c r="F1999" i="3"/>
  <c r="E1999" i="3"/>
  <c r="D1999" i="3"/>
  <c r="I1999" i="3" s="1"/>
  <c r="C1999" i="3"/>
  <c r="B1999" i="3"/>
  <c r="A1999" i="3"/>
  <c r="I1998" i="3"/>
  <c r="H1998" i="3"/>
  <c r="F1998" i="3"/>
  <c r="E1998" i="3"/>
  <c r="G1998" i="3" s="1"/>
  <c r="D1998" i="3"/>
  <c r="C1998" i="3"/>
  <c r="B1998" i="3"/>
  <c r="A1998" i="3"/>
  <c r="H1997" i="3"/>
  <c r="F1997" i="3"/>
  <c r="E1997" i="3"/>
  <c r="G1997" i="3" s="1"/>
  <c r="D1997" i="3"/>
  <c r="I1997" i="3" s="1"/>
  <c r="C1997" i="3"/>
  <c r="B1997" i="3"/>
  <c r="A1997" i="3"/>
  <c r="H1996" i="3"/>
  <c r="G1996" i="3"/>
  <c r="F1996" i="3"/>
  <c r="E1996" i="3"/>
  <c r="C1996" i="3"/>
  <c r="I1996" i="3" s="1"/>
  <c r="B1996" i="3"/>
  <c r="A1996" i="3"/>
  <c r="H1995" i="3"/>
  <c r="G1995" i="3"/>
  <c r="F1995" i="3"/>
  <c r="E1995" i="3"/>
  <c r="D1995" i="3"/>
  <c r="C1995" i="3"/>
  <c r="B1995" i="3"/>
  <c r="A1995" i="3"/>
  <c r="H1994" i="3"/>
  <c r="G1994" i="3"/>
  <c r="F1994" i="3"/>
  <c r="E1994" i="3"/>
  <c r="D1994" i="3"/>
  <c r="C1994" i="3"/>
  <c r="B1994" i="3"/>
  <c r="A1994" i="3"/>
  <c r="H1993" i="3"/>
  <c r="F1993" i="3"/>
  <c r="E1993" i="3"/>
  <c r="G1993" i="3" s="1"/>
  <c r="D1993" i="3"/>
  <c r="I1993" i="3" s="1"/>
  <c r="C1993" i="3"/>
  <c r="B1993" i="3"/>
  <c r="A1993" i="3"/>
  <c r="H1992" i="3"/>
  <c r="F1992" i="3"/>
  <c r="E1992" i="3"/>
  <c r="G1992" i="3" s="1"/>
  <c r="C1992" i="3"/>
  <c r="I1992" i="3" s="1"/>
  <c r="B1992" i="3"/>
  <c r="A1992" i="3"/>
  <c r="H1991" i="3"/>
  <c r="G1991" i="3"/>
  <c r="F1991" i="3"/>
  <c r="E1991" i="3"/>
  <c r="D1991" i="3"/>
  <c r="C1991" i="3"/>
  <c r="B1991" i="3"/>
  <c r="A1991" i="3"/>
  <c r="H1990" i="3"/>
  <c r="F1990" i="3"/>
  <c r="E1990" i="3"/>
  <c r="G1990" i="3" s="1"/>
  <c r="D1990" i="3"/>
  <c r="I1990" i="3" s="1"/>
  <c r="C1990" i="3"/>
  <c r="B1990" i="3"/>
  <c r="A1990" i="3"/>
  <c r="H1989" i="3"/>
  <c r="F1989" i="3"/>
  <c r="E1989" i="3"/>
  <c r="G1989" i="3" s="1"/>
  <c r="D1989" i="3"/>
  <c r="I1989" i="3" s="1"/>
  <c r="C1989" i="3"/>
  <c r="B1989" i="3"/>
  <c r="A1989" i="3"/>
  <c r="H1988" i="3"/>
  <c r="F1988" i="3"/>
  <c r="E1988" i="3"/>
  <c r="G1988" i="3" s="1"/>
  <c r="C1988" i="3"/>
  <c r="I1988" i="3" s="1"/>
  <c r="B1988" i="3"/>
  <c r="A1988" i="3"/>
  <c r="H1987" i="3"/>
  <c r="G1987" i="3"/>
  <c r="F1987" i="3"/>
  <c r="E1987" i="3"/>
  <c r="D1987" i="3"/>
  <c r="C1987" i="3"/>
  <c r="B1987" i="3"/>
  <c r="A1987" i="3"/>
  <c r="H1986" i="3"/>
  <c r="F1986" i="3"/>
  <c r="E1986" i="3"/>
  <c r="G1986" i="3" s="1"/>
  <c r="D1986" i="3"/>
  <c r="I1986" i="3" s="1"/>
  <c r="C1986" i="3"/>
  <c r="B1986" i="3"/>
  <c r="A1986" i="3"/>
  <c r="H1985" i="3"/>
  <c r="F1985" i="3"/>
  <c r="E1985" i="3"/>
  <c r="G1985" i="3" s="1"/>
  <c r="D1985" i="3"/>
  <c r="I1985" i="3" s="1"/>
  <c r="C1985" i="3"/>
  <c r="B1985" i="3"/>
  <c r="A1985" i="3"/>
  <c r="I1984" i="3"/>
  <c r="H1984" i="3"/>
  <c r="F1984" i="3"/>
  <c r="E1984" i="3"/>
  <c r="G1984" i="3" s="1"/>
  <c r="C1984" i="3"/>
  <c r="B1984" i="3"/>
  <c r="A1984" i="3"/>
  <c r="H1983" i="3"/>
  <c r="G1983" i="3"/>
  <c r="F1983" i="3"/>
  <c r="E1983" i="3"/>
  <c r="D1983" i="3"/>
  <c r="I1983" i="3" s="1"/>
  <c r="C1983" i="3"/>
  <c r="B1983" i="3"/>
  <c r="A1983" i="3"/>
  <c r="I1982" i="3"/>
  <c r="H1982" i="3"/>
  <c r="F1982" i="3"/>
  <c r="E1982" i="3"/>
  <c r="G1982" i="3" s="1"/>
  <c r="D1982" i="3"/>
  <c r="C1982" i="3"/>
  <c r="B1982" i="3"/>
  <c r="A1982" i="3"/>
  <c r="H1981" i="3"/>
  <c r="F1981" i="3"/>
  <c r="E1981" i="3"/>
  <c r="G1981" i="3" s="1"/>
  <c r="D1981" i="3"/>
  <c r="I1981" i="3" s="1"/>
  <c r="C1981" i="3"/>
  <c r="B1981" i="3"/>
  <c r="A1981" i="3"/>
  <c r="H1980" i="3"/>
  <c r="G1980" i="3"/>
  <c r="F1980" i="3"/>
  <c r="E1980" i="3"/>
  <c r="C1980" i="3"/>
  <c r="I1980" i="3" s="1"/>
  <c r="B1980" i="3"/>
  <c r="A1980" i="3"/>
  <c r="H1979" i="3"/>
  <c r="G1979" i="3"/>
  <c r="F1979" i="3"/>
  <c r="E1979" i="3"/>
  <c r="D1979" i="3"/>
  <c r="C1979" i="3"/>
  <c r="B1979" i="3"/>
  <c r="A1979" i="3"/>
  <c r="H1978" i="3"/>
  <c r="G1978" i="3"/>
  <c r="F1978" i="3"/>
  <c r="E1978" i="3"/>
  <c r="D1978" i="3"/>
  <c r="C1978" i="3"/>
  <c r="B1978" i="3"/>
  <c r="A1978" i="3"/>
  <c r="H1977" i="3"/>
  <c r="F1977" i="3"/>
  <c r="E1977" i="3"/>
  <c r="G1977" i="3" s="1"/>
  <c r="D1977" i="3"/>
  <c r="I1977" i="3" s="1"/>
  <c r="C1977" i="3"/>
  <c r="B1977" i="3"/>
  <c r="A1977" i="3"/>
  <c r="H1976" i="3"/>
  <c r="G1976" i="3"/>
  <c r="F1976" i="3"/>
  <c r="E1976" i="3"/>
  <c r="C1976" i="3"/>
  <c r="I1976" i="3" s="1"/>
  <c r="B1976" i="3"/>
  <c r="A1976" i="3"/>
  <c r="H1975" i="3"/>
  <c r="G1975" i="3"/>
  <c r="F1975" i="3"/>
  <c r="E1975" i="3"/>
  <c r="D1975" i="3"/>
  <c r="C1975" i="3"/>
  <c r="B1975" i="3"/>
  <c r="A1975" i="3"/>
  <c r="H1974" i="3"/>
  <c r="G1974" i="3"/>
  <c r="F1974" i="3"/>
  <c r="E1974" i="3"/>
  <c r="D1974" i="3"/>
  <c r="I1974" i="3" s="1"/>
  <c r="C1974" i="3"/>
  <c r="B1974" i="3"/>
  <c r="A1974" i="3"/>
  <c r="H1973" i="3"/>
  <c r="F1973" i="3"/>
  <c r="E1973" i="3"/>
  <c r="G1973" i="3" s="1"/>
  <c r="D1973" i="3"/>
  <c r="I1973" i="3" s="1"/>
  <c r="C1973" i="3"/>
  <c r="B1973" i="3"/>
  <c r="A1973" i="3"/>
  <c r="H1972" i="3"/>
  <c r="F1972" i="3"/>
  <c r="E1972" i="3"/>
  <c r="G1972" i="3" s="1"/>
  <c r="C1972" i="3"/>
  <c r="I1972" i="3" s="1"/>
  <c r="B1972" i="3"/>
  <c r="A1972" i="3"/>
  <c r="H1971" i="3"/>
  <c r="G1971" i="3"/>
  <c r="F1971" i="3"/>
  <c r="E1971" i="3"/>
  <c r="D1971" i="3"/>
  <c r="C1971" i="3"/>
  <c r="B1971" i="3"/>
  <c r="A1971" i="3"/>
  <c r="H1970" i="3"/>
  <c r="F1970" i="3"/>
  <c r="E1970" i="3"/>
  <c r="G1970" i="3" s="1"/>
  <c r="D1970" i="3"/>
  <c r="I1970" i="3" s="1"/>
  <c r="C1970" i="3"/>
  <c r="B1970" i="3"/>
  <c r="A1970" i="3"/>
  <c r="H1969" i="3"/>
  <c r="F1969" i="3"/>
  <c r="E1969" i="3"/>
  <c r="G1969" i="3" s="1"/>
  <c r="D1969" i="3"/>
  <c r="I1969" i="3" s="1"/>
  <c r="C1969" i="3"/>
  <c r="B1969" i="3"/>
  <c r="A1969" i="3"/>
  <c r="I1968" i="3"/>
  <c r="H1968" i="3"/>
  <c r="G1968" i="3"/>
  <c r="F1968" i="3"/>
  <c r="E1968" i="3"/>
  <c r="C1968" i="3"/>
  <c r="B1968" i="3"/>
  <c r="A1968" i="3"/>
  <c r="H1967" i="3"/>
  <c r="G1967" i="3"/>
  <c r="F1967" i="3"/>
  <c r="E1967" i="3"/>
  <c r="D1967" i="3"/>
  <c r="I1967" i="3" s="1"/>
  <c r="C1967" i="3"/>
  <c r="B1967" i="3"/>
  <c r="A1967" i="3"/>
  <c r="H1966" i="3"/>
  <c r="G1966" i="3"/>
  <c r="F1966" i="3"/>
  <c r="E1966" i="3"/>
  <c r="D1966" i="3"/>
  <c r="C1966" i="3"/>
  <c r="I1966" i="3" s="1"/>
  <c r="B1966" i="3"/>
  <c r="A1966" i="3"/>
  <c r="H1965" i="3"/>
  <c r="F1965" i="3"/>
  <c r="E1965" i="3"/>
  <c r="G1965" i="3" s="1"/>
  <c r="D1965" i="3"/>
  <c r="I1965" i="3" s="1"/>
  <c r="C1965" i="3"/>
  <c r="B1965" i="3"/>
  <c r="A1965" i="3"/>
  <c r="H1964" i="3"/>
  <c r="G1964" i="3"/>
  <c r="F1964" i="3"/>
  <c r="E1964" i="3"/>
  <c r="C1964" i="3"/>
  <c r="I1964" i="3" s="1"/>
  <c r="B1964" i="3"/>
  <c r="A1964" i="3"/>
  <c r="H1963" i="3"/>
  <c r="G1963" i="3"/>
  <c r="F1963" i="3"/>
  <c r="E1963" i="3"/>
  <c r="D1963" i="3"/>
  <c r="C1963" i="3"/>
  <c r="B1963" i="3"/>
  <c r="A1963" i="3"/>
  <c r="H1962" i="3"/>
  <c r="G1962" i="3"/>
  <c r="F1962" i="3"/>
  <c r="E1962" i="3"/>
  <c r="D1962" i="3"/>
  <c r="I1962" i="3" s="1"/>
  <c r="C1962" i="3"/>
  <c r="B1962" i="3"/>
  <c r="A1962" i="3"/>
  <c r="H1961" i="3"/>
  <c r="F1961" i="3"/>
  <c r="E1961" i="3"/>
  <c r="G1961" i="3" s="1"/>
  <c r="D1961" i="3"/>
  <c r="I1961" i="3" s="1"/>
  <c r="C1961" i="3"/>
  <c r="B1961" i="3"/>
  <c r="A1961" i="3"/>
  <c r="I1960" i="3"/>
  <c r="H1960" i="3"/>
  <c r="G1960" i="3"/>
  <c r="F1960" i="3"/>
  <c r="E1960" i="3"/>
  <c r="C1960" i="3"/>
  <c r="B1960" i="3"/>
  <c r="A1960" i="3"/>
  <c r="H1959" i="3"/>
  <c r="G1959" i="3"/>
  <c r="F1959" i="3"/>
  <c r="E1959" i="3"/>
  <c r="D1959" i="3"/>
  <c r="I1959" i="3" s="1"/>
  <c r="C1959" i="3"/>
  <c r="B1959" i="3"/>
  <c r="A1959" i="3"/>
  <c r="H1958" i="3"/>
  <c r="G1958" i="3"/>
  <c r="F1958" i="3"/>
  <c r="E1958" i="3"/>
  <c r="D1958" i="3"/>
  <c r="C1958" i="3"/>
  <c r="I1958" i="3" s="1"/>
  <c r="B1958" i="3"/>
  <c r="A1958" i="3"/>
  <c r="H1957" i="3"/>
  <c r="F1957" i="3"/>
  <c r="E1957" i="3"/>
  <c r="G1957" i="3" s="1"/>
  <c r="D1957" i="3"/>
  <c r="I1957" i="3" s="1"/>
  <c r="C1957" i="3"/>
  <c r="B1957" i="3"/>
  <c r="A1957" i="3"/>
  <c r="H1956" i="3"/>
  <c r="F1956" i="3"/>
  <c r="E1956" i="3"/>
  <c r="G1956" i="3" s="1"/>
  <c r="C1956" i="3"/>
  <c r="I1956" i="3" s="1"/>
  <c r="B1956" i="3"/>
  <c r="A1956" i="3"/>
  <c r="H1955" i="3"/>
  <c r="G1955" i="3"/>
  <c r="F1955" i="3"/>
  <c r="E1955" i="3"/>
  <c r="D1955" i="3"/>
  <c r="I1955" i="3" s="1"/>
  <c r="C1955" i="3"/>
  <c r="B1955" i="3"/>
  <c r="A1955" i="3"/>
  <c r="H1954" i="3"/>
  <c r="F1954" i="3"/>
  <c r="E1954" i="3"/>
  <c r="G1954" i="3" s="1"/>
  <c r="D1954" i="3"/>
  <c r="I1954" i="3" s="1"/>
  <c r="C1954" i="3"/>
  <c r="B1954" i="3"/>
  <c r="A1954" i="3"/>
  <c r="H1953" i="3"/>
  <c r="F1953" i="3"/>
  <c r="E1953" i="3"/>
  <c r="G1953" i="3" s="1"/>
  <c r="D1953" i="3"/>
  <c r="I1953" i="3" s="1"/>
  <c r="C1953" i="3"/>
  <c r="B1953" i="3"/>
  <c r="A1953" i="3"/>
  <c r="I1952" i="3"/>
  <c r="H1952" i="3"/>
  <c r="G1952" i="3"/>
  <c r="F1952" i="3"/>
  <c r="E1952" i="3"/>
  <c r="C1952" i="3"/>
  <c r="B1952" i="3"/>
  <c r="A1952" i="3"/>
  <c r="H1951" i="3"/>
  <c r="G1951" i="3"/>
  <c r="F1951" i="3"/>
  <c r="E1951" i="3"/>
  <c r="D1951" i="3"/>
  <c r="I1951" i="3" s="1"/>
  <c r="C1951" i="3"/>
  <c r="B1951" i="3"/>
  <c r="A1951" i="3"/>
  <c r="H1950" i="3"/>
  <c r="G1950" i="3"/>
  <c r="F1950" i="3"/>
  <c r="E1950" i="3"/>
  <c r="D1950" i="3"/>
  <c r="C1950" i="3"/>
  <c r="I1950" i="3" s="1"/>
  <c r="B1950" i="3"/>
  <c r="A1950" i="3"/>
  <c r="H1949" i="3"/>
  <c r="F1949" i="3"/>
  <c r="E1949" i="3"/>
  <c r="G1949" i="3" s="1"/>
  <c r="D1949" i="3"/>
  <c r="I1949" i="3" s="1"/>
  <c r="C1949" i="3"/>
  <c r="B1949" i="3"/>
  <c r="A1949" i="3"/>
  <c r="H1948" i="3"/>
  <c r="G1948" i="3"/>
  <c r="F1948" i="3"/>
  <c r="E1948" i="3"/>
  <c r="C1948" i="3"/>
  <c r="I1948" i="3" s="1"/>
  <c r="B1948" i="3"/>
  <c r="A1948" i="3"/>
  <c r="H1947" i="3"/>
  <c r="G1947" i="3"/>
  <c r="F1947" i="3"/>
  <c r="E1947" i="3"/>
  <c r="D1947" i="3"/>
  <c r="C1947" i="3"/>
  <c r="B1947" i="3"/>
  <c r="A1947" i="3"/>
  <c r="H1946" i="3"/>
  <c r="G1946" i="3"/>
  <c r="F1946" i="3"/>
  <c r="E1946" i="3"/>
  <c r="D1946" i="3"/>
  <c r="I1946" i="3" s="1"/>
  <c r="C1946" i="3"/>
  <c r="B1946" i="3"/>
  <c r="A1946" i="3"/>
  <c r="H1945" i="3"/>
  <c r="F1945" i="3"/>
  <c r="E1945" i="3"/>
  <c r="G1945" i="3" s="1"/>
  <c r="D1945" i="3"/>
  <c r="I1945" i="3" s="1"/>
  <c r="C1945" i="3"/>
  <c r="B1945" i="3"/>
  <c r="A1945" i="3"/>
  <c r="I1944" i="3"/>
  <c r="H1944" i="3"/>
  <c r="F1944" i="3"/>
  <c r="E1944" i="3"/>
  <c r="G1944" i="3" s="1"/>
  <c r="C1944" i="3"/>
  <c r="B1944" i="3"/>
  <c r="A1944" i="3"/>
  <c r="H1943" i="3"/>
  <c r="G1943" i="3"/>
  <c r="F1943" i="3"/>
  <c r="E1943" i="3"/>
  <c r="D1943" i="3"/>
  <c r="I1943" i="3" s="1"/>
  <c r="C1943" i="3"/>
  <c r="B1943" i="3"/>
  <c r="A1943" i="3"/>
  <c r="I1942" i="3"/>
  <c r="H1942" i="3"/>
  <c r="F1942" i="3"/>
  <c r="E1942" i="3"/>
  <c r="G1942" i="3" s="1"/>
  <c r="D1942" i="3"/>
  <c r="C1942" i="3"/>
  <c r="B1942" i="3"/>
  <c r="A1942" i="3"/>
  <c r="H1941" i="3"/>
  <c r="F1941" i="3"/>
  <c r="E1941" i="3"/>
  <c r="G1941" i="3" s="1"/>
  <c r="D1941" i="3"/>
  <c r="I1941" i="3" s="1"/>
  <c r="C1941" i="3"/>
  <c r="B1941" i="3"/>
  <c r="A1941" i="3"/>
  <c r="H1940" i="3"/>
  <c r="F1940" i="3"/>
  <c r="E1940" i="3"/>
  <c r="G1940" i="3" s="1"/>
  <c r="C1940" i="3"/>
  <c r="I1940" i="3" s="1"/>
  <c r="B1940" i="3"/>
  <c r="A1940" i="3"/>
  <c r="H1939" i="3"/>
  <c r="G1939" i="3"/>
  <c r="F1939" i="3"/>
  <c r="E1939" i="3"/>
  <c r="D1939" i="3"/>
  <c r="I1939" i="3" s="1"/>
  <c r="C1939" i="3"/>
  <c r="B1939" i="3"/>
  <c r="A1939" i="3"/>
  <c r="H1938" i="3"/>
  <c r="F1938" i="3"/>
  <c r="E1938" i="3"/>
  <c r="G1938" i="3" s="1"/>
  <c r="D1938" i="3"/>
  <c r="I1938" i="3" s="1"/>
  <c r="C1938" i="3"/>
  <c r="B1938" i="3"/>
  <c r="A1938" i="3"/>
  <c r="H1937" i="3"/>
  <c r="F1937" i="3"/>
  <c r="E1937" i="3"/>
  <c r="G1937" i="3" s="1"/>
  <c r="D1937" i="3"/>
  <c r="I1937" i="3" s="1"/>
  <c r="C1937" i="3"/>
  <c r="B1937" i="3"/>
  <c r="A1937" i="3"/>
  <c r="I1936" i="3"/>
  <c r="H1936" i="3"/>
  <c r="F1936" i="3"/>
  <c r="E1936" i="3"/>
  <c r="G1936" i="3" s="1"/>
  <c r="C1936" i="3"/>
  <c r="B1936" i="3"/>
  <c r="A1936" i="3"/>
  <c r="H1935" i="3"/>
  <c r="G1935" i="3"/>
  <c r="F1935" i="3"/>
  <c r="E1935" i="3"/>
  <c r="D1935" i="3"/>
  <c r="I1935" i="3" s="1"/>
  <c r="C1935" i="3"/>
  <c r="B1935" i="3"/>
  <c r="A1935" i="3"/>
  <c r="I1934" i="3"/>
  <c r="H1934" i="3"/>
  <c r="F1934" i="3"/>
  <c r="E1934" i="3"/>
  <c r="G1934" i="3" s="1"/>
  <c r="D1934" i="3"/>
  <c r="C1934" i="3"/>
  <c r="B1934" i="3"/>
  <c r="A1934" i="3"/>
  <c r="H1933" i="3"/>
  <c r="F1933" i="3"/>
  <c r="E1933" i="3"/>
  <c r="G1933" i="3" s="1"/>
  <c r="D1933" i="3"/>
  <c r="I1933" i="3" s="1"/>
  <c r="C1933" i="3"/>
  <c r="B1933" i="3"/>
  <c r="A1933" i="3"/>
  <c r="H1932" i="3"/>
  <c r="G1932" i="3"/>
  <c r="F1932" i="3"/>
  <c r="E1932" i="3"/>
  <c r="C1932" i="3"/>
  <c r="I1932" i="3" s="1"/>
  <c r="B1932" i="3"/>
  <c r="A1932" i="3"/>
  <c r="H1931" i="3"/>
  <c r="G1931" i="3"/>
  <c r="F1931" i="3"/>
  <c r="E1931" i="3"/>
  <c r="D1931" i="3"/>
  <c r="C1931" i="3"/>
  <c r="B1931" i="3"/>
  <c r="A1931" i="3"/>
  <c r="H1930" i="3"/>
  <c r="G1930" i="3"/>
  <c r="F1930" i="3"/>
  <c r="E1930" i="3"/>
  <c r="D1930" i="3"/>
  <c r="I1930" i="3" s="1"/>
  <c r="C1930" i="3"/>
  <c r="B1930" i="3"/>
  <c r="A1930" i="3"/>
  <c r="H1929" i="3"/>
  <c r="F1929" i="3"/>
  <c r="E1929" i="3"/>
  <c r="G1929" i="3" s="1"/>
  <c r="D1929" i="3"/>
  <c r="I1929" i="3" s="1"/>
  <c r="C1929" i="3"/>
  <c r="B1929" i="3"/>
  <c r="A1929" i="3"/>
  <c r="H1928" i="3"/>
  <c r="F1928" i="3"/>
  <c r="E1928" i="3"/>
  <c r="G1928" i="3" s="1"/>
  <c r="C1928" i="3"/>
  <c r="I1928" i="3" s="1"/>
  <c r="B1928" i="3"/>
  <c r="A1928" i="3"/>
  <c r="H1927" i="3"/>
  <c r="G1927" i="3"/>
  <c r="F1927" i="3"/>
  <c r="E1927" i="3"/>
  <c r="D1927" i="3"/>
  <c r="C1927" i="3"/>
  <c r="B1927" i="3"/>
  <c r="A1927" i="3"/>
  <c r="H1926" i="3"/>
  <c r="F1926" i="3"/>
  <c r="E1926" i="3"/>
  <c r="G1926" i="3" s="1"/>
  <c r="D1926" i="3"/>
  <c r="I1926" i="3" s="1"/>
  <c r="C1926" i="3"/>
  <c r="B1926" i="3"/>
  <c r="A1926" i="3"/>
  <c r="H1925" i="3"/>
  <c r="F1925" i="3"/>
  <c r="E1925" i="3"/>
  <c r="G1925" i="3" s="1"/>
  <c r="D1925" i="3"/>
  <c r="I1925" i="3" s="1"/>
  <c r="C1925" i="3"/>
  <c r="B1925" i="3"/>
  <c r="A1925" i="3"/>
  <c r="H1924" i="3"/>
  <c r="F1924" i="3"/>
  <c r="E1924" i="3"/>
  <c r="G1924" i="3" s="1"/>
  <c r="C1924" i="3"/>
  <c r="I1924" i="3" s="1"/>
  <c r="B1924" i="3"/>
  <c r="A1924" i="3"/>
  <c r="H1923" i="3"/>
  <c r="G1923" i="3"/>
  <c r="F1923" i="3"/>
  <c r="E1923" i="3"/>
  <c r="D1923" i="3"/>
  <c r="I1923" i="3" s="1"/>
  <c r="C1923" i="3"/>
  <c r="B1923" i="3"/>
  <c r="A1923" i="3"/>
  <c r="H1922" i="3"/>
  <c r="F1922" i="3"/>
  <c r="E1922" i="3"/>
  <c r="G1922" i="3" s="1"/>
  <c r="D1922" i="3"/>
  <c r="I1922" i="3" s="1"/>
  <c r="C1922" i="3"/>
  <c r="B1922" i="3"/>
  <c r="A1922" i="3"/>
  <c r="H1921" i="3"/>
  <c r="F1921" i="3"/>
  <c r="E1921" i="3"/>
  <c r="G1921" i="3" s="1"/>
  <c r="D1921" i="3"/>
  <c r="I1921" i="3" s="1"/>
  <c r="C1921" i="3"/>
  <c r="B1921" i="3"/>
  <c r="A1921" i="3"/>
  <c r="I1920" i="3"/>
  <c r="H1920" i="3"/>
  <c r="F1920" i="3"/>
  <c r="E1920" i="3"/>
  <c r="G1920" i="3" s="1"/>
  <c r="C1920" i="3"/>
  <c r="B1920" i="3"/>
  <c r="A1920" i="3"/>
  <c r="H1919" i="3"/>
  <c r="G1919" i="3"/>
  <c r="F1919" i="3"/>
  <c r="E1919" i="3"/>
  <c r="D1919" i="3"/>
  <c r="I1919" i="3" s="1"/>
  <c r="C1919" i="3"/>
  <c r="B1919" i="3"/>
  <c r="A1919" i="3"/>
  <c r="I1918" i="3"/>
  <c r="H1918" i="3"/>
  <c r="F1918" i="3"/>
  <c r="E1918" i="3"/>
  <c r="G1918" i="3" s="1"/>
  <c r="D1918" i="3"/>
  <c r="C1918" i="3"/>
  <c r="B1918" i="3"/>
  <c r="A1918" i="3"/>
  <c r="H1917" i="3"/>
  <c r="F1917" i="3"/>
  <c r="E1917" i="3"/>
  <c r="G1917" i="3" s="1"/>
  <c r="D1917" i="3"/>
  <c r="I1917" i="3" s="1"/>
  <c r="C1917" i="3"/>
  <c r="B1917" i="3"/>
  <c r="A1917" i="3"/>
  <c r="H1916" i="3"/>
  <c r="G1916" i="3"/>
  <c r="F1916" i="3"/>
  <c r="E1916" i="3"/>
  <c r="C1916" i="3"/>
  <c r="I1916" i="3" s="1"/>
  <c r="B1916" i="3"/>
  <c r="A1916" i="3"/>
  <c r="H1915" i="3"/>
  <c r="G1915" i="3"/>
  <c r="F1915" i="3"/>
  <c r="E1915" i="3"/>
  <c r="D1915" i="3"/>
  <c r="C1915" i="3"/>
  <c r="B1915" i="3"/>
  <c r="A1915" i="3"/>
  <c r="H1914" i="3"/>
  <c r="G1914" i="3"/>
  <c r="F1914" i="3"/>
  <c r="E1914" i="3"/>
  <c r="D1914" i="3"/>
  <c r="C1914" i="3"/>
  <c r="B1914" i="3"/>
  <c r="A1914" i="3"/>
  <c r="H1913" i="3"/>
  <c r="F1913" i="3"/>
  <c r="E1913" i="3"/>
  <c r="G1913" i="3" s="1"/>
  <c r="D1913" i="3"/>
  <c r="I1913" i="3" s="1"/>
  <c r="C1913" i="3"/>
  <c r="B1913" i="3"/>
  <c r="A1913" i="3"/>
  <c r="H1912" i="3"/>
  <c r="G1912" i="3"/>
  <c r="F1912" i="3"/>
  <c r="E1912" i="3"/>
  <c r="C1912" i="3"/>
  <c r="I1912" i="3" s="1"/>
  <c r="B1912" i="3"/>
  <c r="A1912" i="3"/>
  <c r="H1911" i="3"/>
  <c r="G1911" i="3"/>
  <c r="F1911" i="3"/>
  <c r="E1911" i="3"/>
  <c r="D1911" i="3"/>
  <c r="C1911" i="3"/>
  <c r="B1911" i="3"/>
  <c r="A1911" i="3"/>
  <c r="H1910" i="3"/>
  <c r="G1910" i="3"/>
  <c r="F1910" i="3"/>
  <c r="E1910" i="3"/>
  <c r="D1910" i="3"/>
  <c r="C1910" i="3"/>
  <c r="B1910" i="3"/>
  <c r="A1910" i="3"/>
  <c r="H1909" i="3"/>
  <c r="F1909" i="3"/>
  <c r="E1909" i="3"/>
  <c r="G1909" i="3" s="1"/>
  <c r="D1909" i="3"/>
  <c r="I1909" i="3" s="1"/>
  <c r="C1909" i="3"/>
  <c r="B1909" i="3"/>
  <c r="A1909" i="3"/>
  <c r="H1908" i="3"/>
  <c r="F1908" i="3"/>
  <c r="E1908" i="3"/>
  <c r="G1908" i="3" s="1"/>
  <c r="C1908" i="3"/>
  <c r="I1908" i="3" s="1"/>
  <c r="B1908" i="3"/>
  <c r="A1908" i="3"/>
  <c r="H1907" i="3"/>
  <c r="G1907" i="3"/>
  <c r="F1907" i="3"/>
  <c r="E1907" i="3"/>
  <c r="D1907" i="3"/>
  <c r="C1907" i="3"/>
  <c r="B1907" i="3"/>
  <c r="A1907" i="3"/>
  <c r="H1906" i="3"/>
  <c r="F1906" i="3"/>
  <c r="E1906" i="3"/>
  <c r="G1906" i="3" s="1"/>
  <c r="D1906" i="3"/>
  <c r="I1906" i="3" s="1"/>
  <c r="C1906" i="3"/>
  <c r="B1906" i="3"/>
  <c r="A1906" i="3"/>
  <c r="H1905" i="3"/>
  <c r="F1905" i="3"/>
  <c r="E1905" i="3"/>
  <c r="G1905" i="3" s="1"/>
  <c r="D1905" i="3"/>
  <c r="I1905" i="3" s="1"/>
  <c r="C1905" i="3"/>
  <c r="B1905" i="3"/>
  <c r="A1905" i="3"/>
  <c r="I1904" i="3"/>
  <c r="H1904" i="3"/>
  <c r="G1904" i="3"/>
  <c r="F1904" i="3"/>
  <c r="E1904" i="3"/>
  <c r="C1904" i="3"/>
  <c r="B1904" i="3"/>
  <c r="A1904" i="3"/>
  <c r="H1903" i="3"/>
  <c r="G1903" i="3"/>
  <c r="F1903" i="3"/>
  <c r="E1903" i="3"/>
  <c r="D1903" i="3"/>
  <c r="I1903" i="3" s="1"/>
  <c r="C1903" i="3"/>
  <c r="B1903" i="3"/>
  <c r="A1903" i="3"/>
  <c r="H1902" i="3"/>
  <c r="G1902" i="3"/>
  <c r="F1902" i="3"/>
  <c r="E1902" i="3"/>
  <c r="D1902" i="3"/>
  <c r="C1902" i="3"/>
  <c r="I1902" i="3" s="1"/>
  <c r="B1902" i="3"/>
  <c r="A1902" i="3"/>
  <c r="H1901" i="3"/>
  <c r="F1901" i="3"/>
  <c r="E1901" i="3"/>
  <c r="G1901" i="3" s="1"/>
  <c r="D1901" i="3"/>
  <c r="I1901" i="3" s="1"/>
  <c r="C1901" i="3"/>
  <c r="B1901" i="3"/>
  <c r="A1901" i="3"/>
  <c r="H1900" i="3"/>
  <c r="G1900" i="3"/>
  <c r="F1900" i="3"/>
  <c r="E1900" i="3"/>
  <c r="C1900" i="3"/>
  <c r="I1900" i="3" s="1"/>
  <c r="B1900" i="3"/>
  <c r="A1900" i="3"/>
  <c r="H1899" i="3"/>
  <c r="G1899" i="3"/>
  <c r="F1899" i="3"/>
  <c r="E1899" i="3"/>
  <c r="D1899" i="3"/>
  <c r="C1899" i="3"/>
  <c r="B1899" i="3"/>
  <c r="A1899" i="3"/>
  <c r="H1898" i="3"/>
  <c r="G1898" i="3"/>
  <c r="F1898" i="3"/>
  <c r="E1898" i="3"/>
  <c r="D1898" i="3"/>
  <c r="I1898" i="3" s="1"/>
  <c r="C1898" i="3"/>
  <c r="B1898" i="3"/>
  <c r="A1898" i="3"/>
  <c r="H1897" i="3"/>
  <c r="F1897" i="3"/>
  <c r="E1897" i="3"/>
  <c r="G1897" i="3" s="1"/>
  <c r="D1897" i="3"/>
  <c r="I1897" i="3" s="1"/>
  <c r="C1897" i="3"/>
  <c r="B1897" i="3"/>
  <c r="A1897" i="3"/>
  <c r="I1896" i="3"/>
  <c r="H1896" i="3"/>
  <c r="G1896" i="3"/>
  <c r="F1896" i="3"/>
  <c r="E1896" i="3"/>
  <c r="C1896" i="3"/>
  <c r="B1896" i="3"/>
  <c r="A1896" i="3"/>
  <c r="H1895" i="3"/>
  <c r="G1895" i="3"/>
  <c r="F1895" i="3"/>
  <c r="E1895" i="3"/>
  <c r="D1895" i="3"/>
  <c r="I1895" i="3" s="1"/>
  <c r="C1895" i="3"/>
  <c r="B1895" i="3"/>
  <c r="A1895" i="3"/>
  <c r="H1894" i="3"/>
  <c r="G1894" i="3"/>
  <c r="F1894" i="3"/>
  <c r="E1894" i="3"/>
  <c r="D1894" i="3"/>
  <c r="C1894" i="3"/>
  <c r="I1894" i="3" s="1"/>
  <c r="B1894" i="3"/>
  <c r="A1894" i="3"/>
  <c r="H1893" i="3"/>
  <c r="F1893" i="3"/>
  <c r="E1893" i="3"/>
  <c r="G1893" i="3" s="1"/>
  <c r="D1893" i="3"/>
  <c r="I1893" i="3" s="1"/>
  <c r="C1893" i="3"/>
  <c r="B1893" i="3"/>
  <c r="A1893" i="3"/>
  <c r="H1892" i="3"/>
  <c r="F1892" i="3"/>
  <c r="E1892" i="3"/>
  <c r="G1892" i="3" s="1"/>
  <c r="C1892" i="3"/>
  <c r="I1892" i="3" s="1"/>
  <c r="B1892" i="3"/>
  <c r="A1892" i="3"/>
  <c r="H1891" i="3"/>
  <c r="G1891" i="3"/>
  <c r="F1891" i="3"/>
  <c r="E1891" i="3"/>
  <c r="D1891" i="3"/>
  <c r="I1891" i="3" s="1"/>
  <c r="C1891" i="3"/>
  <c r="B1891" i="3"/>
  <c r="A1891" i="3"/>
  <c r="H1890" i="3"/>
  <c r="F1890" i="3"/>
  <c r="E1890" i="3"/>
  <c r="G1890" i="3" s="1"/>
  <c r="D1890" i="3"/>
  <c r="I1890" i="3" s="1"/>
  <c r="C1890" i="3"/>
  <c r="B1890" i="3"/>
  <c r="A1890" i="3"/>
  <c r="H1889" i="3"/>
  <c r="F1889" i="3"/>
  <c r="E1889" i="3"/>
  <c r="G1889" i="3" s="1"/>
  <c r="D1889" i="3"/>
  <c r="I1889" i="3" s="1"/>
  <c r="C1889" i="3"/>
  <c r="B1889" i="3"/>
  <c r="A1889" i="3"/>
  <c r="I1888" i="3"/>
  <c r="H1888" i="3"/>
  <c r="G1888" i="3"/>
  <c r="F1888" i="3"/>
  <c r="E1888" i="3"/>
  <c r="C1888" i="3"/>
  <c r="B1888" i="3"/>
  <c r="A1888" i="3"/>
  <c r="H1887" i="3"/>
  <c r="G1887" i="3"/>
  <c r="F1887" i="3"/>
  <c r="E1887" i="3"/>
  <c r="D1887" i="3"/>
  <c r="I1887" i="3" s="1"/>
  <c r="C1887" i="3"/>
  <c r="B1887" i="3"/>
  <c r="A1887" i="3"/>
  <c r="H1886" i="3"/>
  <c r="G1886" i="3"/>
  <c r="F1886" i="3"/>
  <c r="E1886" i="3"/>
  <c r="D1886" i="3"/>
  <c r="C1886" i="3"/>
  <c r="I1886" i="3" s="1"/>
  <c r="B1886" i="3"/>
  <c r="A1886" i="3"/>
  <c r="H1885" i="3"/>
  <c r="F1885" i="3"/>
  <c r="E1885" i="3"/>
  <c r="G1885" i="3" s="1"/>
  <c r="D1885" i="3"/>
  <c r="I1885" i="3" s="1"/>
  <c r="C1885" i="3"/>
  <c r="B1885" i="3"/>
  <c r="A1885" i="3"/>
  <c r="H1884" i="3"/>
  <c r="G1884" i="3"/>
  <c r="F1884" i="3"/>
  <c r="E1884" i="3"/>
  <c r="C1884" i="3"/>
  <c r="I1884" i="3" s="1"/>
  <c r="B1884" i="3"/>
  <c r="A1884" i="3"/>
  <c r="H1883" i="3"/>
  <c r="G1883" i="3"/>
  <c r="F1883" i="3"/>
  <c r="E1883" i="3"/>
  <c r="D1883" i="3"/>
  <c r="C1883" i="3"/>
  <c r="B1883" i="3"/>
  <c r="A1883" i="3"/>
  <c r="H1882" i="3"/>
  <c r="G1882" i="3"/>
  <c r="F1882" i="3"/>
  <c r="E1882" i="3"/>
  <c r="D1882" i="3"/>
  <c r="I1882" i="3" s="1"/>
  <c r="C1882" i="3"/>
  <c r="B1882" i="3"/>
  <c r="A1882" i="3"/>
  <c r="H1881" i="3"/>
  <c r="F1881" i="3"/>
  <c r="E1881" i="3"/>
  <c r="G1881" i="3" s="1"/>
  <c r="D1881" i="3"/>
  <c r="I1881" i="3" s="1"/>
  <c r="C1881" i="3"/>
  <c r="B1881" i="3"/>
  <c r="A1881" i="3"/>
  <c r="I1880" i="3"/>
  <c r="H1880" i="3"/>
  <c r="F1880" i="3"/>
  <c r="E1880" i="3"/>
  <c r="G1880" i="3" s="1"/>
  <c r="C1880" i="3"/>
  <c r="B1880" i="3"/>
  <c r="A1880" i="3"/>
  <c r="H1879" i="3"/>
  <c r="G1879" i="3"/>
  <c r="F1879" i="3"/>
  <c r="E1879" i="3"/>
  <c r="D1879" i="3"/>
  <c r="I1879" i="3" s="1"/>
  <c r="C1879" i="3"/>
  <c r="B1879" i="3"/>
  <c r="A1879" i="3"/>
  <c r="I1878" i="3"/>
  <c r="H1878" i="3"/>
  <c r="F1878" i="3"/>
  <c r="E1878" i="3"/>
  <c r="G1878" i="3" s="1"/>
  <c r="D1878" i="3"/>
  <c r="C1878" i="3"/>
  <c r="B1878" i="3"/>
  <c r="A1878" i="3"/>
  <c r="H1877" i="3"/>
  <c r="F1877" i="3"/>
  <c r="E1877" i="3"/>
  <c r="G1877" i="3" s="1"/>
  <c r="D1877" i="3"/>
  <c r="I1877" i="3" s="1"/>
  <c r="C1877" i="3"/>
  <c r="B1877" i="3"/>
  <c r="A1877" i="3"/>
  <c r="H1876" i="3"/>
  <c r="F1876" i="3"/>
  <c r="E1876" i="3"/>
  <c r="G1876" i="3" s="1"/>
  <c r="C1876" i="3"/>
  <c r="I1876" i="3" s="1"/>
  <c r="B1876" i="3"/>
  <c r="A1876" i="3"/>
  <c r="H1875" i="3"/>
  <c r="G1875" i="3"/>
  <c r="F1875" i="3"/>
  <c r="E1875" i="3"/>
  <c r="D1875" i="3"/>
  <c r="I1875" i="3" s="1"/>
  <c r="C1875" i="3"/>
  <c r="B1875" i="3"/>
  <c r="A1875" i="3"/>
  <c r="H1874" i="3"/>
  <c r="F1874" i="3"/>
  <c r="E1874" i="3"/>
  <c r="G1874" i="3" s="1"/>
  <c r="D1874" i="3"/>
  <c r="I1874" i="3" s="1"/>
  <c r="C1874" i="3"/>
  <c r="B1874" i="3"/>
  <c r="A1874" i="3"/>
  <c r="H1873" i="3"/>
  <c r="F1873" i="3"/>
  <c r="E1873" i="3"/>
  <c r="G1873" i="3" s="1"/>
  <c r="D1873" i="3"/>
  <c r="I1873" i="3" s="1"/>
  <c r="C1873" i="3"/>
  <c r="B1873" i="3"/>
  <c r="A1873" i="3"/>
  <c r="I1872" i="3"/>
  <c r="H1872" i="3"/>
  <c r="F1872" i="3"/>
  <c r="E1872" i="3"/>
  <c r="G1872" i="3" s="1"/>
  <c r="C1872" i="3"/>
  <c r="B1872" i="3"/>
  <c r="A1872" i="3"/>
  <c r="H1871" i="3"/>
  <c r="G1871" i="3"/>
  <c r="F1871" i="3"/>
  <c r="E1871" i="3"/>
  <c r="D1871" i="3"/>
  <c r="I1871" i="3" s="1"/>
  <c r="C1871" i="3"/>
  <c r="B1871" i="3"/>
  <c r="A1871" i="3"/>
  <c r="I1870" i="3"/>
  <c r="H1870" i="3"/>
  <c r="F1870" i="3"/>
  <c r="E1870" i="3"/>
  <c r="G1870" i="3" s="1"/>
  <c r="D1870" i="3"/>
  <c r="C1870" i="3"/>
  <c r="B1870" i="3"/>
  <c r="A1870" i="3"/>
  <c r="H1869" i="3"/>
  <c r="F1869" i="3"/>
  <c r="E1869" i="3"/>
  <c r="G1869" i="3" s="1"/>
  <c r="D1869" i="3"/>
  <c r="I1869" i="3" s="1"/>
  <c r="C1869" i="3"/>
  <c r="B1869" i="3"/>
  <c r="A1869" i="3"/>
  <c r="H1868" i="3"/>
  <c r="G1868" i="3"/>
  <c r="F1868" i="3"/>
  <c r="E1868" i="3"/>
  <c r="C1868" i="3"/>
  <c r="I1868" i="3" s="1"/>
  <c r="B1868" i="3"/>
  <c r="A1868" i="3"/>
  <c r="H1867" i="3"/>
  <c r="G1867" i="3"/>
  <c r="F1867" i="3"/>
  <c r="E1867" i="3"/>
  <c r="D1867" i="3"/>
  <c r="C1867" i="3"/>
  <c r="B1867" i="3"/>
  <c r="A1867" i="3"/>
  <c r="H1866" i="3"/>
  <c r="G1866" i="3"/>
  <c r="F1866" i="3"/>
  <c r="E1866" i="3"/>
  <c r="D1866" i="3"/>
  <c r="C1866" i="3"/>
  <c r="B1866" i="3"/>
  <c r="A1866" i="3"/>
  <c r="H1865" i="3"/>
  <c r="F1865" i="3"/>
  <c r="E1865" i="3"/>
  <c r="G1865" i="3" s="1"/>
  <c r="D1865" i="3"/>
  <c r="I1865" i="3" s="1"/>
  <c r="C1865" i="3"/>
  <c r="B1865" i="3"/>
  <c r="A1865" i="3"/>
  <c r="H1864" i="3"/>
  <c r="F1864" i="3"/>
  <c r="E1864" i="3"/>
  <c r="G1864" i="3" s="1"/>
  <c r="C1864" i="3"/>
  <c r="I1864" i="3" s="1"/>
  <c r="B1864" i="3"/>
  <c r="A1864" i="3"/>
  <c r="H1863" i="3"/>
  <c r="G1863" i="3"/>
  <c r="F1863" i="3"/>
  <c r="E1863" i="3"/>
  <c r="D1863" i="3"/>
  <c r="I1863" i="3" s="1"/>
  <c r="C1863" i="3"/>
  <c r="B1863" i="3"/>
  <c r="A1863" i="3"/>
  <c r="H1862" i="3"/>
  <c r="F1862" i="3"/>
  <c r="E1862" i="3"/>
  <c r="G1862" i="3" s="1"/>
  <c r="D1862" i="3"/>
  <c r="I1862" i="3" s="1"/>
  <c r="C1862" i="3"/>
  <c r="B1862" i="3"/>
  <c r="A1862" i="3"/>
  <c r="H1861" i="3"/>
  <c r="F1861" i="3"/>
  <c r="E1861" i="3"/>
  <c r="G1861" i="3" s="1"/>
  <c r="D1861" i="3"/>
  <c r="I1861" i="3" s="1"/>
  <c r="C1861" i="3"/>
  <c r="B1861" i="3"/>
  <c r="A1861" i="3"/>
  <c r="H1860" i="3"/>
  <c r="F1860" i="3"/>
  <c r="E1860" i="3"/>
  <c r="G1860" i="3" s="1"/>
  <c r="C1860" i="3"/>
  <c r="I1860" i="3" s="1"/>
  <c r="B1860" i="3"/>
  <c r="A1860" i="3"/>
  <c r="H1859" i="3"/>
  <c r="G1859" i="3"/>
  <c r="F1859" i="3"/>
  <c r="E1859" i="3"/>
  <c r="D1859" i="3"/>
  <c r="C1859" i="3"/>
  <c r="B1859" i="3"/>
  <c r="A1859" i="3"/>
  <c r="H1858" i="3"/>
  <c r="F1858" i="3"/>
  <c r="E1858" i="3"/>
  <c r="G1858" i="3" s="1"/>
  <c r="D1858" i="3"/>
  <c r="I1858" i="3" s="1"/>
  <c r="C1858" i="3"/>
  <c r="B1858" i="3"/>
  <c r="A1858" i="3"/>
  <c r="H1857" i="3"/>
  <c r="F1857" i="3"/>
  <c r="E1857" i="3"/>
  <c r="G1857" i="3" s="1"/>
  <c r="D1857" i="3"/>
  <c r="I1857" i="3" s="1"/>
  <c r="C1857" i="3"/>
  <c r="B1857" i="3"/>
  <c r="A1857" i="3"/>
  <c r="H1856" i="3"/>
  <c r="F1856" i="3"/>
  <c r="E1856" i="3"/>
  <c r="G1856" i="3" s="1"/>
  <c r="C1856" i="3"/>
  <c r="I1856" i="3" s="1"/>
  <c r="B1856" i="3"/>
  <c r="A1856" i="3"/>
  <c r="H1855" i="3"/>
  <c r="G1855" i="3"/>
  <c r="F1855" i="3"/>
  <c r="E1855" i="3"/>
  <c r="D1855" i="3"/>
  <c r="I1855" i="3" s="1"/>
  <c r="C1855" i="3"/>
  <c r="B1855" i="3"/>
  <c r="A1855" i="3"/>
  <c r="H1854" i="3"/>
  <c r="F1854" i="3"/>
  <c r="E1854" i="3"/>
  <c r="G1854" i="3" s="1"/>
  <c r="D1854" i="3"/>
  <c r="I1854" i="3" s="1"/>
  <c r="C1854" i="3"/>
  <c r="B1854" i="3"/>
  <c r="A1854" i="3"/>
  <c r="H1853" i="3"/>
  <c r="F1853" i="3"/>
  <c r="E1853" i="3"/>
  <c r="G1853" i="3" s="1"/>
  <c r="D1853" i="3"/>
  <c r="I1853" i="3" s="1"/>
  <c r="C1853" i="3"/>
  <c r="B1853" i="3"/>
  <c r="A1853" i="3"/>
  <c r="I1852" i="3"/>
  <c r="H1852" i="3"/>
  <c r="F1852" i="3"/>
  <c r="E1852" i="3"/>
  <c r="G1852" i="3" s="1"/>
  <c r="C1852" i="3"/>
  <c r="B1852" i="3"/>
  <c r="A1852" i="3"/>
  <c r="H1851" i="3"/>
  <c r="G1851" i="3"/>
  <c r="F1851" i="3"/>
  <c r="E1851" i="3"/>
  <c r="D1851" i="3"/>
  <c r="I1851" i="3" s="1"/>
  <c r="C1851" i="3"/>
  <c r="B1851" i="3"/>
  <c r="A1851" i="3"/>
  <c r="I1850" i="3"/>
  <c r="H1850" i="3"/>
  <c r="F1850" i="3"/>
  <c r="E1850" i="3"/>
  <c r="G1850" i="3" s="1"/>
  <c r="D1850" i="3"/>
  <c r="C1850" i="3"/>
  <c r="B1850" i="3"/>
  <c r="A1850" i="3"/>
  <c r="H1849" i="3"/>
  <c r="F1849" i="3"/>
  <c r="E1849" i="3"/>
  <c r="G1849" i="3" s="1"/>
  <c r="D1849" i="3"/>
  <c r="I1849" i="3" s="1"/>
  <c r="C1849" i="3"/>
  <c r="B1849" i="3"/>
  <c r="A1849" i="3"/>
  <c r="I1848" i="3"/>
  <c r="H1848" i="3"/>
  <c r="G1848" i="3"/>
  <c r="F1848" i="3"/>
  <c r="E1848" i="3"/>
  <c r="C1848" i="3"/>
  <c r="B1848" i="3"/>
  <c r="A1848" i="3"/>
  <c r="H1847" i="3"/>
  <c r="G1847" i="3"/>
  <c r="F1847" i="3"/>
  <c r="E1847" i="3"/>
  <c r="D1847" i="3"/>
  <c r="I1847" i="3" s="1"/>
  <c r="C1847" i="3"/>
  <c r="B1847" i="3"/>
  <c r="A1847" i="3"/>
  <c r="H1846" i="3"/>
  <c r="G1846" i="3"/>
  <c r="F1846" i="3"/>
  <c r="E1846" i="3"/>
  <c r="D1846" i="3"/>
  <c r="C1846" i="3"/>
  <c r="I1846" i="3" s="1"/>
  <c r="B1846" i="3"/>
  <c r="A1846" i="3"/>
  <c r="H1845" i="3"/>
  <c r="F1845" i="3"/>
  <c r="E1845" i="3"/>
  <c r="G1845" i="3" s="1"/>
  <c r="D1845" i="3"/>
  <c r="I1845" i="3" s="1"/>
  <c r="C1845" i="3"/>
  <c r="B1845" i="3"/>
  <c r="A1845" i="3"/>
  <c r="H1844" i="3"/>
  <c r="G1844" i="3"/>
  <c r="F1844" i="3"/>
  <c r="E1844" i="3"/>
  <c r="C1844" i="3"/>
  <c r="I1844" i="3" s="1"/>
  <c r="B1844" i="3"/>
  <c r="A1844" i="3"/>
  <c r="H1843" i="3"/>
  <c r="G1843" i="3"/>
  <c r="F1843" i="3"/>
  <c r="E1843" i="3"/>
  <c r="D1843" i="3"/>
  <c r="C1843" i="3"/>
  <c r="B1843" i="3"/>
  <c r="A1843" i="3"/>
  <c r="H1842" i="3"/>
  <c r="G1842" i="3"/>
  <c r="F1842" i="3"/>
  <c r="E1842" i="3"/>
  <c r="D1842" i="3"/>
  <c r="I1842" i="3" s="1"/>
  <c r="C1842" i="3"/>
  <c r="B1842" i="3"/>
  <c r="A1842" i="3"/>
  <c r="H1841" i="3"/>
  <c r="F1841" i="3"/>
  <c r="E1841" i="3"/>
  <c r="G1841" i="3" s="1"/>
  <c r="D1841" i="3"/>
  <c r="I1841" i="3" s="1"/>
  <c r="C1841" i="3"/>
  <c r="B1841" i="3"/>
  <c r="A1841" i="3"/>
  <c r="H1840" i="3"/>
  <c r="F1840" i="3"/>
  <c r="E1840" i="3"/>
  <c r="G1840" i="3" s="1"/>
  <c r="C1840" i="3"/>
  <c r="I1840" i="3" s="1"/>
  <c r="B1840" i="3"/>
  <c r="A1840" i="3"/>
  <c r="H1839" i="3"/>
  <c r="G1839" i="3"/>
  <c r="F1839" i="3"/>
  <c r="E1839" i="3"/>
  <c r="D1839" i="3"/>
  <c r="C1839" i="3"/>
  <c r="B1839" i="3"/>
  <c r="A1839" i="3"/>
  <c r="H1838" i="3"/>
  <c r="F1838" i="3"/>
  <c r="E1838" i="3"/>
  <c r="G1838" i="3" s="1"/>
  <c r="D1838" i="3"/>
  <c r="I1838" i="3" s="1"/>
  <c r="C1838" i="3"/>
  <c r="B1838" i="3"/>
  <c r="A1838" i="3"/>
  <c r="H1837" i="3"/>
  <c r="F1837" i="3"/>
  <c r="E1837" i="3"/>
  <c r="G1837" i="3" s="1"/>
  <c r="D1837" i="3"/>
  <c r="I1837" i="3" s="1"/>
  <c r="C1837" i="3"/>
  <c r="B1837" i="3"/>
  <c r="A1837" i="3"/>
  <c r="I1836" i="3"/>
  <c r="H1836" i="3"/>
  <c r="F1836" i="3"/>
  <c r="E1836" i="3"/>
  <c r="G1836" i="3" s="1"/>
  <c r="C1836" i="3"/>
  <c r="B1836" i="3"/>
  <c r="A1836" i="3"/>
  <c r="H1835" i="3"/>
  <c r="G1835" i="3"/>
  <c r="F1835" i="3"/>
  <c r="E1835" i="3"/>
  <c r="D1835" i="3"/>
  <c r="I1835" i="3" s="1"/>
  <c r="C1835" i="3"/>
  <c r="B1835" i="3"/>
  <c r="A1835" i="3"/>
  <c r="I1834" i="3"/>
  <c r="H1834" i="3"/>
  <c r="F1834" i="3"/>
  <c r="E1834" i="3"/>
  <c r="G1834" i="3" s="1"/>
  <c r="D1834" i="3"/>
  <c r="C1834" i="3"/>
  <c r="B1834" i="3"/>
  <c r="A1834" i="3"/>
  <c r="H1833" i="3"/>
  <c r="F1833" i="3"/>
  <c r="E1833" i="3"/>
  <c r="G1833" i="3" s="1"/>
  <c r="D1833" i="3"/>
  <c r="I1833" i="3" s="1"/>
  <c r="C1833" i="3"/>
  <c r="B1833" i="3"/>
  <c r="A1833" i="3"/>
  <c r="I1832" i="3"/>
  <c r="H1832" i="3"/>
  <c r="G1832" i="3"/>
  <c r="F1832" i="3"/>
  <c r="E1832" i="3"/>
  <c r="C1832" i="3"/>
  <c r="B1832" i="3"/>
  <c r="A1832" i="3"/>
  <c r="H1831" i="3"/>
  <c r="G1831" i="3"/>
  <c r="F1831" i="3"/>
  <c r="E1831" i="3"/>
  <c r="D1831" i="3"/>
  <c r="I1831" i="3" s="1"/>
  <c r="C1831" i="3"/>
  <c r="B1831" i="3"/>
  <c r="A1831" i="3"/>
  <c r="H1830" i="3"/>
  <c r="G1830" i="3"/>
  <c r="F1830" i="3"/>
  <c r="E1830" i="3"/>
  <c r="D1830" i="3"/>
  <c r="C1830" i="3"/>
  <c r="I1830" i="3" s="1"/>
  <c r="B1830" i="3"/>
  <c r="A1830" i="3"/>
  <c r="H1829" i="3"/>
  <c r="F1829" i="3"/>
  <c r="E1829" i="3"/>
  <c r="G1829" i="3" s="1"/>
  <c r="D1829" i="3"/>
  <c r="I1829" i="3" s="1"/>
  <c r="C1829" i="3"/>
  <c r="B1829" i="3"/>
  <c r="A1829" i="3"/>
  <c r="H1828" i="3"/>
  <c r="G1828" i="3"/>
  <c r="F1828" i="3"/>
  <c r="E1828" i="3"/>
  <c r="C1828" i="3"/>
  <c r="I1828" i="3" s="1"/>
  <c r="B1828" i="3"/>
  <c r="A1828" i="3"/>
  <c r="H1827" i="3"/>
  <c r="G1827" i="3"/>
  <c r="F1827" i="3"/>
  <c r="E1827" i="3"/>
  <c r="D1827" i="3"/>
  <c r="C1827" i="3"/>
  <c r="B1827" i="3"/>
  <c r="A1827" i="3"/>
  <c r="H1826" i="3"/>
  <c r="G1826" i="3"/>
  <c r="F1826" i="3"/>
  <c r="E1826" i="3"/>
  <c r="D1826" i="3"/>
  <c r="C1826" i="3"/>
  <c r="B1826" i="3"/>
  <c r="A1826" i="3"/>
  <c r="H1825" i="3"/>
  <c r="F1825" i="3"/>
  <c r="E1825" i="3"/>
  <c r="G1825" i="3" s="1"/>
  <c r="D1825" i="3"/>
  <c r="I1825" i="3" s="1"/>
  <c r="C1825" i="3"/>
  <c r="B1825" i="3"/>
  <c r="A1825" i="3"/>
  <c r="H1824" i="3"/>
  <c r="F1824" i="3"/>
  <c r="E1824" i="3"/>
  <c r="G1824" i="3" s="1"/>
  <c r="C1824" i="3"/>
  <c r="I1824" i="3" s="1"/>
  <c r="B1824" i="3"/>
  <c r="A1824" i="3"/>
  <c r="H1823" i="3"/>
  <c r="G1823" i="3"/>
  <c r="F1823" i="3"/>
  <c r="E1823" i="3"/>
  <c r="D1823" i="3"/>
  <c r="I1823" i="3" s="1"/>
  <c r="C1823" i="3"/>
  <c r="B1823" i="3"/>
  <c r="A1823" i="3"/>
  <c r="H1822" i="3"/>
  <c r="F1822" i="3"/>
  <c r="E1822" i="3"/>
  <c r="G1822" i="3" s="1"/>
  <c r="D1822" i="3"/>
  <c r="I1822" i="3" s="1"/>
  <c r="C1822" i="3"/>
  <c r="B1822" i="3"/>
  <c r="A1822" i="3"/>
  <c r="H1821" i="3"/>
  <c r="F1821" i="3"/>
  <c r="E1821" i="3"/>
  <c r="G1821" i="3" s="1"/>
  <c r="D1821" i="3"/>
  <c r="I1821" i="3" s="1"/>
  <c r="C1821" i="3"/>
  <c r="B1821" i="3"/>
  <c r="A1821" i="3"/>
  <c r="I1820" i="3"/>
  <c r="H1820" i="3"/>
  <c r="F1820" i="3"/>
  <c r="E1820" i="3"/>
  <c r="G1820" i="3" s="1"/>
  <c r="C1820" i="3"/>
  <c r="B1820" i="3"/>
  <c r="A1820" i="3"/>
  <c r="H1819" i="3"/>
  <c r="G1819" i="3"/>
  <c r="F1819" i="3"/>
  <c r="E1819" i="3"/>
  <c r="D1819" i="3"/>
  <c r="I1819" i="3" s="1"/>
  <c r="C1819" i="3"/>
  <c r="B1819" i="3"/>
  <c r="A1819" i="3"/>
  <c r="I1818" i="3"/>
  <c r="H1818" i="3"/>
  <c r="F1818" i="3"/>
  <c r="E1818" i="3"/>
  <c r="G1818" i="3" s="1"/>
  <c r="D1818" i="3"/>
  <c r="C1818" i="3"/>
  <c r="B1818" i="3"/>
  <c r="A1818" i="3"/>
  <c r="H1817" i="3"/>
  <c r="F1817" i="3"/>
  <c r="E1817" i="3"/>
  <c r="G1817" i="3" s="1"/>
  <c r="D1817" i="3"/>
  <c r="I1817" i="3" s="1"/>
  <c r="C1817" i="3"/>
  <c r="B1817" i="3"/>
  <c r="A1817" i="3"/>
  <c r="I1816" i="3"/>
  <c r="H1816" i="3"/>
  <c r="G1816" i="3"/>
  <c r="F1816" i="3"/>
  <c r="E1816" i="3"/>
  <c r="C1816" i="3"/>
  <c r="B1816" i="3"/>
  <c r="A1816" i="3"/>
  <c r="H1815" i="3"/>
  <c r="G1815" i="3"/>
  <c r="F1815" i="3"/>
  <c r="E1815" i="3"/>
  <c r="D1815" i="3"/>
  <c r="I1815" i="3" s="1"/>
  <c r="C1815" i="3"/>
  <c r="B1815" i="3"/>
  <c r="A1815" i="3"/>
  <c r="H1814" i="3"/>
  <c r="G1814" i="3"/>
  <c r="F1814" i="3"/>
  <c r="E1814" i="3"/>
  <c r="D1814" i="3"/>
  <c r="C1814" i="3"/>
  <c r="I1814" i="3" s="1"/>
  <c r="B1814" i="3"/>
  <c r="A1814" i="3"/>
  <c r="H1813" i="3"/>
  <c r="F1813" i="3"/>
  <c r="E1813" i="3"/>
  <c r="G1813" i="3" s="1"/>
  <c r="D1813" i="3"/>
  <c r="I1813" i="3" s="1"/>
  <c r="C1813" i="3"/>
  <c r="B1813" i="3"/>
  <c r="A1813" i="3"/>
  <c r="H1812" i="3"/>
  <c r="G1812" i="3"/>
  <c r="F1812" i="3"/>
  <c r="E1812" i="3"/>
  <c r="C1812" i="3"/>
  <c r="I1812" i="3" s="1"/>
  <c r="B1812" i="3"/>
  <c r="A1812" i="3"/>
  <c r="H1811" i="3"/>
  <c r="G1811" i="3"/>
  <c r="F1811" i="3"/>
  <c r="E1811" i="3"/>
  <c r="D1811" i="3"/>
  <c r="C1811" i="3"/>
  <c r="B1811" i="3"/>
  <c r="A1811" i="3"/>
  <c r="H1810" i="3"/>
  <c r="G1810" i="3"/>
  <c r="F1810" i="3"/>
  <c r="E1810" i="3"/>
  <c r="D1810" i="3"/>
  <c r="I1810" i="3" s="1"/>
  <c r="C1810" i="3"/>
  <c r="B1810" i="3"/>
  <c r="A1810" i="3"/>
  <c r="H1809" i="3"/>
  <c r="F1809" i="3"/>
  <c r="E1809" i="3"/>
  <c r="G1809" i="3" s="1"/>
  <c r="D1809" i="3"/>
  <c r="I1809" i="3" s="1"/>
  <c r="C1809" i="3"/>
  <c r="B1809" i="3"/>
  <c r="A1809" i="3"/>
  <c r="H1808" i="3"/>
  <c r="F1808" i="3"/>
  <c r="E1808" i="3"/>
  <c r="G1808" i="3" s="1"/>
  <c r="C1808" i="3"/>
  <c r="I1808" i="3" s="1"/>
  <c r="B1808" i="3"/>
  <c r="A1808" i="3"/>
  <c r="H1807" i="3"/>
  <c r="G1807" i="3"/>
  <c r="F1807" i="3"/>
  <c r="E1807" i="3"/>
  <c r="D1807" i="3"/>
  <c r="I1807" i="3" s="1"/>
  <c r="C1807" i="3"/>
  <c r="B1807" i="3"/>
  <c r="A1807" i="3"/>
  <c r="H1806" i="3"/>
  <c r="F1806" i="3"/>
  <c r="E1806" i="3"/>
  <c r="G1806" i="3" s="1"/>
  <c r="D1806" i="3"/>
  <c r="I1806" i="3" s="1"/>
  <c r="C1806" i="3"/>
  <c r="B1806" i="3"/>
  <c r="A1806" i="3"/>
  <c r="H1805" i="3"/>
  <c r="F1805" i="3"/>
  <c r="E1805" i="3"/>
  <c r="G1805" i="3" s="1"/>
  <c r="D1805" i="3"/>
  <c r="I1805" i="3" s="1"/>
  <c r="C1805" i="3"/>
  <c r="B1805" i="3"/>
  <c r="A1805" i="3"/>
  <c r="I1804" i="3"/>
  <c r="H1804" i="3"/>
  <c r="F1804" i="3"/>
  <c r="E1804" i="3"/>
  <c r="G1804" i="3" s="1"/>
  <c r="C1804" i="3"/>
  <c r="B1804" i="3"/>
  <c r="A1804" i="3"/>
  <c r="H1803" i="3"/>
  <c r="G1803" i="3"/>
  <c r="F1803" i="3"/>
  <c r="E1803" i="3"/>
  <c r="D1803" i="3"/>
  <c r="I1803" i="3" s="1"/>
  <c r="C1803" i="3"/>
  <c r="B1803" i="3"/>
  <c r="A1803" i="3"/>
  <c r="I1802" i="3"/>
  <c r="H1802" i="3"/>
  <c r="F1802" i="3"/>
  <c r="E1802" i="3"/>
  <c r="G1802" i="3" s="1"/>
  <c r="D1802" i="3"/>
  <c r="C1802" i="3"/>
  <c r="B1802" i="3"/>
  <c r="A1802" i="3"/>
  <c r="H1801" i="3"/>
  <c r="F1801" i="3"/>
  <c r="E1801" i="3"/>
  <c r="G1801" i="3" s="1"/>
  <c r="D1801" i="3"/>
  <c r="I1801" i="3" s="1"/>
  <c r="C1801" i="3"/>
  <c r="B1801" i="3"/>
  <c r="A1801" i="3"/>
  <c r="I1800" i="3"/>
  <c r="H1800" i="3"/>
  <c r="G1800" i="3"/>
  <c r="F1800" i="3"/>
  <c r="E1800" i="3"/>
  <c r="C1800" i="3"/>
  <c r="B1800" i="3"/>
  <c r="A1800" i="3"/>
  <c r="H1799" i="3"/>
  <c r="G1799" i="3"/>
  <c r="F1799" i="3"/>
  <c r="E1799" i="3"/>
  <c r="D1799" i="3"/>
  <c r="I1799" i="3" s="1"/>
  <c r="C1799" i="3"/>
  <c r="B1799" i="3"/>
  <c r="A1799" i="3"/>
  <c r="H1798" i="3"/>
  <c r="G1798" i="3"/>
  <c r="F1798" i="3"/>
  <c r="E1798" i="3"/>
  <c r="D1798" i="3"/>
  <c r="C1798" i="3"/>
  <c r="I1798" i="3" s="1"/>
  <c r="B1798" i="3"/>
  <c r="A1798" i="3"/>
  <c r="H1797" i="3"/>
  <c r="F1797" i="3"/>
  <c r="E1797" i="3"/>
  <c r="G1797" i="3" s="1"/>
  <c r="D1797" i="3"/>
  <c r="I1797" i="3" s="1"/>
  <c r="C1797" i="3"/>
  <c r="B1797" i="3"/>
  <c r="A1797" i="3"/>
  <c r="H1796" i="3"/>
  <c r="G1796" i="3"/>
  <c r="F1796" i="3"/>
  <c r="E1796" i="3"/>
  <c r="C1796" i="3"/>
  <c r="I1796" i="3" s="1"/>
  <c r="B1796" i="3"/>
  <c r="A1796" i="3"/>
  <c r="H1795" i="3"/>
  <c r="G1795" i="3"/>
  <c r="F1795" i="3"/>
  <c r="E1795" i="3"/>
  <c r="D1795" i="3"/>
  <c r="C1795" i="3"/>
  <c r="B1795" i="3"/>
  <c r="A1795" i="3"/>
  <c r="H1794" i="3"/>
  <c r="G1794" i="3"/>
  <c r="F1794" i="3"/>
  <c r="E1794" i="3"/>
  <c r="D1794" i="3"/>
  <c r="I1794" i="3" s="1"/>
  <c r="C1794" i="3"/>
  <c r="B1794" i="3"/>
  <c r="A1794" i="3"/>
  <c r="H1793" i="3"/>
  <c r="F1793" i="3"/>
  <c r="E1793" i="3"/>
  <c r="G1793" i="3" s="1"/>
  <c r="D1793" i="3"/>
  <c r="I1793" i="3" s="1"/>
  <c r="C1793" i="3"/>
  <c r="B1793" i="3"/>
  <c r="A1793" i="3"/>
  <c r="H1792" i="3"/>
  <c r="F1792" i="3"/>
  <c r="E1792" i="3"/>
  <c r="G1792" i="3" s="1"/>
  <c r="C1792" i="3"/>
  <c r="I1792" i="3" s="1"/>
  <c r="B1792" i="3"/>
  <c r="A1792" i="3"/>
  <c r="H1791" i="3"/>
  <c r="G1791" i="3"/>
  <c r="F1791" i="3"/>
  <c r="E1791" i="3"/>
  <c r="D1791" i="3"/>
  <c r="I1791" i="3" s="1"/>
  <c r="C1791" i="3"/>
  <c r="B1791" i="3"/>
  <c r="A1791" i="3"/>
  <c r="H1790" i="3"/>
  <c r="F1790" i="3"/>
  <c r="E1790" i="3"/>
  <c r="G1790" i="3" s="1"/>
  <c r="D1790" i="3"/>
  <c r="I1790" i="3" s="1"/>
  <c r="C1790" i="3"/>
  <c r="B1790" i="3"/>
  <c r="A1790" i="3"/>
  <c r="H1789" i="3"/>
  <c r="F1789" i="3"/>
  <c r="E1789" i="3"/>
  <c r="G1789" i="3" s="1"/>
  <c r="D1789" i="3"/>
  <c r="I1789" i="3" s="1"/>
  <c r="C1789" i="3"/>
  <c r="B1789" i="3"/>
  <c r="A1789" i="3"/>
  <c r="I1788" i="3"/>
  <c r="H1788" i="3"/>
  <c r="F1788" i="3"/>
  <c r="E1788" i="3"/>
  <c r="G1788" i="3" s="1"/>
  <c r="C1788" i="3"/>
  <c r="B1788" i="3"/>
  <c r="A1788" i="3"/>
  <c r="H1787" i="3"/>
  <c r="G1787" i="3"/>
  <c r="F1787" i="3"/>
  <c r="E1787" i="3"/>
  <c r="D1787" i="3"/>
  <c r="I1787" i="3" s="1"/>
  <c r="C1787" i="3"/>
  <c r="B1787" i="3"/>
  <c r="A1787" i="3"/>
  <c r="I1786" i="3"/>
  <c r="H1786" i="3"/>
  <c r="F1786" i="3"/>
  <c r="E1786" i="3"/>
  <c r="G1786" i="3" s="1"/>
  <c r="D1786" i="3"/>
  <c r="C1786" i="3"/>
  <c r="B1786" i="3"/>
  <c r="A1786" i="3"/>
  <c r="H1785" i="3"/>
  <c r="F1785" i="3"/>
  <c r="E1785" i="3"/>
  <c r="G1785" i="3" s="1"/>
  <c r="D1785" i="3"/>
  <c r="I1785" i="3" s="1"/>
  <c r="C1785" i="3"/>
  <c r="B1785" i="3"/>
  <c r="A1785" i="3"/>
  <c r="I1784" i="3"/>
  <c r="H1784" i="3"/>
  <c r="G1784" i="3"/>
  <c r="F1784" i="3"/>
  <c r="E1784" i="3"/>
  <c r="C1784" i="3"/>
  <c r="B1784" i="3"/>
  <c r="A1784" i="3"/>
  <c r="H1783" i="3"/>
  <c r="F1783" i="3"/>
  <c r="E1783" i="3"/>
  <c r="G1783" i="3" s="1"/>
  <c r="D1783" i="3"/>
  <c r="I1783" i="3" s="1"/>
  <c r="C1783" i="3"/>
  <c r="B1783" i="3"/>
  <c r="A1783" i="3"/>
  <c r="H1782" i="3"/>
  <c r="G1782" i="3"/>
  <c r="F1782" i="3"/>
  <c r="E1782" i="3"/>
  <c r="D1782" i="3"/>
  <c r="C1782" i="3"/>
  <c r="I1782" i="3" s="1"/>
  <c r="B1782" i="3"/>
  <c r="A1782" i="3"/>
  <c r="H1781" i="3"/>
  <c r="G1781" i="3"/>
  <c r="F1781" i="3"/>
  <c r="E1781" i="3"/>
  <c r="D1781" i="3"/>
  <c r="I1781" i="3" s="1"/>
  <c r="C1781" i="3"/>
  <c r="B1781" i="3"/>
  <c r="A1781" i="3"/>
  <c r="H1780" i="3"/>
  <c r="F1780" i="3"/>
  <c r="E1780" i="3"/>
  <c r="G1780" i="3" s="1"/>
  <c r="D1780" i="3"/>
  <c r="I1780" i="3" s="1"/>
  <c r="C1780" i="3"/>
  <c r="B1780" i="3"/>
  <c r="A1780" i="3"/>
  <c r="I1779" i="3"/>
  <c r="H1779" i="3"/>
  <c r="F1779" i="3"/>
  <c r="E1779" i="3"/>
  <c r="G1779" i="3" s="1"/>
  <c r="D1779" i="3"/>
  <c r="C1779" i="3"/>
  <c r="B1779" i="3"/>
  <c r="A1779" i="3"/>
  <c r="H1778" i="3"/>
  <c r="G1778" i="3"/>
  <c r="F1778" i="3"/>
  <c r="E1778" i="3"/>
  <c r="D1778" i="3"/>
  <c r="C1778" i="3"/>
  <c r="I1778" i="3" s="1"/>
  <c r="B1778" i="3"/>
  <c r="A1778" i="3"/>
  <c r="H1777" i="3"/>
  <c r="G1777" i="3"/>
  <c r="F1777" i="3"/>
  <c r="E1777" i="3"/>
  <c r="D1777" i="3"/>
  <c r="I1777" i="3" s="1"/>
  <c r="C1777" i="3"/>
  <c r="B1777" i="3"/>
  <c r="A1777" i="3"/>
  <c r="H1776" i="3"/>
  <c r="F1776" i="3"/>
  <c r="E1776" i="3"/>
  <c r="G1776" i="3" s="1"/>
  <c r="D1776" i="3"/>
  <c r="I1776" i="3" s="1"/>
  <c r="C1776" i="3"/>
  <c r="B1776" i="3"/>
  <c r="A1776" i="3"/>
  <c r="I1775" i="3"/>
  <c r="H1775" i="3"/>
  <c r="F1775" i="3"/>
  <c r="E1775" i="3"/>
  <c r="G1775" i="3" s="1"/>
  <c r="D1775" i="3"/>
  <c r="C1775" i="3"/>
  <c r="B1775" i="3"/>
  <c r="A1775" i="3"/>
  <c r="H1774" i="3"/>
  <c r="F1774" i="3"/>
  <c r="E1774" i="3"/>
  <c r="G1774" i="3" s="1"/>
  <c r="D1774" i="3"/>
  <c r="C1774" i="3"/>
  <c r="I1774" i="3" s="1"/>
  <c r="B1774" i="3"/>
  <c r="A1774" i="3"/>
  <c r="H1773" i="3"/>
  <c r="G1773" i="3"/>
  <c r="F1773" i="3"/>
  <c r="E1773" i="3"/>
  <c r="D1773" i="3"/>
  <c r="I1773" i="3" s="1"/>
  <c r="C1773" i="3"/>
  <c r="B1773" i="3"/>
  <c r="A1773" i="3"/>
  <c r="H1772" i="3"/>
  <c r="F1772" i="3"/>
  <c r="E1772" i="3"/>
  <c r="G1772" i="3" s="1"/>
  <c r="D1772" i="3"/>
  <c r="I1772" i="3" s="1"/>
  <c r="C1772" i="3"/>
  <c r="B1772" i="3"/>
  <c r="A1772" i="3"/>
  <c r="H1771" i="3"/>
  <c r="F1771" i="3"/>
  <c r="E1771" i="3"/>
  <c r="G1771" i="3" s="1"/>
  <c r="D1771" i="3"/>
  <c r="I1771" i="3" s="1"/>
  <c r="C1771" i="3"/>
  <c r="B1771" i="3"/>
  <c r="A1771" i="3"/>
  <c r="H1770" i="3"/>
  <c r="G1770" i="3"/>
  <c r="F1770" i="3"/>
  <c r="E1770" i="3"/>
  <c r="D1770" i="3"/>
  <c r="C1770" i="3"/>
  <c r="I1770" i="3" s="1"/>
  <c r="B1770" i="3"/>
  <c r="A1770" i="3"/>
  <c r="H1769" i="3"/>
  <c r="G1769" i="3"/>
  <c r="F1769" i="3"/>
  <c r="E1769" i="3"/>
  <c r="D1769" i="3"/>
  <c r="C1769" i="3"/>
  <c r="B1769" i="3"/>
  <c r="A1769" i="3"/>
  <c r="H1768" i="3"/>
  <c r="G1768" i="3"/>
  <c r="F1768" i="3"/>
  <c r="E1768" i="3"/>
  <c r="D1768" i="3"/>
  <c r="C1768" i="3"/>
  <c r="B1768" i="3"/>
  <c r="A1768" i="3"/>
  <c r="H1767" i="3"/>
  <c r="F1767" i="3"/>
  <c r="E1767" i="3"/>
  <c r="G1767" i="3" s="1"/>
  <c r="D1767" i="3"/>
  <c r="I1767" i="3" s="1"/>
  <c r="C1767" i="3"/>
  <c r="B1767" i="3"/>
  <c r="A1767" i="3"/>
  <c r="H1766" i="3"/>
  <c r="G1766" i="3"/>
  <c r="F1766" i="3"/>
  <c r="E1766" i="3"/>
  <c r="D1766" i="3"/>
  <c r="C1766" i="3"/>
  <c r="I1766" i="3" s="1"/>
  <c r="B1766" i="3"/>
  <c r="A1766" i="3"/>
  <c r="H1765" i="3"/>
  <c r="G1765" i="3"/>
  <c r="F1765" i="3"/>
  <c r="E1765" i="3"/>
  <c r="D1765" i="3"/>
  <c r="C1765" i="3"/>
  <c r="B1765" i="3"/>
  <c r="A1765" i="3"/>
  <c r="H1764" i="3"/>
  <c r="F1764" i="3"/>
  <c r="E1764" i="3"/>
  <c r="G1764" i="3" s="1"/>
  <c r="D1764" i="3"/>
  <c r="I1764" i="3" s="1"/>
  <c r="C1764" i="3"/>
  <c r="B1764" i="3"/>
  <c r="A1764" i="3"/>
  <c r="H1763" i="3"/>
  <c r="F1763" i="3"/>
  <c r="E1763" i="3"/>
  <c r="G1763" i="3" s="1"/>
  <c r="D1763" i="3"/>
  <c r="I1763" i="3" s="1"/>
  <c r="C1763" i="3"/>
  <c r="B1763" i="3"/>
  <c r="A1763" i="3"/>
  <c r="I1762" i="3"/>
  <c r="H1762" i="3"/>
  <c r="F1762" i="3"/>
  <c r="E1762" i="3"/>
  <c r="G1762" i="3" s="1"/>
  <c r="D1762" i="3"/>
  <c r="C1762" i="3"/>
  <c r="B1762" i="3"/>
  <c r="A1762" i="3"/>
  <c r="H1761" i="3"/>
  <c r="G1761" i="3"/>
  <c r="F1761" i="3"/>
  <c r="E1761" i="3"/>
  <c r="D1761" i="3"/>
  <c r="C1761" i="3"/>
  <c r="B1761" i="3"/>
  <c r="A1761" i="3"/>
  <c r="H1760" i="3"/>
  <c r="G1760" i="3"/>
  <c r="F1760" i="3"/>
  <c r="E1760" i="3"/>
  <c r="D1760" i="3"/>
  <c r="I1760" i="3" s="1"/>
  <c r="C1760" i="3"/>
  <c r="B1760" i="3"/>
  <c r="A1760" i="3"/>
  <c r="H1759" i="3"/>
  <c r="F1759" i="3"/>
  <c r="E1759" i="3"/>
  <c r="G1759" i="3" s="1"/>
  <c r="D1759" i="3"/>
  <c r="I1759" i="3" s="1"/>
  <c r="C1759" i="3"/>
  <c r="B1759" i="3"/>
  <c r="A1759" i="3"/>
  <c r="I1758" i="3"/>
  <c r="H1758" i="3"/>
  <c r="F1758" i="3"/>
  <c r="E1758" i="3"/>
  <c r="G1758" i="3" s="1"/>
  <c r="D1758" i="3"/>
  <c r="C1758" i="3"/>
  <c r="B1758" i="3"/>
  <c r="A1758" i="3"/>
  <c r="H1757" i="3"/>
  <c r="G1757" i="3"/>
  <c r="F1757" i="3"/>
  <c r="E1757" i="3"/>
  <c r="D1757" i="3"/>
  <c r="I1757" i="3" s="1"/>
  <c r="C1757" i="3"/>
  <c r="B1757" i="3"/>
  <c r="A1757" i="3"/>
  <c r="H1756" i="3"/>
  <c r="F1756" i="3"/>
  <c r="E1756" i="3"/>
  <c r="G1756" i="3" s="1"/>
  <c r="D1756" i="3"/>
  <c r="I1756" i="3" s="1"/>
  <c r="C1756" i="3"/>
  <c r="B1756" i="3"/>
  <c r="A1756" i="3"/>
  <c r="H1755" i="3"/>
  <c r="F1755" i="3"/>
  <c r="E1755" i="3"/>
  <c r="G1755" i="3" s="1"/>
  <c r="D1755" i="3"/>
  <c r="I1755" i="3" s="1"/>
  <c r="C1755" i="3"/>
  <c r="B1755" i="3"/>
  <c r="A1755" i="3"/>
  <c r="H1754" i="3"/>
  <c r="G1754" i="3"/>
  <c r="F1754" i="3"/>
  <c r="E1754" i="3"/>
  <c r="D1754" i="3"/>
  <c r="C1754" i="3"/>
  <c r="I1754" i="3" s="1"/>
  <c r="B1754" i="3"/>
  <c r="A1754" i="3"/>
  <c r="H1753" i="3"/>
  <c r="G1753" i="3"/>
  <c r="F1753" i="3"/>
  <c r="E1753" i="3"/>
  <c r="D1753" i="3"/>
  <c r="C1753" i="3"/>
  <c r="B1753" i="3"/>
  <c r="A1753" i="3"/>
  <c r="H1752" i="3"/>
  <c r="G1752" i="3"/>
  <c r="F1752" i="3"/>
  <c r="E1752" i="3"/>
  <c r="D1752" i="3"/>
  <c r="C1752" i="3"/>
  <c r="B1752" i="3"/>
  <c r="A1752" i="3"/>
  <c r="H1751" i="3"/>
  <c r="F1751" i="3"/>
  <c r="E1751" i="3"/>
  <c r="G1751" i="3" s="1"/>
  <c r="D1751" i="3"/>
  <c r="I1751" i="3" s="1"/>
  <c r="C1751" i="3"/>
  <c r="B1751" i="3"/>
  <c r="A1751" i="3"/>
  <c r="H1750" i="3"/>
  <c r="G1750" i="3"/>
  <c r="F1750" i="3"/>
  <c r="E1750" i="3"/>
  <c r="D1750" i="3"/>
  <c r="C1750" i="3"/>
  <c r="I1750" i="3" s="1"/>
  <c r="B1750" i="3"/>
  <c r="A1750" i="3"/>
  <c r="H1749" i="3"/>
  <c r="G1749" i="3"/>
  <c r="F1749" i="3"/>
  <c r="E1749" i="3"/>
  <c r="D1749" i="3"/>
  <c r="C1749" i="3"/>
  <c r="B1749" i="3"/>
  <c r="A1749" i="3"/>
  <c r="H1748" i="3"/>
  <c r="F1748" i="3"/>
  <c r="E1748" i="3"/>
  <c r="G1748" i="3" s="1"/>
  <c r="D1748" i="3"/>
  <c r="I1748" i="3" s="1"/>
  <c r="C1748" i="3"/>
  <c r="B1748" i="3"/>
  <c r="A1748" i="3"/>
  <c r="H1747" i="3"/>
  <c r="F1747" i="3"/>
  <c r="E1747" i="3"/>
  <c r="G1747" i="3" s="1"/>
  <c r="D1747" i="3"/>
  <c r="I1747" i="3" s="1"/>
  <c r="C1747" i="3"/>
  <c r="B1747" i="3"/>
  <c r="A1747" i="3"/>
  <c r="I1746" i="3"/>
  <c r="H1746" i="3"/>
  <c r="F1746" i="3"/>
  <c r="E1746" i="3"/>
  <c r="G1746" i="3" s="1"/>
  <c r="D1746" i="3"/>
  <c r="C1746" i="3"/>
  <c r="B1746" i="3"/>
  <c r="A1746" i="3"/>
  <c r="H1745" i="3"/>
  <c r="G1745" i="3"/>
  <c r="F1745" i="3"/>
  <c r="E1745" i="3"/>
  <c r="D1745" i="3"/>
  <c r="C1745" i="3"/>
  <c r="B1745" i="3"/>
  <c r="A1745" i="3"/>
  <c r="H1744" i="3"/>
  <c r="G1744" i="3"/>
  <c r="F1744" i="3"/>
  <c r="E1744" i="3"/>
  <c r="D1744" i="3"/>
  <c r="I1744" i="3" s="1"/>
  <c r="C1744" i="3"/>
  <c r="B1744" i="3"/>
  <c r="A1744" i="3"/>
  <c r="H1743" i="3"/>
  <c r="F1743" i="3"/>
  <c r="E1743" i="3"/>
  <c r="G1743" i="3" s="1"/>
  <c r="D1743" i="3"/>
  <c r="I1743" i="3" s="1"/>
  <c r="C1743" i="3"/>
  <c r="B1743" i="3"/>
  <c r="A1743" i="3"/>
  <c r="I1742" i="3"/>
  <c r="H1742" i="3"/>
  <c r="F1742" i="3"/>
  <c r="E1742" i="3"/>
  <c r="G1742" i="3" s="1"/>
  <c r="D1742" i="3"/>
  <c r="C1742" i="3"/>
  <c r="B1742" i="3"/>
  <c r="A1742" i="3"/>
  <c r="H1741" i="3"/>
  <c r="G1741" i="3"/>
  <c r="F1741" i="3"/>
  <c r="E1741" i="3"/>
  <c r="D1741" i="3"/>
  <c r="I1741" i="3" s="1"/>
  <c r="C1741" i="3"/>
  <c r="B1741" i="3"/>
  <c r="A1741" i="3"/>
  <c r="H1740" i="3"/>
  <c r="F1740" i="3"/>
  <c r="E1740" i="3"/>
  <c r="G1740" i="3" s="1"/>
  <c r="D1740" i="3"/>
  <c r="I1740" i="3" s="1"/>
  <c r="C1740" i="3"/>
  <c r="B1740" i="3"/>
  <c r="A1740" i="3"/>
  <c r="H1739" i="3"/>
  <c r="F1739" i="3"/>
  <c r="E1739" i="3"/>
  <c r="G1739" i="3" s="1"/>
  <c r="D1739" i="3"/>
  <c r="I1739" i="3" s="1"/>
  <c r="C1739" i="3"/>
  <c r="B1739" i="3"/>
  <c r="A1739" i="3"/>
  <c r="H1738" i="3"/>
  <c r="G1738" i="3"/>
  <c r="F1738" i="3"/>
  <c r="E1738" i="3"/>
  <c r="D1738" i="3"/>
  <c r="C1738" i="3"/>
  <c r="I1738" i="3" s="1"/>
  <c r="B1738" i="3"/>
  <c r="A1738" i="3"/>
  <c r="H1737" i="3"/>
  <c r="G1737" i="3"/>
  <c r="F1737" i="3"/>
  <c r="E1737" i="3"/>
  <c r="D1737" i="3"/>
  <c r="C1737" i="3"/>
  <c r="B1737" i="3"/>
  <c r="A1737" i="3"/>
  <c r="H1736" i="3"/>
  <c r="G1736" i="3"/>
  <c r="F1736" i="3"/>
  <c r="E1736" i="3"/>
  <c r="D1736" i="3"/>
  <c r="C1736" i="3"/>
  <c r="B1736" i="3"/>
  <c r="A1736" i="3"/>
  <c r="H1735" i="3"/>
  <c r="F1735" i="3"/>
  <c r="E1735" i="3"/>
  <c r="G1735" i="3" s="1"/>
  <c r="D1735" i="3"/>
  <c r="I1735" i="3" s="1"/>
  <c r="C1735" i="3"/>
  <c r="B1735" i="3"/>
  <c r="A1735" i="3"/>
  <c r="H1734" i="3"/>
  <c r="G1734" i="3"/>
  <c r="F1734" i="3"/>
  <c r="E1734" i="3"/>
  <c r="D1734" i="3"/>
  <c r="C1734" i="3"/>
  <c r="I1734" i="3" s="1"/>
  <c r="B1734" i="3"/>
  <c r="A1734" i="3"/>
  <c r="H1733" i="3"/>
  <c r="G1733" i="3"/>
  <c r="F1733" i="3"/>
  <c r="E1733" i="3"/>
  <c r="D1733" i="3"/>
  <c r="C1733" i="3"/>
  <c r="B1733" i="3"/>
  <c r="A1733" i="3"/>
  <c r="H1732" i="3"/>
  <c r="F1732" i="3"/>
  <c r="E1732" i="3"/>
  <c r="G1732" i="3" s="1"/>
  <c r="D1732" i="3"/>
  <c r="I1732" i="3" s="1"/>
  <c r="C1732" i="3"/>
  <c r="B1732" i="3"/>
  <c r="A1732" i="3"/>
  <c r="H1731" i="3"/>
  <c r="F1731" i="3"/>
  <c r="E1731" i="3"/>
  <c r="G1731" i="3" s="1"/>
  <c r="D1731" i="3"/>
  <c r="I1731" i="3" s="1"/>
  <c r="C1731" i="3"/>
  <c r="B1731" i="3"/>
  <c r="A1731" i="3"/>
  <c r="I1730" i="3"/>
  <c r="H1730" i="3"/>
  <c r="F1730" i="3"/>
  <c r="E1730" i="3"/>
  <c r="G1730" i="3" s="1"/>
  <c r="D1730" i="3"/>
  <c r="C1730" i="3"/>
  <c r="B1730" i="3"/>
  <c r="A1730" i="3"/>
  <c r="H1729" i="3"/>
  <c r="G1729" i="3"/>
  <c r="F1729" i="3"/>
  <c r="E1729" i="3"/>
  <c r="D1729" i="3"/>
  <c r="C1729" i="3"/>
  <c r="B1729" i="3"/>
  <c r="A1729" i="3"/>
  <c r="H1728" i="3"/>
  <c r="G1728" i="3"/>
  <c r="F1728" i="3"/>
  <c r="E1728" i="3"/>
  <c r="D1728" i="3"/>
  <c r="I1728" i="3" s="1"/>
  <c r="C1728" i="3"/>
  <c r="B1728" i="3"/>
  <c r="A1728" i="3"/>
  <c r="H1727" i="3"/>
  <c r="F1727" i="3"/>
  <c r="E1727" i="3"/>
  <c r="G1727" i="3" s="1"/>
  <c r="D1727" i="3"/>
  <c r="I1727" i="3" s="1"/>
  <c r="C1727" i="3"/>
  <c r="B1727" i="3"/>
  <c r="A1727" i="3"/>
  <c r="I1726" i="3"/>
  <c r="H1726" i="3"/>
  <c r="F1726" i="3"/>
  <c r="E1726" i="3"/>
  <c r="G1726" i="3" s="1"/>
  <c r="D1726" i="3"/>
  <c r="C1726" i="3"/>
  <c r="B1726" i="3"/>
  <c r="A1726" i="3"/>
  <c r="H1725" i="3"/>
  <c r="G1725" i="3"/>
  <c r="F1725" i="3"/>
  <c r="E1725" i="3"/>
  <c r="D1725" i="3"/>
  <c r="I1725" i="3" s="1"/>
  <c r="C1725" i="3"/>
  <c r="B1725" i="3"/>
  <c r="A1725" i="3"/>
  <c r="H1724" i="3"/>
  <c r="F1724" i="3"/>
  <c r="E1724" i="3"/>
  <c r="G1724" i="3" s="1"/>
  <c r="D1724" i="3"/>
  <c r="I1724" i="3" s="1"/>
  <c r="C1724" i="3"/>
  <c r="B1724" i="3"/>
  <c r="A1724" i="3"/>
  <c r="H1723" i="3"/>
  <c r="F1723" i="3"/>
  <c r="E1723" i="3"/>
  <c r="G1723" i="3" s="1"/>
  <c r="D1723" i="3"/>
  <c r="I1723" i="3" s="1"/>
  <c r="C1723" i="3"/>
  <c r="B1723" i="3"/>
  <c r="A1723" i="3"/>
  <c r="H1722" i="3"/>
  <c r="G1722" i="3"/>
  <c r="F1722" i="3"/>
  <c r="E1722" i="3"/>
  <c r="D1722" i="3"/>
  <c r="C1722" i="3"/>
  <c r="I1722" i="3" s="1"/>
  <c r="B1722" i="3"/>
  <c r="A1722" i="3"/>
  <c r="H1721" i="3"/>
  <c r="G1721" i="3"/>
  <c r="F1721" i="3"/>
  <c r="E1721" i="3"/>
  <c r="D1721" i="3"/>
  <c r="C1721" i="3"/>
  <c r="B1721" i="3"/>
  <c r="A1721" i="3"/>
  <c r="H1720" i="3"/>
  <c r="G1720" i="3"/>
  <c r="F1720" i="3"/>
  <c r="E1720" i="3"/>
  <c r="D1720" i="3"/>
  <c r="C1720" i="3"/>
  <c r="B1720" i="3"/>
  <c r="A1720" i="3"/>
  <c r="H1719" i="3"/>
  <c r="F1719" i="3"/>
  <c r="E1719" i="3"/>
  <c r="G1719" i="3" s="1"/>
  <c r="D1719" i="3"/>
  <c r="I1719" i="3" s="1"/>
  <c r="C1719" i="3"/>
  <c r="B1719" i="3"/>
  <c r="A1719" i="3"/>
  <c r="H1718" i="3"/>
  <c r="G1718" i="3"/>
  <c r="F1718" i="3"/>
  <c r="E1718" i="3"/>
  <c r="D1718" i="3"/>
  <c r="C1718" i="3"/>
  <c r="I1718" i="3" s="1"/>
  <c r="B1718" i="3"/>
  <c r="A1718" i="3"/>
  <c r="H1717" i="3"/>
  <c r="G1717" i="3"/>
  <c r="F1717" i="3"/>
  <c r="E1717" i="3"/>
  <c r="D1717" i="3"/>
  <c r="C1717" i="3"/>
  <c r="B1717" i="3"/>
  <c r="A1717" i="3"/>
  <c r="H1716" i="3"/>
  <c r="F1716" i="3"/>
  <c r="E1716" i="3"/>
  <c r="G1716" i="3" s="1"/>
  <c r="D1716" i="3"/>
  <c r="I1716" i="3" s="1"/>
  <c r="C1716" i="3"/>
  <c r="B1716" i="3"/>
  <c r="A1716" i="3"/>
  <c r="H1715" i="3"/>
  <c r="F1715" i="3"/>
  <c r="E1715" i="3"/>
  <c r="G1715" i="3" s="1"/>
  <c r="D1715" i="3"/>
  <c r="I1715" i="3" s="1"/>
  <c r="C1715" i="3"/>
  <c r="B1715" i="3"/>
  <c r="A1715" i="3"/>
  <c r="I1714" i="3"/>
  <c r="H1714" i="3"/>
  <c r="F1714" i="3"/>
  <c r="E1714" i="3"/>
  <c r="G1714" i="3" s="1"/>
  <c r="D1714" i="3"/>
  <c r="C1714" i="3"/>
  <c r="B1714" i="3"/>
  <c r="A1714" i="3"/>
  <c r="H1713" i="3"/>
  <c r="G1713" i="3"/>
  <c r="F1713" i="3"/>
  <c r="E1713" i="3"/>
  <c r="D1713" i="3"/>
  <c r="C1713" i="3"/>
  <c r="B1713" i="3"/>
  <c r="A1713" i="3"/>
  <c r="H1712" i="3"/>
  <c r="G1712" i="3"/>
  <c r="F1712" i="3"/>
  <c r="E1712" i="3"/>
  <c r="D1712" i="3"/>
  <c r="I1712" i="3" s="1"/>
  <c r="C1712" i="3"/>
  <c r="B1712" i="3"/>
  <c r="A1712" i="3"/>
  <c r="H1711" i="3"/>
  <c r="F1711" i="3"/>
  <c r="E1711" i="3"/>
  <c r="G1711" i="3" s="1"/>
  <c r="D1711" i="3"/>
  <c r="I1711" i="3" s="1"/>
  <c r="C1711" i="3"/>
  <c r="B1711" i="3"/>
  <c r="A1711" i="3"/>
  <c r="I1710" i="3"/>
  <c r="H1710" i="3"/>
  <c r="F1710" i="3"/>
  <c r="E1710" i="3"/>
  <c r="G1710" i="3" s="1"/>
  <c r="D1710" i="3"/>
  <c r="C1710" i="3"/>
  <c r="B1710" i="3"/>
  <c r="A1710" i="3"/>
  <c r="H1709" i="3"/>
  <c r="G1709" i="3"/>
  <c r="F1709" i="3"/>
  <c r="E1709" i="3"/>
  <c r="D1709" i="3"/>
  <c r="I1709" i="3" s="1"/>
  <c r="C1709" i="3"/>
  <c r="B1709" i="3"/>
  <c r="A1709" i="3"/>
  <c r="H1708" i="3"/>
  <c r="F1708" i="3"/>
  <c r="E1708" i="3"/>
  <c r="G1708" i="3" s="1"/>
  <c r="D1708" i="3"/>
  <c r="I1708" i="3" s="1"/>
  <c r="C1708" i="3"/>
  <c r="B1708" i="3"/>
  <c r="A1708" i="3"/>
  <c r="H1707" i="3"/>
  <c r="F1707" i="3"/>
  <c r="E1707" i="3"/>
  <c r="G1707" i="3" s="1"/>
  <c r="D1707" i="3"/>
  <c r="I1707" i="3" s="1"/>
  <c r="C1707" i="3"/>
  <c r="B1707" i="3"/>
  <c r="A1707" i="3"/>
  <c r="H1706" i="3"/>
  <c r="G1706" i="3"/>
  <c r="F1706" i="3"/>
  <c r="E1706" i="3"/>
  <c r="D1706" i="3"/>
  <c r="C1706" i="3"/>
  <c r="I1706" i="3" s="1"/>
  <c r="B1706" i="3"/>
  <c r="A1706" i="3"/>
  <c r="H1705" i="3"/>
  <c r="G1705" i="3"/>
  <c r="F1705" i="3"/>
  <c r="E1705" i="3"/>
  <c r="D1705" i="3"/>
  <c r="C1705" i="3"/>
  <c r="B1705" i="3"/>
  <c r="A1705" i="3"/>
  <c r="H1704" i="3"/>
  <c r="G1704" i="3"/>
  <c r="F1704" i="3"/>
  <c r="E1704" i="3"/>
  <c r="D1704" i="3"/>
  <c r="C1704" i="3"/>
  <c r="B1704" i="3"/>
  <c r="A1704" i="3"/>
  <c r="H1703" i="3"/>
  <c r="F1703" i="3"/>
  <c r="E1703" i="3"/>
  <c r="G1703" i="3" s="1"/>
  <c r="D1703" i="3"/>
  <c r="I1703" i="3" s="1"/>
  <c r="C1703" i="3"/>
  <c r="B1703" i="3"/>
  <c r="A1703" i="3"/>
  <c r="H1702" i="3"/>
  <c r="G1702" i="3"/>
  <c r="F1702" i="3"/>
  <c r="E1702" i="3"/>
  <c r="D1702" i="3"/>
  <c r="C1702" i="3"/>
  <c r="I1702" i="3" s="1"/>
  <c r="B1702" i="3"/>
  <c r="A1702" i="3"/>
  <c r="H1701" i="3"/>
  <c r="G1701" i="3"/>
  <c r="F1701" i="3"/>
  <c r="E1701" i="3"/>
  <c r="D1701" i="3"/>
  <c r="C1701" i="3"/>
  <c r="B1701" i="3"/>
  <c r="A1701" i="3"/>
  <c r="H1700" i="3"/>
  <c r="F1700" i="3"/>
  <c r="E1700" i="3"/>
  <c r="G1700" i="3" s="1"/>
  <c r="D1700" i="3"/>
  <c r="I1700" i="3" s="1"/>
  <c r="C1700" i="3"/>
  <c r="B1700" i="3"/>
  <c r="A1700" i="3"/>
  <c r="H1699" i="3"/>
  <c r="F1699" i="3"/>
  <c r="E1699" i="3"/>
  <c r="G1699" i="3" s="1"/>
  <c r="D1699" i="3"/>
  <c r="I1699" i="3" s="1"/>
  <c r="C1699" i="3"/>
  <c r="B1699" i="3"/>
  <c r="A1699" i="3"/>
  <c r="I1698" i="3"/>
  <c r="H1698" i="3"/>
  <c r="F1698" i="3"/>
  <c r="E1698" i="3"/>
  <c r="G1698" i="3" s="1"/>
  <c r="D1698" i="3"/>
  <c r="C1698" i="3"/>
  <c r="B1698" i="3"/>
  <c r="A1698" i="3"/>
  <c r="H1697" i="3"/>
  <c r="G1697" i="3"/>
  <c r="F1697" i="3"/>
  <c r="E1697" i="3"/>
  <c r="D1697" i="3"/>
  <c r="C1697" i="3"/>
  <c r="B1697" i="3"/>
  <c r="A1697" i="3"/>
  <c r="H1696" i="3"/>
  <c r="G1696" i="3"/>
  <c r="F1696" i="3"/>
  <c r="E1696" i="3"/>
  <c r="D1696" i="3"/>
  <c r="I1696" i="3" s="1"/>
  <c r="C1696" i="3"/>
  <c r="B1696" i="3"/>
  <c r="A1696" i="3"/>
  <c r="H1695" i="3"/>
  <c r="F1695" i="3"/>
  <c r="E1695" i="3"/>
  <c r="G1695" i="3" s="1"/>
  <c r="D1695" i="3"/>
  <c r="I1695" i="3" s="1"/>
  <c r="C1695" i="3"/>
  <c r="B1695" i="3"/>
  <c r="A1695" i="3"/>
  <c r="I1694" i="3"/>
  <c r="H1694" i="3"/>
  <c r="F1694" i="3"/>
  <c r="E1694" i="3"/>
  <c r="G1694" i="3" s="1"/>
  <c r="D1694" i="3"/>
  <c r="C1694" i="3"/>
  <c r="B1694" i="3"/>
  <c r="A1694" i="3"/>
  <c r="H1693" i="3"/>
  <c r="G1693" i="3"/>
  <c r="F1693" i="3"/>
  <c r="E1693" i="3"/>
  <c r="D1693" i="3"/>
  <c r="I1693" i="3" s="1"/>
  <c r="C1693" i="3"/>
  <c r="B1693" i="3"/>
  <c r="A1693" i="3"/>
  <c r="H1692" i="3"/>
  <c r="F1692" i="3"/>
  <c r="E1692" i="3"/>
  <c r="G1692" i="3" s="1"/>
  <c r="D1692" i="3"/>
  <c r="I1692" i="3" s="1"/>
  <c r="C1692" i="3"/>
  <c r="B1692" i="3"/>
  <c r="A1692" i="3"/>
  <c r="H1691" i="3"/>
  <c r="F1691" i="3"/>
  <c r="E1691" i="3"/>
  <c r="G1691" i="3" s="1"/>
  <c r="D1691" i="3"/>
  <c r="I1691" i="3" s="1"/>
  <c r="C1691" i="3"/>
  <c r="B1691" i="3"/>
  <c r="A1691" i="3"/>
  <c r="H1690" i="3"/>
  <c r="G1690" i="3"/>
  <c r="F1690" i="3"/>
  <c r="E1690" i="3"/>
  <c r="D1690" i="3"/>
  <c r="C1690" i="3"/>
  <c r="I1690" i="3" s="1"/>
  <c r="B1690" i="3"/>
  <c r="A1690" i="3"/>
  <c r="H1689" i="3"/>
  <c r="G1689" i="3"/>
  <c r="F1689" i="3"/>
  <c r="E1689" i="3"/>
  <c r="D1689" i="3"/>
  <c r="C1689" i="3"/>
  <c r="B1689" i="3"/>
  <c r="A1689" i="3"/>
  <c r="H1688" i="3"/>
  <c r="G1688" i="3"/>
  <c r="F1688" i="3"/>
  <c r="E1688" i="3"/>
  <c r="D1688" i="3"/>
  <c r="C1688" i="3"/>
  <c r="B1688" i="3"/>
  <c r="A1688" i="3"/>
  <c r="H1687" i="3"/>
  <c r="F1687" i="3"/>
  <c r="E1687" i="3"/>
  <c r="G1687" i="3" s="1"/>
  <c r="D1687" i="3"/>
  <c r="I1687" i="3" s="1"/>
  <c r="C1687" i="3"/>
  <c r="B1687" i="3"/>
  <c r="A1687" i="3"/>
  <c r="H1686" i="3"/>
  <c r="G1686" i="3"/>
  <c r="F1686" i="3"/>
  <c r="E1686" i="3"/>
  <c r="D1686" i="3"/>
  <c r="C1686" i="3"/>
  <c r="I1686" i="3" s="1"/>
  <c r="B1686" i="3"/>
  <c r="A1686" i="3"/>
  <c r="H1685" i="3"/>
  <c r="G1685" i="3"/>
  <c r="F1685" i="3"/>
  <c r="E1685" i="3"/>
  <c r="D1685" i="3"/>
  <c r="C1685" i="3"/>
  <c r="B1685" i="3"/>
  <c r="A1685" i="3"/>
  <c r="H1684" i="3"/>
  <c r="F1684" i="3"/>
  <c r="E1684" i="3"/>
  <c r="G1684" i="3" s="1"/>
  <c r="D1684" i="3"/>
  <c r="I1684" i="3" s="1"/>
  <c r="C1684" i="3"/>
  <c r="B1684" i="3"/>
  <c r="A1684" i="3"/>
  <c r="H1683" i="3"/>
  <c r="F1683" i="3"/>
  <c r="E1683" i="3"/>
  <c r="G1683" i="3" s="1"/>
  <c r="D1683" i="3"/>
  <c r="I1683" i="3" s="1"/>
  <c r="C1683" i="3"/>
  <c r="B1683" i="3"/>
  <c r="A1683" i="3"/>
  <c r="I1682" i="3"/>
  <c r="H1682" i="3"/>
  <c r="F1682" i="3"/>
  <c r="E1682" i="3"/>
  <c r="G1682" i="3" s="1"/>
  <c r="D1682" i="3"/>
  <c r="C1682" i="3"/>
  <c r="B1682" i="3"/>
  <c r="A1682" i="3"/>
  <c r="H1681" i="3"/>
  <c r="G1681" i="3"/>
  <c r="F1681" i="3"/>
  <c r="E1681" i="3"/>
  <c r="D1681" i="3"/>
  <c r="C1681" i="3"/>
  <c r="B1681" i="3"/>
  <c r="A1681" i="3"/>
  <c r="H1680" i="3"/>
  <c r="G1680" i="3"/>
  <c r="F1680" i="3"/>
  <c r="E1680" i="3"/>
  <c r="D1680" i="3"/>
  <c r="I1680" i="3" s="1"/>
  <c r="C1680" i="3"/>
  <c r="B1680" i="3"/>
  <c r="A1680" i="3"/>
  <c r="H1679" i="3"/>
  <c r="F1679" i="3"/>
  <c r="E1679" i="3"/>
  <c r="G1679" i="3" s="1"/>
  <c r="D1679" i="3"/>
  <c r="I1679" i="3" s="1"/>
  <c r="C1679" i="3"/>
  <c r="B1679" i="3"/>
  <c r="A1679" i="3"/>
  <c r="I1678" i="3"/>
  <c r="H1678" i="3"/>
  <c r="F1678" i="3"/>
  <c r="E1678" i="3"/>
  <c r="G1678" i="3" s="1"/>
  <c r="D1678" i="3"/>
  <c r="C1678" i="3"/>
  <c r="B1678" i="3"/>
  <c r="A1678" i="3"/>
  <c r="H1677" i="3"/>
  <c r="G1677" i="3"/>
  <c r="F1677" i="3"/>
  <c r="E1677" i="3"/>
  <c r="D1677" i="3"/>
  <c r="I1677" i="3" s="1"/>
  <c r="C1677" i="3"/>
  <c r="B1677" i="3"/>
  <c r="A1677" i="3"/>
  <c r="H1676" i="3"/>
  <c r="F1676" i="3"/>
  <c r="E1676" i="3"/>
  <c r="G1676" i="3" s="1"/>
  <c r="D1676" i="3"/>
  <c r="I1676" i="3" s="1"/>
  <c r="C1676" i="3"/>
  <c r="B1676" i="3"/>
  <c r="A1676" i="3"/>
  <c r="H1675" i="3"/>
  <c r="F1675" i="3"/>
  <c r="E1675" i="3"/>
  <c r="G1675" i="3" s="1"/>
  <c r="D1675" i="3"/>
  <c r="I1675" i="3" s="1"/>
  <c r="C1675" i="3"/>
  <c r="B1675" i="3"/>
  <c r="A1675" i="3"/>
  <c r="H1674" i="3"/>
  <c r="G1674" i="3"/>
  <c r="F1674" i="3"/>
  <c r="E1674" i="3"/>
  <c r="D1674" i="3"/>
  <c r="C1674" i="3"/>
  <c r="I1674" i="3" s="1"/>
  <c r="B1674" i="3"/>
  <c r="A1674" i="3"/>
  <c r="H1673" i="3"/>
  <c r="G1673" i="3"/>
  <c r="F1673" i="3"/>
  <c r="E1673" i="3"/>
  <c r="D1673" i="3"/>
  <c r="C1673" i="3"/>
  <c r="B1673" i="3"/>
  <c r="A1673" i="3"/>
  <c r="H1672" i="3"/>
  <c r="G1672" i="3"/>
  <c r="F1672" i="3"/>
  <c r="E1672" i="3"/>
  <c r="D1672" i="3"/>
  <c r="C1672" i="3"/>
  <c r="B1672" i="3"/>
  <c r="A1672" i="3"/>
  <c r="H1671" i="3"/>
  <c r="F1671" i="3"/>
  <c r="E1671" i="3"/>
  <c r="G1671" i="3" s="1"/>
  <c r="D1671" i="3"/>
  <c r="I1671" i="3" s="1"/>
  <c r="C1671" i="3"/>
  <c r="B1671" i="3"/>
  <c r="A1671" i="3"/>
  <c r="H1670" i="3"/>
  <c r="G1670" i="3"/>
  <c r="F1670" i="3"/>
  <c r="E1670" i="3"/>
  <c r="D1670" i="3"/>
  <c r="C1670" i="3"/>
  <c r="I1670" i="3" s="1"/>
  <c r="B1670" i="3"/>
  <c r="A1670" i="3"/>
  <c r="H1669" i="3"/>
  <c r="G1669" i="3"/>
  <c r="F1669" i="3"/>
  <c r="E1669" i="3"/>
  <c r="D1669" i="3"/>
  <c r="C1669" i="3"/>
  <c r="B1669" i="3"/>
  <c r="A1669" i="3"/>
  <c r="H1668" i="3"/>
  <c r="F1668" i="3"/>
  <c r="E1668" i="3"/>
  <c r="G1668" i="3" s="1"/>
  <c r="D1668" i="3"/>
  <c r="I1668" i="3" s="1"/>
  <c r="C1668" i="3"/>
  <c r="B1668" i="3"/>
  <c r="A1668" i="3"/>
  <c r="H1667" i="3"/>
  <c r="F1667" i="3"/>
  <c r="E1667" i="3"/>
  <c r="G1667" i="3" s="1"/>
  <c r="D1667" i="3"/>
  <c r="I1667" i="3" s="1"/>
  <c r="C1667" i="3"/>
  <c r="B1667" i="3"/>
  <c r="A1667" i="3"/>
  <c r="I1666" i="3"/>
  <c r="H1666" i="3"/>
  <c r="F1666" i="3"/>
  <c r="E1666" i="3"/>
  <c r="G1666" i="3" s="1"/>
  <c r="D1666" i="3"/>
  <c r="C1666" i="3"/>
  <c r="B1666" i="3"/>
  <c r="A1666" i="3"/>
  <c r="H1665" i="3"/>
  <c r="G1665" i="3"/>
  <c r="F1665" i="3"/>
  <c r="E1665" i="3"/>
  <c r="D1665" i="3"/>
  <c r="C1665" i="3"/>
  <c r="B1665" i="3"/>
  <c r="A1665" i="3"/>
  <c r="H1664" i="3"/>
  <c r="G1664" i="3"/>
  <c r="F1664" i="3"/>
  <c r="E1664" i="3"/>
  <c r="D1664" i="3"/>
  <c r="I1664" i="3" s="1"/>
  <c r="C1664" i="3"/>
  <c r="B1664" i="3"/>
  <c r="A1664" i="3"/>
  <c r="H1663" i="3"/>
  <c r="F1663" i="3"/>
  <c r="E1663" i="3"/>
  <c r="G1663" i="3" s="1"/>
  <c r="D1663" i="3"/>
  <c r="I1663" i="3" s="1"/>
  <c r="C1663" i="3"/>
  <c r="B1663" i="3"/>
  <c r="A1663" i="3"/>
  <c r="I1662" i="3"/>
  <c r="H1662" i="3"/>
  <c r="F1662" i="3"/>
  <c r="E1662" i="3"/>
  <c r="G1662" i="3" s="1"/>
  <c r="D1662" i="3"/>
  <c r="C1662" i="3"/>
  <c r="B1662" i="3"/>
  <c r="A1662" i="3"/>
  <c r="H1661" i="3"/>
  <c r="G1661" i="3"/>
  <c r="F1661" i="3"/>
  <c r="E1661" i="3"/>
  <c r="D1661" i="3"/>
  <c r="I1661" i="3" s="1"/>
  <c r="C1661" i="3"/>
  <c r="B1661" i="3"/>
  <c r="A1661" i="3"/>
  <c r="H1660" i="3"/>
  <c r="F1660" i="3"/>
  <c r="E1660" i="3"/>
  <c r="G1660" i="3" s="1"/>
  <c r="D1660" i="3"/>
  <c r="I1660" i="3" s="1"/>
  <c r="C1660" i="3"/>
  <c r="B1660" i="3"/>
  <c r="A1660" i="3"/>
  <c r="H1659" i="3"/>
  <c r="F1659" i="3"/>
  <c r="E1659" i="3"/>
  <c r="G1659" i="3" s="1"/>
  <c r="D1659" i="3"/>
  <c r="I1659" i="3" s="1"/>
  <c r="C1659" i="3"/>
  <c r="B1659" i="3"/>
  <c r="A1659" i="3"/>
  <c r="H1658" i="3"/>
  <c r="G1658" i="3"/>
  <c r="F1658" i="3"/>
  <c r="E1658" i="3"/>
  <c r="D1658" i="3"/>
  <c r="C1658" i="3"/>
  <c r="I1658" i="3" s="1"/>
  <c r="B1658" i="3"/>
  <c r="A1658" i="3"/>
  <c r="H1657" i="3"/>
  <c r="G1657" i="3"/>
  <c r="F1657" i="3"/>
  <c r="E1657" i="3"/>
  <c r="D1657" i="3"/>
  <c r="C1657" i="3"/>
  <c r="B1657" i="3"/>
  <c r="A1657" i="3"/>
  <c r="H1656" i="3"/>
  <c r="G1656" i="3"/>
  <c r="F1656" i="3"/>
  <c r="E1656" i="3"/>
  <c r="D1656" i="3"/>
  <c r="C1656" i="3"/>
  <c r="B1656" i="3"/>
  <c r="A1656" i="3"/>
  <c r="H1655" i="3"/>
  <c r="F1655" i="3"/>
  <c r="E1655" i="3"/>
  <c r="G1655" i="3" s="1"/>
  <c r="D1655" i="3"/>
  <c r="I1655" i="3" s="1"/>
  <c r="C1655" i="3"/>
  <c r="B1655" i="3"/>
  <c r="A1655" i="3"/>
  <c r="H1654" i="3"/>
  <c r="G1654" i="3"/>
  <c r="F1654" i="3"/>
  <c r="E1654" i="3"/>
  <c r="D1654" i="3"/>
  <c r="C1654" i="3"/>
  <c r="I1654" i="3" s="1"/>
  <c r="B1654" i="3"/>
  <c r="A1654" i="3"/>
  <c r="H1653" i="3"/>
  <c r="G1653" i="3"/>
  <c r="F1653" i="3"/>
  <c r="E1653" i="3"/>
  <c r="D1653" i="3"/>
  <c r="C1653" i="3"/>
  <c r="B1653" i="3"/>
  <c r="A1653" i="3"/>
  <c r="H1652" i="3"/>
  <c r="F1652" i="3"/>
  <c r="E1652" i="3"/>
  <c r="G1652" i="3" s="1"/>
  <c r="D1652" i="3"/>
  <c r="I1652" i="3" s="1"/>
  <c r="C1652" i="3"/>
  <c r="B1652" i="3"/>
  <c r="A1652" i="3"/>
  <c r="H1651" i="3"/>
  <c r="F1651" i="3"/>
  <c r="E1651" i="3"/>
  <c r="G1651" i="3" s="1"/>
  <c r="D1651" i="3"/>
  <c r="I1651" i="3" s="1"/>
  <c r="C1651" i="3"/>
  <c r="B1651" i="3"/>
  <c r="A1651" i="3"/>
  <c r="I1650" i="3"/>
  <c r="H1650" i="3"/>
  <c r="F1650" i="3"/>
  <c r="E1650" i="3"/>
  <c r="G1650" i="3" s="1"/>
  <c r="D1650" i="3"/>
  <c r="C1650" i="3"/>
  <c r="B1650" i="3"/>
  <c r="A1650" i="3"/>
  <c r="H1649" i="3"/>
  <c r="G1649" i="3"/>
  <c r="F1649" i="3"/>
  <c r="E1649" i="3"/>
  <c r="D1649" i="3"/>
  <c r="C1649" i="3"/>
  <c r="B1649" i="3"/>
  <c r="A1649" i="3"/>
  <c r="H1648" i="3"/>
  <c r="G1648" i="3"/>
  <c r="F1648" i="3"/>
  <c r="E1648" i="3"/>
  <c r="D1648" i="3"/>
  <c r="I1648" i="3" s="1"/>
  <c r="C1648" i="3"/>
  <c r="B1648" i="3"/>
  <c r="A1648" i="3"/>
  <c r="H1647" i="3"/>
  <c r="F1647" i="3"/>
  <c r="E1647" i="3"/>
  <c r="G1647" i="3" s="1"/>
  <c r="D1647" i="3"/>
  <c r="I1647" i="3" s="1"/>
  <c r="C1647" i="3"/>
  <c r="B1647" i="3"/>
  <c r="A1647" i="3"/>
  <c r="I1646" i="3"/>
  <c r="H1646" i="3"/>
  <c r="F1646" i="3"/>
  <c r="E1646" i="3"/>
  <c r="G1646" i="3" s="1"/>
  <c r="D1646" i="3"/>
  <c r="C1646" i="3"/>
  <c r="B1646" i="3"/>
  <c r="A1646" i="3"/>
  <c r="H1645" i="3"/>
  <c r="G1645" i="3"/>
  <c r="F1645" i="3"/>
  <c r="E1645" i="3"/>
  <c r="D1645" i="3"/>
  <c r="I1645" i="3" s="1"/>
  <c r="C1645" i="3"/>
  <c r="B1645" i="3"/>
  <c r="A1645" i="3"/>
  <c r="H1644" i="3"/>
  <c r="F1644" i="3"/>
  <c r="E1644" i="3"/>
  <c r="G1644" i="3" s="1"/>
  <c r="D1644" i="3"/>
  <c r="I1644" i="3" s="1"/>
  <c r="C1644" i="3"/>
  <c r="B1644" i="3"/>
  <c r="A1644" i="3"/>
  <c r="H1643" i="3"/>
  <c r="F1643" i="3"/>
  <c r="E1643" i="3"/>
  <c r="G1643" i="3" s="1"/>
  <c r="D1643" i="3"/>
  <c r="I1643" i="3" s="1"/>
  <c r="C1643" i="3"/>
  <c r="B1643" i="3"/>
  <c r="A1643" i="3"/>
  <c r="H1642" i="3"/>
  <c r="G1642" i="3"/>
  <c r="F1642" i="3"/>
  <c r="E1642" i="3"/>
  <c r="D1642" i="3"/>
  <c r="C1642" i="3"/>
  <c r="I1642" i="3" s="1"/>
  <c r="B1642" i="3"/>
  <c r="A1642" i="3"/>
  <c r="H1641" i="3"/>
  <c r="G1641" i="3"/>
  <c r="F1641" i="3"/>
  <c r="E1641" i="3"/>
  <c r="D1641" i="3"/>
  <c r="C1641" i="3"/>
  <c r="B1641" i="3"/>
  <c r="A1641" i="3"/>
  <c r="H1640" i="3"/>
  <c r="G1640" i="3"/>
  <c r="F1640" i="3"/>
  <c r="E1640" i="3"/>
  <c r="D1640" i="3"/>
  <c r="C1640" i="3"/>
  <c r="B1640" i="3"/>
  <c r="A1640" i="3"/>
  <c r="H1639" i="3"/>
  <c r="F1639" i="3"/>
  <c r="E1639" i="3"/>
  <c r="G1639" i="3" s="1"/>
  <c r="D1639" i="3"/>
  <c r="I1639" i="3" s="1"/>
  <c r="C1639" i="3"/>
  <c r="B1639" i="3"/>
  <c r="A1639" i="3"/>
  <c r="H1638" i="3"/>
  <c r="G1638" i="3"/>
  <c r="F1638" i="3"/>
  <c r="E1638" i="3"/>
  <c r="D1638" i="3"/>
  <c r="C1638" i="3"/>
  <c r="I1638" i="3" s="1"/>
  <c r="B1638" i="3"/>
  <c r="A1638" i="3"/>
  <c r="H1637" i="3"/>
  <c r="G1637" i="3"/>
  <c r="F1637" i="3"/>
  <c r="E1637" i="3"/>
  <c r="D1637" i="3"/>
  <c r="C1637" i="3"/>
  <c r="B1637" i="3"/>
  <c r="A1637" i="3"/>
  <c r="H1636" i="3"/>
  <c r="F1636" i="3"/>
  <c r="E1636" i="3"/>
  <c r="G1636" i="3" s="1"/>
  <c r="D1636" i="3"/>
  <c r="I1636" i="3" s="1"/>
  <c r="C1636" i="3"/>
  <c r="B1636" i="3"/>
  <c r="A1636" i="3"/>
  <c r="H1635" i="3"/>
  <c r="F1635" i="3"/>
  <c r="E1635" i="3"/>
  <c r="G1635" i="3" s="1"/>
  <c r="D1635" i="3"/>
  <c r="I1635" i="3" s="1"/>
  <c r="C1635" i="3"/>
  <c r="B1635" i="3"/>
  <c r="A1635" i="3"/>
  <c r="I1634" i="3"/>
  <c r="H1634" i="3"/>
  <c r="F1634" i="3"/>
  <c r="E1634" i="3"/>
  <c r="G1634" i="3" s="1"/>
  <c r="D1634" i="3"/>
  <c r="C1634" i="3"/>
  <c r="B1634" i="3"/>
  <c r="A1634" i="3"/>
  <c r="H1633" i="3"/>
  <c r="G1633" i="3"/>
  <c r="F1633" i="3"/>
  <c r="E1633" i="3"/>
  <c r="D1633" i="3"/>
  <c r="C1633" i="3"/>
  <c r="B1633" i="3"/>
  <c r="A1633" i="3"/>
  <c r="H1632" i="3"/>
  <c r="G1632" i="3"/>
  <c r="F1632" i="3"/>
  <c r="E1632" i="3"/>
  <c r="D1632" i="3"/>
  <c r="I1632" i="3" s="1"/>
  <c r="C1632" i="3"/>
  <c r="B1632" i="3"/>
  <c r="A1632" i="3"/>
  <c r="H1631" i="3"/>
  <c r="F1631" i="3"/>
  <c r="E1631" i="3"/>
  <c r="G1631" i="3" s="1"/>
  <c r="D1631" i="3"/>
  <c r="I1631" i="3" s="1"/>
  <c r="C1631" i="3"/>
  <c r="B1631" i="3"/>
  <c r="A1631" i="3"/>
  <c r="I1630" i="3"/>
  <c r="H1630" i="3"/>
  <c r="F1630" i="3"/>
  <c r="E1630" i="3"/>
  <c r="G1630" i="3" s="1"/>
  <c r="D1630" i="3"/>
  <c r="C1630" i="3"/>
  <c r="B1630" i="3"/>
  <c r="A1630" i="3"/>
  <c r="H1629" i="3"/>
  <c r="G1629" i="3"/>
  <c r="F1629" i="3"/>
  <c r="E1629" i="3"/>
  <c r="D1629" i="3"/>
  <c r="I1629" i="3" s="1"/>
  <c r="C1629" i="3"/>
  <c r="B1629" i="3"/>
  <c r="A1629" i="3"/>
  <c r="H1628" i="3"/>
  <c r="F1628" i="3"/>
  <c r="E1628" i="3"/>
  <c r="G1628" i="3" s="1"/>
  <c r="D1628" i="3"/>
  <c r="I1628" i="3" s="1"/>
  <c r="C1628" i="3"/>
  <c r="B1628" i="3"/>
  <c r="A1628" i="3"/>
  <c r="H1627" i="3"/>
  <c r="F1627" i="3"/>
  <c r="E1627" i="3"/>
  <c r="G1627" i="3" s="1"/>
  <c r="D1627" i="3"/>
  <c r="I1627" i="3" s="1"/>
  <c r="C1627" i="3"/>
  <c r="B1627" i="3"/>
  <c r="A1627" i="3"/>
  <c r="H1626" i="3"/>
  <c r="G1626" i="3"/>
  <c r="F1626" i="3"/>
  <c r="E1626" i="3"/>
  <c r="D1626" i="3"/>
  <c r="C1626" i="3"/>
  <c r="I1626" i="3" s="1"/>
  <c r="B1626" i="3"/>
  <c r="A1626" i="3"/>
  <c r="H1625" i="3"/>
  <c r="G1625" i="3"/>
  <c r="F1625" i="3"/>
  <c r="E1625" i="3"/>
  <c r="D1625" i="3"/>
  <c r="C1625" i="3"/>
  <c r="B1625" i="3"/>
  <c r="A1625" i="3"/>
  <c r="H1624" i="3"/>
  <c r="G1624" i="3"/>
  <c r="F1624" i="3"/>
  <c r="E1624" i="3"/>
  <c r="D1624" i="3"/>
  <c r="C1624" i="3"/>
  <c r="B1624" i="3"/>
  <c r="A1624" i="3"/>
  <c r="H1623" i="3"/>
  <c r="F1623" i="3"/>
  <c r="E1623" i="3"/>
  <c r="G1623" i="3" s="1"/>
  <c r="D1623" i="3"/>
  <c r="I1623" i="3" s="1"/>
  <c r="C1623" i="3"/>
  <c r="B1623" i="3"/>
  <c r="A1623" i="3"/>
  <c r="H1622" i="3"/>
  <c r="G1622" i="3"/>
  <c r="F1622" i="3"/>
  <c r="E1622" i="3"/>
  <c r="D1622" i="3"/>
  <c r="C1622" i="3"/>
  <c r="I1622" i="3" s="1"/>
  <c r="B1622" i="3"/>
  <c r="A1622" i="3"/>
  <c r="H1621" i="3"/>
  <c r="G1621" i="3"/>
  <c r="F1621" i="3"/>
  <c r="E1621" i="3"/>
  <c r="D1621" i="3"/>
  <c r="C1621" i="3"/>
  <c r="B1621" i="3"/>
  <c r="A1621" i="3"/>
  <c r="H1620" i="3"/>
  <c r="F1620" i="3"/>
  <c r="E1620" i="3"/>
  <c r="G1620" i="3" s="1"/>
  <c r="D1620" i="3"/>
  <c r="I1620" i="3" s="1"/>
  <c r="C1620" i="3"/>
  <c r="B1620" i="3"/>
  <c r="A1620" i="3"/>
  <c r="H1619" i="3"/>
  <c r="F1619" i="3"/>
  <c r="E1619" i="3"/>
  <c r="G1619" i="3" s="1"/>
  <c r="D1619" i="3"/>
  <c r="I1619" i="3" s="1"/>
  <c r="C1619" i="3"/>
  <c r="B1619" i="3"/>
  <c r="A1619" i="3"/>
  <c r="I1618" i="3"/>
  <c r="H1618" i="3"/>
  <c r="F1618" i="3"/>
  <c r="E1618" i="3"/>
  <c r="G1618" i="3" s="1"/>
  <c r="D1618" i="3"/>
  <c r="C1618" i="3"/>
  <c r="B1618" i="3"/>
  <c r="A1618" i="3"/>
  <c r="H1617" i="3"/>
  <c r="G1617" i="3"/>
  <c r="F1617" i="3"/>
  <c r="E1617" i="3"/>
  <c r="D1617" i="3"/>
  <c r="C1617" i="3"/>
  <c r="B1617" i="3"/>
  <c r="A1617" i="3"/>
  <c r="H1616" i="3"/>
  <c r="G1616" i="3"/>
  <c r="F1616" i="3"/>
  <c r="E1616" i="3"/>
  <c r="D1616" i="3"/>
  <c r="I1616" i="3" s="1"/>
  <c r="C1616" i="3"/>
  <c r="B1616" i="3"/>
  <c r="A1616" i="3"/>
  <c r="H1615" i="3"/>
  <c r="F1615" i="3"/>
  <c r="E1615" i="3"/>
  <c r="G1615" i="3" s="1"/>
  <c r="D1615" i="3"/>
  <c r="I1615" i="3" s="1"/>
  <c r="C1615" i="3"/>
  <c r="B1615" i="3"/>
  <c r="A1615" i="3"/>
  <c r="I1614" i="3"/>
  <c r="H1614" i="3"/>
  <c r="F1614" i="3"/>
  <c r="E1614" i="3"/>
  <c r="G1614" i="3" s="1"/>
  <c r="D1614" i="3"/>
  <c r="C1614" i="3"/>
  <c r="B1614" i="3"/>
  <c r="A1614" i="3"/>
  <c r="H1613" i="3"/>
  <c r="G1613" i="3"/>
  <c r="F1613" i="3"/>
  <c r="E1613" i="3"/>
  <c r="D1613" i="3"/>
  <c r="I1613" i="3" s="1"/>
  <c r="C1613" i="3"/>
  <c r="B1613" i="3"/>
  <c r="A1613" i="3"/>
  <c r="H1612" i="3"/>
  <c r="F1612" i="3"/>
  <c r="E1612" i="3"/>
  <c r="G1612" i="3" s="1"/>
  <c r="D1612" i="3"/>
  <c r="I1612" i="3" s="1"/>
  <c r="C1612" i="3"/>
  <c r="B1612" i="3"/>
  <c r="A1612" i="3"/>
  <c r="H1611" i="3"/>
  <c r="F1611" i="3"/>
  <c r="E1611" i="3"/>
  <c r="G1611" i="3" s="1"/>
  <c r="D1611" i="3"/>
  <c r="I1611" i="3" s="1"/>
  <c r="C1611" i="3"/>
  <c r="B1611" i="3"/>
  <c r="A1611" i="3"/>
  <c r="H1610" i="3"/>
  <c r="G1610" i="3"/>
  <c r="F1610" i="3"/>
  <c r="E1610" i="3"/>
  <c r="D1610" i="3"/>
  <c r="C1610" i="3"/>
  <c r="I1610" i="3" s="1"/>
  <c r="B1610" i="3"/>
  <c r="A1610" i="3"/>
  <c r="H1609" i="3"/>
  <c r="G1609" i="3"/>
  <c r="F1609" i="3"/>
  <c r="E1609" i="3"/>
  <c r="D1609" i="3"/>
  <c r="C1609" i="3"/>
  <c r="B1609" i="3"/>
  <c r="A1609" i="3"/>
  <c r="H1608" i="3"/>
  <c r="G1608" i="3"/>
  <c r="F1608" i="3"/>
  <c r="E1608" i="3"/>
  <c r="D1608" i="3"/>
  <c r="C1608" i="3"/>
  <c r="B1608" i="3"/>
  <c r="A1608" i="3"/>
  <c r="H1607" i="3"/>
  <c r="F1607" i="3"/>
  <c r="E1607" i="3"/>
  <c r="G1607" i="3" s="1"/>
  <c r="D1607" i="3"/>
  <c r="I1607" i="3" s="1"/>
  <c r="C1607" i="3"/>
  <c r="B1607" i="3"/>
  <c r="A1607" i="3"/>
  <c r="H1606" i="3"/>
  <c r="G1606" i="3"/>
  <c r="F1606" i="3"/>
  <c r="E1606" i="3"/>
  <c r="D1606" i="3"/>
  <c r="C1606" i="3"/>
  <c r="I1606" i="3" s="1"/>
  <c r="B1606" i="3"/>
  <c r="A1606" i="3"/>
  <c r="H1605" i="3"/>
  <c r="G1605" i="3"/>
  <c r="F1605" i="3"/>
  <c r="E1605" i="3"/>
  <c r="D1605" i="3"/>
  <c r="C1605" i="3"/>
  <c r="B1605" i="3"/>
  <c r="A1605" i="3"/>
  <c r="H1604" i="3"/>
  <c r="F1604" i="3"/>
  <c r="E1604" i="3"/>
  <c r="G1604" i="3" s="1"/>
  <c r="D1604" i="3"/>
  <c r="I1604" i="3" s="1"/>
  <c r="C1604" i="3"/>
  <c r="B1604" i="3"/>
  <c r="A1604" i="3"/>
  <c r="H1603" i="3"/>
  <c r="F1603" i="3"/>
  <c r="E1603" i="3"/>
  <c r="G1603" i="3" s="1"/>
  <c r="D1603" i="3"/>
  <c r="I1603" i="3" s="1"/>
  <c r="C1603" i="3"/>
  <c r="B1603" i="3"/>
  <c r="A1603" i="3"/>
  <c r="I1602" i="3"/>
  <c r="H1602" i="3"/>
  <c r="F1602" i="3"/>
  <c r="E1602" i="3"/>
  <c r="G1602" i="3" s="1"/>
  <c r="D1602" i="3"/>
  <c r="C1602" i="3"/>
  <c r="B1602" i="3"/>
  <c r="A1602" i="3"/>
  <c r="H1601" i="3"/>
  <c r="G1601" i="3"/>
  <c r="F1601" i="3"/>
  <c r="E1601" i="3"/>
  <c r="D1601" i="3"/>
  <c r="C1601" i="3"/>
  <c r="B1601" i="3"/>
  <c r="A1601" i="3"/>
  <c r="H1600" i="3"/>
  <c r="G1600" i="3"/>
  <c r="F1600" i="3"/>
  <c r="E1600" i="3"/>
  <c r="D1600" i="3"/>
  <c r="I1600" i="3" s="1"/>
  <c r="C1600" i="3"/>
  <c r="B1600" i="3"/>
  <c r="A1600" i="3"/>
  <c r="H1599" i="3"/>
  <c r="F1599" i="3"/>
  <c r="E1599" i="3"/>
  <c r="G1599" i="3" s="1"/>
  <c r="D1599" i="3"/>
  <c r="I1599" i="3" s="1"/>
  <c r="C1599" i="3"/>
  <c r="B1599" i="3"/>
  <c r="A1599" i="3"/>
  <c r="I1598" i="3"/>
  <c r="H1598" i="3"/>
  <c r="F1598" i="3"/>
  <c r="E1598" i="3"/>
  <c r="G1598" i="3" s="1"/>
  <c r="D1598" i="3"/>
  <c r="C1598" i="3"/>
  <c r="B1598" i="3"/>
  <c r="A1598" i="3"/>
  <c r="H1597" i="3"/>
  <c r="G1597" i="3"/>
  <c r="F1597" i="3"/>
  <c r="E1597" i="3"/>
  <c r="D1597" i="3"/>
  <c r="I1597" i="3" s="1"/>
  <c r="C1597" i="3"/>
  <c r="B1597" i="3"/>
  <c r="A1597" i="3"/>
  <c r="H1596" i="3"/>
  <c r="F1596" i="3"/>
  <c r="E1596" i="3"/>
  <c r="G1596" i="3" s="1"/>
  <c r="D1596" i="3"/>
  <c r="I1596" i="3" s="1"/>
  <c r="C1596" i="3"/>
  <c r="B1596" i="3"/>
  <c r="A1596" i="3"/>
  <c r="H1595" i="3"/>
  <c r="F1595" i="3"/>
  <c r="E1595" i="3"/>
  <c r="G1595" i="3" s="1"/>
  <c r="D1595" i="3"/>
  <c r="I1595" i="3" s="1"/>
  <c r="C1595" i="3"/>
  <c r="B1595" i="3"/>
  <c r="A1595" i="3"/>
  <c r="H1594" i="3"/>
  <c r="G1594" i="3"/>
  <c r="F1594" i="3"/>
  <c r="E1594" i="3"/>
  <c r="D1594" i="3"/>
  <c r="C1594" i="3"/>
  <c r="I1594" i="3" s="1"/>
  <c r="B1594" i="3"/>
  <c r="A1594" i="3"/>
  <c r="H1593" i="3"/>
  <c r="G1593" i="3"/>
  <c r="F1593" i="3"/>
  <c r="E1593" i="3"/>
  <c r="D1593" i="3"/>
  <c r="C1593" i="3"/>
  <c r="B1593" i="3"/>
  <c r="A1593" i="3"/>
  <c r="H1592" i="3"/>
  <c r="G1592" i="3"/>
  <c r="F1592" i="3"/>
  <c r="E1592" i="3"/>
  <c r="D1592" i="3"/>
  <c r="C1592" i="3"/>
  <c r="B1592" i="3"/>
  <c r="A1592" i="3"/>
  <c r="H1591" i="3"/>
  <c r="F1591" i="3"/>
  <c r="E1591" i="3"/>
  <c r="G1591" i="3" s="1"/>
  <c r="D1591" i="3"/>
  <c r="I1591" i="3" s="1"/>
  <c r="C1591" i="3"/>
  <c r="B1591" i="3"/>
  <c r="A1591" i="3"/>
  <c r="H1590" i="3"/>
  <c r="G1590" i="3"/>
  <c r="F1590" i="3"/>
  <c r="E1590" i="3"/>
  <c r="D1590" i="3"/>
  <c r="C1590" i="3"/>
  <c r="I1590" i="3" s="1"/>
  <c r="B1590" i="3"/>
  <c r="A1590" i="3"/>
  <c r="H1589" i="3"/>
  <c r="G1589" i="3"/>
  <c r="F1589" i="3"/>
  <c r="E1589" i="3"/>
  <c r="D1589" i="3"/>
  <c r="C1589" i="3"/>
  <c r="B1589" i="3"/>
  <c r="A1589" i="3"/>
  <c r="H1588" i="3"/>
  <c r="F1588" i="3"/>
  <c r="E1588" i="3"/>
  <c r="G1588" i="3" s="1"/>
  <c r="D1588" i="3"/>
  <c r="I1588" i="3" s="1"/>
  <c r="C1588" i="3"/>
  <c r="B1588" i="3"/>
  <c r="A1588" i="3"/>
  <c r="H1587" i="3"/>
  <c r="F1587" i="3"/>
  <c r="E1587" i="3"/>
  <c r="G1587" i="3" s="1"/>
  <c r="D1587" i="3"/>
  <c r="I1587" i="3" s="1"/>
  <c r="C1587" i="3"/>
  <c r="B1587" i="3"/>
  <c r="A1587" i="3"/>
  <c r="I1586" i="3"/>
  <c r="H1586" i="3"/>
  <c r="F1586" i="3"/>
  <c r="E1586" i="3"/>
  <c r="G1586" i="3" s="1"/>
  <c r="D1586" i="3"/>
  <c r="C1586" i="3"/>
  <c r="B1586" i="3"/>
  <c r="A1586" i="3"/>
  <c r="H1585" i="3"/>
  <c r="G1585" i="3"/>
  <c r="F1585" i="3"/>
  <c r="E1585" i="3"/>
  <c r="D1585" i="3"/>
  <c r="C1585" i="3"/>
  <c r="B1585" i="3"/>
  <c r="A1585" i="3"/>
  <c r="H1584" i="3"/>
  <c r="G1584" i="3"/>
  <c r="F1584" i="3"/>
  <c r="E1584" i="3"/>
  <c r="D1584" i="3"/>
  <c r="I1584" i="3" s="1"/>
  <c r="C1584" i="3"/>
  <c r="B1584" i="3"/>
  <c r="A1584" i="3"/>
  <c r="H1583" i="3"/>
  <c r="F1583" i="3"/>
  <c r="E1583" i="3"/>
  <c r="G1583" i="3" s="1"/>
  <c r="D1583" i="3"/>
  <c r="I1583" i="3" s="1"/>
  <c r="C1583" i="3"/>
  <c r="B1583" i="3"/>
  <c r="A1583" i="3"/>
  <c r="I1582" i="3"/>
  <c r="H1582" i="3"/>
  <c r="F1582" i="3"/>
  <c r="E1582" i="3"/>
  <c r="G1582" i="3" s="1"/>
  <c r="D1582" i="3"/>
  <c r="C1582" i="3"/>
  <c r="B1582" i="3"/>
  <c r="A1582" i="3"/>
  <c r="H1581" i="3"/>
  <c r="G1581" i="3"/>
  <c r="F1581" i="3"/>
  <c r="E1581" i="3"/>
  <c r="D1581" i="3"/>
  <c r="I1581" i="3" s="1"/>
  <c r="C1581" i="3"/>
  <c r="B1581" i="3"/>
  <c r="A1581" i="3"/>
  <c r="H1580" i="3"/>
  <c r="F1580" i="3"/>
  <c r="E1580" i="3"/>
  <c r="G1580" i="3" s="1"/>
  <c r="D1580" i="3"/>
  <c r="I1580" i="3" s="1"/>
  <c r="C1580" i="3"/>
  <c r="B1580" i="3"/>
  <c r="A1580" i="3"/>
  <c r="H1579" i="3"/>
  <c r="F1579" i="3"/>
  <c r="E1579" i="3"/>
  <c r="G1579" i="3" s="1"/>
  <c r="D1579" i="3"/>
  <c r="I1579" i="3" s="1"/>
  <c r="C1579" i="3"/>
  <c r="B1579" i="3"/>
  <c r="A1579" i="3"/>
  <c r="H1578" i="3"/>
  <c r="G1578" i="3"/>
  <c r="F1578" i="3"/>
  <c r="E1578" i="3"/>
  <c r="D1578" i="3"/>
  <c r="C1578" i="3"/>
  <c r="I1578" i="3" s="1"/>
  <c r="B1578" i="3"/>
  <c r="A1578" i="3"/>
  <c r="H1577" i="3"/>
  <c r="G1577" i="3"/>
  <c r="F1577" i="3"/>
  <c r="E1577" i="3"/>
  <c r="D1577" i="3"/>
  <c r="C1577" i="3"/>
  <c r="B1577" i="3"/>
  <c r="A1577" i="3"/>
  <c r="H1576" i="3"/>
  <c r="G1576" i="3"/>
  <c r="F1576" i="3"/>
  <c r="E1576" i="3"/>
  <c r="D1576" i="3"/>
  <c r="C1576" i="3"/>
  <c r="B1576" i="3"/>
  <c r="A1576" i="3"/>
  <c r="H1575" i="3"/>
  <c r="F1575" i="3"/>
  <c r="E1575" i="3"/>
  <c r="G1575" i="3" s="1"/>
  <c r="D1575" i="3"/>
  <c r="I1575" i="3" s="1"/>
  <c r="C1575" i="3"/>
  <c r="B1575" i="3"/>
  <c r="A1575" i="3"/>
  <c r="H1574" i="3"/>
  <c r="G1574" i="3"/>
  <c r="F1574" i="3"/>
  <c r="E1574" i="3"/>
  <c r="D1574" i="3"/>
  <c r="C1574" i="3"/>
  <c r="I1574" i="3" s="1"/>
  <c r="B1574" i="3"/>
  <c r="A1574" i="3"/>
  <c r="H1573" i="3"/>
  <c r="G1573" i="3"/>
  <c r="F1573" i="3"/>
  <c r="E1573" i="3"/>
  <c r="D1573" i="3"/>
  <c r="C1573" i="3"/>
  <c r="B1573" i="3"/>
  <c r="A1573" i="3"/>
  <c r="H1572" i="3"/>
  <c r="F1572" i="3"/>
  <c r="E1572" i="3"/>
  <c r="G1572" i="3" s="1"/>
  <c r="D1572" i="3"/>
  <c r="I1572" i="3" s="1"/>
  <c r="C1572" i="3"/>
  <c r="B1572" i="3"/>
  <c r="A1572" i="3"/>
  <c r="H1571" i="3"/>
  <c r="F1571" i="3"/>
  <c r="E1571" i="3"/>
  <c r="G1571" i="3" s="1"/>
  <c r="D1571" i="3"/>
  <c r="I1571" i="3" s="1"/>
  <c r="C1571" i="3"/>
  <c r="B1571" i="3"/>
  <c r="A1571" i="3"/>
  <c r="I1570" i="3"/>
  <c r="H1570" i="3"/>
  <c r="F1570" i="3"/>
  <c r="E1570" i="3"/>
  <c r="G1570" i="3" s="1"/>
  <c r="D1570" i="3"/>
  <c r="C1570" i="3"/>
  <c r="B1570" i="3"/>
  <c r="A1570" i="3"/>
  <c r="H1569" i="3"/>
  <c r="G1569" i="3"/>
  <c r="F1569" i="3"/>
  <c r="E1569" i="3"/>
  <c r="D1569" i="3"/>
  <c r="C1569" i="3"/>
  <c r="B1569" i="3"/>
  <c r="A1569" i="3"/>
  <c r="H1568" i="3"/>
  <c r="G1568" i="3"/>
  <c r="F1568" i="3"/>
  <c r="E1568" i="3"/>
  <c r="D1568" i="3"/>
  <c r="I1568" i="3" s="1"/>
  <c r="C1568" i="3"/>
  <c r="B1568" i="3"/>
  <c r="A1568" i="3"/>
  <c r="I1567" i="3"/>
  <c r="H1567" i="3"/>
  <c r="F1567" i="3"/>
  <c r="E1567" i="3"/>
  <c r="G1567" i="3" s="1"/>
  <c r="D1567" i="3"/>
  <c r="C1567" i="3"/>
  <c r="B1567" i="3"/>
  <c r="A1567" i="3"/>
  <c r="H1566" i="3"/>
  <c r="F1566" i="3"/>
  <c r="E1566" i="3"/>
  <c r="G1566" i="3" s="1"/>
  <c r="D1566" i="3"/>
  <c r="I1566" i="3" s="1"/>
  <c r="C1566" i="3"/>
  <c r="B1566" i="3"/>
  <c r="A1566" i="3"/>
  <c r="H1565" i="3"/>
  <c r="G1565" i="3"/>
  <c r="F1565" i="3"/>
  <c r="E1565" i="3"/>
  <c r="D1565" i="3"/>
  <c r="C1565" i="3"/>
  <c r="I1565" i="3" s="1"/>
  <c r="B1565" i="3"/>
  <c r="A1565" i="3"/>
  <c r="H1564" i="3"/>
  <c r="G1564" i="3"/>
  <c r="F1564" i="3"/>
  <c r="E1564" i="3"/>
  <c r="D1564" i="3"/>
  <c r="C1564" i="3"/>
  <c r="B1564" i="3"/>
  <c r="A1564" i="3"/>
  <c r="H1563" i="3"/>
  <c r="G1563" i="3"/>
  <c r="F1563" i="3"/>
  <c r="E1563" i="3"/>
  <c r="D1563" i="3"/>
  <c r="C1563" i="3"/>
  <c r="B1563" i="3"/>
  <c r="A1563" i="3"/>
  <c r="H1562" i="3"/>
  <c r="F1562" i="3"/>
  <c r="E1562" i="3"/>
  <c r="G1562" i="3" s="1"/>
  <c r="D1562" i="3"/>
  <c r="I1562" i="3" s="1"/>
  <c r="C1562" i="3"/>
  <c r="B1562" i="3"/>
  <c r="A1562" i="3"/>
  <c r="I1561" i="3"/>
  <c r="H1561" i="3"/>
  <c r="F1561" i="3"/>
  <c r="E1561" i="3"/>
  <c r="G1561" i="3" s="1"/>
  <c r="D1561" i="3"/>
  <c r="C1561" i="3"/>
  <c r="B1561" i="3"/>
  <c r="A1561" i="3"/>
  <c r="H1560" i="3"/>
  <c r="G1560" i="3"/>
  <c r="F1560" i="3"/>
  <c r="E1560" i="3"/>
  <c r="D1560" i="3"/>
  <c r="I1560" i="3" s="1"/>
  <c r="C1560" i="3"/>
  <c r="B1560" i="3"/>
  <c r="A1560" i="3"/>
  <c r="I1559" i="3"/>
  <c r="H1559" i="3"/>
  <c r="F1559" i="3"/>
  <c r="E1559" i="3"/>
  <c r="G1559" i="3" s="1"/>
  <c r="D1559" i="3"/>
  <c r="C1559" i="3"/>
  <c r="B1559" i="3"/>
  <c r="A1559" i="3"/>
  <c r="H1558" i="3"/>
  <c r="F1558" i="3"/>
  <c r="E1558" i="3"/>
  <c r="G1558" i="3" s="1"/>
  <c r="D1558" i="3"/>
  <c r="I1558" i="3" s="1"/>
  <c r="C1558" i="3"/>
  <c r="B1558" i="3"/>
  <c r="A1558" i="3"/>
  <c r="H1557" i="3"/>
  <c r="G1557" i="3"/>
  <c r="F1557" i="3"/>
  <c r="E1557" i="3"/>
  <c r="D1557" i="3"/>
  <c r="C1557" i="3"/>
  <c r="I1557" i="3" s="1"/>
  <c r="B1557" i="3"/>
  <c r="A1557" i="3"/>
  <c r="H1556" i="3"/>
  <c r="G1556" i="3"/>
  <c r="F1556" i="3"/>
  <c r="E1556" i="3"/>
  <c r="D1556" i="3"/>
  <c r="C1556" i="3"/>
  <c r="B1556" i="3"/>
  <c r="A1556" i="3"/>
  <c r="H1555" i="3"/>
  <c r="G1555" i="3"/>
  <c r="F1555" i="3"/>
  <c r="E1555" i="3"/>
  <c r="D1555" i="3"/>
  <c r="I1555" i="3" s="1"/>
  <c r="C1555" i="3"/>
  <c r="B1555" i="3"/>
  <c r="A1555" i="3"/>
  <c r="H1554" i="3"/>
  <c r="F1554" i="3"/>
  <c r="E1554" i="3"/>
  <c r="G1554" i="3" s="1"/>
  <c r="D1554" i="3"/>
  <c r="I1554" i="3" s="1"/>
  <c r="C1554" i="3"/>
  <c r="B1554" i="3"/>
  <c r="A1554" i="3"/>
  <c r="I1553" i="3"/>
  <c r="H1553" i="3"/>
  <c r="F1553" i="3"/>
  <c r="E1553" i="3"/>
  <c r="G1553" i="3" s="1"/>
  <c r="D1553" i="3"/>
  <c r="C1553" i="3"/>
  <c r="B1553" i="3"/>
  <c r="A1553" i="3"/>
  <c r="H1552" i="3"/>
  <c r="G1552" i="3"/>
  <c r="F1552" i="3"/>
  <c r="E1552" i="3"/>
  <c r="D1552" i="3"/>
  <c r="I1552" i="3" s="1"/>
  <c r="C1552" i="3"/>
  <c r="B1552" i="3"/>
  <c r="A1552" i="3"/>
  <c r="I1551" i="3"/>
  <c r="H1551" i="3"/>
  <c r="F1551" i="3"/>
  <c r="E1551" i="3"/>
  <c r="G1551" i="3" s="1"/>
  <c r="D1551" i="3"/>
  <c r="C1551" i="3"/>
  <c r="B1551" i="3"/>
  <c r="A1551" i="3"/>
  <c r="H1550" i="3"/>
  <c r="F1550" i="3"/>
  <c r="E1550" i="3"/>
  <c r="G1550" i="3" s="1"/>
  <c r="D1550" i="3"/>
  <c r="I1550" i="3" s="1"/>
  <c r="C1550" i="3"/>
  <c r="B1550" i="3"/>
  <c r="A1550" i="3"/>
  <c r="H1549" i="3"/>
  <c r="G1549" i="3"/>
  <c r="F1549" i="3"/>
  <c r="E1549" i="3"/>
  <c r="D1549" i="3"/>
  <c r="C1549" i="3"/>
  <c r="I1549" i="3" s="1"/>
  <c r="B1549" i="3"/>
  <c r="A1549" i="3"/>
  <c r="H1548" i="3"/>
  <c r="G1548" i="3"/>
  <c r="F1548" i="3"/>
  <c r="E1548" i="3"/>
  <c r="D1548" i="3"/>
  <c r="C1548" i="3"/>
  <c r="B1548" i="3"/>
  <c r="A1548" i="3"/>
  <c r="H1547" i="3"/>
  <c r="G1547" i="3"/>
  <c r="F1547" i="3"/>
  <c r="E1547" i="3"/>
  <c r="D1547" i="3"/>
  <c r="C1547" i="3"/>
  <c r="B1547" i="3"/>
  <c r="A1547" i="3"/>
  <c r="H1546" i="3"/>
  <c r="F1546" i="3"/>
  <c r="E1546" i="3"/>
  <c r="G1546" i="3" s="1"/>
  <c r="D1546" i="3"/>
  <c r="I1546" i="3" s="1"/>
  <c r="C1546" i="3"/>
  <c r="B1546" i="3"/>
  <c r="A1546" i="3"/>
  <c r="I1545" i="3"/>
  <c r="H1545" i="3"/>
  <c r="F1545" i="3"/>
  <c r="E1545" i="3"/>
  <c r="G1545" i="3" s="1"/>
  <c r="D1545" i="3"/>
  <c r="C1545" i="3"/>
  <c r="B1545" i="3"/>
  <c r="A1545" i="3"/>
  <c r="H1544" i="3"/>
  <c r="G1544" i="3"/>
  <c r="F1544" i="3"/>
  <c r="E1544" i="3"/>
  <c r="D1544" i="3"/>
  <c r="I1544" i="3" s="1"/>
  <c r="C1544" i="3"/>
  <c r="B1544" i="3"/>
  <c r="A1544" i="3"/>
  <c r="I1543" i="3"/>
  <c r="H1543" i="3"/>
  <c r="F1543" i="3"/>
  <c r="E1543" i="3"/>
  <c r="G1543" i="3" s="1"/>
  <c r="D1543" i="3"/>
  <c r="C1543" i="3"/>
  <c r="B1543" i="3"/>
  <c r="A1543" i="3"/>
  <c r="H1542" i="3"/>
  <c r="F1542" i="3"/>
  <c r="E1542" i="3"/>
  <c r="G1542" i="3" s="1"/>
  <c r="D1542" i="3"/>
  <c r="I1542" i="3" s="1"/>
  <c r="C1542" i="3"/>
  <c r="B1542" i="3"/>
  <c r="A1542" i="3"/>
  <c r="H1541" i="3"/>
  <c r="G1541" i="3"/>
  <c r="F1541" i="3"/>
  <c r="E1541" i="3"/>
  <c r="D1541" i="3"/>
  <c r="C1541" i="3"/>
  <c r="I1541" i="3" s="1"/>
  <c r="B1541" i="3"/>
  <c r="A1541" i="3"/>
  <c r="H1540" i="3"/>
  <c r="G1540" i="3"/>
  <c r="F1540" i="3"/>
  <c r="E1540" i="3"/>
  <c r="D1540" i="3"/>
  <c r="C1540" i="3"/>
  <c r="B1540" i="3"/>
  <c r="A1540" i="3"/>
  <c r="H1539" i="3"/>
  <c r="G1539" i="3"/>
  <c r="F1539" i="3"/>
  <c r="E1539" i="3"/>
  <c r="D1539" i="3"/>
  <c r="I1539" i="3" s="1"/>
  <c r="C1539" i="3"/>
  <c r="B1539" i="3"/>
  <c r="A1539" i="3"/>
  <c r="H1538" i="3"/>
  <c r="F1538" i="3"/>
  <c r="E1538" i="3"/>
  <c r="G1538" i="3" s="1"/>
  <c r="D1538" i="3"/>
  <c r="I1538" i="3" s="1"/>
  <c r="C1538" i="3"/>
  <c r="B1538" i="3"/>
  <c r="A1538" i="3"/>
  <c r="I1537" i="3"/>
  <c r="H1537" i="3"/>
  <c r="F1537" i="3"/>
  <c r="E1537" i="3"/>
  <c r="G1537" i="3" s="1"/>
  <c r="D1537" i="3"/>
  <c r="C1537" i="3"/>
  <c r="B1537" i="3"/>
  <c r="A1537" i="3"/>
  <c r="H1536" i="3"/>
  <c r="G1536" i="3"/>
  <c r="F1536" i="3"/>
  <c r="E1536" i="3"/>
  <c r="D1536" i="3"/>
  <c r="I1536" i="3" s="1"/>
  <c r="C1536" i="3"/>
  <c r="B1536" i="3"/>
  <c r="A1536" i="3"/>
  <c r="I1535" i="3"/>
  <c r="H1535" i="3"/>
  <c r="F1535" i="3"/>
  <c r="E1535" i="3"/>
  <c r="G1535" i="3" s="1"/>
  <c r="D1535" i="3"/>
  <c r="C1535" i="3"/>
  <c r="B1535" i="3"/>
  <c r="A1535" i="3"/>
  <c r="H1534" i="3"/>
  <c r="F1534" i="3"/>
  <c r="E1534" i="3"/>
  <c r="G1534" i="3" s="1"/>
  <c r="D1534" i="3"/>
  <c r="I1534" i="3" s="1"/>
  <c r="C1534" i="3"/>
  <c r="B1534" i="3"/>
  <c r="A1534" i="3"/>
  <c r="H1533" i="3"/>
  <c r="G1533" i="3"/>
  <c r="F1533" i="3"/>
  <c r="E1533" i="3"/>
  <c r="D1533" i="3"/>
  <c r="C1533" i="3"/>
  <c r="I1533" i="3" s="1"/>
  <c r="B1533" i="3"/>
  <c r="A1533" i="3"/>
  <c r="H1532" i="3"/>
  <c r="G1532" i="3"/>
  <c r="F1532" i="3"/>
  <c r="E1532" i="3"/>
  <c r="D1532" i="3"/>
  <c r="C1532" i="3"/>
  <c r="B1532" i="3"/>
  <c r="A1532" i="3"/>
  <c r="H1531" i="3"/>
  <c r="G1531" i="3"/>
  <c r="F1531" i="3"/>
  <c r="E1531" i="3"/>
  <c r="D1531" i="3"/>
  <c r="I1531" i="3" s="1"/>
  <c r="C1531" i="3"/>
  <c r="B1531" i="3"/>
  <c r="A1531" i="3"/>
  <c r="H1530" i="3"/>
  <c r="F1530" i="3"/>
  <c r="E1530" i="3"/>
  <c r="G1530" i="3" s="1"/>
  <c r="D1530" i="3"/>
  <c r="I1530" i="3" s="1"/>
  <c r="C1530" i="3"/>
  <c r="B1530" i="3"/>
  <c r="A1530" i="3"/>
  <c r="I1529" i="3"/>
  <c r="H1529" i="3"/>
  <c r="F1529" i="3"/>
  <c r="E1529" i="3"/>
  <c r="G1529" i="3" s="1"/>
  <c r="D1529" i="3"/>
  <c r="C1529" i="3"/>
  <c r="B1529" i="3"/>
  <c r="A1529" i="3"/>
  <c r="H1528" i="3"/>
  <c r="G1528" i="3"/>
  <c r="F1528" i="3"/>
  <c r="E1528" i="3"/>
  <c r="D1528" i="3"/>
  <c r="I1528" i="3" s="1"/>
  <c r="C1528" i="3"/>
  <c r="B1528" i="3"/>
  <c r="A1528" i="3"/>
  <c r="H1527" i="3"/>
  <c r="F1527" i="3"/>
  <c r="E1527" i="3"/>
  <c r="G1527" i="3" s="1"/>
  <c r="D1527" i="3"/>
  <c r="I1527" i="3" s="1"/>
  <c r="C1527" i="3"/>
  <c r="B1527" i="3"/>
  <c r="A1527" i="3"/>
  <c r="H1526" i="3"/>
  <c r="F1526" i="3"/>
  <c r="E1526" i="3"/>
  <c r="G1526" i="3" s="1"/>
  <c r="D1526" i="3"/>
  <c r="I1526" i="3" s="1"/>
  <c r="C1526" i="3"/>
  <c r="B1526" i="3"/>
  <c r="A1526" i="3"/>
  <c r="I1525" i="3"/>
  <c r="H1525" i="3"/>
  <c r="F1525" i="3"/>
  <c r="E1525" i="3"/>
  <c r="G1525" i="3" s="1"/>
  <c r="D1525" i="3"/>
  <c r="C1525" i="3"/>
  <c r="B1525" i="3"/>
  <c r="A1525" i="3"/>
  <c r="H1524" i="3"/>
  <c r="G1524" i="3"/>
  <c r="F1524" i="3"/>
  <c r="E1524" i="3"/>
  <c r="D1524" i="3"/>
  <c r="C1524" i="3"/>
  <c r="B1524" i="3"/>
  <c r="A1524" i="3"/>
  <c r="H1523" i="3"/>
  <c r="G1523" i="3"/>
  <c r="F1523" i="3"/>
  <c r="E1523" i="3"/>
  <c r="D1523" i="3"/>
  <c r="I1523" i="3" s="1"/>
  <c r="C1523" i="3"/>
  <c r="B1523" i="3"/>
  <c r="A1523" i="3"/>
  <c r="H1522" i="3"/>
  <c r="F1522" i="3"/>
  <c r="E1522" i="3"/>
  <c r="G1522" i="3" s="1"/>
  <c r="D1522" i="3"/>
  <c r="I1522" i="3" s="1"/>
  <c r="C1522" i="3"/>
  <c r="B1522" i="3"/>
  <c r="A1522" i="3"/>
  <c r="H1521" i="3"/>
  <c r="G1521" i="3"/>
  <c r="F1521" i="3"/>
  <c r="E1521" i="3"/>
  <c r="D1521" i="3"/>
  <c r="C1521" i="3"/>
  <c r="I1521" i="3" s="1"/>
  <c r="B1521" i="3"/>
  <c r="A1521" i="3"/>
  <c r="H1520" i="3"/>
  <c r="G1520" i="3"/>
  <c r="F1520" i="3"/>
  <c r="E1520" i="3"/>
  <c r="D1520" i="3"/>
  <c r="C1520" i="3"/>
  <c r="B1520" i="3"/>
  <c r="A1520" i="3"/>
  <c r="H1519" i="3"/>
  <c r="F1519" i="3"/>
  <c r="E1519" i="3"/>
  <c r="G1519" i="3" s="1"/>
  <c r="D1519" i="3"/>
  <c r="I1519" i="3" s="1"/>
  <c r="C1519" i="3"/>
  <c r="B1519" i="3"/>
  <c r="A1519" i="3"/>
  <c r="H1518" i="3"/>
  <c r="F1518" i="3"/>
  <c r="E1518" i="3"/>
  <c r="G1518" i="3" s="1"/>
  <c r="D1518" i="3"/>
  <c r="I1518" i="3" s="1"/>
  <c r="C1518" i="3"/>
  <c r="B1518" i="3"/>
  <c r="A1518" i="3"/>
  <c r="H1517" i="3"/>
  <c r="G1517" i="3"/>
  <c r="F1517" i="3"/>
  <c r="E1517" i="3"/>
  <c r="D1517" i="3"/>
  <c r="C1517" i="3"/>
  <c r="I1517" i="3" s="1"/>
  <c r="B1517" i="3"/>
  <c r="A1517" i="3"/>
  <c r="H1516" i="3"/>
  <c r="G1516" i="3"/>
  <c r="F1516" i="3"/>
  <c r="E1516" i="3"/>
  <c r="D1516" i="3"/>
  <c r="C1516" i="3"/>
  <c r="B1516" i="3"/>
  <c r="A1516" i="3"/>
  <c r="H1515" i="3"/>
  <c r="G1515" i="3"/>
  <c r="F1515" i="3"/>
  <c r="E1515" i="3"/>
  <c r="D1515" i="3"/>
  <c r="I1515" i="3" s="1"/>
  <c r="C1515" i="3"/>
  <c r="B1515" i="3"/>
  <c r="A1515" i="3"/>
  <c r="H1514" i="3"/>
  <c r="F1514" i="3"/>
  <c r="E1514" i="3"/>
  <c r="G1514" i="3" s="1"/>
  <c r="D1514" i="3"/>
  <c r="I1514" i="3" s="1"/>
  <c r="C1514" i="3"/>
  <c r="B1514" i="3"/>
  <c r="A1514" i="3"/>
  <c r="I1513" i="3"/>
  <c r="H1513" i="3"/>
  <c r="F1513" i="3"/>
  <c r="E1513" i="3"/>
  <c r="G1513" i="3" s="1"/>
  <c r="D1513" i="3"/>
  <c r="C1513" i="3"/>
  <c r="B1513" i="3"/>
  <c r="A1513" i="3"/>
  <c r="H1512" i="3"/>
  <c r="G1512" i="3"/>
  <c r="F1512" i="3"/>
  <c r="E1512" i="3"/>
  <c r="D1512" i="3"/>
  <c r="I1512" i="3" s="1"/>
  <c r="C1512" i="3"/>
  <c r="B1512" i="3"/>
  <c r="A1512" i="3"/>
  <c r="H1511" i="3"/>
  <c r="F1511" i="3"/>
  <c r="E1511" i="3"/>
  <c r="G1511" i="3" s="1"/>
  <c r="D1511" i="3"/>
  <c r="I1511" i="3" s="1"/>
  <c r="C1511" i="3"/>
  <c r="B1511" i="3"/>
  <c r="A1511" i="3"/>
  <c r="H1510" i="3"/>
  <c r="F1510" i="3"/>
  <c r="E1510" i="3"/>
  <c r="G1510" i="3" s="1"/>
  <c r="D1510" i="3"/>
  <c r="I1510" i="3" s="1"/>
  <c r="C1510" i="3"/>
  <c r="B1510" i="3"/>
  <c r="A1510" i="3"/>
  <c r="I1509" i="3"/>
  <c r="H1509" i="3"/>
  <c r="F1509" i="3"/>
  <c r="E1509" i="3"/>
  <c r="G1509" i="3" s="1"/>
  <c r="D1509" i="3"/>
  <c r="C1509" i="3"/>
  <c r="B1509" i="3"/>
  <c r="A1509" i="3"/>
  <c r="H1508" i="3"/>
  <c r="G1508" i="3"/>
  <c r="F1508" i="3"/>
  <c r="E1508" i="3"/>
  <c r="D1508" i="3"/>
  <c r="C1508" i="3"/>
  <c r="B1508" i="3"/>
  <c r="A1508" i="3"/>
  <c r="H1507" i="3"/>
  <c r="G1507" i="3"/>
  <c r="F1507" i="3"/>
  <c r="E1507" i="3"/>
  <c r="D1507" i="3"/>
  <c r="I1507" i="3" s="1"/>
  <c r="C1507" i="3"/>
  <c r="B1507" i="3"/>
  <c r="A1507" i="3"/>
  <c r="H1506" i="3"/>
  <c r="F1506" i="3"/>
  <c r="E1506" i="3"/>
  <c r="G1506" i="3" s="1"/>
  <c r="D1506" i="3"/>
  <c r="I1506" i="3" s="1"/>
  <c r="C1506" i="3"/>
  <c r="B1506" i="3"/>
  <c r="A1506" i="3"/>
  <c r="H1505" i="3"/>
  <c r="G1505" i="3"/>
  <c r="F1505" i="3"/>
  <c r="E1505" i="3"/>
  <c r="D1505" i="3"/>
  <c r="C1505" i="3"/>
  <c r="I1505" i="3" s="1"/>
  <c r="B1505" i="3"/>
  <c r="A1505" i="3"/>
  <c r="H1504" i="3"/>
  <c r="G1504" i="3"/>
  <c r="F1504" i="3"/>
  <c r="E1504" i="3"/>
  <c r="D1504" i="3"/>
  <c r="C1504" i="3"/>
  <c r="B1504" i="3"/>
  <c r="A1504" i="3"/>
  <c r="H1503" i="3"/>
  <c r="F1503" i="3"/>
  <c r="E1503" i="3"/>
  <c r="G1503" i="3" s="1"/>
  <c r="D1503" i="3"/>
  <c r="I1503" i="3" s="1"/>
  <c r="C1503" i="3"/>
  <c r="B1503" i="3"/>
  <c r="A1503" i="3"/>
  <c r="H1502" i="3"/>
  <c r="F1502" i="3"/>
  <c r="E1502" i="3"/>
  <c r="G1502" i="3" s="1"/>
  <c r="D1502" i="3"/>
  <c r="I1502" i="3" s="1"/>
  <c r="C1502" i="3"/>
  <c r="B1502" i="3"/>
  <c r="A1502" i="3"/>
  <c r="H1501" i="3"/>
  <c r="G1501" i="3"/>
  <c r="F1501" i="3"/>
  <c r="E1501" i="3"/>
  <c r="D1501" i="3"/>
  <c r="C1501" i="3"/>
  <c r="I1501" i="3" s="1"/>
  <c r="B1501" i="3"/>
  <c r="A1501" i="3"/>
  <c r="H1500" i="3"/>
  <c r="G1500" i="3"/>
  <c r="F1500" i="3"/>
  <c r="E1500" i="3"/>
  <c r="D1500" i="3"/>
  <c r="C1500" i="3"/>
  <c r="B1500" i="3"/>
  <c r="A1500" i="3"/>
  <c r="H1499" i="3"/>
  <c r="G1499" i="3"/>
  <c r="F1499" i="3"/>
  <c r="E1499" i="3"/>
  <c r="D1499" i="3"/>
  <c r="I1499" i="3" s="1"/>
  <c r="C1499" i="3"/>
  <c r="B1499" i="3"/>
  <c r="A1499" i="3"/>
  <c r="H1498" i="3"/>
  <c r="F1498" i="3"/>
  <c r="E1498" i="3"/>
  <c r="G1498" i="3" s="1"/>
  <c r="D1498" i="3"/>
  <c r="I1498" i="3" s="1"/>
  <c r="C1498" i="3"/>
  <c r="B1498" i="3"/>
  <c r="A1498" i="3"/>
  <c r="I1497" i="3"/>
  <c r="H1497" i="3"/>
  <c r="F1497" i="3"/>
  <c r="E1497" i="3"/>
  <c r="G1497" i="3" s="1"/>
  <c r="D1497" i="3"/>
  <c r="C1497" i="3"/>
  <c r="B1497" i="3"/>
  <c r="A1497" i="3"/>
  <c r="H1496" i="3"/>
  <c r="G1496" i="3"/>
  <c r="F1496" i="3"/>
  <c r="E1496" i="3"/>
  <c r="D1496" i="3"/>
  <c r="I1496" i="3" s="1"/>
  <c r="C1496" i="3"/>
  <c r="B1496" i="3"/>
  <c r="A1496" i="3"/>
  <c r="H1495" i="3"/>
  <c r="F1495" i="3"/>
  <c r="E1495" i="3"/>
  <c r="G1495" i="3" s="1"/>
  <c r="D1495" i="3"/>
  <c r="I1495" i="3" s="1"/>
  <c r="C1495" i="3"/>
  <c r="B1495" i="3"/>
  <c r="A1495" i="3"/>
  <c r="H1494" i="3"/>
  <c r="F1494" i="3"/>
  <c r="E1494" i="3"/>
  <c r="G1494" i="3" s="1"/>
  <c r="D1494" i="3"/>
  <c r="I1494" i="3" s="1"/>
  <c r="C1494" i="3"/>
  <c r="B1494" i="3"/>
  <c r="A1494" i="3"/>
  <c r="I1493" i="3"/>
  <c r="H1493" i="3"/>
  <c r="F1493" i="3"/>
  <c r="E1493" i="3"/>
  <c r="G1493" i="3" s="1"/>
  <c r="D1493" i="3"/>
  <c r="C1493" i="3"/>
  <c r="B1493" i="3"/>
  <c r="A1493" i="3"/>
  <c r="H1492" i="3"/>
  <c r="G1492" i="3"/>
  <c r="F1492" i="3"/>
  <c r="E1492" i="3"/>
  <c r="D1492" i="3"/>
  <c r="C1492" i="3"/>
  <c r="B1492" i="3"/>
  <c r="A1492" i="3"/>
  <c r="H1491" i="3"/>
  <c r="G1491" i="3"/>
  <c r="F1491" i="3"/>
  <c r="E1491" i="3"/>
  <c r="D1491" i="3"/>
  <c r="I1491" i="3" s="1"/>
  <c r="C1491" i="3"/>
  <c r="B1491" i="3"/>
  <c r="A1491" i="3"/>
  <c r="H1490" i="3"/>
  <c r="F1490" i="3"/>
  <c r="E1490" i="3"/>
  <c r="G1490" i="3" s="1"/>
  <c r="D1490" i="3"/>
  <c r="I1490" i="3" s="1"/>
  <c r="C1490" i="3"/>
  <c r="B1490" i="3"/>
  <c r="A1490" i="3"/>
  <c r="H1489" i="3"/>
  <c r="G1489" i="3"/>
  <c r="F1489" i="3"/>
  <c r="E1489" i="3"/>
  <c r="D1489" i="3"/>
  <c r="C1489" i="3"/>
  <c r="I1489" i="3" s="1"/>
  <c r="B1489" i="3"/>
  <c r="A1489" i="3"/>
  <c r="H1488" i="3"/>
  <c r="G1488" i="3"/>
  <c r="F1488" i="3"/>
  <c r="E1488" i="3"/>
  <c r="D1488" i="3"/>
  <c r="C1488" i="3"/>
  <c r="B1488" i="3"/>
  <c r="A1488" i="3"/>
  <c r="H1487" i="3"/>
  <c r="F1487" i="3"/>
  <c r="E1487" i="3"/>
  <c r="G1487" i="3" s="1"/>
  <c r="D1487" i="3"/>
  <c r="I1487" i="3" s="1"/>
  <c r="C1487" i="3"/>
  <c r="B1487" i="3"/>
  <c r="A1487" i="3"/>
  <c r="H1486" i="3"/>
  <c r="F1486" i="3"/>
  <c r="E1486" i="3"/>
  <c r="G1486" i="3" s="1"/>
  <c r="D1486" i="3"/>
  <c r="I1486" i="3" s="1"/>
  <c r="C1486" i="3"/>
  <c r="B1486" i="3"/>
  <c r="A1486" i="3"/>
  <c r="H1485" i="3"/>
  <c r="G1485" i="3"/>
  <c r="F1485" i="3"/>
  <c r="E1485" i="3"/>
  <c r="D1485" i="3"/>
  <c r="C1485" i="3"/>
  <c r="I1485" i="3" s="1"/>
  <c r="B1485" i="3"/>
  <c r="A1485" i="3"/>
  <c r="H1484" i="3"/>
  <c r="G1484" i="3"/>
  <c r="F1484" i="3"/>
  <c r="E1484" i="3"/>
  <c r="D1484" i="3"/>
  <c r="C1484" i="3"/>
  <c r="B1484" i="3"/>
  <c r="A1484" i="3"/>
  <c r="H1483" i="3"/>
  <c r="G1483" i="3"/>
  <c r="F1483" i="3"/>
  <c r="E1483" i="3"/>
  <c r="D1483" i="3"/>
  <c r="I1483" i="3" s="1"/>
  <c r="C1483" i="3"/>
  <c r="B1483" i="3"/>
  <c r="A1483" i="3"/>
  <c r="H1482" i="3"/>
  <c r="F1482" i="3"/>
  <c r="E1482" i="3"/>
  <c r="G1482" i="3" s="1"/>
  <c r="D1482" i="3"/>
  <c r="I1482" i="3" s="1"/>
  <c r="C1482" i="3"/>
  <c r="B1482" i="3"/>
  <c r="A1482" i="3"/>
  <c r="I1481" i="3"/>
  <c r="H1481" i="3"/>
  <c r="F1481" i="3"/>
  <c r="E1481" i="3"/>
  <c r="G1481" i="3" s="1"/>
  <c r="D1481" i="3"/>
  <c r="C1481" i="3"/>
  <c r="B1481" i="3"/>
  <c r="A1481" i="3"/>
  <c r="H1480" i="3"/>
  <c r="G1480" i="3"/>
  <c r="F1480" i="3"/>
  <c r="E1480" i="3"/>
  <c r="D1480" i="3"/>
  <c r="I1480" i="3" s="1"/>
  <c r="C1480" i="3"/>
  <c r="B1480" i="3"/>
  <c r="A1480" i="3"/>
  <c r="H1479" i="3"/>
  <c r="F1479" i="3"/>
  <c r="E1479" i="3"/>
  <c r="G1479" i="3" s="1"/>
  <c r="D1479" i="3"/>
  <c r="I1479" i="3" s="1"/>
  <c r="C1479" i="3"/>
  <c r="B1479" i="3"/>
  <c r="A1479" i="3"/>
  <c r="H1478" i="3"/>
  <c r="F1478" i="3"/>
  <c r="E1478" i="3"/>
  <c r="G1478" i="3" s="1"/>
  <c r="D1478" i="3"/>
  <c r="I1478" i="3" s="1"/>
  <c r="C1478" i="3"/>
  <c r="B1478" i="3"/>
  <c r="A1478" i="3"/>
  <c r="I1477" i="3"/>
  <c r="H1477" i="3"/>
  <c r="F1477" i="3"/>
  <c r="E1477" i="3"/>
  <c r="G1477" i="3" s="1"/>
  <c r="D1477" i="3"/>
  <c r="C1477" i="3"/>
  <c r="B1477" i="3"/>
  <c r="A1477" i="3"/>
  <c r="H1476" i="3"/>
  <c r="G1476" i="3"/>
  <c r="F1476" i="3"/>
  <c r="E1476" i="3"/>
  <c r="D1476" i="3"/>
  <c r="C1476" i="3"/>
  <c r="B1476" i="3"/>
  <c r="A1476" i="3"/>
  <c r="H1475" i="3"/>
  <c r="G1475" i="3"/>
  <c r="F1475" i="3"/>
  <c r="E1475" i="3"/>
  <c r="D1475" i="3"/>
  <c r="I1475" i="3" s="1"/>
  <c r="C1475" i="3"/>
  <c r="B1475" i="3"/>
  <c r="A1475" i="3"/>
  <c r="H1474" i="3"/>
  <c r="F1474" i="3"/>
  <c r="E1474" i="3"/>
  <c r="G1474" i="3" s="1"/>
  <c r="D1474" i="3"/>
  <c r="I1474" i="3" s="1"/>
  <c r="C1474" i="3"/>
  <c r="B1474" i="3"/>
  <c r="A1474" i="3"/>
  <c r="H1473" i="3"/>
  <c r="G1473" i="3"/>
  <c r="F1473" i="3"/>
  <c r="E1473" i="3"/>
  <c r="D1473" i="3"/>
  <c r="C1473" i="3"/>
  <c r="I1473" i="3" s="1"/>
  <c r="B1473" i="3"/>
  <c r="A1473" i="3"/>
  <c r="H1472" i="3"/>
  <c r="G1472" i="3"/>
  <c r="F1472" i="3"/>
  <c r="E1472" i="3"/>
  <c r="D1472" i="3"/>
  <c r="C1472" i="3"/>
  <c r="B1472" i="3"/>
  <c r="A1472" i="3"/>
  <c r="H1471" i="3"/>
  <c r="F1471" i="3"/>
  <c r="E1471" i="3"/>
  <c r="G1471" i="3" s="1"/>
  <c r="D1471" i="3"/>
  <c r="I1471" i="3" s="1"/>
  <c r="C1471" i="3"/>
  <c r="B1471" i="3"/>
  <c r="A1471" i="3"/>
  <c r="H1470" i="3"/>
  <c r="F1470" i="3"/>
  <c r="E1470" i="3"/>
  <c r="G1470" i="3" s="1"/>
  <c r="D1470" i="3"/>
  <c r="I1470" i="3" s="1"/>
  <c r="C1470" i="3"/>
  <c r="B1470" i="3"/>
  <c r="A1470" i="3"/>
  <c r="H1469" i="3"/>
  <c r="G1469" i="3"/>
  <c r="F1469" i="3"/>
  <c r="E1469" i="3"/>
  <c r="D1469" i="3"/>
  <c r="C1469" i="3"/>
  <c r="I1469" i="3" s="1"/>
  <c r="B1469" i="3"/>
  <c r="A1469" i="3"/>
  <c r="H1468" i="3"/>
  <c r="G1468" i="3"/>
  <c r="F1468" i="3"/>
  <c r="E1468" i="3"/>
  <c r="D1468" i="3"/>
  <c r="C1468" i="3"/>
  <c r="B1468" i="3"/>
  <c r="A1468" i="3"/>
  <c r="H1467" i="3"/>
  <c r="G1467" i="3"/>
  <c r="F1467" i="3"/>
  <c r="E1467" i="3"/>
  <c r="D1467" i="3"/>
  <c r="I1467" i="3" s="1"/>
  <c r="C1467" i="3"/>
  <c r="B1467" i="3"/>
  <c r="A1467" i="3"/>
  <c r="H1466" i="3"/>
  <c r="F1466" i="3"/>
  <c r="E1466" i="3"/>
  <c r="G1466" i="3" s="1"/>
  <c r="D1466" i="3"/>
  <c r="I1466" i="3" s="1"/>
  <c r="C1466" i="3"/>
  <c r="B1466" i="3"/>
  <c r="A1466" i="3"/>
  <c r="I1465" i="3"/>
  <c r="H1465" i="3"/>
  <c r="F1465" i="3"/>
  <c r="E1465" i="3"/>
  <c r="G1465" i="3" s="1"/>
  <c r="D1465" i="3"/>
  <c r="C1465" i="3"/>
  <c r="B1465" i="3"/>
  <c r="A1465" i="3"/>
  <c r="H1464" i="3"/>
  <c r="G1464" i="3"/>
  <c r="F1464" i="3"/>
  <c r="E1464" i="3"/>
  <c r="D1464" i="3"/>
  <c r="I1464" i="3" s="1"/>
  <c r="C1464" i="3"/>
  <c r="B1464" i="3"/>
  <c r="A1464" i="3"/>
  <c r="H1463" i="3"/>
  <c r="F1463" i="3"/>
  <c r="E1463" i="3"/>
  <c r="G1463" i="3" s="1"/>
  <c r="D1463" i="3"/>
  <c r="I1463" i="3" s="1"/>
  <c r="C1463" i="3"/>
  <c r="B1463" i="3"/>
  <c r="A1463" i="3"/>
  <c r="H1462" i="3"/>
  <c r="F1462" i="3"/>
  <c r="E1462" i="3"/>
  <c r="G1462" i="3" s="1"/>
  <c r="D1462" i="3"/>
  <c r="I1462" i="3" s="1"/>
  <c r="C1462" i="3"/>
  <c r="B1462" i="3"/>
  <c r="A1462" i="3"/>
  <c r="I1461" i="3"/>
  <c r="H1461" i="3"/>
  <c r="F1461" i="3"/>
  <c r="E1461" i="3"/>
  <c r="G1461" i="3" s="1"/>
  <c r="D1461" i="3"/>
  <c r="C1461" i="3"/>
  <c r="B1461" i="3"/>
  <c r="A1461" i="3"/>
  <c r="H1460" i="3"/>
  <c r="G1460" i="3"/>
  <c r="F1460" i="3"/>
  <c r="E1460" i="3"/>
  <c r="D1460" i="3"/>
  <c r="C1460" i="3"/>
  <c r="B1460" i="3"/>
  <c r="A1460" i="3"/>
  <c r="H1459" i="3"/>
  <c r="G1459" i="3"/>
  <c r="F1459" i="3"/>
  <c r="E1459" i="3"/>
  <c r="D1459" i="3"/>
  <c r="I1459" i="3" s="1"/>
  <c r="C1459" i="3"/>
  <c r="B1459" i="3"/>
  <c r="A1459" i="3"/>
  <c r="H1458" i="3"/>
  <c r="F1458" i="3"/>
  <c r="E1458" i="3"/>
  <c r="G1458" i="3" s="1"/>
  <c r="D1458" i="3"/>
  <c r="I1458" i="3" s="1"/>
  <c r="C1458" i="3"/>
  <c r="B1458" i="3"/>
  <c r="A1458" i="3"/>
  <c r="H1457" i="3"/>
  <c r="G1457" i="3"/>
  <c r="F1457" i="3"/>
  <c r="E1457" i="3"/>
  <c r="D1457" i="3"/>
  <c r="C1457" i="3"/>
  <c r="I1457" i="3" s="1"/>
  <c r="B1457" i="3"/>
  <c r="A1457" i="3"/>
  <c r="H1456" i="3"/>
  <c r="G1456" i="3"/>
  <c r="F1456" i="3"/>
  <c r="E1456" i="3"/>
  <c r="D1456" i="3"/>
  <c r="C1456" i="3"/>
  <c r="B1456" i="3"/>
  <c r="A1456" i="3"/>
  <c r="H1455" i="3"/>
  <c r="F1455" i="3"/>
  <c r="E1455" i="3"/>
  <c r="G1455" i="3" s="1"/>
  <c r="D1455" i="3"/>
  <c r="I1455" i="3" s="1"/>
  <c r="C1455" i="3"/>
  <c r="B1455" i="3"/>
  <c r="A1455" i="3"/>
  <c r="H1454" i="3"/>
  <c r="F1454" i="3"/>
  <c r="E1454" i="3"/>
  <c r="G1454" i="3" s="1"/>
  <c r="D1454" i="3"/>
  <c r="I1454" i="3" s="1"/>
  <c r="C1454" i="3"/>
  <c r="B1454" i="3"/>
  <c r="A1454" i="3"/>
  <c r="H1453" i="3"/>
  <c r="G1453" i="3"/>
  <c r="F1453" i="3"/>
  <c r="E1453" i="3"/>
  <c r="D1453" i="3"/>
  <c r="C1453" i="3"/>
  <c r="I1453" i="3" s="1"/>
  <c r="B1453" i="3"/>
  <c r="A1453" i="3"/>
  <c r="H1452" i="3"/>
  <c r="G1452" i="3"/>
  <c r="F1452" i="3"/>
  <c r="E1452" i="3"/>
  <c r="D1452" i="3"/>
  <c r="C1452" i="3"/>
  <c r="B1452" i="3"/>
  <c r="A1452" i="3"/>
  <c r="H1451" i="3"/>
  <c r="G1451" i="3"/>
  <c r="F1451" i="3"/>
  <c r="E1451" i="3"/>
  <c r="D1451" i="3"/>
  <c r="I1451" i="3" s="1"/>
  <c r="C1451" i="3"/>
  <c r="B1451" i="3"/>
  <c r="A1451" i="3"/>
  <c r="H1450" i="3"/>
  <c r="F1450" i="3"/>
  <c r="E1450" i="3"/>
  <c r="G1450" i="3" s="1"/>
  <c r="D1450" i="3"/>
  <c r="I1450" i="3" s="1"/>
  <c r="C1450" i="3"/>
  <c r="B1450" i="3"/>
  <c r="A1450" i="3"/>
  <c r="I1449" i="3"/>
  <c r="H1449" i="3"/>
  <c r="F1449" i="3"/>
  <c r="E1449" i="3"/>
  <c r="G1449" i="3" s="1"/>
  <c r="D1449" i="3"/>
  <c r="C1449" i="3"/>
  <c r="B1449" i="3"/>
  <c r="A1449" i="3"/>
  <c r="H1448" i="3"/>
  <c r="G1448" i="3"/>
  <c r="F1448" i="3"/>
  <c r="E1448" i="3"/>
  <c r="D1448" i="3"/>
  <c r="I1448" i="3" s="1"/>
  <c r="C1448" i="3"/>
  <c r="B1448" i="3"/>
  <c r="A1448" i="3"/>
  <c r="H1447" i="3"/>
  <c r="F1447" i="3"/>
  <c r="E1447" i="3"/>
  <c r="G1447" i="3" s="1"/>
  <c r="D1447" i="3"/>
  <c r="I1447" i="3" s="1"/>
  <c r="C1447" i="3"/>
  <c r="B1447" i="3"/>
  <c r="A1447" i="3"/>
  <c r="H1446" i="3"/>
  <c r="F1446" i="3"/>
  <c r="E1446" i="3"/>
  <c r="G1446" i="3" s="1"/>
  <c r="D1446" i="3"/>
  <c r="I1446" i="3" s="1"/>
  <c r="C1446" i="3"/>
  <c r="B1446" i="3"/>
  <c r="A1446" i="3"/>
  <c r="I1445" i="3"/>
  <c r="H1445" i="3"/>
  <c r="F1445" i="3"/>
  <c r="E1445" i="3"/>
  <c r="G1445" i="3" s="1"/>
  <c r="D1445" i="3"/>
  <c r="C1445" i="3"/>
  <c r="B1445" i="3"/>
  <c r="A1445" i="3"/>
  <c r="H1444" i="3"/>
  <c r="F1444" i="3"/>
  <c r="E1444" i="3"/>
  <c r="G1444" i="3" s="1"/>
  <c r="D1444" i="3"/>
  <c r="C1444" i="3"/>
  <c r="B1444" i="3"/>
  <c r="A1444" i="3"/>
  <c r="H1443" i="3"/>
  <c r="G1443" i="3"/>
  <c r="F1443" i="3"/>
  <c r="E1443" i="3"/>
  <c r="D1443" i="3"/>
  <c r="I1443" i="3" s="1"/>
  <c r="C1443" i="3"/>
  <c r="B1443" i="3"/>
  <c r="A1443" i="3"/>
  <c r="H1442" i="3"/>
  <c r="G1442" i="3"/>
  <c r="F1442" i="3"/>
  <c r="E1442" i="3"/>
  <c r="D1442" i="3"/>
  <c r="C1442" i="3"/>
  <c r="I1442" i="3" s="1"/>
  <c r="B1442" i="3"/>
  <c r="A1442" i="3"/>
  <c r="H1441" i="3"/>
  <c r="F1441" i="3"/>
  <c r="E1441" i="3"/>
  <c r="G1441" i="3" s="1"/>
  <c r="D1441" i="3"/>
  <c r="I1441" i="3" s="1"/>
  <c r="C1441" i="3"/>
  <c r="B1441" i="3"/>
  <c r="A1441" i="3"/>
  <c r="H1440" i="3"/>
  <c r="G1440" i="3"/>
  <c r="F1440" i="3"/>
  <c r="E1440" i="3"/>
  <c r="D1440" i="3"/>
  <c r="C1440" i="3"/>
  <c r="I1440" i="3" s="1"/>
  <c r="B1440" i="3"/>
  <c r="A1440" i="3"/>
  <c r="H1439" i="3"/>
  <c r="G1439" i="3"/>
  <c r="F1439" i="3"/>
  <c r="E1439" i="3"/>
  <c r="D1439" i="3"/>
  <c r="I1439" i="3" s="1"/>
  <c r="C1439" i="3"/>
  <c r="B1439" i="3"/>
  <c r="A1439" i="3"/>
  <c r="I1438" i="3"/>
  <c r="H1438" i="3"/>
  <c r="F1438" i="3"/>
  <c r="E1438" i="3"/>
  <c r="G1438" i="3" s="1"/>
  <c r="D1438" i="3"/>
  <c r="C1438" i="3"/>
  <c r="B1438" i="3"/>
  <c r="A1438" i="3"/>
  <c r="H1437" i="3"/>
  <c r="F1437" i="3"/>
  <c r="E1437" i="3"/>
  <c r="G1437" i="3" s="1"/>
  <c r="D1437" i="3"/>
  <c r="I1437" i="3" s="1"/>
  <c r="C1437" i="3"/>
  <c r="B1437" i="3"/>
  <c r="A1437" i="3"/>
  <c r="I1436" i="3"/>
  <c r="H1436" i="3"/>
  <c r="F1436" i="3"/>
  <c r="E1436" i="3"/>
  <c r="G1436" i="3" s="1"/>
  <c r="D1436" i="3"/>
  <c r="C1436" i="3"/>
  <c r="B1436" i="3"/>
  <c r="A1436" i="3"/>
  <c r="H1435" i="3"/>
  <c r="G1435" i="3"/>
  <c r="F1435" i="3"/>
  <c r="E1435" i="3"/>
  <c r="D1435" i="3"/>
  <c r="I1435" i="3" s="1"/>
  <c r="C1435" i="3"/>
  <c r="B1435" i="3"/>
  <c r="A1435" i="3"/>
  <c r="H1434" i="3"/>
  <c r="G1434" i="3"/>
  <c r="F1434" i="3"/>
  <c r="E1434" i="3"/>
  <c r="D1434" i="3"/>
  <c r="C1434" i="3"/>
  <c r="I1434" i="3" s="1"/>
  <c r="B1434" i="3"/>
  <c r="A1434" i="3"/>
  <c r="H1433" i="3"/>
  <c r="F1433" i="3"/>
  <c r="E1433" i="3"/>
  <c r="G1433" i="3" s="1"/>
  <c r="D1433" i="3"/>
  <c r="I1433" i="3" s="1"/>
  <c r="C1433" i="3"/>
  <c r="B1433" i="3"/>
  <c r="A1433" i="3"/>
  <c r="H1432" i="3"/>
  <c r="G1432" i="3"/>
  <c r="F1432" i="3"/>
  <c r="E1432" i="3"/>
  <c r="D1432" i="3"/>
  <c r="C1432" i="3"/>
  <c r="I1432" i="3" s="1"/>
  <c r="B1432" i="3"/>
  <c r="A1432" i="3"/>
  <c r="H1431" i="3"/>
  <c r="G1431" i="3"/>
  <c r="F1431" i="3"/>
  <c r="E1431" i="3"/>
  <c r="D1431" i="3"/>
  <c r="I1431" i="3" s="1"/>
  <c r="C1431" i="3"/>
  <c r="B1431" i="3"/>
  <c r="A1431" i="3"/>
  <c r="I1430" i="3"/>
  <c r="H1430" i="3"/>
  <c r="F1430" i="3"/>
  <c r="E1430" i="3"/>
  <c r="G1430" i="3" s="1"/>
  <c r="D1430" i="3"/>
  <c r="C1430" i="3"/>
  <c r="B1430" i="3"/>
  <c r="A1430" i="3"/>
  <c r="H1429" i="3"/>
  <c r="F1429" i="3"/>
  <c r="E1429" i="3"/>
  <c r="G1429" i="3" s="1"/>
  <c r="D1429" i="3"/>
  <c r="I1429" i="3" s="1"/>
  <c r="C1429" i="3"/>
  <c r="B1429" i="3"/>
  <c r="A1429" i="3"/>
  <c r="I1428" i="3"/>
  <c r="H1428" i="3"/>
  <c r="F1428" i="3"/>
  <c r="E1428" i="3"/>
  <c r="G1428" i="3" s="1"/>
  <c r="D1428" i="3"/>
  <c r="C1428" i="3"/>
  <c r="B1428" i="3"/>
  <c r="A1428" i="3"/>
  <c r="H1427" i="3"/>
  <c r="G1427" i="3"/>
  <c r="F1427" i="3"/>
  <c r="E1427" i="3"/>
  <c r="D1427" i="3"/>
  <c r="I1427" i="3" s="1"/>
  <c r="C1427" i="3"/>
  <c r="B1427" i="3"/>
  <c r="A1427" i="3"/>
  <c r="H1426" i="3"/>
  <c r="G1426" i="3"/>
  <c r="F1426" i="3"/>
  <c r="E1426" i="3"/>
  <c r="D1426" i="3"/>
  <c r="C1426" i="3"/>
  <c r="I1426" i="3" s="1"/>
  <c r="G79" i="2" s="1"/>
  <c r="B1426" i="3"/>
  <c r="A1426" i="3"/>
  <c r="H1425" i="3"/>
  <c r="F1425" i="3"/>
  <c r="E1425" i="3"/>
  <c r="G1425" i="3" s="1"/>
  <c r="D1425" i="3"/>
  <c r="I1425" i="3" s="1"/>
  <c r="C1425" i="3"/>
  <c r="B1425" i="3"/>
  <c r="A1425" i="3"/>
  <c r="H1424" i="3"/>
  <c r="G1424" i="3"/>
  <c r="F1424" i="3"/>
  <c r="E1424" i="3"/>
  <c r="D1424" i="3"/>
  <c r="C1424" i="3"/>
  <c r="I1424" i="3" s="1"/>
  <c r="B1424" i="3"/>
  <c r="A1424" i="3"/>
  <c r="H1423" i="3"/>
  <c r="G1423" i="3"/>
  <c r="F1423" i="3"/>
  <c r="E1423" i="3"/>
  <c r="D1423" i="3"/>
  <c r="I1423" i="3" s="1"/>
  <c r="C1423" i="3"/>
  <c r="B1423" i="3"/>
  <c r="A1423" i="3"/>
  <c r="I1422" i="3"/>
  <c r="H1422" i="3"/>
  <c r="F1422" i="3"/>
  <c r="E1422" i="3"/>
  <c r="G1422" i="3" s="1"/>
  <c r="D1422" i="3"/>
  <c r="C1422" i="3"/>
  <c r="B1422" i="3"/>
  <c r="A1422" i="3"/>
  <c r="H1421" i="3"/>
  <c r="F1421" i="3"/>
  <c r="E1421" i="3"/>
  <c r="G1421" i="3" s="1"/>
  <c r="D1421" i="3"/>
  <c r="I1421" i="3" s="1"/>
  <c r="C1421" i="3"/>
  <c r="B1421" i="3"/>
  <c r="A1421" i="3"/>
  <c r="I1420" i="3"/>
  <c r="H1420" i="3"/>
  <c r="F1420" i="3"/>
  <c r="E1420" i="3"/>
  <c r="G1420" i="3" s="1"/>
  <c r="D1420" i="3"/>
  <c r="C1420" i="3"/>
  <c r="B1420" i="3"/>
  <c r="A1420" i="3"/>
  <c r="H1419" i="3"/>
  <c r="G1419" i="3"/>
  <c r="F1419" i="3"/>
  <c r="E1419" i="3"/>
  <c r="D1419" i="3"/>
  <c r="I1419" i="3" s="1"/>
  <c r="C1419" i="3"/>
  <c r="B1419" i="3"/>
  <c r="A1419" i="3"/>
  <c r="H1418" i="3"/>
  <c r="G1418" i="3"/>
  <c r="F1418" i="3"/>
  <c r="E1418" i="3"/>
  <c r="D1418" i="3"/>
  <c r="C1418" i="3"/>
  <c r="I1418" i="3" s="1"/>
  <c r="B1418" i="3"/>
  <c r="A1418" i="3"/>
  <c r="H1417" i="3"/>
  <c r="F1417" i="3"/>
  <c r="E1417" i="3"/>
  <c r="G1417" i="3" s="1"/>
  <c r="D1417" i="3"/>
  <c r="I1417" i="3" s="1"/>
  <c r="C1417" i="3"/>
  <c r="B1417" i="3"/>
  <c r="A1417" i="3"/>
  <c r="H1416" i="3"/>
  <c r="G1416" i="3"/>
  <c r="F1416" i="3"/>
  <c r="E1416" i="3"/>
  <c r="D1416" i="3"/>
  <c r="C1416" i="3"/>
  <c r="I1416" i="3" s="1"/>
  <c r="B1416" i="3"/>
  <c r="A1416" i="3"/>
  <c r="H1415" i="3"/>
  <c r="G1415" i="3"/>
  <c r="F1415" i="3"/>
  <c r="E1415" i="3"/>
  <c r="D1415" i="3"/>
  <c r="I1415" i="3" s="1"/>
  <c r="C1415" i="3"/>
  <c r="B1415" i="3"/>
  <c r="A1415" i="3"/>
  <c r="I1414" i="3"/>
  <c r="H1414" i="3"/>
  <c r="F1414" i="3"/>
  <c r="E1414" i="3"/>
  <c r="G1414" i="3" s="1"/>
  <c r="D1414" i="3"/>
  <c r="C1414" i="3"/>
  <c r="B1414" i="3"/>
  <c r="A1414" i="3"/>
  <c r="H1413" i="3"/>
  <c r="F1413" i="3"/>
  <c r="E1413" i="3"/>
  <c r="G1413" i="3" s="1"/>
  <c r="D1413" i="3"/>
  <c r="I1413" i="3" s="1"/>
  <c r="C1413" i="3"/>
  <c r="B1413" i="3"/>
  <c r="A1413" i="3"/>
  <c r="I1412" i="3"/>
  <c r="H1412" i="3"/>
  <c r="F1412" i="3"/>
  <c r="E1412" i="3"/>
  <c r="G1412" i="3" s="1"/>
  <c r="D1412" i="3"/>
  <c r="C1412" i="3"/>
  <c r="B1412" i="3"/>
  <c r="A1412" i="3"/>
  <c r="H1411" i="3"/>
  <c r="G1411" i="3"/>
  <c r="F1411" i="3"/>
  <c r="E1411" i="3"/>
  <c r="D1411" i="3"/>
  <c r="I1411" i="3" s="1"/>
  <c r="C1411" i="3"/>
  <c r="B1411" i="3"/>
  <c r="A1411" i="3"/>
  <c r="H1410" i="3"/>
  <c r="G1410" i="3"/>
  <c r="F1410" i="3"/>
  <c r="E1410" i="3"/>
  <c r="D1410" i="3"/>
  <c r="C1410" i="3"/>
  <c r="I1410" i="3" s="1"/>
  <c r="B1410" i="3"/>
  <c r="A1410" i="3"/>
  <c r="H1409" i="3"/>
  <c r="F1409" i="3"/>
  <c r="E1409" i="3"/>
  <c r="G1409" i="3" s="1"/>
  <c r="D1409" i="3"/>
  <c r="I1409" i="3" s="1"/>
  <c r="C1409" i="3"/>
  <c r="B1409" i="3"/>
  <c r="A1409" i="3"/>
  <c r="H1408" i="3"/>
  <c r="G1408" i="3"/>
  <c r="F1408" i="3"/>
  <c r="E1408" i="3"/>
  <c r="D1408" i="3"/>
  <c r="C1408" i="3"/>
  <c r="I1408" i="3" s="1"/>
  <c r="B1408" i="3"/>
  <c r="A1408" i="3"/>
  <c r="H1407" i="3"/>
  <c r="G1407" i="3"/>
  <c r="F1407" i="3"/>
  <c r="E1407" i="3"/>
  <c r="D1407" i="3"/>
  <c r="I1407" i="3" s="1"/>
  <c r="C1407" i="3"/>
  <c r="B1407" i="3"/>
  <c r="A1407" i="3"/>
  <c r="I1406" i="3"/>
  <c r="H1406" i="3"/>
  <c r="F1406" i="3"/>
  <c r="E1406" i="3"/>
  <c r="G1406" i="3" s="1"/>
  <c r="D1406" i="3"/>
  <c r="C1406" i="3"/>
  <c r="B1406" i="3"/>
  <c r="A1406" i="3"/>
  <c r="H1405" i="3"/>
  <c r="F1405" i="3"/>
  <c r="E1405" i="3"/>
  <c r="G1405" i="3" s="1"/>
  <c r="D1405" i="3"/>
  <c r="I1405" i="3" s="1"/>
  <c r="C1405" i="3"/>
  <c r="B1405" i="3"/>
  <c r="A1405" i="3"/>
  <c r="I1404" i="3"/>
  <c r="H1404" i="3"/>
  <c r="F1404" i="3"/>
  <c r="E1404" i="3"/>
  <c r="G1404" i="3" s="1"/>
  <c r="D1404" i="3"/>
  <c r="C1404" i="3"/>
  <c r="B1404" i="3"/>
  <c r="A1404" i="3"/>
  <c r="H1403" i="3"/>
  <c r="G1403" i="3"/>
  <c r="F1403" i="3"/>
  <c r="E1403" i="3"/>
  <c r="D1403" i="3"/>
  <c r="I1403" i="3" s="1"/>
  <c r="C1403" i="3"/>
  <c r="B1403" i="3"/>
  <c r="A1403" i="3"/>
  <c r="H1402" i="3"/>
  <c r="G1402" i="3"/>
  <c r="F1402" i="3"/>
  <c r="E1402" i="3"/>
  <c r="D1402" i="3"/>
  <c r="C1402" i="3"/>
  <c r="I1402" i="3" s="1"/>
  <c r="B1402" i="3"/>
  <c r="A1402" i="3"/>
  <c r="H1401" i="3"/>
  <c r="F1401" i="3"/>
  <c r="E1401" i="3"/>
  <c r="G1401" i="3" s="1"/>
  <c r="D1401" i="3"/>
  <c r="I1401" i="3" s="1"/>
  <c r="C1401" i="3"/>
  <c r="B1401" i="3"/>
  <c r="A1401" i="3"/>
  <c r="H1400" i="3"/>
  <c r="G1400" i="3"/>
  <c r="F1400" i="3"/>
  <c r="E1400" i="3"/>
  <c r="D1400" i="3"/>
  <c r="C1400" i="3"/>
  <c r="I1400" i="3" s="1"/>
  <c r="B1400" i="3"/>
  <c r="A1400" i="3"/>
  <c r="H1399" i="3"/>
  <c r="G1399" i="3"/>
  <c r="F1399" i="3"/>
  <c r="E1399" i="3"/>
  <c r="D1399" i="3"/>
  <c r="I1399" i="3" s="1"/>
  <c r="C1399" i="3"/>
  <c r="B1399" i="3"/>
  <c r="A1399" i="3"/>
  <c r="I1398" i="3"/>
  <c r="H1398" i="3"/>
  <c r="F1398" i="3"/>
  <c r="E1398" i="3"/>
  <c r="G1398" i="3" s="1"/>
  <c r="D1398" i="3"/>
  <c r="C1398" i="3"/>
  <c r="B1398" i="3"/>
  <c r="A1398" i="3"/>
  <c r="H1397" i="3"/>
  <c r="F1397" i="3"/>
  <c r="E1397" i="3"/>
  <c r="G1397" i="3" s="1"/>
  <c r="D1397" i="3"/>
  <c r="I1397" i="3" s="1"/>
  <c r="C1397" i="3"/>
  <c r="B1397" i="3"/>
  <c r="A1397" i="3"/>
  <c r="I1396" i="3"/>
  <c r="H1396" i="3"/>
  <c r="F1396" i="3"/>
  <c r="E1396" i="3"/>
  <c r="G1396" i="3" s="1"/>
  <c r="D1396" i="3"/>
  <c r="C1396" i="3"/>
  <c r="B1396" i="3"/>
  <c r="A1396" i="3"/>
  <c r="H1395" i="3"/>
  <c r="G1395" i="3"/>
  <c r="F1395" i="3"/>
  <c r="E1395" i="3"/>
  <c r="D1395" i="3"/>
  <c r="I1395" i="3" s="1"/>
  <c r="C1395" i="3"/>
  <c r="B1395" i="3"/>
  <c r="A1395" i="3"/>
  <c r="H1394" i="3"/>
  <c r="G1394" i="3"/>
  <c r="F1394" i="3"/>
  <c r="E1394" i="3"/>
  <c r="D1394" i="3"/>
  <c r="C1394" i="3"/>
  <c r="I1394" i="3" s="1"/>
  <c r="B1394" i="3"/>
  <c r="A1394" i="3"/>
  <c r="H1393" i="3"/>
  <c r="F1393" i="3"/>
  <c r="E1393" i="3"/>
  <c r="G1393" i="3" s="1"/>
  <c r="D1393" i="3"/>
  <c r="I1393" i="3" s="1"/>
  <c r="C1393" i="3"/>
  <c r="B1393" i="3"/>
  <c r="A1393" i="3"/>
  <c r="H1392" i="3"/>
  <c r="G1392" i="3"/>
  <c r="F1392" i="3"/>
  <c r="E1392" i="3"/>
  <c r="D1392" i="3"/>
  <c r="C1392" i="3"/>
  <c r="I1392" i="3" s="1"/>
  <c r="B1392" i="3"/>
  <c r="A1392" i="3"/>
  <c r="H1391" i="3"/>
  <c r="G1391" i="3"/>
  <c r="F1391" i="3"/>
  <c r="E1391" i="3"/>
  <c r="D1391" i="3"/>
  <c r="I1391" i="3" s="1"/>
  <c r="C1391" i="3"/>
  <c r="B1391" i="3"/>
  <c r="A1391" i="3"/>
  <c r="I1390" i="3"/>
  <c r="H1390" i="3"/>
  <c r="F1390" i="3"/>
  <c r="E1390" i="3"/>
  <c r="G1390" i="3" s="1"/>
  <c r="D1390" i="3"/>
  <c r="C1390" i="3"/>
  <c r="B1390" i="3"/>
  <c r="A1390" i="3"/>
  <c r="H1389" i="3"/>
  <c r="F1389" i="3"/>
  <c r="E1389" i="3"/>
  <c r="G1389" i="3" s="1"/>
  <c r="D1389" i="3"/>
  <c r="I1389" i="3" s="1"/>
  <c r="C1389" i="3"/>
  <c r="B1389" i="3"/>
  <c r="A1389" i="3"/>
  <c r="I1388" i="3"/>
  <c r="H1388" i="3"/>
  <c r="F1388" i="3"/>
  <c r="E1388" i="3"/>
  <c r="G1388" i="3" s="1"/>
  <c r="D1388" i="3"/>
  <c r="C1388" i="3"/>
  <c r="B1388" i="3"/>
  <c r="A1388" i="3"/>
  <c r="H1387" i="3"/>
  <c r="G1387" i="3"/>
  <c r="F1387" i="3"/>
  <c r="E1387" i="3"/>
  <c r="D1387" i="3"/>
  <c r="I1387" i="3" s="1"/>
  <c r="C1387" i="3"/>
  <c r="B1387" i="3"/>
  <c r="A1387" i="3"/>
  <c r="H1386" i="3"/>
  <c r="G1386" i="3"/>
  <c r="F1386" i="3"/>
  <c r="E1386" i="3"/>
  <c r="D1386" i="3"/>
  <c r="C1386" i="3"/>
  <c r="I1386" i="3" s="1"/>
  <c r="B1386" i="3"/>
  <c r="A1386" i="3"/>
  <c r="H1385" i="3"/>
  <c r="F1385" i="3"/>
  <c r="E1385" i="3"/>
  <c r="G1385" i="3" s="1"/>
  <c r="D1385" i="3"/>
  <c r="I1385" i="3" s="1"/>
  <c r="C1385" i="3"/>
  <c r="B1385" i="3"/>
  <c r="A1385" i="3"/>
  <c r="H1384" i="3"/>
  <c r="G1384" i="3"/>
  <c r="F1384" i="3"/>
  <c r="E1384" i="3"/>
  <c r="D1384" i="3"/>
  <c r="C1384" i="3"/>
  <c r="I1384" i="3" s="1"/>
  <c r="B1384" i="3"/>
  <c r="A1384" i="3"/>
  <c r="H1383" i="3"/>
  <c r="G1383" i="3"/>
  <c r="F1383" i="3"/>
  <c r="E1383" i="3"/>
  <c r="D1383" i="3"/>
  <c r="I1383" i="3" s="1"/>
  <c r="C1383" i="3"/>
  <c r="B1383" i="3"/>
  <c r="A1383" i="3"/>
  <c r="I1382" i="3"/>
  <c r="H1382" i="3"/>
  <c r="F1382" i="3"/>
  <c r="E1382" i="3"/>
  <c r="G1382" i="3" s="1"/>
  <c r="D1382" i="3"/>
  <c r="C1382" i="3"/>
  <c r="B1382" i="3"/>
  <c r="A1382" i="3"/>
  <c r="H1381" i="3"/>
  <c r="F1381" i="3"/>
  <c r="E1381" i="3"/>
  <c r="G1381" i="3" s="1"/>
  <c r="D1381" i="3"/>
  <c r="I1381" i="3" s="1"/>
  <c r="C1381" i="3"/>
  <c r="B1381" i="3"/>
  <c r="A1381" i="3"/>
  <c r="I1380" i="3"/>
  <c r="H1380" i="3"/>
  <c r="F1380" i="3"/>
  <c r="E1380" i="3"/>
  <c r="G1380" i="3" s="1"/>
  <c r="D1380" i="3"/>
  <c r="C1380" i="3"/>
  <c r="B1380" i="3"/>
  <c r="A1380" i="3"/>
  <c r="H1379" i="3"/>
  <c r="G1379" i="3"/>
  <c r="F1379" i="3"/>
  <c r="E1379" i="3"/>
  <c r="D1379" i="3"/>
  <c r="I1379" i="3" s="1"/>
  <c r="C1379" i="3"/>
  <c r="B1379" i="3"/>
  <c r="A1379" i="3"/>
  <c r="H1378" i="3"/>
  <c r="G1378" i="3"/>
  <c r="F1378" i="3"/>
  <c r="E1378" i="3"/>
  <c r="D1378" i="3"/>
  <c r="C1378" i="3"/>
  <c r="I1378" i="3" s="1"/>
  <c r="B1378" i="3"/>
  <c r="A1378" i="3"/>
  <c r="H1377" i="3"/>
  <c r="F1377" i="3"/>
  <c r="E1377" i="3"/>
  <c r="G1377" i="3" s="1"/>
  <c r="D1377" i="3"/>
  <c r="I1377" i="3" s="1"/>
  <c r="C1377" i="3"/>
  <c r="B1377" i="3"/>
  <c r="A1377" i="3"/>
  <c r="H1376" i="3"/>
  <c r="G1376" i="3"/>
  <c r="F1376" i="3"/>
  <c r="E1376" i="3"/>
  <c r="D1376" i="3"/>
  <c r="C1376" i="3"/>
  <c r="I1376" i="3" s="1"/>
  <c r="B1376" i="3"/>
  <c r="A1376" i="3"/>
  <c r="H1375" i="3"/>
  <c r="G1375" i="3"/>
  <c r="F1375" i="3"/>
  <c r="E1375" i="3"/>
  <c r="D1375" i="3"/>
  <c r="I1375" i="3" s="1"/>
  <c r="C1375" i="3"/>
  <c r="B1375" i="3"/>
  <c r="A1375" i="3"/>
  <c r="I1374" i="3"/>
  <c r="H1374" i="3"/>
  <c r="F1374" i="3"/>
  <c r="E1374" i="3"/>
  <c r="G1374" i="3" s="1"/>
  <c r="D1374" i="3"/>
  <c r="C1374" i="3"/>
  <c r="B1374" i="3"/>
  <c r="A1374" i="3"/>
  <c r="H1373" i="3"/>
  <c r="F1373" i="3"/>
  <c r="E1373" i="3"/>
  <c r="G1373" i="3" s="1"/>
  <c r="D1373" i="3"/>
  <c r="I1373" i="3" s="1"/>
  <c r="C1373" i="3"/>
  <c r="B1373" i="3"/>
  <c r="A1373" i="3"/>
  <c r="I1372" i="3"/>
  <c r="H1372" i="3"/>
  <c r="F1372" i="3"/>
  <c r="E1372" i="3"/>
  <c r="G1372" i="3" s="1"/>
  <c r="D1372" i="3"/>
  <c r="C1372" i="3"/>
  <c r="B1372" i="3"/>
  <c r="A1372" i="3"/>
  <c r="H1371" i="3"/>
  <c r="G1371" i="3"/>
  <c r="F1371" i="3"/>
  <c r="E1371" i="3"/>
  <c r="D1371" i="3"/>
  <c r="I1371" i="3" s="1"/>
  <c r="C1371" i="3"/>
  <c r="B1371" i="3"/>
  <c r="A1371" i="3"/>
  <c r="H1370" i="3"/>
  <c r="G1370" i="3"/>
  <c r="F1370" i="3"/>
  <c r="E1370" i="3"/>
  <c r="D1370" i="3"/>
  <c r="C1370" i="3"/>
  <c r="I1370" i="3" s="1"/>
  <c r="B1370" i="3"/>
  <c r="A1370" i="3"/>
  <c r="H1369" i="3"/>
  <c r="F1369" i="3"/>
  <c r="E1369" i="3"/>
  <c r="G1369" i="3" s="1"/>
  <c r="D1369" i="3"/>
  <c r="I1369" i="3" s="1"/>
  <c r="C1369" i="3"/>
  <c r="B1369" i="3"/>
  <c r="A1369" i="3"/>
  <c r="H1368" i="3"/>
  <c r="G1368" i="3"/>
  <c r="F1368" i="3"/>
  <c r="E1368" i="3"/>
  <c r="D1368" i="3"/>
  <c r="C1368" i="3"/>
  <c r="I1368" i="3" s="1"/>
  <c r="B1368" i="3"/>
  <c r="A1368" i="3"/>
  <c r="H1367" i="3"/>
  <c r="G1367" i="3"/>
  <c r="F1367" i="3"/>
  <c r="E1367" i="3"/>
  <c r="D1367" i="3"/>
  <c r="I1367" i="3" s="1"/>
  <c r="C1367" i="3"/>
  <c r="B1367" i="3"/>
  <c r="A1367" i="3"/>
  <c r="I1366" i="3"/>
  <c r="H1366" i="3"/>
  <c r="F1366" i="3"/>
  <c r="E1366" i="3"/>
  <c r="G1366" i="3" s="1"/>
  <c r="D1366" i="3"/>
  <c r="C1366" i="3"/>
  <c r="B1366" i="3"/>
  <c r="A1366" i="3"/>
  <c r="H1365" i="3"/>
  <c r="F1365" i="3"/>
  <c r="E1365" i="3"/>
  <c r="G1365" i="3" s="1"/>
  <c r="D1365" i="3"/>
  <c r="I1365" i="3" s="1"/>
  <c r="C1365" i="3"/>
  <c r="B1365" i="3"/>
  <c r="A1365" i="3"/>
  <c r="I1364" i="3"/>
  <c r="H1364" i="3"/>
  <c r="F1364" i="3"/>
  <c r="E1364" i="3"/>
  <c r="G1364" i="3" s="1"/>
  <c r="D1364" i="3"/>
  <c r="C1364" i="3"/>
  <c r="B1364" i="3"/>
  <c r="A1364" i="3"/>
  <c r="H1363" i="3"/>
  <c r="G1363" i="3"/>
  <c r="F1363" i="3"/>
  <c r="E1363" i="3"/>
  <c r="D1363" i="3"/>
  <c r="I1363" i="3" s="1"/>
  <c r="C1363" i="3"/>
  <c r="B1363" i="3"/>
  <c r="A1363" i="3"/>
  <c r="H1362" i="3"/>
  <c r="G1362" i="3"/>
  <c r="F1362" i="3"/>
  <c r="E1362" i="3"/>
  <c r="D1362" i="3"/>
  <c r="C1362" i="3"/>
  <c r="I1362" i="3" s="1"/>
  <c r="B1362" i="3"/>
  <c r="A1362" i="3"/>
  <c r="H1361" i="3"/>
  <c r="F1361" i="3"/>
  <c r="E1361" i="3"/>
  <c r="G1361" i="3" s="1"/>
  <c r="D1361" i="3"/>
  <c r="I1361" i="3" s="1"/>
  <c r="C1361" i="3"/>
  <c r="B1361" i="3"/>
  <c r="A1361" i="3"/>
  <c r="H1360" i="3"/>
  <c r="G1360" i="3"/>
  <c r="F1360" i="3"/>
  <c r="E1360" i="3"/>
  <c r="D1360" i="3"/>
  <c r="C1360" i="3"/>
  <c r="I1360" i="3" s="1"/>
  <c r="B1360" i="3"/>
  <c r="A1360" i="3"/>
  <c r="H1359" i="3"/>
  <c r="G1359" i="3"/>
  <c r="F1359" i="3"/>
  <c r="E1359" i="3"/>
  <c r="D1359" i="3"/>
  <c r="I1359" i="3" s="1"/>
  <c r="C1359" i="3"/>
  <c r="B1359" i="3"/>
  <c r="A1359" i="3"/>
  <c r="I1358" i="3"/>
  <c r="H1358" i="3"/>
  <c r="F1358" i="3"/>
  <c r="E1358" i="3"/>
  <c r="G1358" i="3" s="1"/>
  <c r="D1358" i="3"/>
  <c r="C1358" i="3"/>
  <c r="B1358" i="3"/>
  <c r="A1358" i="3"/>
  <c r="H1357" i="3"/>
  <c r="F1357" i="3"/>
  <c r="E1357" i="3"/>
  <c r="G1357" i="3" s="1"/>
  <c r="D1357" i="3"/>
  <c r="I1357" i="3" s="1"/>
  <c r="C1357" i="3"/>
  <c r="B1357" i="3"/>
  <c r="A1357" i="3"/>
  <c r="I1356" i="3"/>
  <c r="H1356" i="3"/>
  <c r="F1356" i="3"/>
  <c r="E1356" i="3"/>
  <c r="G1356" i="3" s="1"/>
  <c r="D1356" i="3"/>
  <c r="C1356" i="3"/>
  <c r="B1356" i="3"/>
  <c r="A1356" i="3"/>
  <c r="H1355" i="3"/>
  <c r="G1355" i="3"/>
  <c r="F1355" i="3"/>
  <c r="E1355" i="3"/>
  <c r="D1355" i="3"/>
  <c r="I1355" i="3" s="1"/>
  <c r="C1355" i="3"/>
  <c r="B1355" i="3"/>
  <c r="A1355" i="3"/>
  <c r="H1354" i="3"/>
  <c r="G1354" i="3"/>
  <c r="F1354" i="3"/>
  <c r="E1354" i="3"/>
  <c r="D1354" i="3"/>
  <c r="C1354" i="3"/>
  <c r="I1354" i="3" s="1"/>
  <c r="B1354" i="3"/>
  <c r="A1354" i="3"/>
  <c r="H1353" i="3"/>
  <c r="F1353" i="3"/>
  <c r="E1353" i="3"/>
  <c r="G1353" i="3" s="1"/>
  <c r="D1353" i="3"/>
  <c r="I1353" i="3" s="1"/>
  <c r="C1353" i="3"/>
  <c r="B1353" i="3"/>
  <c r="A1353" i="3"/>
  <c r="H1352" i="3"/>
  <c r="G1352" i="3"/>
  <c r="F1352" i="3"/>
  <c r="E1352" i="3"/>
  <c r="D1352" i="3"/>
  <c r="C1352" i="3"/>
  <c r="I1352" i="3" s="1"/>
  <c r="B1352" i="3"/>
  <c r="A1352" i="3"/>
  <c r="H1351" i="3"/>
  <c r="G1351" i="3"/>
  <c r="F1351" i="3"/>
  <c r="E1351" i="3"/>
  <c r="D1351" i="3"/>
  <c r="I1351" i="3" s="1"/>
  <c r="C1351" i="3"/>
  <c r="B1351" i="3"/>
  <c r="A1351" i="3"/>
  <c r="I1350" i="3"/>
  <c r="H1350" i="3"/>
  <c r="F1350" i="3"/>
  <c r="E1350" i="3"/>
  <c r="G1350" i="3" s="1"/>
  <c r="D1350" i="3"/>
  <c r="C1350" i="3"/>
  <c r="B1350" i="3"/>
  <c r="A1350" i="3"/>
  <c r="H1349" i="3"/>
  <c r="F1349" i="3"/>
  <c r="E1349" i="3"/>
  <c r="G1349" i="3" s="1"/>
  <c r="D1349" i="3"/>
  <c r="I1349" i="3" s="1"/>
  <c r="C1349" i="3"/>
  <c r="B1349" i="3"/>
  <c r="A1349" i="3"/>
  <c r="I1348" i="3"/>
  <c r="H1348" i="3"/>
  <c r="F1348" i="3"/>
  <c r="E1348" i="3"/>
  <c r="G1348" i="3" s="1"/>
  <c r="D1348" i="3"/>
  <c r="C1348" i="3"/>
  <c r="B1348" i="3"/>
  <c r="A1348" i="3"/>
  <c r="H1347" i="3"/>
  <c r="G1347" i="3"/>
  <c r="F1347" i="3"/>
  <c r="E1347" i="3"/>
  <c r="D1347" i="3"/>
  <c r="I1347" i="3" s="1"/>
  <c r="C1347" i="3"/>
  <c r="B1347" i="3"/>
  <c r="A1347" i="3"/>
  <c r="H1346" i="3"/>
  <c r="G1346" i="3"/>
  <c r="F1346" i="3"/>
  <c r="E1346" i="3"/>
  <c r="D1346" i="3"/>
  <c r="C1346" i="3"/>
  <c r="I1346" i="3" s="1"/>
  <c r="B1346" i="3"/>
  <c r="A1346" i="3"/>
  <c r="H1345" i="3"/>
  <c r="F1345" i="3"/>
  <c r="E1345" i="3"/>
  <c r="G1345" i="3" s="1"/>
  <c r="D1345" i="3"/>
  <c r="C1345" i="3"/>
  <c r="B1345" i="3"/>
  <c r="A1345" i="3"/>
  <c r="H1344" i="3"/>
  <c r="G1344" i="3"/>
  <c r="F1344" i="3"/>
  <c r="E1344" i="3"/>
  <c r="D1344" i="3"/>
  <c r="I1344" i="3" s="1"/>
  <c r="C1344" i="3"/>
  <c r="B1344" i="3"/>
  <c r="A1344" i="3"/>
  <c r="I1343" i="3"/>
  <c r="H1343" i="3"/>
  <c r="F1343" i="3"/>
  <c r="E1343" i="3"/>
  <c r="G1343" i="3" s="1"/>
  <c r="D1343" i="3"/>
  <c r="C1343" i="3"/>
  <c r="B1343" i="3"/>
  <c r="A1343" i="3"/>
  <c r="I1342" i="3"/>
  <c r="H1342" i="3"/>
  <c r="F1342" i="3"/>
  <c r="E1342" i="3"/>
  <c r="G1342" i="3" s="1"/>
  <c r="D1342" i="3"/>
  <c r="C1342" i="3"/>
  <c r="B1342" i="3"/>
  <c r="A1342" i="3"/>
  <c r="H1341" i="3"/>
  <c r="G1341" i="3"/>
  <c r="F1341" i="3"/>
  <c r="E1341" i="3"/>
  <c r="D1341" i="3"/>
  <c r="C1341" i="3"/>
  <c r="I1341" i="3" s="1"/>
  <c r="B1341" i="3"/>
  <c r="A1341" i="3"/>
  <c r="H1340" i="3"/>
  <c r="G1340" i="3"/>
  <c r="F1340" i="3"/>
  <c r="E1340" i="3"/>
  <c r="D1340" i="3"/>
  <c r="I1340" i="3" s="1"/>
  <c r="C1340" i="3"/>
  <c r="B1340" i="3"/>
  <c r="A1340" i="3"/>
  <c r="I1339" i="3"/>
  <c r="H1339" i="3"/>
  <c r="F1339" i="3"/>
  <c r="E1339" i="3"/>
  <c r="G1339" i="3" s="1"/>
  <c r="D1339" i="3"/>
  <c r="C1339" i="3"/>
  <c r="B1339" i="3"/>
  <c r="A1339" i="3"/>
  <c r="I1338" i="3"/>
  <c r="H1338" i="3"/>
  <c r="F1338" i="3"/>
  <c r="E1338" i="3"/>
  <c r="G1338" i="3" s="1"/>
  <c r="D1338" i="3"/>
  <c r="C1338" i="3"/>
  <c r="B1338" i="3"/>
  <c r="A1338" i="3"/>
  <c r="H1337" i="3"/>
  <c r="G1337" i="3"/>
  <c r="F1337" i="3"/>
  <c r="E1337" i="3"/>
  <c r="D1337" i="3"/>
  <c r="C1337" i="3"/>
  <c r="I1337" i="3" s="1"/>
  <c r="B1337" i="3"/>
  <c r="A1337" i="3"/>
  <c r="H1336" i="3"/>
  <c r="G1336" i="3"/>
  <c r="F1336" i="3"/>
  <c r="E1336" i="3"/>
  <c r="D1336" i="3"/>
  <c r="I1336" i="3" s="1"/>
  <c r="C1336" i="3"/>
  <c r="B1336" i="3"/>
  <c r="A1336" i="3"/>
  <c r="I1335" i="3"/>
  <c r="H1335" i="3"/>
  <c r="F1335" i="3"/>
  <c r="E1335" i="3"/>
  <c r="G1335" i="3" s="1"/>
  <c r="D1335" i="3"/>
  <c r="C1335" i="3"/>
  <c r="B1335" i="3"/>
  <c r="A1335" i="3"/>
  <c r="I1334" i="3"/>
  <c r="H1334" i="3"/>
  <c r="F1334" i="3"/>
  <c r="E1334" i="3"/>
  <c r="G1334" i="3" s="1"/>
  <c r="D1334" i="3"/>
  <c r="C1334" i="3"/>
  <c r="B1334" i="3"/>
  <c r="A1334" i="3"/>
  <c r="H1333" i="3"/>
  <c r="G1333" i="3"/>
  <c r="F1333" i="3"/>
  <c r="E1333" i="3"/>
  <c r="D1333" i="3"/>
  <c r="C1333" i="3"/>
  <c r="I1333" i="3" s="1"/>
  <c r="B1333" i="3"/>
  <c r="A1333" i="3"/>
  <c r="H1332" i="3"/>
  <c r="G1332" i="3"/>
  <c r="F1332" i="3"/>
  <c r="E1332" i="3"/>
  <c r="D1332" i="3"/>
  <c r="I1332" i="3" s="1"/>
  <c r="C1332" i="3"/>
  <c r="B1332" i="3"/>
  <c r="A1332" i="3"/>
  <c r="I1331" i="3"/>
  <c r="H1331" i="3"/>
  <c r="F1331" i="3"/>
  <c r="E1331" i="3"/>
  <c r="G1331" i="3" s="1"/>
  <c r="D1331" i="3"/>
  <c r="C1331" i="3"/>
  <c r="B1331" i="3"/>
  <c r="A1331" i="3"/>
  <c r="I1330" i="3"/>
  <c r="H1330" i="3"/>
  <c r="F1330" i="3"/>
  <c r="E1330" i="3"/>
  <c r="G1330" i="3" s="1"/>
  <c r="D1330" i="3"/>
  <c r="C1330" i="3"/>
  <c r="B1330" i="3"/>
  <c r="A1330" i="3"/>
  <c r="H1329" i="3"/>
  <c r="G1329" i="3"/>
  <c r="F1329" i="3"/>
  <c r="E1329" i="3"/>
  <c r="D1329" i="3"/>
  <c r="C1329" i="3"/>
  <c r="I1329" i="3" s="1"/>
  <c r="B1329" i="3"/>
  <c r="A1329" i="3"/>
  <c r="H1328" i="3"/>
  <c r="G1328" i="3"/>
  <c r="F1328" i="3"/>
  <c r="E1328" i="3"/>
  <c r="D1328" i="3"/>
  <c r="I1328" i="3" s="1"/>
  <c r="C1328" i="3"/>
  <c r="B1328" i="3"/>
  <c r="A1328" i="3"/>
  <c r="I1327" i="3"/>
  <c r="H1327" i="3"/>
  <c r="F1327" i="3"/>
  <c r="E1327" i="3"/>
  <c r="G1327" i="3" s="1"/>
  <c r="D1327" i="3"/>
  <c r="C1327" i="3"/>
  <c r="B1327" i="3"/>
  <c r="A1327" i="3"/>
  <c r="I1326" i="3"/>
  <c r="H1326" i="3"/>
  <c r="F1326" i="3"/>
  <c r="E1326" i="3"/>
  <c r="G1326" i="3" s="1"/>
  <c r="D1326" i="3"/>
  <c r="C1326" i="3"/>
  <c r="B1326" i="3"/>
  <c r="A1326" i="3"/>
  <c r="H1325" i="3"/>
  <c r="G1325" i="3"/>
  <c r="F1325" i="3"/>
  <c r="E1325" i="3"/>
  <c r="D1325" i="3"/>
  <c r="C1325" i="3"/>
  <c r="I1325" i="3" s="1"/>
  <c r="B1325" i="3"/>
  <c r="A1325" i="3"/>
  <c r="H1324" i="3"/>
  <c r="G1324" i="3"/>
  <c r="F1324" i="3"/>
  <c r="E1324" i="3"/>
  <c r="D1324" i="3"/>
  <c r="I1324" i="3" s="1"/>
  <c r="C1324" i="3"/>
  <c r="B1324" i="3"/>
  <c r="A1324" i="3"/>
  <c r="I1323" i="3"/>
  <c r="H1323" i="3"/>
  <c r="F1323" i="3"/>
  <c r="E1323" i="3"/>
  <c r="G1323" i="3" s="1"/>
  <c r="D1323" i="3"/>
  <c r="C1323" i="3"/>
  <c r="B1323" i="3"/>
  <c r="A1323" i="3"/>
  <c r="I1322" i="3"/>
  <c r="H1322" i="3"/>
  <c r="F1322" i="3"/>
  <c r="E1322" i="3"/>
  <c r="G1322" i="3" s="1"/>
  <c r="D1322" i="3"/>
  <c r="C1322" i="3"/>
  <c r="B1322" i="3"/>
  <c r="A1322" i="3"/>
  <c r="H1321" i="3"/>
  <c r="G1321" i="3"/>
  <c r="F1321" i="3"/>
  <c r="E1321" i="3"/>
  <c r="D1321" i="3"/>
  <c r="C1321" i="3"/>
  <c r="I1321" i="3" s="1"/>
  <c r="B1321" i="3"/>
  <c r="A1321" i="3"/>
  <c r="H1320" i="3"/>
  <c r="G1320" i="3"/>
  <c r="F1320" i="3"/>
  <c r="E1320" i="3"/>
  <c r="D1320" i="3"/>
  <c r="I1320" i="3" s="1"/>
  <c r="C1320" i="3"/>
  <c r="B1320" i="3"/>
  <c r="A1320" i="3"/>
  <c r="I1319" i="3"/>
  <c r="H1319" i="3"/>
  <c r="F1319" i="3"/>
  <c r="E1319" i="3"/>
  <c r="G1319" i="3" s="1"/>
  <c r="D1319" i="3"/>
  <c r="C1319" i="3"/>
  <c r="B1319" i="3"/>
  <c r="A1319" i="3"/>
  <c r="I1318" i="3"/>
  <c r="H1318" i="3"/>
  <c r="F1318" i="3"/>
  <c r="E1318" i="3"/>
  <c r="G1318" i="3" s="1"/>
  <c r="D1318" i="3"/>
  <c r="C1318" i="3"/>
  <c r="B1318" i="3"/>
  <c r="A1318" i="3"/>
  <c r="H1317" i="3"/>
  <c r="G1317" i="3"/>
  <c r="F1317" i="3"/>
  <c r="E1317" i="3"/>
  <c r="D1317" i="3"/>
  <c r="C1317" i="3"/>
  <c r="I1317" i="3" s="1"/>
  <c r="B1317" i="3"/>
  <c r="A1317" i="3"/>
  <c r="H1316" i="3"/>
  <c r="G1316" i="3"/>
  <c r="F1316" i="3"/>
  <c r="E1316" i="3"/>
  <c r="D1316" i="3"/>
  <c r="I1316" i="3" s="1"/>
  <c r="C1316" i="3"/>
  <c r="B1316" i="3"/>
  <c r="A1316" i="3"/>
  <c r="I1315" i="3"/>
  <c r="H1315" i="3"/>
  <c r="F1315" i="3"/>
  <c r="E1315" i="3"/>
  <c r="G1315" i="3" s="1"/>
  <c r="D1315" i="3"/>
  <c r="C1315" i="3"/>
  <c r="B1315" i="3"/>
  <c r="A1315" i="3"/>
  <c r="I1314" i="3"/>
  <c r="H1314" i="3"/>
  <c r="F1314" i="3"/>
  <c r="E1314" i="3"/>
  <c r="G1314" i="3" s="1"/>
  <c r="D1314" i="3"/>
  <c r="C1314" i="3"/>
  <c r="B1314" i="3"/>
  <c r="A1314" i="3"/>
  <c r="H1313" i="3"/>
  <c r="G1313" i="3"/>
  <c r="F1313" i="3"/>
  <c r="E1313" i="3"/>
  <c r="D1313" i="3"/>
  <c r="C1313" i="3"/>
  <c r="I1313" i="3" s="1"/>
  <c r="B1313" i="3"/>
  <c r="A1313" i="3"/>
  <c r="H1312" i="3"/>
  <c r="G1312" i="3"/>
  <c r="F1312" i="3"/>
  <c r="E1312" i="3"/>
  <c r="D1312" i="3"/>
  <c r="I1312" i="3" s="1"/>
  <c r="C1312" i="3"/>
  <c r="B1312" i="3"/>
  <c r="A1312" i="3"/>
  <c r="I1311" i="3"/>
  <c r="H1311" i="3"/>
  <c r="F1311" i="3"/>
  <c r="E1311" i="3"/>
  <c r="G1311" i="3" s="1"/>
  <c r="D1311" i="3"/>
  <c r="C1311" i="3"/>
  <c r="B1311" i="3"/>
  <c r="A1311" i="3"/>
  <c r="I1310" i="3"/>
  <c r="H1310" i="3"/>
  <c r="F1310" i="3"/>
  <c r="E1310" i="3"/>
  <c r="G1310" i="3" s="1"/>
  <c r="D1310" i="3"/>
  <c r="C1310" i="3"/>
  <c r="B1310" i="3"/>
  <c r="A1310" i="3"/>
  <c r="H1309" i="3"/>
  <c r="G1309" i="3"/>
  <c r="F1309" i="3"/>
  <c r="E1309" i="3"/>
  <c r="D1309" i="3"/>
  <c r="C1309" i="3"/>
  <c r="I1309" i="3" s="1"/>
  <c r="B1309" i="3"/>
  <c r="A1309" i="3"/>
  <c r="H1308" i="3"/>
  <c r="G1308" i="3"/>
  <c r="F1308" i="3"/>
  <c r="E1308" i="3"/>
  <c r="D1308" i="3"/>
  <c r="I1308" i="3" s="1"/>
  <c r="C1308" i="3"/>
  <c r="B1308" i="3"/>
  <c r="A1308" i="3"/>
  <c r="I1307" i="3"/>
  <c r="H1307" i="3"/>
  <c r="F1307" i="3"/>
  <c r="E1307" i="3"/>
  <c r="G1307" i="3" s="1"/>
  <c r="D1307" i="3"/>
  <c r="C1307" i="3"/>
  <c r="B1307" i="3"/>
  <c r="A1307" i="3"/>
  <c r="I1306" i="3"/>
  <c r="H1306" i="3"/>
  <c r="F1306" i="3"/>
  <c r="E1306" i="3"/>
  <c r="G1306" i="3" s="1"/>
  <c r="D1306" i="3"/>
  <c r="C1306" i="3"/>
  <c r="B1306" i="3"/>
  <c r="A1306" i="3"/>
  <c r="H1305" i="3"/>
  <c r="G1305" i="3"/>
  <c r="F1305" i="3"/>
  <c r="E1305" i="3"/>
  <c r="D1305" i="3"/>
  <c r="C1305" i="3"/>
  <c r="I1305" i="3" s="1"/>
  <c r="B1305" i="3"/>
  <c r="A1305" i="3"/>
  <c r="H1304" i="3"/>
  <c r="G1304" i="3"/>
  <c r="F1304" i="3"/>
  <c r="E1304" i="3"/>
  <c r="D1304" i="3"/>
  <c r="I1304" i="3" s="1"/>
  <c r="C1304" i="3"/>
  <c r="B1304" i="3"/>
  <c r="A1304" i="3"/>
  <c r="I1303" i="3"/>
  <c r="H1303" i="3"/>
  <c r="F1303" i="3"/>
  <c r="E1303" i="3"/>
  <c r="G1303" i="3" s="1"/>
  <c r="D1303" i="3"/>
  <c r="C1303" i="3"/>
  <c r="B1303" i="3"/>
  <c r="A1303" i="3"/>
  <c r="I1302" i="3"/>
  <c r="H1302" i="3"/>
  <c r="F1302" i="3"/>
  <c r="E1302" i="3"/>
  <c r="G1302" i="3" s="1"/>
  <c r="D1302" i="3"/>
  <c r="C1302" i="3"/>
  <c r="B1302" i="3"/>
  <c r="A1302" i="3"/>
  <c r="H1301" i="3"/>
  <c r="G1301" i="3"/>
  <c r="F1301" i="3"/>
  <c r="E1301" i="3"/>
  <c r="D1301" i="3"/>
  <c r="C1301" i="3"/>
  <c r="I1301" i="3" s="1"/>
  <c r="B1301" i="3"/>
  <c r="A1301" i="3"/>
  <c r="H1300" i="3"/>
  <c r="G1300" i="3"/>
  <c r="F1300" i="3"/>
  <c r="E1300" i="3"/>
  <c r="D1300" i="3"/>
  <c r="I1300" i="3" s="1"/>
  <c r="C1300" i="3"/>
  <c r="B1300" i="3"/>
  <c r="A1300" i="3"/>
  <c r="I1299" i="3"/>
  <c r="H1299" i="3"/>
  <c r="F1299" i="3"/>
  <c r="E1299" i="3"/>
  <c r="G1299" i="3" s="1"/>
  <c r="D1299" i="3"/>
  <c r="C1299" i="3"/>
  <c r="B1299" i="3"/>
  <c r="A1299" i="3"/>
  <c r="I1298" i="3"/>
  <c r="H1298" i="3"/>
  <c r="F1298" i="3"/>
  <c r="E1298" i="3"/>
  <c r="G1298" i="3" s="1"/>
  <c r="D1298" i="3"/>
  <c r="C1298" i="3"/>
  <c r="B1298" i="3"/>
  <c r="A1298" i="3"/>
  <c r="H1297" i="3"/>
  <c r="G1297" i="3"/>
  <c r="F1297" i="3"/>
  <c r="E1297" i="3"/>
  <c r="D1297" i="3"/>
  <c r="C1297" i="3"/>
  <c r="I1297" i="3" s="1"/>
  <c r="B1297" i="3"/>
  <c r="A1297" i="3"/>
  <c r="H1296" i="3"/>
  <c r="G1296" i="3"/>
  <c r="F1296" i="3"/>
  <c r="E1296" i="3"/>
  <c r="D1296" i="3"/>
  <c r="I1296" i="3" s="1"/>
  <c r="C1296" i="3"/>
  <c r="B1296" i="3"/>
  <c r="A1296" i="3"/>
  <c r="I1295" i="3"/>
  <c r="H1295" i="3"/>
  <c r="F1295" i="3"/>
  <c r="E1295" i="3"/>
  <c r="G1295" i="3" s="1"/>
  <c r="D1295" i="3"/>
  <c r="C1295" i="3"/>
  <c r="B1295" i="3"/>
  <c r="A1295" i="3"/>
  <c r="I1294" i="3"/>
  <c r="H1294" i="3"/>
  <c r="F1294" i="3"/>
  <c r="E1294" i="3"/>
  <c r="G1294" i="3" s="1"/>
  <c r="D1294" i="3"/>
  <c r="C1294" i="3"/>
  <c r="B1294" i="3"/>
  <c r="A1294" i="3"/>
  <c r="H1293" i="3"/>
  <c r="G1293" i="3"/>
  <c r="F1293" i="3"/>
  <c r="E1293" i="3"/>
  <c r="D1293" i="3"/>
  <c r="C1293" i="3"/>
  <c r="I1293" i="3" s="1"/>
  <c r="B1293" i="3"/>
  <c r="A1293" i="3"/>
  <c r="H1292" i="3"/>
  <c r="G1292" i="3"/>
  <c r="F1292" i="3"/>
  <c r="E1292" i="3"/>
  <c r="D1292" i="3"/>
  <c r="I1292" i="3" s="1"/>
  <c r="C1292" i="3"/>
  <c r="B1292" i="3"/>
  <c r="A1292" i="3"/>
  <c r="I1291" i="3"/>
  <c r="H1291" i="3"/>
  <c r="F1291" i="3"/>
  <c r="E1291" i="3"/>
  <c r="G1291" i="3" s="1"/>
  <c r="D1291" i="3"/>
  <c r="C1291" i="3"/>
  <c r="B1291" i="3"/>
  <c r="A1291" i="3"/>
  <c r="I1290" i="3"/>
  <c r="H1290" i="3"/>
  <c r="F1290" i="3"/>
  <c r="E1290" i="3"/>
  <c r="G1290" i="3" s="1"/>
  <c r="D1290" i="3"/>
  <c r="C1290" i="3"/>
  <c r="B1290" i="3"/>
  <c r="A1290" i="3"/>
  <c r="H1289" i="3"/>
  <c r="G1289" i="3"/>
  <c r="F1289" i="3"/>
  <c r="E1289" i="3"/>
  <c r="D1289" i="3"/>
  <c r="C1289" i="3"/>
  <c r="I1289" i="3" s="1"/>
  <c r="B1289" i="3"/>
  <c r="A1289" i="3"/>
  <c r="H1288" i="3"/>
  <c r="G1288" i="3"/>
  <c r="F1288" i="3"/>
  <c r="E1288" i="3"/>
  <c r="D1288" i="3"/>
  <c r="I1288" i="3" s="1"/>
  <c r="C1288" i="3"/>
  <c r="B1288" i="3"/>
  <c r="A1288" i="3"/>
  <c r="I1287" i="3"/>
  <c r="H1287" i="3"/>
  <c r="F1287" i="3"/>
  <c r="E1287" i="3"/>
  <c r="G1287" i="3" s="1"/>
  <c r="D1287" i="3"/>
  <c r="C1287" i="3"/>
  <c r="B1287" i="3"/>
  <c r="A1287" i="3"/>
  <c r="I1286" i="3"/>
  <c r="H1286" i="3"/>
  <c r="F1286" i="3"/>
  <c r="E1286" i="3"/>
  <c r="G1286" i="3" s="1"/>
  <c r="D1286" i="3"/>
  <c r="C1286" i="3"/>
  <c r="B1286" i="3"/>
  <c r="A1286" i="3"/>
  <c r="H1285" i="3"/>
  <c r="G1285" i="3"/>
  <c r="F1285" i="3"/>
  <c r="E1285" i="3"/>
  <c r="D1285" i="3"/>
  <c r="C1285" i="3"/>
  <c r="I1285" i="3" s="1"/>
  <c r="B128" i="2" s="1"/>
  <c r="B1285" i="3"/>
  <c r="A1285" i="3"/>
  <c r="H1284" i="3"/>
  <c r="G1284" i="3"/>
  <c r="F1284" i="3"/>
  <c r="E1284" i="3"/>
  <c r="D1284" i="3"/>
  <c r="I1284" i="3" s="1"/>
  <c r="C1284" i="3"/>
  <c r="B1284" i="3"/>
  <c r="A1284" i="3"/>
  <c r="I1283" i="3"/>
  <c r="H1283" i="3"/>
  <c r="F1283" i="3"/>
  <c r="E1283" i="3"/>
  <c r="G1283" i="3" s="1"/>
  <c r="D1283" i="3"/>
  <c r="C1283" i="3"/>
  <c r="B1283" i="3"/>
  <c r="A1283" i="3"/>
  <c r="I1282" i="3"/>
  <c r="H1282" i="3"/>
  <c r="F1282" i="3"/>
  <c r="E1282" i="3"/>
  <c r="G1282" i="3" s="1"/>
  <c r="D1282" i="3"/>
  <c r="C1282" i="3"/>
  <c r="B1282" i="3"/>
  <c r="A1282" i="3"/>
  <c r="H1281" i="3"/>
  <c r="G1281" i="3"/>
  <c r="F1281" i="3"/>
  <c r="E1281" i="3"/>
  <c r="D1281" i="3"/>
  <c r="C1281" i="3"/>
  <c r="I1281" i="3" s="1"/>
  <c r="B1281" i="3"/>
  <c r="A1281" i="3"/>
  <c r="H1280" i="3"/>
  <c r="G1280" i="3"/>
  <c r="F1280" i="3"/>
  <c r="E1280" i="3"/>
  <c r="D1280" i="3"/>
  <c r="I1280" i="3" s="1"/>
  <c r="C1280" i="3"/>
  <c r="B1280" i="3"/>
  <c r="A1280" i="3"/>
  <c r="I1279" i="3"/>
  <c r="H1279" i="3"/>
  <c r="F1279" i="3"/>
  <c r="E1279" i="3"/>
  <c r="G1279" i="3" s="1"/>
  <c r="D1279" i="3"/>
  <c r="C1279" i="3"/>
  <c r="B1279" i="3"/>
  <c r="A1279" i="3"/>
  <c r="I1278" i="3"/>
  <c r="H1278" i="3"/>
  <c r="F1278" i="3"/>
  <c r="E1278" i="3"/>
  <c r="G1278" i="3" s="1"/>
  <c r="D1278" i="3"/>
  <c r="C1278" i="3"/>
  <c r="B1278" i="3"/>
  <c r="A1278" i="3"/>
  <c r="H1277" i="3"/>
  <c r="G1277" i="3"/>
  <c r="F1277" i="3"/>
  <c r="E1277" i="3"/>
  <c r="D1277" i="3"/>
  <c r="C1277" i="3"/>
  <c r="I1277" i="3" s="1"/>
  <c r="B1277" i="3"/>
  <c r="A1277" i="3"/>
  <c r="H1276" i="3"/>
  <c r="G1276" i="3"/>
  <c r="F1276" i="3"/>
  <c r="E1276" i="3"/>
  <c r="D1276" i="3"/>
  <c r="I1276" i="3" s="1"/>
  <c r="C1276" i="3"/>
  <c r="B1276" i="3"/>
  <c r="A1276" i="3"/>
  <c r="I1275" i="3"/>
  <c r="H1275" i="3"/>
  <c r="F1275" i="3"/>
  <c r="E1275" i="3"/>
  <c r="G1275" i="3" s="1"/>
  <c r="D1275" i="3"/>
  <c r="C1275" i="3"/>
  <c r="B1275" i="3"/>
  <c r="A1275" i="3"/>
  <c r="I1274" i="3"/>
  <c r="H1274" i="3"/>
  <c r="F1274" i="3"/>
  <c r="E1274" i="3"/>
  <c r="G1274" i="3" s="1"/>
  <c r="D1274" i="3"/>
  <c r="C1274" i="3"/>
  <c r="B1274" i="3"/>
  <c r="A1274" i="3"/>
  <c r="H1273" i="3"/>
  <c r="G1273" i="3"/>
  <c r="F1273" i="3"/>
  <c r="E1273" i="3"/>
  <c r="D1273" i="3"/>
  <c r="C1273" i="3"/>
  <c r="I1273" i="3" s="1"/>
  <c r="B1273" i="3"/>
  <c r="A1273" i="3"/>
  <c r="H1272" i="3"/>
  <c r="G1272" i="3"/>
  <c r="F1272" i="3"/>
  <c r="E1272" i="3"/>
  <c r="D1272" i="3"/>
  <c r="I1272" i="3" s="1"/>
  <c r="C1272" i="3"/>
  <c r="B1272" i="3"/>
  <c r="A1272" i="3"/>
  <c r="I1271" i="3"/>
  <c r="H1271" i="3"/>
  <c r="F1271" i="3"/>
  <c r="E1271" i="3"/>
  <c r="G1271" i="3" s="1"/>
  <c r="D1271" i="3"/>
  <c r="C1271" i="3"/>
  <c r="B1271" i="3"/>
  <c r="A1271" i="3"/>
  <c r="I1270" i="3"/>
  <c r="H1270" i="3"/>
  <c r="F1270" i="3"/>
  <c r="E1270" i="3"/>
  <c r="G1270" i="3" s="1"/>
  <c r="D1270" i="3"/>
  <c r="C1270" i="3"/>
  <c r="B1270" i="3"/>
  <c r="A1270" i="3"/>
  <c r="H1269" i="3"/>
  <c r="G1269" i="3"/>
  <c r="F1269" i="3"/>
  <c r="E1269" i="3"/>
  <c r="D1269" i="3"/>
  <c r="C1269" i="3"/>
  <c r="I1269" i="3" s="1"/>
  <c r="B1269" i="3"/>
  <c r="A1269" i="3"/>
  <c r="H1268" i="3"/>
  <c r="G1268" i="3"/>
  <c r="F1268" i="3"/>
  <c r="E1268" i="3"/>
  <c r="D1268" i="3"/>
  <c r="I1268" i="3" s="1"/>
  <c r="C1268" i="3"/>
  <c r="B1268" i="3"/>
  <c r="A1268" i="3"/>
  <c r="I1267" i="3"/>
  <c r="H1267" i="3"/>
  <c r="F1267" i="3"/>
  <c r="E1267" i="3"/>
  <c r="G1267" i="3" s="1"/>
  <c r="D1267" i="3"/>
  <c r="C1267" i="3"/>
  <c r="B1267" i="3"/>
  <c r="A1267" i="3"/>
  <c r="I1266" i="3"/>
  <c r="H1266" i="3"/>
  <c r="F1266" i="3"/>
  <c r="E1266" i="3"/>
  <c r="G1266" i="3" s="1"/>
  <c r="D1266" i="3"/>
  <c r="C1266" i="3"/>
  <c r="B1266" i="3"/>
  <c r="A1266" i="3"/>
  <c r="H1265" i="3"/>
  <c r="G1265" i="3"/>
  <c r="F1265" i="3"/>
  <c r="E1265" i="3"/>
  <c r="D1265" i="3"/>
  <c r="C1265" i="3"/>
  <c r="I1265" i="3" s="1"/>
  <c r="B1265" i="3"/>
  <c r="A1265" i="3"/>
  <c r="H1264" i="3"/>
  <c r="G1264" i="3"/>
  <c r="F1264" i="3"/>
  <c r="E1264" i="3"/>
  <c r="D1264" i="3"/>
  <c r="I1264" i="3" s="1"/>
  <c r="C1264" i="3"/>
  <c r="B1264" i="3"/>
  <c r="A1264" i="3"/>
  <c r="I1263" i="3"/>
  <c r="H1263" i="3"/>
  <c r="F1263" i="3"/>
  <c r="E1263" i="3"/>
  <c r="G1263" i="3" s="1"/>
  <c r="D1263" i="3"/>
  <c r="C1263" i="3"/>
  <c r="B1263" i="3"/>
  <c r="A1263" i="3"/>
  <c r="I1262" i="3"/>
  <c r="H1262" i="3"/>
  <c r="F1262" i="3"/>
  <c r="E1262" i="3"/>
  <c r="G1262" i="3" s="1"/>
  <c r="D1262" i="3"/>
  <c r="C1262" i="3"/>
  <c r="B1262" i="3"/>
  <c r="A1262" i="3"/>
  <c r="H1261" i="3"/>
  <c r="G1261" i="3"/>
  <c r="F1261" i="3"/>
  <c r="E1261" i="3"/>
  <c r="D1261" i="3"/>
  <c r="C1261" i="3"/>
  <c r="I1261" i="3" s="1"/>
  <c r="B1261" i="3"/>
  <c r="A1261" i="3"/>
  <c r="H1260" i="3"/>
  <c r="G1260" i="3"/>
  <c r="F1260" i="3"/>
  <c r="E1260" i="3"/>
  <c r="D1260" i="3"/>
  <c r="I1260" i="3" s="1"/>
  <c r="C1260" i="3"/>
  <c r="B1260" i="3"/>
  <c r="A1260" i="3"/>
  <c r="I1259" i="3"/>
  <c r="H1259" i="3"/>
  <c r="F1259" i="3"/>
  <c r="E1259" i="3"/>
  <c r="G1259" i="3" s="1"/>
  <c r="D1259" i="3"/>
  <c r="C1259" i="3"/>
  <c r="B1259" i="3"/>
  <c r="A1259" i="3"/>
  <c r="I1258" i="3"/>
  <c r="H1258" i="3"/>
  <c r="F1258" i="3"/>
  <c r="E1258" i="3"/>
  <c r="G1258" i="3" s="1"/>
  <c r="D1258" i="3"/>
  <c r="C1258" i="3"/>
  <c r="B1258" i="3"/>
  <c r="A1258" i="3"/>
  <c r="H1257" i="3"/>
  <c r="G1257" i="3"/>
  <c r="F1257" i="3"/>
  <c r="E1257" i="3"/>
  <c r="D1257" i="3"/>
  <c r="C1257" i="3"/>
  <c r="I1257" i="3" s="1"/>
  <c r="B1257" i="3"/>
  <c r="A1257" i="3"/>
  <c r="H1256" i="3"/>
  <c r="G1256" i="3"/>
  <c r="F1256" i="3"/>
  <c r="E1256" i="3"/>
  <c r="D1256" i="3"/>
  <c r="I1256" i="3" s="1"/>
  <c r="C1256" i="3"/>
  <c r="B1256" i="3"/>
  <c r="A1256" i="3"/>
  <c r="I1255" i="3"/>
  <c r="H1255" i="3"/>
  <c r="F1255" i="3"/>
  <c r="E1255" i="3"/>
  <c r="G1255" i="3" s="1"/>
  <c r="D1255" i="3"/>
  <c r="C1255" i="3"/>
  <c r="B1255" i="3"/>
  <c r="A1255" i="3"/>
  <c r="I1254" i="3"/>
  <c r="H1254" i="3"/>
  <c r="F1254" i="3"/>
  <c r="E1254" i="3"/>
  <c r="G1254" i="3" s="1"/>
  <c r="D1254" i="3"/>
  <c r="C1254" i="3"/>
  <c r="B1254" i="3"/>
  <c r="A1254" i="3"/>
  <c r="H1253" i="3"/>
  <c r="G1253" i="3"/>
  <c r="F1253" i="3"/>
  <c r="E1253" i="3"/>
  <c r="D1253" i="3"/>
  <c r="C1253" i="3"/>
  <c r="I1253" i="3" s="1"/>
  <c r="B1253" i="3"/>
  <c r="A1253" i="3"/>
  <c r="H1252" i="3"/>
  <c r="G1252" i="3"/>
  <c r="F1252" i="3"/>
  <c r="E1252" i="3"/>
  <c r="D1252" i="3"/>
  <c r="I1252" i="3" s="1"/>
  <c r="C1252" i="3"/>
  <c r="B1252" i="3"/>
  <c r="A1252" i="3"/>
  <c r="I1251" i="3"/>
  <c r="H1251" i="3"/>
  <c r="F1251" i="3"/>
  <c r="E1251" i="3"/>
  <c r="G1251" i="3" s="1"/>
  <c r="D1251" i="3"/>
  <c r="C1251" i="3"/>
  <c r="B1251" i="3"/>
  <c r="A1251" i="3"/>
  <c r="I1250" i="3"/>
  <c r="H1250" i="3"/>
  <c r="F1250" i="3"/>
  <c r="E1250" i="3"/>
  <c r="G1250" i="3" s="1"/>
  <c r="D1250" i="3"/>
  <c r="C1250" i="3"/>
  <c r="B1250" i="3"/>
  <c r="A1250" i="3"/>
  <c r="H1249" i="3"/>
  <c r="G1249" i="3"/>
  <c r="F1249" i="3"/>
  <c r="E1249" i="3"/>
  <c r="D1249" i="3"/>
  <c r="C1249" i="3"/>
  <c r="I1249" i="3" s="1"/>
  <c r="B1249" i="3"/>
  <c r="A1249" i="3"/>
  <c r="H1248" i="3"/>
  <c r="G1248" i="3"/>
  <c r="F1248" i="3"/>
  <c r="E1248" i="3"/>
  <c r="D1248" i="3"/>
  <c r="I1248" i="3" s="1"/>
  <c r="C1248" i="3"/>
  <c r="B1248" i="3"/>
  <c r="A1248" i="3"/>
  <c r="I1247" i="3"/>
  <c r="H1247" i="3"/>
  <c r="F1247" i="3"/>
  <c r="E1247" i="3"/>
  <c r="G1247" i="3" s="1"/>
  <c r="D1247" i="3"/>
  <c r="C1247" i="3"/>
  <c r="B1247" i="3"/>
  <c r="A1247" i="3"/>
  <c r="I1246" i="3"/>
  <c r="H1246" i="3"/>
  <c r="F1246" i="3"/>
  <c r="E1246" i="3"/>
  <c r="G1246" i="3" s="1"/>
  <c r="D1246" i="3"/>
  <c r="C1246" i="3"/>
  <c r="B1246" i="3"/>
  <c r="A1246" i="3"/>
  <c r="H1245" i="3"/>
  <c r="G1245" i="3"/>
  <c r="F1245" i="3"/>
  <c r="E1245" i="3"/>
  <c r="D1245" i="3"/>
  <c r="C1245" i="3"/>
  <c r="I1245" i="3" s="1"/>
  <c r="B1245" i="3"/>
  <c r="A1245" i="3"/>
  <c r="H1244" i="3"/>
  <c r="G1244" i="3"/>
  <c r="F1244" i="3"/>
  <c r="E1244" i="3"/>
  <c r="D1244" i="3"/>
  <c r="I1244" i="3" s="1"/>
  <c r="C1244" i="3"/>
  <c r="B1244" i="3"/>
  <c r="A1244" i="3"/>
  <c r="I1243" i="3"/>
  <c r="H1243" i="3"/>
  <c r="F1243" i="3"/>
  <c r="E1243" i="3"/>
  <c r="G1243" i="3" s="1"/>
  <c r="D1243" i="3"/>
  <c r="C1243" i="3"/>
  <c r="B1243" i="3"/>
  <c r="A1243" i="3"/>
  <c r="I1242" i="3"/>
  <c r="H1242" i="3"/>
  <c r="F1242" i="3"/>
  <c r="E1242" i="3"/>
  <c r="G1242" i="3" s="1"/>
  <c r="D1242" i="3"/>
  <c r="C1242" i="3"/>
  <c r="B1242" i="3"/>
  <c r="A1242" i="3"/>
  <c r="H1241" i="3"/>
  <c r="G1241" i="3"/>
  <c r="F1241" i="3"/>
  <c r="E1241" i="3"/>
  <c r="D1241" i="3"/>
  <c r="C1241" i="3"/>
  <c r="I1241" i="3" s="1"/>
  <c r="B1241" i="3"/>
  <c r="A1241" i="3"/>
  <c r="H1240" i="3"/>
  <c r="G1240" i="3"/>
  <c r="F1240" i="3"/>
  <c r="E1240" i="3"/>
  <c r="D1240" i="3"/>
  <c r="I1240" i="3" s="1"/>
  <c r="C1240" i="3"/>
  <c r="B1240" i="3"/>
  <c r="A1240" i="3"/>
  <c r="I1239" i="3"/>
  <c r="H1239" i="3"/>
  <c r="F1239" i="3"/>
  <c r="E1239" i="3"/>
  <c r="G1239" i="3" s="1"/>
  <c r="D1239" i="3"/>
  <c r="C1239" i="3"/>
  <c r="B1239" i="3"/>
  <c r="A1239" i="3"/>
  <c r="I1238" i="3"/>
  <c r="H1238" i="3"/>
  <c r="F1238" i="3"/>
  <c r="E1238" i="3"/>
  <c r="G1238" i="3" s="1"/>
  <c r="D1238" i="3"/>
  <c r="C1238" i="3"/>
  <c r="B1238" i="3"/>
  <c r="A1238" i="3"/>
  <c r="H1237" i="3"/>
  <c r="G1237" i="3"/>
  <c r="F1237" i="3"/>
  <c r="E1237" i="3"/>
  <c r="D1237" i="3"/>
  <c r="C1237" i="3"/>
  <c r="I1237" i="3" s="1"/>
  <c r="B1237" i="3"/>
  <c r="A1237" i="3"/>
  <c r="H1236" i="3"/>
  <c r="G1236" i="3"/>
  <c r="F1236" i="3"/>
  <c r="E1236" i="3"/>
  <c r="D1236" i="3"/>
  <c r="I1236" i="3" s="1"/>
  <c r="C1236" i="3"/>
  <c r="B1236" i="3"/>
  <c r="A1236" i="3"/>
  <c r="I1235" i="3"/>
  <c r="H1235" i="3"/>
  <c r="F1235" i="3"/>
  <c r="E1235" i="3"/>
  <c r="G1235" i="3" s="1"/>
  <c r="D1235" i="3"/>
  <c r="C1235" i="3"/>
  <c r="B1235" i="3"/>
  <c r="A1235" i="3"/>
  <c r="I1234" i="3"/>
  <c r="H1234" i="3"/>
  <c r="F1234" i="3"/>
  <c r="E1234" i="3"/>
  <c r="G1234" i="3" s="1"/>
  <c r="D1234" i="3"/>
  <c r="C1234" i="3"/>
  <c r="B1234" i="3"/>
  <c r="A1234" i="3"/>
  <c r="H1233" i="3"/>
  <c r="G1233" i="3"/>
  <c r="F1233" i="3"/>
  <c r="E1233" i="3"/>
  <c r="D1233" i="3"/>
  <c r="C1233" i="3"/>
  <c r="I1233" i="3" s="1"/>
  <c r="B1233" i="3"/>
  <c r="A1233" i="3"/>
  <c r="H1232" i="3"/>
  <c r="G1232" i="3"/>
  <c r="F1232" i="3"/>
  <c r="E1232" i="3"/>
  <c r="D1232" i="3"/>
  <c r="C1232" i="3"/>
  <c r="B1232" i="3"/>
  <c r="A1232" i="3"/>
  <c r="H1231" i="3"/>
  <c r="F1231" i="3"/>
  <c r="E1231" i="3"/>
  <c r="G1231" i="3" s="1"/>
  <c r="D1231" i="3"/>
  <c r="I1231" i="3" s="1"/>
  <c r="C1231" i="3"/>
  <c r="B1231" i="3"/>
  <c r="A1231" i="3"/>
  <c r="I1230" i="3"/>
  <c r="H1230" i="3"/>
  <c r="F1230" i="3"/>
  <c r="E1230" i="3"/>
  <c r="G1230" i="3" s="1"/>
  <c r="D1230" i="3"/>
  <c r="C1230" i="3"/>
  <c r="B1230" i="3"/>
  <c r="A1230" i="3"/>
  <c r="H1229" i="3"/>
  <c r="G1229" i="3"/>
  <c r="F1229" i="3"/>
  <c r="E1229" i="3"/>
  <c r="D1229" i="3"/>
  <c r="C1229" i="3"/>
  <c r="I1229" i="3" s="1"/>
  <c r="B1229" i="3"/>
  <c r="A1229" i="3"/>
  <c r="H1228" i="3"/>
  <c r="G1228" i="3"/>
  <c r="F1228" i="3"/>
  <c r="E1228" i="3"/>
  <c r="D1228" i="3"/>
  <c r="C1228" i="3"/>
  <c r="B1228" i="3"/>
  <c r="A1228" i="3"/>
  <c r="H1227" i="3"/>
  <c r="F1227" i="3"/>
  <c r="E1227" i="3"/>
  <c r="G1227" i="3" s="1"/>
  <c r="D1227" i="3"/>
  <c r="I1227" i="3" s="1"/>
  <c r="C1227" i="3"/>
  <c r="B1227" i="3"/>
  <c r="A1227" i="3"/>
  <c r="I1226" i="3"/>
  <c r="H1226" i="3"/>
  <c r="F1226" i="3"/>
  <c r="E1226" i="3"/>
  <c r="G1226" i="3" s="1"/>
  <c r="D1226" i="3"/>
  <c r="C1226" i="3"/>
  <c r="B1226" i="3"/>
  <c r="A1226" i="3"/>
  <c r="H1225" i="3"/>
  <c r="G1225" i="3"/>
  <c r="F1225" i="3"/>
  <c r="E1225" i="3"/>
  <c r="D1225" i="3"/>
  <c r="C1225" i="3"/>
  <c r="I1225" i="3" s="1"/>
  <c r="B1225" i="3"/>
  <c r="A1225" i="3"/>
  <c r="H1224" i="3"/>
  <c r="G1224" i="3"/>
  <c r="F1224" i="3"/>
  <c r="E1224" i="3"/>
  <c r="D1224" i="3"/>
  <c r="C1224" i="3"/>
  <c r="B1224" i="3"/>
  <c r="A1224" i="3"/>
  <c r="H1223" i="3"/>
  <c r="F1223" i="3"/>
  <c r="E1223" i="3"/>
  <c r="G1223" i="3" s="1"/>
  <c r="D1223" i="3"/>
  <c r="I1223" i="3" s="1"/>
  <c r="C1223" i="3"/>
  <c r="B1223" i="3"/>
  <c r="A1223" i="3"/>
  <c r="I1222" i="3"/>
  <c r="H1222" i="3"/>
  <c r="F1222" i="3"/>
  <c r="E1222" i="3"/>
  <c r="G1222" i="3" s="1"/>
  <c r="D1222" i="3"/>
  <c r="C1222" i="3"/>
  <c r="B1222" i="3"/>
  <c r="A1222" i="3"/>
  <c r="H1221" i="3"/>
  <c r="G1221" i="3"/>
  <c r="F1221" i="3"/>
  <c r="E1221" i="3"/>
  <c r="D1221" i="3"/>
  <c r="C1221" i="3"/>
  <c r="I1221" i="3" s="1"/>
  <c r="B1221" i="3"/>
  <c r="A1221" i="3"/>
  <c r="H1220" i="3"/>
  <c r="G1220" i="3"/>
  <c r="F1220" i="3"/>
  <c r="E1220" i="3"/>
  <c r="D1220" i="3"/>
  <c r="C1220" i="3"/>
  <c r="B1220" i="3"/>
  <c r="A1220" i="3"/>
  <c r="H1219" i="3"/>
  <c r="F1219" i="3"/>
  <c r="E1219" i="3"/>
  <c r="G1219" i="3" s="1"/>
  <c r="D1219" i="3"/>
  <c r="I1219" i="3" s="1"/>
  <c r="C1219" i="3"/>
  <c r="B1219" i="3"/>
  <c r="A1219" i="3"/>
  <c r="I1218" i="3"/>
  <c r="H1218" i="3"/>
  <c r="F1218" i="3"/>
  <c r="E1218" i="3"/>
  <c r="G1218" i="3" s="1"/>
  <c r="D1218" i="3"/>
  <c r="C1218" i="3"/>
  <c r="B1218" i="3"/>
  <c r="A1218" i="3"/>
  <c r="H1217" i="3"/>
  <c r="G1217" i="3"/>
  <c r="F1217" i="3"/>
  <c r="E1217" i="3"/>
  <c r="D1217" i="3"/>
  <c r="C1217" i="3"/>
  <c r="I1217" i="3" s="1"/>
  <c r="B1217" i="3"/>
  <c r="A1217" i="3"/>
  <c r="H1216" i="3"/>
  <c r="G1216" i="3"/>
  <c r="F1216" i="3"/>
  <c r="E1216" i="3"/>
  <c r="D1216" i="3"/>
  <c r="C1216" i="3"/>
  <c r="B1216" i="3"/>
  <c r="A1216" i="3"/>
  <c r="H1215" i="3"/>
  <c r="F1215" i="3"/>
  <c r="E1215" i="3"/>
  <c r="G1215" i="3" s="1"/>
  <c r="D1215" i="3"/>
  <c r="I1215" i="3" s="1"/>
  <c r="C1215" i="3"/>
  <c r="B1215" i="3"/>
  <c r="A1215" i="3"/>
  <c r="I1214" i="3"/>
  <c r="H1214" i="3"/>
  <c r="F1214" i="3"/>
  <c r="E1214" i="3"/>
  <c r="G1214" i="3" s="1"/>
  <c r="D1214" i="3"/>
  <c r="C1214" i="3"/>
  <c r="B1214" i="3"/>
  <c r="A1214" i="3"/>
  <c r="H1213" i="3"/>
  <c r="G1213" i="3"/>
  <c r="F1213" i="3"/>
  <c r="E1213" i="3"/>
  <c r="D1213" i="3"/>
  <c r="C1213" i="3"/>
  <c r="I1213" i="3" s="1"/>
  <c r="B1213" i="3"/>
  <c r="A1213" i="3"/>
  <c r="H1212" i="3"/>
  <c r="G1212" i="3"/>
  <c r="F1212" i="3"/>
  <c r="E1212" i="3"/>
  <c r="D1212" i="3"/>
  <c r="C1212" i="3"/>
  <c r="B1212" i="3"/>
  <c r="A1212" i="3"/>
  <c r="H1211" i="3"/>
  <c r="F1211" i="3"/>
  <c r="E1211" i="3"/>
  <c r="G1211" i="3" s="1"/>
  <c r="D1211" i="3"/>
  <c r="I1211" i="3" s="1"/>
  <c r="C1211" i="3"/>
  <c r="B1211" i="3"/>
  <c r="A1211" i="3"/>
  <c r="I1210" i="3"/>
  <c r="H1210" i="3"/>
  <c r="F1210" i="3"/>
  <c r="E1210" i="3"/>
  <c r="G1210" i="3" s="1"/>
  <c r="D1210" i="3"/>
  <c r="C1210" i="3"/>
  <c r="B1210" i="3"/>
  <c r="A1210" i="3"/>
  <c r="H1209" i="3"/>
  <c r="G1209" i="3"/>
  <c r="F1209" i="3"/>
  <c r="E1209" i="3"/>
  <c r="D1209" i="3"/>
  <c r="C1209" i="3"/>
  <c r="I1209" i="3" s="1"/>
  <c r="B1209" i="3"/>
  <c r="A1209" i="3"/>
  <c r="H1208" i="3"/>
  <c r="G1208" i="3"/>
  <c r="F1208" i="3"/>
  <c r="E1208" i="3"/>
  <c r="D1208" i="3"/>
  <c r="C1208" i="3"/>
  <c r="B1208" i="3"/>
  <c r="A1208" i="3"/>
  <c r="H1207" i="3"/>
  <c r="F1207" i="3"/>
  <c r="E1207" i="3"/>
  <c r="G1207" i="3" s="1"/>
  <c r="D1207" i="3"/>
  <c r="I1207" i="3" s="1"/>
  <c r="C1207" i="3"/>
  <c r="B1207" i="3"/>
  <c r="A1207" i="3"/>
  <c r="I1206" i="3"/>
  <c r="H1206" i="3"/>
  <c r="F1206" i="3"/>
  <c r="E1206" i="3"/>
  <c r="G1206" i="3" s="1"/>
  <c r="D1206" i="3"/>
  <c r="C1206" i="3"/>
  <c r="B1206" i="3"/>
  <c r="A1206" i="3"/>
  <c r="H1205" i="3"/>
  <c r="G1205" i="3"/>
  <c r="F1205" i="3"/>
  <c r="E1205" i="3"/>
  <c r="D1205" i="3"/>
  <c r="C1205" i="3"/>
  <c r="I1205" i="3" s="1"/>
  <c r="B1205" i="3"/>
  <c r="A1205" i="3"/>
  <c r="H1204" i="3"/>
  <c r="G1204" i="3"/>
  <c r="F1204" i="3"/>
  <c r="E1204" i="3"/>
  <c r="D1204" i="3"/>
  <c r="C1204" i="3"/>
  <c r="B1204" i="3"/>
  <c r="A1204" i="3"/>
  <c r="H1203" i="3"/>
  <c r="F1203" i="3"/>
  <c r="E1203" i="3"/>
  <c r="G1203" i="3" s="1"/>
  <c r="D1203" i="3"/>
  <c r="I1203" i="3" s="1"/>
  <c r="C1203" i="3"/>
  <c r="B1203" i="3"/>
  <c r="A1203" i="3"/>
  <c r="I1202" i="3"/>
  <c r="H1202" i="3"/>
  <c r="F1202" i="3"/>
  <c r="E1202" i="3"/>
  <c r="G1202" i="3" s="1"/>
  <c r="D1202" i="3"/>
  <c r="C1202" i="3"/>
  <c r="B1202" i="3"/>
  <c r="A1202" i="3"/>
  <c r="H1201" i="3"/>
  <c r="G1201" i="3"/>
  <c r="F1201" i="3"/>
  <c r="E1201" i="3"/>
  <c r="D1201" i="3"/>
  <c r="C1201" i="3"/>
  <c r="I1201" i="3" s="1"/>
  <c r="B1201" i="3"/>
  <c r="A1201" i="3"/>
  <c r="H1200" i="3"/>
  <c r="G1200" i="3"/>
  <c r="F1200" i="3"/>
  <c r="E1200" i="3"/>
  <c r="D1200" i="3"/>
  <c r="C1200" i="3"/>
  <c r="B1200" i="3"/>
  <c r="A1200" i="3"/>
  <c r="H1199" i="3"/>
  <c r="F1199" i="3"/>
  <c r="E1199" i="3"/>
  <c r="G1199" i="3" s="1"/>
  <c r="D1199" i="3"/>
  <c r="I1199" i="3" s="1"/>
  <c r="C1199" i="3"/>
  <c r="B1199" i="3"/>
  <c r="A1199" i="3"/>
  <c r="I1198" i="3"/>
  <c r="H1198" i="3"/>
  <c r="F1198" i="3"/>
  <c r="E1198" i="3"/>
  <c r="G1198" i="3" s="1"/>
  <c r="D1198" i="3"/>
  <c r="C1198" i="3"/>
  <c r="B1198" i="3"/>
  <c r="A1198" i="3"/>
  <c r="H1197" i="3"/>
  <c r="G1197" i="3"/>
  <c r="F1197" i="3"/>
  <c r="E1197" i="3"/>
  <c r="D1197" i="3"/>
  <c r="C1197" i="3"/>
  <c r="I1197" i="3" s="1"/>
  <c r="B1197" i="3"/>
  <c r="A1197" i="3"/>
  <c r="H1196" i="3"/>
  <c r="G1196" i="3"/>
  <c r="F1196" i="3"/>
  <c r="E1196" i="3"/>
  <c r="D1196" i="3"/>
  <c r="C1196" i="3"/>
  <c r="B1196" i="3"/>
  <c r="A1196" i="3"/>
  <c r="H1195" i="3"/>
  <c r="F1195" i="3"/>
  <c r="E1195" i="3"/>
  <c r="G1195" i="3" s="1"/>
  <c r="D1195" i="3"/>
  <c r="I1195" i="3" s="1"/>
  <c r="C1195" i="3"/>
  <c r="B1195" i="3"/>
  <c r="A1195" i="3"/>
  <c r="I1194" i="3"/>
  <c r="H1194" i="3"/>
  <c r="F1194" i="3"/>
  <c r="E1194" i="3"/>
  <c r="G1194" i="3" s="1"/>
  <c r="D1194" i="3"/>
  <c r="C1194" i="3"/>
  <c r="B1194" i="3"/>
  <c r="A1194" i="3"/>
  <c r="H1193" i="3"/>
  <c r="G1193" i="3"/>
  <c r="F1193" i="3"/>
  <c r="E1193" i="3"/>
  <c r="D1193" i="3"/>
  <c r="C1193" i="3"/>
  <c r="I1193" i="3" s="1"/>
  <c r="B1193" i="3"/>
  <c r="A1193" i="3"/>
  <c r="H1192" i="3"/>
  <c r="G1192" i="3"/>
  <c r="F1192" i="3"/>
  <c r="E1192" i="3"/>
  <c r="D1192" i="3"/>
  <c r="C1192" i="3"/>
  <c r="B1192" i="3"/>
  <c r="A1192" i="3"/>
  <c r="H1191" i="3"/>
  <c r="F1191" i="3"/>
  <c r="E1191" i="3"/>
  <c r="G1191" i="3" s="1"/>
  <c r="D1191" i="3"/>
  <c r="I1191" i="3" s="1"/>
  <c r="C1191" i="3"/>
  <c r="B1191" i="3"/>
  <c r="A1191" i="3"/>
  <c r="I1190" i="3"/>
  <c r="H1190" i="3"/>
  <c r="F1190" i="3"/>
  <c r="E1190" i="3"/>
  <c r="G1190" i="3" s="1"/>
  <c r="D1190" i="3"/>
  <c r="C1190" i="3"/>
  <c r="B1190" i="3"/>
  <c r="A1190" i="3"/>
  <c r="H1189" i="3"/>
  <c r="G1189" i="3"/>
  <c r="F1189" i="3"/>
  <c r="E1189" i="3"/>
  <c r="D1189" i="3"/>
  <c r="C1189" i="3"/>
  <c r="I1189" i="3" s="1"/>
  <c r="B1189" i="3"/>
  <c r="A1189" i="3"/>
  <c r="H1188" i="3"/>
  <c r="G1188" i="3"/>
  <c r="F1188" i="3"/>
  <c r="E1188" i="3"/>
  <c r="D1188" i="3"/>
  <c r="C1188" i="3"/>
  <c r="B1188" i="3"/>
  <c r="A1188" i="3"/>
  <c r="H1187" i="3"/>
  <c r="F1187" i="3"/>
  <c r="E1187" i="3"/>
  <c r="G1187" i="3" s="1"/>
  <c r="D1187" i="3"/>
  <c r="I1187" i="3" s="1"/>
  <c r="C1187" i="3"/>
  <c r="B1187" i="3"/>
  <c r="A1187" i="3"/>
  <c r="I1186" i="3"/>
  <c r="H1186" i="3"/>
  <c r="F1186" i="3"/>
  <c r="E1186" i="3"/>
  <c r="G1186" i="3" s="1"/>
  <c r="D1186" i="3"/>
  <c r="C1186" i="3"/>
  <c r="B1186" i="3"/>
  <c r="A1186" i="3"/>
  <c r="H1185" i="3"/>
  <c r="G1185" i="3"/>
  <c r="F1185" i="3"/>
  <c r="E1185" i="3"/>
  <c r="D1185" i="3"/>
  <c r="C1185" i="3"/>
  <c r="I1185" i="3" s="1"/>
  <c r="B1185" i="3"/>
  <c r="A1185" i="3"/>
  <c r="H1184" i="3"/>
  <c r="G1184" i="3"/>
  <c r="F1184" i="3"/>
  <c r="E1184" i="3"/>
  <c r="D1184" i="3"/>
  <c r="C1184" i="3"/>
  <c r="B1184" i="3"/>
  <c r="A1184" i="3"/>
  <c r="H1183" i="3"/>
  <c r="F1183" i="3"/>
  <c r="E1183" i="3"/>
  <c r="G1183" i="3" s="1"/>
  <c r="D1183" i="3"/>
  <c r="I1183" i="3" s="1"/>
  <c r="C1183" i="3"/>
  <c r="B1183" i="3"/>
  <c r="A1183" i="3"/>
  <c r="I1182" i="3"/>
  <c r="H1182" i="3"/>
  <c r="F1182" i="3"/>
  <c r="E1182" i="3"/>
  <c r="G1182" i="3" s="1"/>
  <c r="D1182" i="3"/>
  <c r="C1182" i="3"/>
  <c r="B1182" i="3"/>
  <c r="A1182" i="3"/>
  <c r="H1181" i="3"/>
  <c r="G1181" i="3"/>
  <c r="F1181" i="3"/>
  <c r="E1181" i="3"/>
  <c r="D1181" i="3"/>
  <c r="C1181" i="3"/>
  <c r="I1181" i="3" s="1"/>
  <c r="B1181" i="3"/>
  <c r="A1181" i="3"/>
  <c r="H1180" i="3"/>
  <c r="G1180" i="3"/>
  <c r="F1180" i="3"/>
  <c r="E1180" i="3"/>
  <c r="D1180" i="3"/>
  <c r="C1180" i="3"/>
  <c r="B1180" i="3"/>
  <c r="A1180" i="3"/>
  <c r="H1179" i="3"/>
  <c r="F1179" i="3"/>
  <c r="E1179" i="3"/>
  <c r="G1179" i="3" s="1"/>
  <c r="D1179" i="3"/>
  <c r="I1179" i="3" s="1"/>
  <c r="C1179" i="3"/>
  <c r="B1179" i="3"/>
  <c r="A1179" i="3"/>
  <c r="I1178" i="3"/>
  <c r="H1178" i="3"/>
  <c r="F1178" i="3"/>
  <c r="E1178" i="3"/>
  <c r="G1178" i="3" s="1"/>
  <c r="D1178" i="3"/>
  <c r="C1178" i="3"/>
  <c r="B1178" i="3"/>
  <c r="A1178" i="3"/>
  <c r="H1177" i="3"/>
  <c r="G1177" i="3"/>
  <c r="F1177" i="3"/>
  <c r="E1177" i="3"/>
  <c r="D1177" i="3"/>
  <c r="C1177" i="3"/>
  <c r="I1177" i="3" s="1"/>
  <c r="B1177" i="3"/>
  <c r="A1177" i="3"/>
  <c r="H1176" i="3"/>
  <c r="G1176" i="3"/>
  <c r="F1176" i="3"/>
  <c r="E1176" i="3"/>
  <c r="D1176" i="3"/>
  <c r="C1176" i="3"/>
  <c r="B1176" i="3"/>
  <c r="A1176" i="3"/>
  <c r="H1175" i="3"/>
  <c r="F1175" i="3"/>
  <c r="E1175" i="3"/>
  <c r="G1175" i="3" s="1"/>
  <c r="D1175" i="3"/>
  <c r="I1175" i="3" s="1"/>
  <c r="C1175" i="3"/>
  <c r="B1175" i="3"/>
  <c r="A1175" i="3"/>
  <c r="I1174" i="3"/>
  <c r="H1174" i="3"/>
  <c r="F1174" i="3"/>
  <c r="E1174" i="3"/>
  <c r="G1174" i="3" s="1"/>
  <c r="D1174" i="3"/>
  <c r="C1174" i="3"/>
  <c r="B1174" i="3"/>
  <c r="A1174" i="3"/>
  <c r="H1173" i="3"/>
  <c r="G1173" i="3"/>
  <c r="F1173" i="3"/>
  <c r="E1173" i="3"/>
  <c r="D1173" i="3"/>
  <c r="C1173" i="3"/>
  <c r="I1173" i="3" s="1"/>
  <c r="B1173" i="3"/>
  <c r="A1173" i="3"/>
  <c r="H1172" i="3"/>
  <c r="G1172" i="3"/>
  <c r="F1172" i="3"/>
  <c r="E1172" i="3"/>
  <c r="D1172" i="3"/>
  <c r="C1172" i="3"/>
  <c r="B1172" i="3"/>
  <c r="A1172" i="3"/>
  <c r="H1171" i="3"/>
  <c r="F1171" i="3"/>
  <c r="E1171" i="3"/>
  <c r="G1171" i="3" s="1"/>
  <c r="D1171" i="3"/>
  <c r="I1171" i="3" s="1"/>
  <c r="C1171" i="3"/>
  <c r="B1171" i="3"/>
  <c r="A1171" i="3"/>
  <c r="I1170" i="3"/>
  <c r="H1170" i="3"/>
  <c r="F1170" i="3"/>
  <c r="E1170" i="3"/>
  <c r="G1170" i="3" s="1"/>
  <c r="D1170" i="3"/>
  <c r="C1170" i="3"/>
  <c r="B1170" i="3"/>
  <c r="A1170" i="3"/>
  <c r="H1169" i="3"/>
  <c r="G1169" i="3"/>
  <c r="F1169" i="3"/>
  <c r="E1169" i="3"/>
  <c r="D1169" i="3"/>
  <c r="C1169" i="3"/>
  <c r="I1169" i="3" s="1"/>
  <c r="B1169" i="3"/>
  <c r="A1169" i="3"/>
  <c r="H1168" i="3"/>
  <c r="G1168" i="3"/>
  <c r="F1168" i="3"/>
  <c r="E1168" i="3"/>
  <c r="D1168" i="3"/>
  <c r="C1168" i="3"/>
  <c r="B1168" i="3"/>
  <c r="A1168" i="3"/>
  <c r="H1167" i="3"/>
  <c r="F1167" i="3"/>
  <c r="E1167" i="3"/>
  <c r="G1167" i="3" s="1"/>
  <c r="D1167" i="3"/>
  <c r="I1167" i="3" s="1"/>
  <c r="C1167" i="3"/>
  <c r="B1167" i="3"/>
  <c r="A1167" i="3"/>
  <c r="I1166" i="3"/>
  <c r="H1166" i="3"/>
  <c r="F1166" i="3"/>
  <c r="E1166" i="3"/>
  <c r="G1166" i="3" s="1"/>
  <c r="D1166" i="3"/>
  <c r="C1166" i="3"/>
  <c r="B1166" i="3"/>
  <c r="A1166" i="3"/>
  <c r="H1165" i="3"/>
  <c r="G1165" i="3"/>
  <c r="F1165" i="3"/>
  <c r="E1165" i="3"/>
  <c r="D1165" i="3"/>
  <c r="C1165" i="3"/>
  <c r="I1165" i="3" s="1"/>
  <c r="B1165" i="3"/>
  <c r="A1165" i="3"/>
  <c r="H1164" i="3"/>
  <c r="G1164" i="3"/>
  <c r="F1164" i="3"/>
  <c r="E1164" i="3"/>
  <c r="D1164" i="3"/>
  <c r="C1164" i="3"/>
  <c r="B1164" i="3"/>
  <c r="A1164" i="3"/>
  <c r="H1163" i="3"/>
  <c r="F1163" i="3"/>
  <c r="E1163" i="3"/>
  <c r="G1163" i="3" s="1"/>
  <c r="D1163" i="3"/>
  <c r="I1163" i="3" s="1"/>
  <c r="C1163" i="3"/>
  <c r="B1163" i="3"/>
  <c r="A1163" i="3"/>
  <c r="I1162" i="3"/>
  <c r="H1162" i="3"/>
  <c r="F1162" i="3"/>
  <c r="E1162" i="3"/>
  <c r="G1162" i="3" s="1"/>
  <c r="D1162" i="3"/>
  <c r="C1162" i="3"/>
  <c r="B1162" i="3"/>
  <c r="A1162" i="3"/>
  <c r="H1161" i="3"/>
  <c r="G1161" i="3"/>
  <c r="F1161" i="3"/>
  <c r="E1161" i="3"/>
  <c r="D1161" i="3"/>
  <c r="C1161" i="3"/>
  <c r="I1161" i="3" s="1"/>
  <c r="B1161" i="3"/>
  <c r="A1161" i="3"/>
  <c r="H1160" i="3"/>
  <c r="G1160" i="3"/>
  <c r="F1160" i="3"/>
  <c r="E1160" i="3"/>
  <c r="D1160" i="3"/>
  <c r="C1160" i="3"/>
  <c r="B1160" i="3"/>
  <c r="A1160" i="3"/>
  <c r="H1159" i="3"/>
  <c r="F1159" i="3"/>
  <c r="E1159" i="3"/>
  <c r="G1159" i="3" s="1"/>
  <c r="D1159" i="3"/>
  <c r="I1159" i="3" s="1"/>
  <c r="C1159" i="3"/>
  <c r="B1159" i="3"/>
  <c r="A1159" i="3"/>
  <c r="I1158" i="3"/>
  <c r="H1158" i="3"/>
  <c r="F1158" i="3"/>
  <c r="E1158" i="3"/>
  <c r="G1158" i="3" s="1"/>
  <c r="D1158" i="3"/>
  <c r="C1158" i="3"/>
  <c r="B1158" i="3"/>
  <c r="A1158" i="3"/>
  <c r="H1157" i="3"/>
  <c r="G1157" i="3"/>
  <c r="F1157" i="3"/>
  <c r="E1157" i="3"/>
  <c r="D1157" i="3"/>
  <c r="C1157" i="3"/>
  <c r="I1157" i="3" s="1"/>
  <c r="B1157" i="3"/>
  <c r="A1157" i="3"/>
  <c r="H1156" i="3"/>
  <c r="G1156" i="3"/>
  <c r="F1156" i="3"/>
  <c r="E1156" i="3"/>
  <c r="D1156" i="3"/>
  <c r="C1156" i="3"/>
  <c r="B1156" i="3"/>
  <c r="A1156" i="3"/>
  <c r="H1155" i="3"/>
  <c r="F1155" i="3"/>
  <c r="E1155" i="3"/>
  <c r="G1155" i="3" s="1"/>
  <c r="D1155" i="3"/>
  <c r="I1155" i="3" s="1"/>
  <c r="C1155" i="3"/>
  <c r="B1155" i="3"/>
  <c r="A1155" i="3"/>
  <c r="I1154" i="3"/>
  <c r="H1154" i="3"/>
  <c r="F1154" i="3"/>
  <c r="E1154" i="3"/>
  <c r="G1154" i="3" s="1"/>
  <c r="D1154" i="3"/>
  <c r="C1154" i="3"/>
  <c r="B1154" i="3"/>
  <c r="A1154" i="3"/>
  <c r="H1153" i="3"/>
  <c r="G1153" i="3"/>
  <c r="F1153" i="3"/>
  <c r="E1153" i="3"/>
  <c r="D1153" i="3"/>
  <c r="C1153" i="3"/>
  <c r="I1153" i="3" s="1"/>
  <c r="B1153" i="3"/>
  <c r="A1153" i="3"/>
  <c r="H1152" i="3"/>
  <c r="G1152" i="3"/>
  <c r="F1152" i="3"/>
  <c r="E1152" i="3"/>
  <c r="D1152" i="3"/>
  <c r="C1152" i="3"/>
  <c r="B1152" i="3"/>
  <c r="A1152" i="3"/>
  <c r="H1151" i="3"/>
  <c r="F1151" i="3"/>
  <c r="E1151" i="3"/>
  <c r="G1151" i="3" s="1"/>
  <c r="D1151" i="3"/>
  <c r="I1151" i="3" s="1"/>
  <c r="C1151" i="3"/>
  <c r="B1151" i="3"/>
  <c r="A1151" i="3"/>
  <c r="I1150" i="3"/>
  <c r="H1150" i="3"/>
  <c r="F1150" i="3"/>
  <c r="E1150" i="3"/>
  <c r="G1150" i="3" s="1"/>
  <c r="D1150" i="3"/>
  <c r="C1150" i="3"/>
  <c r="B1150" i="3"/>
  <c r="A1150" i="3"/>
  <c r="H1149" i="3"/>
  <c r="G1149" i="3"/>
  <c r="F1149" i="3"/>
  <c r="E1149" i="3"/>
  <c r="D1149" i="3"/>
  <c r="C1149" i="3"/>
  <c r="I1149" i="3" s="1"/>
  <c r="B1149" i="3"/>
  <c r="A1149" i="3"/>
  <c r="H1148" i="3"/>
  <c r="G1148" i="3"/>
  <c r="F1148" i="3"/>
  <c r="E1148" i="3"/>
  <c r="D1148" i="3"/>
  <c r="C1148" i="3"/>
  <c r="B1148" i="3"/>
  <c r="A1148" i="3"/>
  <c r="H1147" i="3"/>
  <c r="F1147" i="3"/>
  <c r="E1147" i="3"/>
  <c r="G1147" i="3" s="1"/>
  <c r="D1147" i="3"/>
  <c r="I1147" i="3" s="1"/>
  <c r="C1147" i="3"/>
  <c r="B1147" i="3"/>
  <c r="A1147" i="3"/>
  <c r="I1146" i="3"/>
  <c r="H1146" i="3"/>
  <c r="F1146" i="3"/>
  <c r="E1146" i="3"/>
  <c r="G1146" i="3" s="1"/>
  <c r="D1146" i="3"/>
  <c r="C1146" i="3"/>
  <c r="B1146" i="3"/>
  <c r="A1146" i="3"/>
  <c r="H1145" i="3"/>
  <c r="G1145" i="3"/>
  <c r="F1145" i="3"/>
  <c r="E1145" i="3"/>
  <c r="D1145" i="3"/>
  <c r="C1145" i="3"/>
  <c r="I1145" i="3" s="1"/>
  <c r="B1145" i="3"/>
  <c r="A1145" i="3"/>
  <c r="H1144" i="3"/>
  <c r="G1144" i="3"/>
  <c r="F1144" i="3"/>
  <c r="E1144" i="3"/>
  <c r="D1144" i="3"/>
  <c r="C1144" i="3"/>
  <c r="B1144" i="3"/>
  <c r="A1144" i="3"/>
  <c r="H1143" i="3"/>
  <c r="F1143" i="3"/>
  <c r="E1143" i="3"/>
  <c r="G1143" i="3" s="1"/>
  <c r="D1143" i="3"/>
  <c r="I1143" i="3" s="1"/>
  <c r="C1143" i="3"/>
  <c r="B1143" i="3"/>
  <c r="A1143" i="3"/>
  <c r="I1142" i="3"/>
  <c r="H1142" i="3"/>
  <c r="F1142" i="3"/>
  <c r="E1142" i="3"/>
  <c r="G1142" i="3" s="1"/>
  <c r="D1142" i="3"/>
  <c r="C1142" i="3"/>
  <c r="B1142" i="3"/>
  <c r="A1142" i="3"/>
  <c r="H1141" i="3"/>
  <c r="G1141" i="3"/>
  <c r="F1141" i="3"/>
  <c r="E1141" i="3"/>
  <c r="D1141" i="3"/>
  <c r="C1141" i="3"/>
  <c r="I1141" i="3" s="1"/>
  <c r="B1141" i="3"/>
  <c r="A1141" i="3"/>
  <c r="H1140" i="3"/>
  <c r="G1140" i="3"/>
  <c r="F1140" i="3"/>
  <c r="E1140" i="3"/>
  <c r="D1140" i="3"/>
  <c r="C1140" i="3"/>
  <c r="B1140" i="3"/>
  <c r="A1140" i="3"/>
  <c r="H1139" i="3"/>
  <c r="F1139" i="3"/>
  <c r="E1139" i="3"/>
  <c r="G1139" i="3" s="1"/>
  <c r="D1139" i="3"/>
  <c r="I1139" i="3" s="1"/>
  <c r="C1139" i="3"/>
  <c r="B1139" i="3"/>
  <c r="A1139" i="3"/>
  <c r="I1138" i="3"/>
  <c r="H1138" i="3"/>
  <c r="F1138" i="3"/>
  <c r="E1138" i="3"/>
  <c r="G1138" i="3" s="1"/>
  <c r="D1138" i="3"/>
  <c r="C1138" i="3"/>
  <c r="B1138" i="3"/>
  <c r="A1138" i="3"/>
  <c r="H1137" i="3"/>
  <c r="G1137" i="3"/>
  <c r="F1137" i="3"/>
  <c r="E1137" i="3"/>
  <c r="D1137" i="3"/>
  <c r="C1137" i="3"/>
  <c r="I1137" i="3" s="1"/>
  <c r="B1137" i="3"/>
  <c r="A1137" i="3"/>
  <c r="H1136" i="3"/>
  <c r="G1136" i="3"/>
  <c r="F1136" i="3"/>
  <c r="E1136" i="3"/>
  <c r="D1136" i="3"/>
  <c r="C1136" i="3"/>
  <c r="B1136" i="3"/>
  <c r="A1136" i="3"/>
  <c r="H1135" i="3"/>
  <c r="F1135" i="3"/>
  <c r="E1135" i="3"/>
  <c r="G1135" i="3" s="1"/>
  <c r="D1135" i="3"/>
  <c r="I1135" i="3" s="1"/>
  <c r="C1135" i="3"/>
  <c r="B1135" i="3"/>
  <c r="A1135" i="3"/>
  <c r="I1134" i="3"/>
  <c r="H1134" i="3"/>
  <c r="F1134" i="3"/>
  <c r="E1134" i="3"/>
  <c r="G1134" i="3" s="1"/>
  <c r="D1134" i="3"/>
  <c r="C1134" i="3"/>
  <c r="B1134" i="3"/>
  <c r="A1134" i="3"/>
  <c r="H1133" i="3"/>
  <c r="G1133" i="3"/>
  <c r="F1133" i="3"/>
  <c r="E1133" i="3"/>
  <c r="D1133" i="3"/>
  <c r="C1133" i="3"/>
  <c r="I1133" i="3" s="1"/>
  <c r="B1133" i="3"/>
  <c r="A1133" i="3"/>
  <c r="H1132" i="3"/>
  <c r="G1132" i="3"/>
  <c r="F1132" i="3"/>
  <c r="E1132" i="3"/>
  <c r="D1132" i="3"/>
  <c r="C1132" i="3"/>
  <c r="B1132" i="3"/>
  <c r="A1132" i="3"/>
  <c r="H1131" i="3"/>
  <c r="F1131" i="3"/>
  <c r="E1131" i="3"/>
  <c r="G1131" i="3" s="1"/>
  <c r="D1131" i="3"/>
  <c r="I1131" i="3" s="1"/>
  <c r="C1131" i="3"/>
  <c r="B1131" i="3"/>
  <c r="A1131" i="3"/>
  <c r="I1130" i="3"/>
  <c r="H1130" i="3"/>
  <c r="F1130" i="3"/>
  <c r="E1130" i="3"/>
  <c r="G1130" i="3" s="1"/>
  <c r="D1130" i="3"/>
  <c r="C1130" i="3"/>
  <c r="B1130" i="3"/>
  <c r="A1130" i="3"/>
  <c r="H1129" i="3"/>
  <c r="G1129" i="3"/>
  <c r="F1129" i="3"/>
  <c r="E1129" i="3"/>
  <c r="D1129" i="3"/>
  <c r="C1129" i="3"/>
  <c r="I1129" i="3" s="1"/>
  <c r="B1129" i="3"/>
  <c r="A1129" i="3"/>
  <c r="H1128" i="3"/>
  <c r="G1128" i="3"/>
  <c r="F1128" i="3"/>
  <c r="E1128" i="3"/>
  <c r="D1128" i="3"/>
  <c r="C1128" i="3"/>
  <c r="B1128" i="3"/>
  <c r="A1128" i="3"/>
  <c r="H1127" i="3"/>
  <c r="F1127" i="3"/>
  <c r="E1127" i="3"/>
  <c r="G1127" i="3" s="1"/>
  <c r="D1127" i="3"/>
  <c r="I1127" i="3" s="1"/>
  <c r="C1127" i="3"/>
  <c r="B1127" i="3"/>
  <c r="A1127" i="3"/>
  <c r="I1126" i="3"/>
  <c r="H1126" i="3"/>
  <c r="F1126" i="3"/>
  <c r="E1126" i="3"/>
  <c r="G1126" i="3" s="1"/>
  <c r="D1126" i="3"/>
  <c r="C1126" i="3"/>
  <c r="B1126" i="3"/>
  <c r="A1126" i="3"/>
  <c r="H1125" i="3"/>
  <c r="G1125" i="3"/>
  <c r="F1125" i="3"/>
  <c r="E1125" i="3"/>
  <c r="D1125" i="3"/>
  <c r="C1125" i="3"/>
  <c r="I1125" i="3" s="1"/>
  <c r="B1125" i="3"/>
  <c r="A1125" i="3"/>
  <c r="H1124" i="3"/>
  <c r="G1124" i="3"/>
  <c r="F1124" i="3"/>
  <c r="E1124" i="3"/>
  <c r="D1124" i="3"/>
  <c r="C1124" i="3"/>
  <c r="B1124" i="3"/>
  <c r="A1124" i="3"/>
  <c r="H1123" i="3"/>
  <c r="F1123" i="3"/>
  <c r="E1123" i="3"/>
  <c r="G1123" i="3" s="1"/>
  <c r="D1123" i="3"/>
  <c r="I1123" i="3" s="1"/>
  <c r="C1123" i="3"/>
  <c r="B1123" i="3"/>
  <c r="A1123" i="3"/>
  <c r="I1122" i="3"/>
  <c r="H1122" i="3"/>
  <c r="F1122" i="3"/>
  <c r="E1122" i="3"/>
  <c r="G1122" i="3" s="1"/>
  <c r="D1122" i="3"/>
  <c r="C1122" i="3"/>
  <c r="B1122" i="3"/>
  <c r="A1122" i="3"/>
  <c r="H1121" i="3"/>
  <c r="G1121" i="3"/>
  <c r="F1121" i="3"/>
  <c r="E1121" i="3"/>
  <c r="D1121" i="3"/>
  <c r="C1121" i="3"/>
  <c r="I1121" i="3" s="1"/>
  <c r="B1121" i="3"/>
  <c r="A1121" i="3"/>
  <c r="H1120" i="3"/>
  <c r="G1120" i="3"/>
  <c r="F1120" i="3"/>
  <c r="E1120" i="3"/>
  <c r="D1120" i="3"/>
  <c r="C1120" i="3"/>
  <c r="B1120" i="3"/>
  <c r="A1120" i="3"/>
  <c r="H1119" i="3"/>
  <c r="F1119" i="3"/>
  <c r="E1119" i="3"/>
  <c r="G1119" i="3" s="1"/>
  <c r="D1119" i="3"/>
  <c r="I1119" i="3" s="1"/>
  <c r="C1119" i="3"/>
  <c r="B1119" i="3"/>
  <c r="A1119" i="3"/>
  <c r="I1118" i="3"/>
  <c r="H1118" i="3"/>
  <c r="F1118" i="3"/>
  <c r="E1118" i="3"/>
  <c r="G1118" i="3" s="1"/>
  <c r="D1118" i="3"/>
  <c r="C1118" i="3"/>
  <c r="B1118" i="3"/>
  <c r="A1118" i="3"/>
  <c r="H1117" i="3"/>
  <c r="G1117" i="3"/>
  <c r="F1117" i="3"/>
  <c r="E1117" i="3"/>
  <c r="D1117" i="3"/>
  <c r="C1117" i="3"/>
  <c r="I1117" i="3" s="1"/>
  <c r="B1117" i="3"/>
  <c r="A1117" i="3"/>
  <c r="H1116" i="3"/>
  <c r="G1116" i="3"/>
  <c r="F1116" i="3"/>
  <c r="E1116" i="3"/>
  <c r="D1116" i="3"/>
  <c r="C1116" i="3"/>
  <c r="B1116" i="3"/>
  <c r="A1116" i="3"/>
  <c r="H1115" i="3"/>
  <c r="F1115" i="3"/>
  <c r="E1115" i="3"/>
  <c r="G1115" i="3" s="1"/>
  <c r="D1115" i="3"/>
  <c r="I1115" i="3" s="1"/>
  <c r="C1115" i="3"/>
  <c r="B1115" i="3"/>
  <c r="A1115" i="3"/>
  <c r="I1114" i="3"/>
  <c r="H1114" i="3"/>
  <c r="F1114" i="3"/>
  <c r="E1114" i="3"/>
  <c r="G1114" i="3" s="1"/>
  <c r="D1114" i="3"/>
  <c r="C1114" i="3"/>
  <c r="B1114" i="3"/>
  <c r="A1114" i="3"/>
  <c r="H1113" i="3"/>
  <c r="G1113" i="3"/>
  <c r="F1113" i="3"/>
  <c r="E1113" i="3"/>
  <c r="D1113" i="3"/>
  <c r="C1113" i="3"/>
  <c r="I1113" i="3" s="1"/>
  <c r="B1113" i="3"/>
  <c r="A1113" i="3"/>
  <c r="H1112" i="3"/>
  <c r="G1112" i="3"/>
  <c r="F1112" i="3"/>
  <c r="E1112" i="3"/>
  <c r="D1112" i="3"/>
  <c r="C1112" i="3"/>
  <c r="B1112" i="3"/>
  <c r="A1112" i="3"/>
  <c r="H1111" i="3"/>
  <c r="F1111" i="3"/>
  <c r="E1111" i="3"/>
  <c r="G1111" i="3" s="1"/>
  <c r="D1111" i="3"/>
  <c r="I1111" i="3" s="1"/>
  <c r="C1111" i="3"/>
  <c r="B1111" i="3"/>
  <c r="A1111" i="3"/>
  <c r="I1110" i="3"/>
  <c r="H1110" i="3"/>
  <c r="F1110" i="3"/>
  <c r="E1110" i="3"/>
  <c r="G1110" i="3" s="1"/>
  <c r="D1110" i="3"/>
  <c r="C1110" i="3"/>
  <c r="B1110" i="3"/>
  <c r="A1110" i="3"/>
  <c r="H1109" i="3"/>
  <c r="G1109" i="3"/>
  <c r="F1109" i="3"/>
  <c r="E1109" i="3"/>
  <c r="D1109" i="3"/>
  <c r="C1109" i="3"/>
  <c r="I1109" i="3" s="1"/>
  <c r="B1109" i="3"/>
  <c r="A1109" i="3"/>
  <c r="H1108" i="3"/>
  <c r="G1108" i="3"/>
  <c r="F1108" i="3"/>
  <c r="E1108" i="3"/>
  <c r="D1108" i="3"/>
  <c r="C1108" i="3"/>
  <c r="B1108" i="3"/>
  <c r="A1108" i="3"/>
  <c r="H1107" i="3"/>
  <c r="F1107" i="3"/>
  <c r="E1107" i="3"/>
  <c r="G1107" i="3" s="1"/>
  <c r="D1107" i="3"/>
  <c r="I1107" i="3" s="1"/>
  <c r="C1107" i="3"/>
  <c r="B1107" i="3"/>
  <c r="A1107" i="3"/>
  <c r="H1106" i="3"/>
  <c r="F1106" i="3"/>
  <c r="E1106" i="3"/>
  <c r="G1106" i="3" s="1"/>
  <c r="D1106" i="3"/>
  <c r="I1106" i="3" s="1"/>
  <c r="C1106" i="3"/>
  <c r="B1106" i="3"/>
  <c r="A1106" i="3"/>
  <c r="I1105" i="3"/>
  <c r="H1105" i="3"/>
  <c r="F1105" i="3"/>
  <c r="E1105" i="3"/>
  <c r="G1105" i="3" s="1"/>
  <c r="D1105" i="3"/>
  <c r="C1105" i="3"/>
  <c r="B1105" i="3"/>
  <c r="A1105" i="3"/>
  <c r="H1104" i="3"/>
  <c r="G1104" i="3"/>
  <c r="F1104" i="3"/>
  <c r="E1104" i="3"/>
  <c r="D1104" i="3"/>
  <c r="I1104" i="3" s="1"/>
  <c r="C1104" i="3"/>
  <c r="B1104" i="3"/>
  <c r="A1104" i="3"/>
  <c r="I1103" i="3"/>
  <c r="H1103" i="3"/>
  <c r="F1103" i="3"/>
  <c r="E1103" i="3"/>
  <c r="G1103" i="3" s="1"/>
  <c r="D1103" i="3"/>
  <c r="C1103" i="3"/>
  <c r="B1103" i="3"/>
  <c r="A1103" i="3"/>
  <c r="H1102" i="3"/>
  <c r="F1102" i="3"/>
  <c r="E1102" i="3"/>
  <c r="G1102" i="3" s="1"/>
  <c r="D1102" i="3"/>
  <c r="I1102" i="3" s="1"/>
  <c r="C1102" i="3"/>
  <c r="B1102" i="3"/>
  <c r="A1102" i="3"/>
  <c r="H1101" i="3"/>
  <c r="G1101" i="3"/>
  <c r="F1101" i="3"/>
  <c r="E1101" i="3"/>
  <c r="D1101" i="3"/>
  <c r="C1101" i="3"/>
  <c r="I1101" i="3" s="1"/>
  <c r="B1101" i="3"/>
  <c r="A1101" i="3"/>
  <c r="H1100" i="3"/>
  <c r="G1100" i="3"/>
  <c r="F1100" i="3"/>
  <c r="E1100" i="3"/>
  <c r="D1100" i="3"/>
  <c r="C1100" i="3"/>
  <c r="B1100" i="3"/>
  <c r="A1100" i="3"/>
  <c r="H1099" i="3"/>
  <c r="G1099" i="3"/>
  <c r="F1099" i="3"/>
  <c r="E1099" i="3"/>
  <c r="D1099" i="3"/>
  <c r="C1099" i="3"/>
  <c r="B1099" i="3"/>
  <c r="A1099" i="3"/>
  <c r="H1098" i="3"/>
  <c r="F1098" i="3"/>
  <c r="E1098" i="3"/>
  <c r="G1098" i="3" s="1"/>
  <c r="D1098" i="3"/>
  <c r="I1098" i="3" s="1"/>
  <c r="C1098" i="3"/>
  <c r="B1098" i="3"/>
  <c r="A1098" i="3"/>
  <c r="I1097" i="3"/>
  <c r="H1097" i="3"/>
  <c r="F1097" i="3"/>
  <c r="E1097" i="3"/>
  <c r="G1097" i="3" s="1"/>
  <c r="D1097" i="3"/>
  <c r="C1097" i="3"/>
  <c r="B1097" i="3"/>
  <c r="A1097" i="3"/>
  <c r="H1096" i="3"/>
  <c r="G1096" i="3"/>
  <c r="F1096" i="3"/>
  <c r="E1096" i="3"/>
  <c r="D1096" i="3"/>
  <c r="I1096" i="3" s="1"/>
  <c r="C1096" i="3"/>
  <c r="B1096" i="3"/>
  <c r="A1096" i="3"/>
  <c r="I1095" i="3"/>
  <c r="H1095" i="3"/>
  <c r="F1095" i="3"/>
  <c r="E1095" i="3"/>
  <c r="G1095" i="3" s="1"/>
  <c r="D1095" i="3"/>
  <c r="C1095" i="3"/>
  <c r="B1095" i="3"/>
  <c r="A1095" i="3"/>
  <c r="H1094" i="3"/>
  <c r="F1094" i="3"/>
  <c r="E1094" i="3"/>
  <c r="G1094" i="3" s="1"/>
  <c r="D1094" i="3"/>
  <c r="I1094" i="3" s="1"/>
  <c r="C1094" i="3"/>
  <c r="B1094" i="3"/>
  <c r="A1094" i="3"/>
  <c r="H1093" i="3"/>
  <c r="G1093" i="3"/>
  <c r="F1093" i="3"/>
  <c r="E1093" i="3"/>
  <c r="D1093" i="3"/>
  <c r="C1093" i="3"/>
  <c r="I1093" i="3" s="1"/>
  <c r="B1093" i="3"/>
  <c r="A1093" i="3"/>
  <c r="H1092" i="3"/>
  <c r="G1092" i="3"/>
  <c r="F1092" i="3"/>
  <c r="E1092" i="3"/>
  <c r="D1092" i="3"/>
  <c r="C1092" i="3"/>
  <c r="B1092" i="3"/>
  <c r="A1092" i="3"/>
  <c r="H1091" i="3"/>
  <c r="G1091" i="3"/>
  <c r="F1091" i="3"/>
  <c r="E1091" i="3"/>
  <c r="D1091" i="3"/>
  <c r="C1091" i="3"/>
  <c r="B1091" i="3"/>
  <c r="A1091" i="3"/>
  <c r="H1090" i="3"/>
  <c r="F1090" i="3"/>
  <c r="E1090" i="3"/>
  <c r="G1090" i="3" s="1"/>
  <c r="D1090" i="3"/>
  <c r="I1090" i="3" s="1"/>
  <c r="C1090" i="3"/>
  <c r="B1090" i="3"/>
  <c r="A1090" i="3"/>
  <c r="I1089" i="3"/>
  <c r="H1089" i="3"/>
  <c r="F1089" i="3"/>
  <c r="E1089" i="3"/>
  <c r="G1089" i="3" s="1"/>
  <c r="D1089" i="3"/>
  <c r="C1089" i="3"/>
  <c r="B1089" i="3"/>
  <c r="A1089" i="3"/>
  <c r="H1088" i="3"/>
  <c r="G1088" i="3"/>
  <c r="F1088" i="3"/>
  <c r="E1088" i="3"/>
  <c r="D1088" i="3"/>
  <c r="I1088" i="3" s="1"/>
  <c r="C1088" i="3"/>
  <c r="B1088" i="3"/>
  <c r="A1088" i="3"/>
  <c r="I1087" i="3"/>
  <c r="H1087" i="3"/>
  <c r="F1087" i="3"/>
  <c r="E1087" i="3"/>
  <c r="G1087" i="3" s="1"/>
  <c r="D1087" i="3"/>
  <c r="C1087" i="3"/>
  <c r="B1087" i="3"/>
  <c r="A1087" i="3"/>
  <c r="H1086" i="3"/>
  <c r="F1086" i="3"/>
  <c r="E1086" i="3"/>
  <c r="G1086" i="3" s="1"/>
  <c r="D1086" i="3"/>
  <c r="I1086" i="3" s="1"/>
  <c r="C1086" i="3"/>
  <c r="B1086" i="3"/>
  <c r="A1086" i="3"/>
  <c r="H1085" i="3"/>
  <c r="G1085" i="3"/>
  <c r="F1085" i="3"/>
  <c r="E1085" i="3"/>
  <c r="D1085" i="3"/>
  <c r="C1085" i="3"/>
  <c r="I1085" i="3" s="1"/>
  <c r="B1085" i="3"/>
  <c r="A1085" i="3"/>
  <c r="H1084" i="3"/>
  <c r="G1084" i="3"/>
  <c r="F1084" i="3"/>
  <c r="E1084" i="3"/>
  <c r="D1084" i="3"/>
  <c r="C1084" i="3"/>
  <c r="B1084" i="3"/>
  <c r="A1084" i="3"/>
  <c r="H1083" i="3"/>
  <c r="G1083" i="3"/>
  <c r="F1083" i="3"/>
  <c r="E1083" i="3"/>
  <c r="D1083" i="3"/>
  <c r="C1083" i="3"/>
  <c r="B1083" i="3"/>
  <c r="A1083" i="3"/>
  <c r="H1082" i="3"/>
  <c r="F1082" i="3"/>
  <c r="E1082" i="3"/>
  <c r="G1082" i="3" s="1"/>
  <c r="D1082" i="3"/>
  <c r="I1082" i="3" s="1"/>
  <c r="C1082" i="3"/>
  <c r="B1082" i="3"/>
  <c r="A1082" i="3"/>
  <c r="I1081" i="3"/>
  <c r="H1081" i="3"/>
  <c r="F1081" i="3"/>
  <c r="E1081" i="3"/>
  <c r="G1081" i="3" s="1"/>
  <c r="D1081" i="3"/>
  <c r="C1081" i="3"/>
  <c r="B1081" i="3"/>
  <c r="A1081" i="3"/>
  <c r="H1080" i="3"/>
  <c r="G1080" i="3"/>
  <c r="F1080" i="3"/>
  <c r="E1080" i="3"/>
  <c r="D1080" i="3"/>
  <c r="I1080" i="3" s="1"/>
  <c r="C1080" i="3"/>
  <c r="B1080" i="3"/>
  <c r="A1080" i="3"/>
  <c r="I1079" i="3"/>
  <c r="H1079" i="3"/>
  <c r="F1079" i="3"/>
  <c r="E1079" i="3"/>
  <c r="G1079" i="3" s="1"/>
  <c r="D1079" i="3"/>
  <c r="C1079" i="3"/>
  <c r="B1079" i="3"/>
  <c r="A1079" i="3"/>
  <c r="H1078" i="3"/>
  <c r="F1078" i="3"/>
  <c r="E1078" i="3"/>
  <c r="G1078" i="3" s="1"/>
  <c r="D1078" i="3"/>
  <c r="I1078" i="3" s="1"/>
  <c r="C1078" i="3"/>
  <c r="B1078" i="3"/>
  <c r="A1078" i="3"/>
  <c r="H1077" i="3"/>
  <c r="G1077" i="3"/>
  <c r="F1077" i="3"/>
  <c r="E1077" i="3"/>
  <c r="D1077" i="3"/>
  <c r="C1077" i="3"/>
  <c r="I1077" i="3" s="1"/>
  <c r="B1077" i="3"/>
  <c r="A1077" i="3"/>
  <c r="H1076" i="3"/>
  <c r="G1076" i="3"/>
  <c r="F1076" i="3"/>
  <c r="E1076" i="3"/>
  <c r="D1076" i="3"/>
  <c r="C1076" i="3"/>
  <c r="B1076" i="3"/>
  <c r="A1076" i="3"/>
  <c r="H1075" i="3"/>
  <c r="G1075" i="3"/>
  <c r="F1075" i="3"/>
  <c r="E1075" i="3"/>
  <c r="D1075" i="3"/>
  <c r="C1075" i="3"/>
  <c r="B1075" i="3"/>
  <c r="A1075" i="3"/>
  <c r="H1074" i="3"/>
  <c r="F1074" i="3"/>
  <c r="E1074" i="3"/>
  <c r="G1074" i="3" s="1"/>
  <c r="D1074" i="3"/>
  <c r="I1074" i="3" s="1"/>
  <c r="C1074" i="3"/>
  <c r="B1074" i="3"/>
  <c r="A1074" i="3"/>
  <c r="I1073" i="3"/>
  <c r="H1073" i="3"/>
  <c r="F1073" i="3"/>
  <c r="E1073" i="3"/>
  <c r="G1073" i="3" s="1"/>
  <c r="D1073" i="3"/>
  <c r="C1073" i="3"/>
  <c r="B1073" i="3"/>
  <c r="A1073" i="3"/>
  <c r="H1072" i="3"/>
  <c r="G1072" i="3"/>
  <c r="F1072" i="3"/>
  <c r="E1072" i="3"/>
  <c r="D1072" i="3"/>
  <c r="I1072" i="3" s="1"/>
  <c r="C1072" i="3"/>
  <c r="B1072" i="3"/>
  <c r="A1072" i="3"/>
  <c r="I1071" i="3"/>
  <c r="H1071" i="3"/>
  <c r="F1071" i="3"/>
  <c r="E1071" i="3"/>
  <c r="G1071" i="3" s="1"/>
  <c r="D1071" i="3"/>
  <c r="C1071" i="3"/>
  <c r="B1071" i="3"/>
  <c r="A1071" i="3"/>
  <c r="H1070" i="3"/>
  <c r="F1070" i="3"/>
  <c r="E1070" i="3"/>
  <c r="G1070" i="3" s="1"/>
  <c r="D1070" i="3"/>
  <c r="I1070" i="3" s="1"/>
  <c r="C1070" i="3"/>
  <c r="B1070" i="3"/>
  <c r="A1070" i="3"/>
  <c r="H1069" i="3"/>
  <c r="G1069" i="3"/>
  <c r="F1069" i="3"/>
  <c r="E1069" i="3"/>
  <c r="D1069" i="3"/>
  <c r="C1069" i="3"/>
  <c r="I1069" i="3" s="1"/>
  <c r="B1069" i="3"/>
  <c r="A1069" i="3"/>
  <c r="H1068" i="3"/>
  <c r="G1068" i="3"/>
  <c r="F1068" i="3"/>
  <c r="E1068" i="3"/>
  <c r="D1068" i="3"/>
  <c r="C1068" i="3"/>
  <c r="B1068" i="3"/>
  <c r="A1068" i="3"/>
  <c r="H1067" i="3"/>
  <c r="G1067" i="3"/>
  <c r="F1067" i="3"/>
  <c r="E1067" i="3"/>
  <c r="D1067" i="3"/>
  <c r="C1067" i="3"/>
  <c r="B1067" i="3"/>
  <c r="A1067" i="3"/>
  <c r="H1066" i="3"/>
  <c r="F1066" i="3"/>
  <c r="E1066" i="3"/>
  <c r="G1066" i="3" s="1"/>
  <c r="D1066" i="3"/>
  <c r="I1066" i="3" s="1"/>
  <c r="C1066" i="3"/>
  <c r="B1066" i="3"/>
  <c r="A1066" i="3"/>
  <c r="I1065" i="3"/>
  <c r="H1065" i="3"/>
  <c r="F1065" i="3"/>
  <c r="E1065" i="3"/>
  <c r="G1065" i="3" s="1"/>
  <c r="D1065" i="3"/>
  <c r="C1065" i="3"/>
  <c r="B1065" i="3"/>
  <c r="A1065" i="3"/>
  <c r="H1064" i="3"/>
  <c r="G1064" i="3"/>
  <c r="F1064" i="3"/>
  <c r="E1064" i="3"/>
  <c r="D1064" i="3"/>
  <c r="I1064" i="3" s="1"/>
  <c r="C1064" i="3"/>
  <c r="B1064" i="3"/>
  <c r="A1064" i="3"/>
  <c r="I1063" i="3"/>
  <c r="H1063" i="3"/>
  <c r="F1063" i="3"/>
  <c r="E1063" i="3"/>
  <c r="G1063" i="3" s="1"/>
  <c r="D1063" i="3"/>
  <c r="C1063" i="3"/>
  <c r="B1063" i="3"/>
  <c r="A1063" i="3"/>
  <c r="H1062" i="3"/>
  <c r="F1062" i="3"/>
  <c r="E1062" i="3"/>
  <c r="G1062" i="3" s="1"/>
  <c r="D1062" i="3"/>
  <c r="I1062" i="3" s="1"/>
  <c r="C1062" i="3"/>
  <c r="B1062" i="3"/>
  <c r="A1062" i="3"/>
  <c r="H1061" i="3"/>
  <c r="G1061" i="3"/>
  <c r="F1061" i="3"/>
  <c r="E1061" i="3"/>
  <c r="D1061" i="3"/>
  <c r="C1061" i="3"/>
  <c r="I1061" i="3" s="1"/>
  <c r="B1061" i="3"/>
  <c r="A1061" i="3"/>
  <c r="H1060" i="3"/>
  <c r="G1060" i="3"/>
  <c r="F1060" i="3"/>
  <c r="E1060" i="3"/>
  <c r="D1060" i="3"/>
  <c r="C1060" i="3"/>
  <c r="B1060" i="3"/>
  <c r="A1060" i="3"/>
  <c r="H1059" i="3"/>
  <c r="G1059" i="3"/>
  <c r="F1059" i="3"/>
  <c r="E1059" i="3"/>
  <c r="D1059" i="3"/>
  <c r="C1059" i="3"/>
  <c r="B1059" i="3"/>
  <c r="A1059" i="3"/>
  <c r="H1058" i="3"/>
  <c r="F1058" i="3"/>
  <c r="E1058" i="3"/>
  <c r="G1058" i="3" s="1"/>
  <c r="D1058" i="3"/>
  <c r="I1058" i="3" s="1"/>
  <c r="C1058" i="3"/>
  <c r="B1058" i="3"/>
  <c r="A1058" i="3"/>
  <c r="I1057" i="3"/>
  <c r="H1057" i="3"/>
  <c r="F1057" i="3"/>
  <c r="E1057" i="3"/>
  <c r="G1057" i="3" s="1"/>
  <c r="D1057" i="3"/>
  <c r="C1057" i="3"/>
  <c r="B1057" i="3"/>
  <c r="A1057" i="3"/>
  <c r="H1056" i="3"/>
  <c r="G1056" i="3"/>
  <c r="F1056" i="3"/>
  <c r="E1056" i="3"/>
  <c r="D1056" i="3"/>
  <c r="I1056" i="3" s="1"/>
  <c r="C1056" i="3"/>
  <c r="B1056" i="3"/>
  <c r="A1056" i="3"/>
  <c r="I1055" i="3"/>
  <c r="H1055" i="3"/>
  <c r="F1055" i="3"/>
  <c r="E1055" i="3"/>
  <c r="G1055" i="3" s="1"/>
  <c r="D1055" i="3"/>
  <c r="C1055" i="3"/>
  <c r="B1055" i="3"/>
  <c r="A1055" i="3"/>
  <c r="H1054" i="3"/>
  <c r="F1054" i="3"/>
  <c r="E1054" i="3"/>
  <c r="G1054" i="3" s="1"/>
  <c r="D1054" i="3"/>
  <c r="I1054" i="3" s="1"/>
  <c r="C1054" i="3"/>
  <c r="B1054" i="3"/>
  <c r="A1054" i="3"/>
  <c r="H1053" i="3"/>
  <c r="G1053" i="3"/>
  <c r="F1053" i="3"/>
  <c r="E1053" i="3"/>
  <c r="D1053" i="3"/>
  <c r="C1053" i="3"/>
  <c r="I1053" i="3" s="1"/>
  <c r="B1053" i="3"/>
  <c r="A1053" i="3"/>
  <c r="H1052" i="3"/>
  <c r="G1052" i="3"/>
  <c r="F1052" i="3"/>
  <c r="E1052" i="3"/>
  <c r="D1052" i="3"/>
  <c r="C1052" i="3"/>
  <c r="B1052" i="3"/>
  <c r="A1052" i="3"/>
  <c r="H1051" i="3"/>
  <c r="G1051" i="3"/>
  <c r="F1051" i="3"/>
  <c r="E1051" i="3"/>
  <c r="D1051" i="3"/>
  <c r="C1051" i="3"/>
  <c r="B1051" i="3"/>
  <c r="A1051" i="3"/>
  <c r="H1050" i="3"/>
  <c r="F1050" i="3"/>
  <c r="E1050" i="3"/>
  <c r="G1050" i="3" s="1"/>
  <c r="D1050" i="3"/>
  <c r="I1050" i="3" s="1"/>
  <c r="C1050" i="3"/>
  <c r="B1050" i="3"/>
  <c r="A1050" i="3"/>
  <c r="I1049" i="3"/>
  <c r="H1049" i="3"/>
  <c r="F1049" i="3"/>
  <c r="E1049" i="3"/>
  <c r="G1049" i="3" s="1"/>
  <c r="D1049" i="3"/>
  <c r="C1049" i="3"/>
  <c r="B1049" i="3"/>
  <c r="A1049" i="3"/>
  <c r="H1048" i="3"/>
  <c r="G1048" i="3"/>
  <c r="F1048" i="3"/>
  <c r="E1048" i="3"/>
  <c r="D1048" i="3"/>
  <c r="I1048" i="3" s="1"/>
  <c r="C1048" i="3"/>
  <c r="B1048" i="3"/>
  <c r="A1048" i="3"/>
  <c r="I1047" i="3"/>
  <c r="H1047" i="3"/>
  <c r="F1047" i="3"/>
  <c r="E1047" i="3"/>
  <c r="G1047" i="3" s="1"/>
  <c r="D1047" i="3"/>
  <c r="C1047" i="3"/>
  <c r="B1047" i="3"/>
  <c r="A1047" i="3"/>
  <c r="H1046" i="3"/>
  <c r="F1046" i="3"/>
  <c r="E1046" i="3"/>
  <c r="G1046" i="3" s="1"/>
  <c r="D1046" i="3"/>
  <c r="I1046" i="3" s="1"/>
  <c r="C1046" i="3"/>
  <c r="B1046" i="3"/>
  <c r="A1046" i="3"/>
  <c r="H1045" i="3"/>
  <c r="G1045" i="3"/>
  <c r="F1045" i="3"/>
  <c r="E1045" i="3"/>
  <c r="D1045" i="3"/>
  <c r="C1045" i="3"/>
  <c r="I1045" i="3" s="1"/>
  <c r="B1045" i="3"/>
  <c r="A1045" i="3"/>
  <c r="H1044" i="3"/>
  <c r="G1044" i="3"/>
  <c r="F1044" i="3"/>
  <c r="E1044" i="3"/>
  <c r="D1044" i="3"/>
  <c r="C1044" i="3"/>
  <c r="B1044" i="3"/>
  <c r="A1044" i="3"/>
  <c r="H1043" i="3"/>
  <c r="G1043" i="3"/>
  <c r="F1043" i="3"/>
  <c r="E1043" i="3"/>
  <c r="D1043" i="3"/>
  <c r="C1043" i="3"/>
  <c r="B1043" i="3"/>
  <c r="A1043" i="3"/>
  <c r="H1042" i="3"/>
  <c r="F1042" i="3"/>
  <c r="E1042" i="3"/>
  <c r="G1042" i="3" s="1"/>
  <c r="D1042" i="3"/>
  <c r="I1042" i="3" s="1"/>
  <c r="C1042" i="3"/>
  <c r="B1042" i="3"/>
  <c r="A1042" i="3"/>
  <c r="I1041" i="3"/>
  <c r="H1041" i="3"/>
  <c r="F1041" i="3"/>
  <c r="E1041" i="3"/>
  <c r="G1041" i="3" s="1"/>
  <c r="D1041" i="3"/>
  <c r="C1041" i="3"/>
  <c r="B1041" i="3"/>
  <c r="A1041" i="3"/>
  <c r="H1040" i="3"/>
  <c r="G1040" i="3"/>
  <c r="F1040" i="3"/>
  <c r="E1040" i="3"/>
  <c r="D1040" i="3"/>
  <c r="I1040" i="3" s="1"/>
  <c r="C1040" i="3"/>
  <c r="B1040" i="3"/>
  <c r="A1040" i="3"/>
  <c r="I1039" i="3"/>
  <c r="H1039" i="3"/>
  <c r="F1039" i="3"/>
  <c r="E1039" i="3"/>
  <c r="G1039" i="3" s="1"/>
  <c r="D1039" i="3"/>
  <c r="C1039" i="3"/>
  <c r="B1039" i="3"/>
  <c r="A1039" i="3"/>
  <c r="H1038" i="3"/>
  <c r="F1038" i="3"/>
  <c r="E1038" i="3"/>
  <c r="G1038" i="3" s="1"/>
  <c r="D1038" i="3"/>
  <c r="I1038" i="3" s="1"/>
  <c r="C1038" i="3"/>
  <c r="B1038" i="3"/>
  <c r="A1038" i="3"/>
  <c r="H1037" i="3"/>
  <c r="G1037" i="3"/>
  <c r="F1037" i="3"/>
  <c r="E1037" i="3"/>
  <c r="D1037" i="3"/>
  <c r="C1037" i="3"/>
  <c r="I1037" i="3" s="1"/>
  <c r="B1037" i="3"/>
  <c r="A1037" i="3"/>
  <c r="H1036" i="3"/>
  <c r="G1036" i="3"/>
  <c r="F1036" i="3"/>
  <c r="E1036" i="3"/>
  <c r="D1036" i="3"/>
  <c r="C1036" i="3"/>
  <c r="B1036" i="3"/>
  <c r="A1036" i="3"/>
  <c r="H1035" i="3"/>
  <c r="G1035" i="3"/>
  <c r="F1035" i="3"/>
  <c r="E1035" i="3"/>
  <c r="D1035" i="3"/>
  <c r="C1035" i="3"/>
  <c r="B1035" i="3"/>
  <c r="A1035" i="3"/>
  <c r="H1034" i="3"/>
  <c r="F1034" i="3"/>
  <c r="E1034" i="3"/>
  <c r="G1034" i="3" s="1"/>
  <c r="D1034" i="3"/>
  <c r="I1034" i="3" s="1"/>
  <c r="C1034" i="3"/>
  <c r="B1034" i="3"/>
  <c r="A1034" i="3"/>
  <c r="I1033" i="3"/>
  <c r="H1033" i="3"/>
  <c r="F1033" i="3"/>
  <c r="E1033" i="3"/>
  <c r="G1033" i="3" s="1"/>
  <c r="D1033" i="3"/>
  <c r="C1033" i="3"/>
  <c r="B1033" i="3"/>
  <c r="A1033" i="3"/>
  <c r="H1032" i="3"/>
  <c r="G1032" i="3"/>
  <c r="F1032" i="3"/>
  <c r="E1032" i="3"/>
  <c r="D1032" i="3"/>
  <c r="I1032" i="3" s="1"/>
  <c r="C1032" i="3"/>
  <c r="B1032" i="3"/>
  <c r="A1032" i="3"/>
  <c r="I1031" i="3"/>
  <c r="H1031" i="3"/>
  <c r="F1031" i="3"/>
  <c r="E1031" i="3"/>
  <c r="G1031" i="3" s="1"/>
  <c r="D1031" i="3"/>
  <c r="C1031" i="3"/>
  <c r="B1031" i="3"/>
  <c r="A1031" i="3"/>
  <c r="H1030" i="3"/>
  <c r="F1030" i="3"/>
  <c r="E1030" i="3"/>
  <c r="G1030" i="3" s="1"/>
  <c r="D1030" i="3"/>
  <c r="I1030" i="3" s="1"/>
  <c r="C1030" i="3"/>
  <c r="B1030" i="3"/>
  <c r="A1030" i="3"/>
  <c r="H1029" i="3"/>
  <c r="G1029" i="3"/>
  <c r="F1029" i="3"/>
  <c r="E1029" i="3"/>
  <c r="D1029" i="3"/>
  <c r="C1029" i="3"/>
  <c r="I1029" i="3" s="1"/>
  <c r="B1029" i="3"/>
  <c r="A1029" i="3"/>
  <c r="H1028" i="3"/>
  <c r="G1028" i="3"/>
  <c r="F1028" i="3"/>
  <c r="E1028" i="3"/>
  <c r="D1028" i="3"/>
  <c r="C1028" i="3"/>
  <c r="B1028" i="3"/>
  <c r="A1028" i="3"/>
  <c r="H1027" i="3"/>
  <c r="G1027" i="3"/>
  <c r="F1027" i="3"/>
  <c r="E1027" i="3"/>
  <c r="D1027" i="3"/>
  <c r="C1027" i="3"/>
  <c r="B1027" i="3"/>
  <c r="A1027" i="3"/>
  <c r="H1026" i="3"/>
  <c r="F1026" i="3"/>
  <c r="E1026" i="3"/>
  <c r="G1026" i="3" s="1"/>
  <c r="D1026" i="3"/>
  <c r="I1026" i="3" s="1"/>
  <c r="C1026" i="3"/>
  <c r="B1026" i="3"/>
  <c r="A1026" i="3"/>
  <c r="I1025" i="3"/>
  <c r="H1025" i="3"/>
  <c r="F1025" i="3"/>
  <c r="E1025" i="3"/>
  <c r="G1025" i="3" s="1"/>
  <c r="D1025" i="3"/>
  <c r="C1025" i="3"/>
  <c r="B1025" i="3"/>
  <c r="A1025" i="3"/>
  <c r="H1024" i="3"/>
  <c r="G1024" i="3"/>
  <c r="F1024" i="3"/>
  <c r="E1024" i="3"/>
  <c r="D1024" i="3"/>
  <c r="I1024" i="3" s="1"/>
  <c r="C1024" i="3"/>
  <c r="B1024" i="3"/>
  <c r="A1024" i="3"/>
  <c r="I1023" i="3"/>
  <c r="H1023" i="3"/>
  <c r="F1023" i="3"/>
  <c r="E1023" i="3"/>
  <c r="G1023" i="3" s="1"/>
  <c r="D1023" i="3"/>
  <c r="C1023" i="3"/>
  <c r="B1023" i="3"/>
  <c r="A1023" i="3"/>
  <c r="H1022" i="3"/>
  <c r="F1022" i="3"/>
  <c r="E1022" i="3"/>
  <c r="G1022" i="3" s="1"/>
  <c r="D1022" i="3"/>
  <c r="I1022" i="3" s="1"/>
  <c r="C1022" i="3"/>
  <c r="B1022" i="3"/>
  <c r="A1022" i="3"/>
  <c r="H1021" i="3"/>
  <c r="G1021" i="3"/>
  <c r="F1021" i="3"/>
  <c r="E1021" i="3"/>
  <c r="D1021" i="3"/>
  <c r="C1021" i="3"/>
  <c r="I1021" i="3" s="1"/>
  <c r="B1021" i="3"/>
  <c r="A1021" i="3"/>
  <c r="H1020" i="3"/>
  <c r="G1020" i="3"/>
  <c r="F1020" i="3"/>
  <c r="E1020" i="3"/>
  <c r="D1020" i="3"/>
  <c r="C1020" i="3"/>
  <c r="B1020" i="3"/>
  <c r="A1020" i="3"/>
  <c r="H1019" i="3"/>
  <c r="G1019" i="3"/>
  <c r="F1019" i="3"/>
  <c r="E1019" i="3"/>
  <c r="D1019" i="3"/>
  <c r="C1019" i="3"/>
  <c r="B1019" i="3"/>
  <c r="A1019" i="3"/>
  <c r="H1018" i="3"/>
  <c r="F1018" i="3"/>
  <c r="E1018" i="3"/>
  <c r="G1018" i="3" s="1"/>
  <c r="D1018" i="3"/>
  <c r="I1018" i="3" s="1"/>
  <c r="C1018" i="3"/>
  <c r="B1018" i="3"/>
  <c r="A1018" i="3"/>
  <c r="I1017" i="3"/>
  <c r="H1017" i="3"/>
  <c r="F1017" i="3"/>
  <c r="E1017" i="3"/>
  <c r="G1017" i="3" s="1"/>
  <c r="D1017" i="3"/>
  <c r="C1017" i="3"/>
  <c r="B1017" i="3"/>
  <c r="A1017" i="3"/>
  <c r="H1016" i="3"/>
  <c r="G1016" i="3"/>
  <c r="F1016" i="3"/>
  <c r="E1016" i="3"/>
  <c r="D1016" i="3"/>
  <c r="I1016" i="3" s="1"/>
  <c r="C1016" i="3"/>
  <c r="B1016" i="3"/>
  <c r="A1016" i="3"/>
  <c r="I1015" i="3"/>
  <c r="H1015" i="3"/>
  <c r="F1015" i="3"/>
  <c r="E1015" i="3"/>
  <c r="G1015" i="3" s="1"/>
  <c r="D1015" i="3"/>
  <c r="C1015" i="3"/>
  <c r="B1015" i="3"/>
  <c r="A1015" i="3"/>
  <c r="H1014" i="3"/>
  <c r="F1014" i="3"/>
  <c r="E1014" i="3"/>
  <c r="G1014" i="3" s="1"/>
  <c r="D1014" i="3"/>
  <c r="I1014" i="3" s="1"/>
  <c r="C1014" i="3"/>
  <c r="B1014" i="3"/>
  <c r="A1014" i="3"/>
  <c r="H1013" i="3"/>
  <c r="G1013" i="3"/>
  <c r="F1013" i="3"/>
  <c r="E1013" i="3"/>
  <c r="D1013" i="3"/>
  <c r="C1013" i="3"/>
  <c r="I1013" i="3" s="1"/>
  <c r="B1013" i="3"/>
  <c r="A1013" i="3"/>
  <c r="H1012" i="3"/>
  <c r="G1012" i="3"/>
  <c r="F1012" i="3"/>
  <c r="E1012" i="3"/>
  <c r="D1012" i="3"/>
  <c r="C1012" i="3"/>
  <c r="B1012" i="3"/>
  <c r="A1012" i="3"/>
  <c r="H1011" i="3"/>
  <c r="G1011" i="3"/>
  <c r="F1011" i="3"/>
  <c r="E1011" i="3"/>
  <c r="D1011" i="3"/>
  <c r="C1011" i="3"/>
  <c r="B1011" i="3"/>
  <c r="A1011" i="3"/>
  <c r="H1010" i="3"/>
  <c r="F1010" i="3"/>
  <c r="E1010" i="3"/>
  <c r="G1010" i="3" s="1"/>
  <c r="D1010" i="3"/>
  <c r="I1010" i="3" s="1"/>
  <c r="C1010" i="3"/>
  <c r="B1010" i="3"/>
  <c r="A1010" i="3"/>
  <c r="I1009" i="3"/>
  <c r="H1009" i="3"/>
  <c r="F1009" i="3"/>
  <c r="E1009" i="3"/>
  <c r="G1009" i="3" s="1"/>
  <c r="D1009" i="3"/>
  <c r="C1009" i="3"/>
  <c r="B1009" i="3"/>
  <c r="A1009" i="3"/>
  <c r="H1008" i="3"/>
  <c r="G1008" i="3"/>
  <c r="F1008" i="3"/>
  <c r="E1008" i="3"/>
  <c r="D1008" i="3"/>
  <c r="I1008" i="3" s="1"/>
  <c r="C1008" i="3"/>
  <c r="B1008" i="3"/>
  <c r="A1008" i="3"/>
  <c r="I1007" i="3"/>
  <c r="H1007" i="3"/>
  <c r="F1007" i="3"/>
  <c r="E1007" i="3"/>
  <c r="G1007" i="3" s="1"/>
  <c r="D1007" i="3"/>
  <c r="C1007" i="3"/>
  <c r="B1007" i="3"/>
  <c r="A1007" i="3"/>
  <c r="H1006" i="3"/>
  <c r="F1006" i="3"/>
  <c r="E1006" i="3"/>
  <c r="G1006" i="3" s="1"/>
  <c r="D1006" i="3"/>
  <c r="I1006" i="3" s="1"/>
  <c r="C1006" i="3"/>
  <c r="B1006" i="3"/>
  <c r="A1006" i="3"/>
  <c r="H1005" i="3"/>
  <c r="G1005" i="3"/>
  <c r="F1005" i="3"/>
  <c r="E1005" i="3"/>
  <c r="D1005" i="3"/>
  <c r="C1005" i="3"/>
  <c r="I1005" i="3" s="1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F1002" i="3"/>
  <c r="E1002" i="3"/>
  <c r="G1002" i="3" s="1"/>
  <c r="D1002" i="3"/>
  <c r="I1002" i="3" s="1"/>
  <c r="C1002" i="3"/>
  <c r="B1002" i="3"/>
  <c r="A1002" i="3"/>
  <c r="I1001" i="3"/>
  <c r="H1001" i="3"/>
  <c r="F1001" i="3"/>
  <c r="E1001" i="3"/>
  <c r="G1001" i="3" s="1"/>
  <c r="D1001" i="3"/>
  <c r="C1001" i="3"/>
  <c r="B1001" i="3"/>
  <c r="A1001" i="3"/>
  <c r="H1000" i="3"/>
  <c r="G1000" i="3"/>
  <c r="F1000" i="3"/>
  <c r="E1000" i="3"/>
  <c r="D1000" i="3"/>
  <c r="I1000" i="3" s="1"/>
  <c r="C1000" i="3"/>
  <c r="B1000" i="3"/>
  <c r="A1000" i="3"/>
  <c r="I999" i="3"/>
  <c r="H999" i="3"/>
  <c r="F999" i="3"/>
  <c r="E999" i="3"/>
  <c r="G999" i="3" s="1"/>
  <c r="D999" i="3"/>
  <c r="C999" i="3"/>
  <c r="B999" i="3"/>
  <c r="A999" i="3"/>
  <c r="H998" i="3"/>
  <c r="F998" i="3"/>
  <c r="E998" i="3"/>
  <c r="G998" i="3" s="1"/>
  <c r="D998" i="3"/>
  <c r="I998" i="3" s="1"/>
  <c r="C998" i="3"/>
  <c r="B998" i="3"/>
  <c r="A998" i="3"/>
  <c r="H997" i="3"/>
  <c r="G997" i="3"/>
  <c r="F997" i="3"/>
  <c r="E997" i="3"/>
  <c r="D997" i="3"/>
  <c r="C997" i="3"/>
  <c r="I997" i="3" s="1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F994" i="3"/>
  <c r="E994" i="3"/>
  <c r="G994" i="3" s="1"/>
  <c r="D994" i="3"/>
  <c r="I994" i="3" s="1"/>
  <c r="C994" i="3"/>
  <c r="B994" i="3"/>
  <c r="A994" i="3"/>
  <c r="I993" i="3"/>
  <c r="H993" i="3"/>
  <c r="F993" i="3"/>
  <c r="E993" i="3"/>
  <c r="G993" i="3" s="1"/>
  <c r="D993" i="3"/>
  <c r="C993" i="3"/>
  <c r="B993" i="3"/>
  <c r="A993" i="3"/>
  <c r="H992" i="3"/>
  <c r="G992" i="3"/>
  <c r="F992" i="3"/>
  <c r="E992" i="3"/>
  <c r="D992" i="3"/>
  <c r="I992" i="3" s="1"/>
  <c r="C992" i="3"/>
  <c r="B992" i="3"/>
  <c r="A992" i="3"/>
  <c r="I991" i="3"/>
  <c r="H991" i="3"/>
  <c r="F991" i="3"/>
  <c r="E991" i="3"/>
  <c r="G991" i="3" s="1"/>
  <c r="D991" i="3"/>
  <c r="C991" i="3"/>
  <c r="B991" i="3"/>
  <c r="A991" i="3"/>
  <c r="H990" i="3"/>
  <c r="F990" i="3"/>
  <c r="E990" i="3"/>
  <c r="G990" i="3" s="1"/>
  <c r="D990" i="3"/>
  <c r="I990" i="3" s="1"/>
  <c r="C990" i="3"/>
  <c r="B990" i="3"/>
  <c r="A990" i="3"/>
  <c r="H989" i="3"/>
  <c r="G989" i="3"/>
  <c r="F989" i="3"/>
  <c r="E989" i="3"/>
  <c r="D989" i="3"/>
  <c r="C989" i="3"/>
  <c r="I989" i="3" s="1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F986" i="3"/>
  <c r="E986" i="3"/>
  <c r="G986" i="3" s="1"/>
  <c r="D986" i="3"/>
  <c r="I986" i="3" s="1"/>
  <c r="C986" i="3"/>
  <c r="B986" i="3"/>
  <c r="A986" i="3"/>
  <c r="I985" i="3"/>
  <c r="H985" i="3"/>
  <c r="F985" i="3"/>
  <c r="E985" i="3"/>
  <c r="G985" i="3" s="1"/>
  <c r="D985" i="3"/>
  <c r="C985" i="3"/>
  <c r="B985" i="3"/>
  <c r="A985" i="3"/>
  <c r="H984" i="3"/>
  <c r="G984" i="3"/>
  <c r="F984" i="3"/>
  <c r="E984" i="3"/>
  <c r="D984" i="3"/>
  <c r="I984" i="3" s="1"/>
  <c r="C984" i="3"/>
  <c r="B984" i="3"/>
  <c r="A984" i="3"/>
  <c r="I983" i="3"/>
  <c r="H983" i="3"/>
  <c r="F983" i="3"/>
  <c r="E983" i="3"/>
  <c r="G983" i="3" s="1"/>
  <c r="D983" i="3"/>
  <c r="C983" i="3"/>
  <c r="B983" i="3"/>
  <c r="A983" i="3"/>
  <c r="H982" i="3"/>
  <c r="F982" i="3"/>
  <c r="E982" i="3"/>
  <c r="G982" i="3" s="1"/>
  <c r="D982" i="3"/>
  <c r="I982" i="3" s="1"/>
  <c r="C982" i="3"/>
  <c r="B982" i="3"/>
  <c r="A982" i="3"/>
  <c r="H981" i="3"/>
  <c r="G981" i="3"/>
  <c r="F981" i="3"/>
  <c r="E981" i="3"/>
  <c r="D981" i="3"/>
  <c r="C981" i="3"/>
  <c r="I981" i="3" s="1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F978" i="3"/>
  <c r="E978" i="3"/>
  <c r="G978" i="3" s="1"/>
  <c r="D978" i="3"/>
  <c r="I978" i="3" s="1"/>
  <c r="C978" i="3"/>
  <c r="B978" i="3"/>
  <c r="A978" i="3"/>
  <c r="I977" i="3"/>
  <c r="H977" i="3"/>
  <c r="F977" i="3"/>
  <c r="E977" i="3"/>
  <c r="G977" i="3" s="1"/>
  <c r="D977" i="3"/>
  <c r="C977" i="3"/>
  <c r="B977" i="3"/>
  <c r="A977" i="3"/>
  <c r="H976" i="3"/>
  <c r="G976" i="3"/>
  <c r="F976" i="3"/>
  <c r="E976" i="3"/>
  <c r="D976" i="3"/>
  <c r="I976" i="3" s="1"/>
  <c r="C976" i="3"/>
  <c r="B976" i="3"/>
  <c r="A976" i="3"/>
  <c r="I975" i="3"/>
  <c r="H975" i="3"/>
  <c r="F975" i="3"/>
  <c r="E975" i="3"/>
  <c r="G975" i="3" s="1"/>
  <c r="D975" i="3"/>
  <c r="C975" i="3"/>
  <c r="B975" i="3"/>
  <c r="A975" i="3"/>
  <c r="H974" i="3"/>
  <c r="F974" i="3"/>
  <c r="E974" i="3"/>
  <c r="G974" i="3" s="1"/>
  <c r="D974" i="3"/>
  <c r="I974" i="3" s="1"/>
  <c r="C974" i="3"/>
  <c r="B974" i="3"/>
  <c r="A974" i="3"/>
  <c r="H973" i="3"/>
  <c r="G973" i="3"/>
  <c r="F973" i="3"/>
  <c r="E973" i="3"/>
  <c r="D973" i="3"/>
  <c r="C973" i="3"/>
  <c r="I973" i="3" s="1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F970" i="3"/>
  <c r="E970" i="3"/>
  <c r="G970" i="3" s="1"/>
  <c r="D970" i="3"/>
  <c r="I970" i="3" s="1"/>
  <c r="C970" i="3"/>
  <c r="B970" i="3"/>
  <c r="A970" i="3"/>
  <c r="I969" i="3"/>
  <c r="H969" i="3"/>
  <c r="F969" i="3"/>
  <c r="E969" i="3"/>
  <c r="G969" i="3" s="1"/>
  <c r="D969" i="3"/>
  <c r="C969" i="3"/>
  <c r="B969" i="3"/>
  <c r="A969" i="3"/>
  <c r="H968" i="3"/>
  <c r="G968" i="3"/>
  <c r="F968" i="3"/>
  <c r="E968" i="3"/>
  <c r="D968" i="3"/>
  <c r="I968" i="3" s="1"/>
  <c r="C968" i="3"/>
  <c r="B968" i="3"/>
  <c r="A968" i="3"/>
  <c r="I967" i="3"/>
  <c r="H967" i="3"/>
  <c r="F967" i="3"/>
  <c r="E967" i="3"/>
  <c r="G967" i="3" s="1"/>
  <c r="D967" i="3"/>
  <c r="C967" i="3"/>
  <c r="B967" i="3"/>
  <c r="A967" i="3"/>
  <c r="H966" i="3"/>
  <c r="F966" i="3"/>
  <c r="E966" i="3"/>
  <c r="G966" i="3" s="1"/>
  <c r="D966" i="3"/>
  <c r="I966" i="3" s="1"/>
  <c r="C966" i="3"/>
  <c r="B966" i="3"/>
  <c r="A966" i="3"/>
  <c r="H965" i="3"/>
  <c r="G965" i="3"/>
  <c r="F965" i="3"/>
  <c r="E965" i="3"/>
  <c r="D965" i="3"/>
  <c r="C965" i="3"/>
  <c r="I965" i="3" s="1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F962" i="3"/>
  <c r="E962" i="3"/>
  <c r="G962" i="3" s="1"/>
  <c r="D962" i="3"/>
  <c r="I962" i="3" s="1"/>
  <c r="C962" i="3"/>
  <c r="B962" i="3"/>
  <c r="A962" i="3"/>
  <c r="I961" i="3"/>
  <c r="H961" i="3"/>
  <c r="F961" i="3"/>
  <c r="E961" i="3"/>
  <c r="G961" i="3" s="1"/>
  <c r="D961" i="3"/>
  <c r="C961" i="3"/>
  <c r="B961" i="3"/>
  <c r="A961" i="3"/>
  <c r="H960" i="3"/>
  <c r="G960" i="3"/>
  <c r="F960" i="3"/>
  <c r="E960" i="3"/>
  <c r="D960" i="3"/>
  <c r="I960" i="3" s="1"/>
  <c r="C960" i="3"/>
  <c r="B960" i="3"/>
  <c r="A960" i="3"/>
  <c r="I959" i="3"/>
  <c r="H959" i="3"/>
  <c r="F959" i="3"/>
  <c r="E959" i="3"/>
  <c r="G959" i="3" s="1"/>
  <c r="D959" i="3"/>
  <c r="C959" i="3"/>
  <c r="B959" i="3"/>
  <c r="A959" i="3"/>
  <c r="H958" i="3"/>
  <c r="F958" i="3"/>
  <c r="E958" i="3"/>
  <c r="G958" i="3" s="1"/>
  <c r="D958" i="3"/>
  <c r="I958" i="3" s="1"/>
  <c r="C958" i="3"/>
  <c r="B958" i="3"/>
  <c r="A958" i="3"/>
  <c r="H957" i="3"/>
  <c r="G957" i="3"/>
  <c r="F957" i="3"/>
  <c r="E957" i="3"/>
  <c r="D957" i="3"/>
  <c r="C957" i="3"/>
  <c r="I957" i="3" s="1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F954" i="3"/>
  <c r="E954" i="3"/>
  <c r="G954" i="3" s="1"/>
  <c r="D954" i="3"/>
  <c r="I954" i="3" s="1"/>
  <c r="C954" i="3"/>
  <c r="B954" i="3"/>
  <c r="A954" i="3"/>
  <c r="I953" i="3"/>
  <c r="H953" i="3"/>
  <c r="F953" i="3"/>
  <c r="E953" i="3"/>
  <c r="G953" i="3" s="1"/>
  <c r="D953" i="3"/>
  <c r="C953" i="3"/>
  <c r="B953" i="3"/>
  <c r="A953" i="3"/>
  <c r="H952" i="3"/>
  <c r="G952" i="3"/>
  <c r="F952" i="3"/>
  <c r="E952" i="3"/>
  <c r="D952" i="3"/>
  <c r="I952" i="3" s="1"/>
  <c r="C952" i="3"/>
  <c r="B952" i="3"/>
  <c r="A952" i="3"/>
  <c r="I951" i="3"/>
  <c r="H951" i="3"/>
  <c r="F951" i="3"/>
  <c r="E951" i="3"/>
  <c r="G951" i="3" s="1"/>
  <c r="D951" i="3"/>
  <c r="C951" i="3"/>
  <c r="B951" i="3"/>
  <c r="A951" i="3"/>
  <c r="H950" i="3"/>
  <c r="F950" i="3"/>
  <c r="E950" i="3"/>
  <c r="G950" i="3" s="1"/>
  <c r="D950" i="3"/>
  <c r="I950" i="3" s="1"/>
  <c r="C950" i="3"/>
  <c r="B950" i="3"/>
  <c r="A950" i="3"/>
  <c r="H949" i="3"/>
  <c r="G949" i="3"/>
  <c r="F949" i="3"/>
  <c r="E949" i="3"/>
  <c r="D949" i="3"/>
  <c r="C949" i="3"/>
  <c r="I949" i="3" s="1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F946" i="3"/>
  <c r="E946" i="3"/>
  <c r="G946" i="3" s="1"/>
  <c r="D946" i="3"/>
  <c r="I946" i="3" s="1"/>
  <c r="C946" i="3"/>
  <c r="B946" i="3"/>
  <c r="A946" i="3"/>
  <c r="I945" i="3"/>
  <c r="H945" i="3"/>
  <c r="F945" i="3"/>
  <c r="E945" i="3"/>
  <c r="G945" i="3" s="1"/>
  <c r="D945" i="3"/>
  <c r="C945" i="3"/>
  <c r="B945" i="3"/>
  <c r="A945" i="3"/>
  <c r="H944" i="3"/>
  <c r="G944" i="3"/>
  <c r="F944" i="3"/>
  <c r="E944" i="3"/>
  <c r="D944" i="3"/>
  <c r="I944" i="3" s="1"/>
  <c r="C944" i="3"/>
  <c r="B944" i="3"/>
  <c r="A944" i="3"/>
  <c r="I943" i="3"/>
  <c r="H943" i="3"/>
  <c r="F943" i="3"/>
  <c r="E943" i="3"/>
  <c r="G943" i="3" s="1"/>
  <c r="D943" i="3"/>
  <c r="C943" i="3"/>
  <c r="B943" i="3"/>
  <c r="A943" i="3"/>
  <c r="H942" i="3"/>
  <c r="F942" i="3"/>
  <c r="E942" i="3"/>
  <c r="G942" i="3" s="1"/>
  <c r="D942" i="3"/>
  <c r="I942" i="3" s="1"/>
  <c r="C942" i="3"/>
  <c r="B942" i="3"/>
  <c r="A942" i="3"/>
  <c r="H941" i="3"/>
  <c r="G941" i="3"/>
  <c r="F941" i="3"/>
  <c r="E941" i="3"/>
  <c r="D941" i="3"/>
  <c r="C941" i="3"/>
  <c r="I941" i="3" s="1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F938" i="3"/>
  <c r="E938" i="3"/>
  <c r="G938" i="3" s="1"/>
  <c r="D938" i="3"/>
  <c r="I938" i="3" s="1"/>
  <c r="C938" i="3"/>
  <c r="B938" i="3"/>
  <c r="A938" i="3"/>
  <c r="I937" i="3"/>
  <c r="H937" i="3"/>
  <c r="F937" i="3"/>
  <c r="E937" i="3"/>
  <c r="G937" i="3" s="1"/>
  <c r="D937" i="3"/>
  <c r="C937" i="3"/>
  <c r="B937" i="3"/>
  <c r="A937" i="3"/>
  <c r="H936" i="3"/>
  <c r="G936" i="3"/>
  <c r="F936" i="3"/>
  <c r="E936" i="3"/>
  <c r="D936" i="3"/>
  <c r="I936" i="3" s="1"/>
  <c r="C936" i="3"/>
  <c r="B936" i="3"/>
  <c r="A936" i="3"/>
  <c r="I935" i="3"/>
  <c r="H935" i="3"/>
  <c r="F935" i="3"/>
  <c r="E935" i="3"/>
  <c r="G935" i="3" s="1"/>
  <c r="D935" i="3"/>
  <c r="C935" i="3"/>
  <c r="B935" i="3"/>
  <c r="A935" i="3"/>
  <c r="H934" i="3"/>
  <c r="F934" i="3"/>
  <c r="E934" i="3"/>
  <c r="G934" i="3" s="1"/>
  <c r="D934" i="3"/>
  <c r="I934" i="3" s="1"/>
  <c r="C934" i="3"/>
  <c r="B934" i="3"/>
  <c r="A934" i="3"/>
  <c r="H933" i="3"/>
  <c r="G933" i="3"/>
  <c r="F933" i="3"/>
  <c r="E933" i="3"/>
  <c r="D933" i="3"/>
  <c r="C933" i="3"/>
  <c r="I933" i="3" s="1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F930" i="3"/>
  <c r="E930" i="3"/>
  <c r="G930" i="3" s="1"/>
  <c r="D930" i="3"/>
  <c r="I930" i="3" s="1"/>
  <c r="C930" i="3"/>
  <c r="B930" i="3"/>
  <c r="A930" i="3"/>
  <c r="I929" i="3"/>
  <c r="H929" i="3"/>
  <c r="F929" i="3"/>
  <c r="E929" i="3"/>
  <c r="G929" i="3" s="1"/>
  <c r="D929" i="3"/>
  <c r="C929" i="3"/>
  <c r="B929" i="3"/>
  <c r="A929" i="3"/>
  <c r="H928" i="3"/>
  <c r="G928" i="3"/>
  <c r="F928" i="3"/>
  <c r="E928" i="3"/>
  <c r="D928" i="3"/>
  <c r="I928" i="3" s="1"/>
  <c r="C928" i="3"/>
  <c r="B928" i="3"/>
  <c r="A928" i="3"/>
  <c r="I927" i="3"/>
  <c r="H927" i="3"/>
  <c r="F927" i="3"/>
  <c r="E927" i="3"/>
  <c r="G927" i="3" s="1"/>
  <c r="D927" i="3"/>
  <c r="C927" i="3"/>
  <c r="B927" i="3"/>
  <c r="A927" i="3"/>
  <c r="H926" i="3"/>
  <c r="F926" i="3"/>
  <c r="E926" i="3"/>
  <c r="G926" i="3" s="1"/>
  <c r="D926" i="3"/>
  <c r="I926" i="3" s="1"/>
  <c r="C926" i="3"/>
  <c r="B926" i="3"/>
  <c r="A926" i="3"/>
  <c r="H925" i="3"/>
  <c r="G925" i="3"/>
  <c r="F925" i="3"/>
  <c r="E925" i="3"/>
  <c r="D925" i="3"/>
  <c r="C925" i="3"/>
  <c r="I925" i="3" s="1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F922" i="3"/>
  <c r="E922" i="3"/>
  <c r="G922" i="3" s="1"/>
  <c r="D922" i="3"/>
  <c r="I922" i="3" s="1"/>
  <c r="C922" i="3"/>
  <c r="B922" i="3"/>
  <c r="A922" i="3"/>
  <c r="I921" i="3"/>
  <c r="H921" i="3"/>
  <c r="F921" i="3"/>
  <c r="E921" i="3"/>
  <c r="G921" i="3" s="1"/>
  <c r="D921" i="3"/>
  <c r="C921" i="3"/>
  <c r="B921" i="3"/>
  <c r="A921" i="3"/>
  <c r="H920" i="3"/>
  <c r="G920" i="3"/>
  <c r="F920" i="3"/>
  <c r="E920" i="3"/>
  <c r="D920" i="3"/>
  <c r="I920" i="3" s="1"/>
  <c r="C920" i="3"/>
  <c r="B920" i="3"/>
  <c r="A920" i="3"/>
  <c r="I919" i="3"/>
  <c r="H919" i="3"/>
  <c r="F919" i="3"/>
  <c r="E919" i="3"/>
  <c r="G919" i="3" s="1"/>
  <c r="D919" i="3"/>
  <c r="C919" i="3"/>
  <c r="B919" i="3"/>
  <c r="A919" i="3"/>
  <c r="H918" i="3"/>
  <c r="F918" i="3"/>
  <c r="E918" i="3"/>
  <c r="G918" i="3" s="1"/>
  <c r="D918" i="3"/>
  <c r="I918" i="3" s="1"/>
  <c r="C918" i="3"/>
  <c r="B918" i="3"/>
  <c r="A918" i="3"/>
  <c r="H917" i="3"/>
  <c r="G917" i="3"/>
  <c r="F917" i="3"/>
  <c r="E917" i="3"/>
  <c r="D917" i="3"/>
  <c r="C917" i="3"/>
  <c r="I917" i="3" s="1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F914" i="3"/>
  <c r="E914" i="3"/>
  <c r="G914" i="3" s="1"/>
  <c r="D914" i="3"/>
  <c r="I914" i="3" s="1"/>
  <c r="C914" i="3"/>
  <c r="B914" i="3"/>
  <c r="A914" i="3"/>
  <c r="I913" i="3"/>
  <c r="H913" i="3"/>
  <c r="F913" i="3"/>
  <c r="E913" i="3"/>
  <c r="G913" i="3" s="1"/>
  <c r="D913" i="3"/>
  <c r="C913" i="3"/>
  <c r="B913" i="3"/>
  <c r="A913" i="3"/>
  <c r="H912" i="3"/>
  <c r="G912" i="3"/>
  <c r="F912" i="3"/>
  <c r="E912" i="3"/>
  <c r="D912" i="3"/>
  <c r="I912" i="3" s="1"/>
  <c r="C912" i="3"/>
  <c r="B912" i="3"/>
  <c r="A912" i="3"/>
  <c r="I911" i="3"/>
  <c r="H911" i="3"/>
  <c r="F911" i="3"/>
  <c r="E911" i="3"/>
  <c r="G911" i="3" s="1"/>
  <c r="D911" i="3"/>
  <c r="C911" i="3"/>
  <c r="B911" i="3"/>
  <c r="A911" i="3"/>
  <c r="H910" i="3"/>
  <c r="F910" i="3"/>
  <c r="E910" i="3"/>
  <c r="G910" i="3" s="1"/>
  <c r="D910" i="3"/>
  <c r="I910" i="3" s="1"/>
  <c r="C910" i="3"/>
  <c r="B910" i="3"/>
  <c r="A910" i="3"/>
  <c r="H909" i="3"/>
  <c r="G909" i="3"/>
  <c r="F909" i="3"/>
  <c r="E909" i="3"/>
  <c r="D909" i="3"/>
  <c r="C909" i="3"/>
  <c r="I909" i="3" s="1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F906" i="3"/>
  <c r="E906" i="3"/>
  <c r="G906" i="3" s="1"/>
  <c r="D906" i="3"/>
  <c r="I906" i="3" s="1"/>
  <c r="C906" i="3"/>
  <c r="B906" i="3"/>
  <c r="A906" i="3"/>
  <c r="I905" i="3"/>
  <c r="H905" i="3"/>
  <c r="F905" i="3"/>
  <c r="E905" i="3"/>
  <c r="G905" i="3" s="1"/>
  <c r="D905" i="3"/>
  <c r="C905" i="3"/>
  <c r="B905" i="3"/>
  <c r="A905" i="3"/>
  <c r="H904" i="3"/>
  <c r="G904" i="3"/>
  <c r="F904" i="3"/>
  <c r="E904" i="3"/>
  <c r="D904" i="3"/>
  <c r="I904" i="3" s="1"/>
  <c r="C904" i="3"/>
  <c r="B904" i="3"/>
  <c r="A904" i="3"/>
  <c r="I903" i="3"/>
  <c r="H903" i="3"/>
  <c r="F903" i="3"/>
  <c r="E903" i="3"/>
  <c r="G903" i="3" s="1"/>
  <c r="D903" i="3"/>
  <c r="C903" i="3"/>
  <c r="B903" i="3"/>
  <c r="A903" i="3"/>
  <c r="H902" i="3"/>
  <c r="F902" i="3"/>
  <c r="E902" i="3"/>
  <c r="G902" i="3" s="1"/>
  <c r="D902" i="3"/>
  <c r="I902" i="3" s="1"/>
  <c r="C902" i="3"/>
  <c r="B902" i="3"/>
  <c r="A902" i="3"/>
  <c r="H901" i="3"/>
  <c r="G901" i="3"/>
  <c r="F901" i="3"/>
  <c r="E901" i="3"/>
  <c r="D901" i="3"/>
  <c r="C901" i="3"/>
  <c r="I901" i="3" s="1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F898" i="3"/>
  <c r="E898" i="3"/>
  <c r="G898" i="3" s="1"/>
  <c r="D898" i="3"/>
  <c r="I898" i="3" s="1"/>
  <c r="C898" i="3"/>
  <c r="B898" i="3"/>
  <c r="A898" i="3"/>
  <c r="I897" i="3"/>
  <c r="H897" i="3"/>
  <c r="F897" i="3"/>
  <c r="E897" i="3"/>
  <c r="G897" i="3" s="1"/>
  <c r="D897" i="3"/>
  <c r="C897" i="3"/>
  <c r="B897" i="3"/>
  <c r="A897" i="3"/>
  <c r="H896" i="3"/>
  <c r="G896" i="3"/>
  <c r="F896" i="3"/>
  <c r="E896" i="3"/>
  <c r="D896" i="3"/>
  <c r="I896" i="3" s="1"/>
  <c r="C896" i="3"/>
  <c r="B896" i="3"/>
  <c r="A896" i="3"/>
  <c r="I895" i="3"/>
  <c r="H895" i="3"/>
  <c r="F895" i="3"/>
  <c r="E895" i="3"/>
  <c r="G895" i="3" s="1"/>
  <c r="D895" i="3"/>
  <c r="C895" i="3"/>
  <c r="B895" i="3"/>
  <c r="A895" i="3"/>
  <c r="H894" i="3"/>
  <c r="F894" i="3"/>
  <c r="E894" i="3"/>
  <c r="G894" i="3" s="1"/>
  <c r="D894" i="3"/>
  <c r="I894" i="3" s="1"/>
  <c r="C894" i="3"/>
  <c r="B894" i="3"/>
  <c r="A894" i="3"/>
  <c r="H893" i="3"/>
  <c r="G893" i="3"/>
  <c r="F893" i="3"/>
  <c r="E893" i="3"/>
  <c r="D893" i="3"/>
  <c r="C893" i="3"/>
  <c r="I893" i="3" s="1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F890" i="3"/>
  <c r="E890" i="3"/>
  <c r="G890" i="3" s="1"/>
  <c r="D890" i="3"/>
  <c r="I890" i="3" s="1"/>
  <c r="C890" i="3"/>
  <c r="B890" i="3"/>
  <c r="A890" i="3"/>
  <c r="I889" i="3"/>
  <c r="H889" i="3"/>
  <c r="F889" i="3"/>
  <c r="E889" i="3"/>
  <c r="G889" i="3" s="1"/>
  <c r="D889" i="3"/>
  <c r="C889" i="3"/>
  <c r="B889" i="3"/>
  <c r="A889" i="3"/>
  <c r="H888" i="3"/>
  <c r="G888" i="3"/>
  <c r="F888" i="3"/>
  <c r="E888" i="3"/>
  <c r="D888" i="3"/>
  <c r="I888" i="3" s="1"/>
  <c r="C888" i="3"/>
  <c r="B888" i="3"/>
  <c r="A888" i="3"/>
  <c r="I887" i="3"/>
  <c r="H887" i="3"/>
  <c r="F887" i="3"/>
  <c r="E887" i="3"/>
  <c r="G887" i="3" s="1"/>
  <c r="D887" i="3"/>
  <c r="C887" i="3"/>
  <c r="B887" i="3"/>
  <c r="A887" i="3"/>
  <c r="H886" i="3"/>
  <c r="F886" i="3"/>
  <c r="E886" i="3"/>
  <c r="G886" i="3" s="1"/>
  <c r="D886" i="3"/>
  <c r="I886" i="3" s="1"/>
  <c r="C886" i="3"/>
  <c r="B886" i="3"/>
  <c r="A886" i="3"/>
  <c r="H885" i="3"/>
  <c r="G885" i="3"/>
  <c r="F885" i="3"/>
  <c r="E885" i="3"/>
  <c r="D885" i="3"/>
  <c r="C885" i="3"/>
  <c r="I885" i="3" s="1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F882" i="3"/>
  <c r="E882" i="3"/>
  <c r="G882" i="3" s="1"/>
  <c r="D882" i="3"/>
  <c r="I882" i="3" s="1"/>
  <c r="C882" i="3"/>
  <c r="B882" i="3"/>
  <c r="A882" i="3"/>
  <c r="I881" i="3"/>
  <c r="H881" i="3"/>
  <c r="F881" i="3"/>
  <c r="E881" i="3"/>
  <c r="G881" i="3" s="1"/>
  <c r="D881" i="3"/>
  <c r="C881" i="3"/>
  <c r="B881" i="3"/>
  <c r="A881" i="3"/>
  <c r="H880" i="3"/>
  <c r="G880" i="3"/>
  <c r="F880" i="3"/>
  <c r="E880" i="3"/>
  <c r="D880" i="3"/>
  <c r="I880" i="3" s="1"/>
  <c r="C880" i="3"/>
  <c r="B880" i="3"/>
  <c r="A880" i="3"/>
  <c r="I879" i="3"/>
  <c r="H879" i="3"/>
  <c r="F879" i="3"/>
  <c r="E879" i="3"/>
  <c r="G879" i="3" s="1"/>
  <c r="D879" i="3"/>
  <c r="C879" i="3"/>
  <c r="B879" i="3"/>
  <c r="A879" i="3"/>
  <c r="H878" i="3"/>
  <c r="F878" i="3"/>
  <c r="E878" i="3"/>
  <c r="G878" i="3" s="1"/>
  <c r="D878" i="3"/>
  <c r="I878" i="3" s="1"/>
  <c r="C878" i="3"/>
  <c r="B878" i="3"/>
  <c r="A878" i="3"/>
  <c r="H877" i="3"/>
  <c r="G877" i="3"/>
  <c r="F877" i="3"/>
  <c r="E877" i="3"/>
  <c r="D877" i="3"/>
  <c r="C877" i="3"/>
  <c r="I877" i="3" s="1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F874" i="3"/>
  <c r="E874" i="3"/>
  <c r="G874" i="3" s="1"/>
  <c r="D874" i="3"/>
  <c r="I874" i="3" s="1"/>
  <c r="C874" i="3"/>
  <c r="B874" i="3"/>
  <c r="A874" i="3"/>
  <c r="I873" i="3"/>
  <c r="H873" i="3"/>
  <c r="F873" i="3"/>
  <c r="E873" i="3"/>
  <c r="G873" i="3" s="1"/>
  <c r="D873" i="3"/>
  <c r="C873" i="3"/>
  <c r="B873" i="3"/>
  <c r="A873" i="3"/>
  <c r="H872" i="3"/>
  <c r="G872" i="3"/>
  <c r="F872" i="3"/>
  <c r="E872" i="3"/>
  <c r="D872" i="3"/>
  <c r="I872" i="3" s="1"/>
  <c r="C872" i="3"/>
  <c r="B872" i="3"/>
  <c r="A872" i="3"/>
  <c r="I871" i="3"/>
  <c r="H871" i="3"/>
  <c r="F871" i="3"/>
  <c r="E871" i="3"/>
  <c r="G871" i="3" s="1"/>
  <c r="D871" i="3"/>
  <c r="C871" i="3"/>
  <c r="B871" i="3"/>
  <c r="A871" i="3"/>
  <c r="H870" i="3"/>
  <c r="F870" i="3"/>
  <c r="E870" i="3"/>
  <c r="G870" i="3" s="1"/>
  <c r="D870" i="3"/>
  <c r="I870" i="3" s="1"/>
  <c r="C870" i="3"/>
  <c r="B870" i="3"/>
  <c r="A870" i="3"/>
  <c r="H869" i="3"/>
  <c r="G869" i="3"/>
  <c r="F869" i="3"/>
  <c r="E869" i="3"/>
  <c r="D869" i="3"/>
  <c r="C869" i="3"/>
  <c r="I869" i="3" s="1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F866" i="3"/>
  <c r="E866" i="3"/>
  <c r="G866" i="3" s="1"/>
  <c r="D866" i="3"/>
  <c r="I866" i="3" s="1"/>
  <c r="C866" i="3"/>
  <c r="B866" i="3"/>
  <c r="A866" i="3"/>
  <c r="I865" i="3"/>
  <c r="H865" i="3"/>
  <c r="F865" i="3"/>
  <c r="E865" i="3"/>
  <c r="G865" i="3" s="1"/>
  <c r="D865" i="3"/>
  <c r="C865" i="3"/>
  <c r="B865" i="3"/>
  <c r="A865" i="3"/>
  <c r="H864" i="3"/>
  <c r="G864" i="3"/>
  <c r="F864" i="3"/>
  <c r="E864" i="3"/>
  <c r="D864" i="3"/>
  <c r="I864" i="3" s="1"/>
  <c r="C864" i="3"/>
  <c r="B864" i="3"/>
  <c r="A864" i="3"/>
  <c r="I863" i="3"/>
  <c r="H863" i="3"/>
  <c r="F863" i="3"/>
  <c r="E863" i="3"/>
  <c r="G863" i="3" s="1"/>
  <c r="D863" i="3"/>
  <c r="C863" i="3"/>
  <c r="B863" i="3"/>
  <c r="A863" i="3"/>
  <c r="H862" i="3"/>
  <c r="F862" i="3"/>
  <c r="E862" i="3"/>
  <c r="G862" i="3" s="1"/>
  <c r="D862" i="3"/>
  <c r="I862" i="3" s="1"/>
  <c r="C862" i="3"/>
  <c r="B862" i="3"/>
  <c r="A862" i="3"/>
  <c r="H861" i="3"/>
  <c r="G861" i="3"/>
  <c r="F861" i="3"/>
  <c r="E861" i="3"/>
  <c r="D861" i="3"/>
  <c r="C861" i="3"/>
  <c r="I861" i="3" s="1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F858" i="3"/>
  <c r="E858" i="3"/>
  <c r="G858" i="3" s="1"/>
  <c r="D858" i="3"/>
  <c r="I858" i="3" s="1"/>
  <c r="C858" i="3"/>
  <c r="B858" i="3"/>
  <c r="A858" i="3"/>
  <c r="I857" i="3"/>
  <c r="H857" i="3"/>
  <c r="F857" i="3"/>
  <c r="E857" i="3"/>
  <c r="G857" i="3" s="1"/>
  <c r="D857" i="3"/>
  <c r="C857" i="3"/>
  <c r="B857" i="3"/>
  <c r="A857" i="3"/>
  <c r="H856" i="3"/>
  <c r="G856" i="3"/>
  <c r="F856" i="3"/>
  <c r="E856" i="3"/>
  <c r="D856" i="3"/>
  <c r="I856" i="3" s="1"/>
  <c r="C856" i="3"/>
  <c r="B856" i="3"/>
  <c r="A856" i="3"/>
  <c r="I855" i="3"/>
  <c r="H855" i="3"/>
  <c r="F855" i="3"/>
  <c r="E855" i="3"/>
  <c r="G855" i="3" s="1"/>
  <c r="D855" i="3"/>
  <c r="C855" i="3"/>
  <c r="B855" i="3"/>
  <c r="A855" i="3"/>
  <c r="H854" i="3"/>
  <c r="F854" i="3"/>
  <c r="E854" i="3"/>
  <c r="G854" i="3" s="1"/>
  <c r="D854" i="3"/>
  <c r="I854" i="3" s="1"/>
  <c r="C854" i="3"/>
  <c r="B854" i="3"/>
  <c r="A854" i="3"/>
  <c r="H853" i="3"/>
  <c r="G853" i="3"/>
  <c r="F853" i="3"/>
  <c r="E853" i="3"/>
  <c r="D853" i="3"/>
  <c r="C853" i="3"/>
  <c r="I853" i="3" s="1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F850" i="3"/>
  <c r="E850" i="3"/>
  <c r="G850" i="3" s="1"/>
  <c r="D850" i="3"/>
  <c r="I850" i="3" s="1"/>
  <c r="C850" i="3"/>
  <c r="B850" i="3"/>
  <c r="A850" i="3"/>
  <c r="I849" i="3"/>
  <c r="H849" i="3"/>
  <c r="F849" i="3"/>
  <c r="E849" i="3"/>
  <c r="G849" i="3" s="1"/>
  <c r="D849" i="3"/>
  <c r="C849" i="3"/>
  <c r="B849" i="3"/>
  <c r="A849" i="3"/>
  <c r="H848" i="3"/>
  <c r="G848" i="3"/>
  <c r="F848" i="3"/>
  <c r="E848" i="3"/>
  <c r="D848" i="3"/>
  <c r="I848" i="3" s="1"/>
  <c r="C848" i="3"/>
  <c r="B848" i="3"/>
  <c r="A848" i="3"/>
  <c r="I847" i="3"/>
  <c r="H847" i="3"/>
  <c r="F847" i="3"/>
  <c r="E847" i="3"/>
  <c r="G847" i="3" s="1"/>
  <c r="D847" i="3"/>
  <c r="C847" i="3"/>
  <c r="B847" i="3"/>
  <c r="A847" i="3"/>
  <c r="H846" i="3"/>
  <c r="F846" i="3"/>
  <c r="E846" i="3"/>
  <c r="G846" i="3" s="1"/>
  <c r="D846" i="3"/>
  <c r="I846" i="3" s="1"/>
  <c r="C846" i="3"/>
  <c r="B846" i="3"/>
  <c r="A846" i="3"/>
  <c r="H845" i="3"/>
  <c r="G845" i="3"/>
  <c r="F845" i="3"/>
  <c r="E845" i="3"/>
  <c r="D845" i="3"/>
  <c r="C845" i="3"/>
  <c r="I845" i="3" s="1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F842" i="3"/>
  <c r="E842" i="3"/>
  <c r="G842" i="3" s="1"/>
  <c r="D842" i="3"/>
  <c r="I842" i="3" s="1"/>
  <c r="C842" i="3"/>
  <c r="B842" i="3"/>
  <c r="A842" i="3"/>
  <c r="I841" i="3"/>
  <c r="H841" i="3"/>
  <c r="F841" i="3"/>
  <c r="E841" i="3"/>
  <c r="G841" i="3" s="1"/>
  <c r="D841" i="3"/>
  <c r="C841" i="3"/>
  <c r="B841" i="3"/>
  <c r="A841" i="3"/>
  <c r="H840" i="3"/>
  <c r="G840" i="3"/>
  <c r="F840" i="3"/>
  <c r="E840" i="3"/>
  <c r="D840" i="3"/>
  <c r="I840" i="3" s="1"/>
  <c r="C840" i="3"/>
  <c r="B840" i="3"/>
  <c r="A840" i="3"/>
  <c r="I839" i="3"/>
  <c r="H839" i="3"/>
  <c r="F839" i="3"/>
  <c r="E839" i="3"/>
  <c r="G839" i="3" s="1"/>
  <c r="D839" i="3"/>
  <c r="C839" i="3"/>
  <c r="B839" i="3"/>
  <c r="A839" i="3"/>
  <c r="H838" i="3"/>
  <c r="F838" i="3"/>
  <c r="E838" i="3"/>
  <c r="G838" i="3" s="1"/>
  <c r="D838" i="3"/>
  <c r="I838" i="3" s="1"/>
  <c r="C838" i="3"/>
  <c r="B838" i="3"/>
  <c r="A838" i="3"/>
  <c r="H837" i="3"/>
  <c r="G837" i="3"/>
  <c r="F837" i="3"/>
  <c r="E837" i="3"/>
  <c r="D837" i="3"/>
  <c r="C837" i="3"/>
  <c r="I837" i="3" s="1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F834" i="3"/>
  <c r="E834" i="3"/>
  <c r="G834" i="3" s="1"/>
  <c r="D834" i="3"/>
  <c r="I834" i="3" s="1"/>
  <c r="C834" i="3"/>
  <c r="B834" i="3"/>
  <c r="A834" i="3"/>
  <c r="I833" i="3"/>
  <c r="H833" i="3"/>
  <c r="F833" i="3"/>
  <c r="E833" i="3"/>
  <c r="G833" i="3" s="1"/>
  <c r="D833" i="3"/>
  <c r="C833" i="3"/>
  <c r="B833" i="3"/>
  <c r="A833" i="3"/>
  <c r="H832" i="3"/>
  <c r="G832" i="3"/>
  <c r="F832" i="3"/>
  <c r="E832" i="3"/>
  <c r="D832" i="3"/>
  <c r="I832" i="3" s="1"/>
  <c r="C832" i="3"/>
  <c r="B832" i="3"/>
  <c r="A832" i="3"/>
  <c r="I831" i="3"/>
  <c r="H831" i="3"/>
  <c r="F831" i="3"/>
  <c r="E831" i="3"/>
  <c r="G831" i="3" s="1"/>
  <c r="D831" i="3"/>
  <c r="C831" i="3"/>
  <c r="B831" i="3"/>
  <c r="A831" i="3"/>
  <c r="H830" i="3"/>
  <c r="F830" i="3"/>
  <c r="E830" i="3"/>
  <c r="G830" i="3" s="1"/>
  <c r="D830" i="3"/>
  <c r="I830" i="3" s="1"/>
  <c r="C830" i="3"/>
  <c r="B830" i="3"/>
  <c r="A830" i="3"/>
  <c r="H829" i="3"/>
  <c r="G829" i="3"/>
  <c r="F829" i="3"/>
  <c r="E829" i="3"/>
  <c r="D829" i="3"/>
  <c r="C829" i="3"/>
  <c r="I829" i="3" s="1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F826" i="3"/>
  <c r="E826" i="3"/>
  <c r="G826" i="3" s="1"/>
  <c r="D826" i="3"/>
  <c r="I826" i="3" s="1"/>
  <c r="C826" i="3"/>
  <c r="B826" i="3"/>
  <c r="A826" i="3"/>
  <c r="I825" i="3"/>
  <c r="H825" i="3"/>
  <c r="F825" i="3"/>
  <c r="E825" i="3"/>
  <c r="G825" i="3" s="1"/>
  <c r="D825" i="3"/>
  <c r="C825" i="3"/>
  <c r="B825" i="3"/>
  <c r="A825" i="3"/>
  <c r="H824" i="3"/>
  <c r="G824" i="3"/>
  <c r="F824" i="3"/>
  <c r="E824" i="3"/>
  <c r="D824" i="3"/>
  <c r="I824" i="3" s="1"/>
  <c r="C824" i="3"/>
  <c r="B824" i="3"/>
  <c r="A824" i="3"/>
  <c r="I823" i="3"/>
  <c r="H823" i="3"/>
  <c r="F823" i="3"/>
  <c r="E823" i="3"/>
  <c r="G823" i="3" s="1"/>
  <c r="D823" i="3"/>
  <c r="C823" i="3"/>
  <c r="B823" i="3"/>
  <c r="A823" i="3"/>
  <c r="H822" i="3"/>
  <c r="F822" i="3"/>
  <c r="E822" i="3"/>
  <c r="G822" i="3" s="1"/>
  <c r="D822" i="3"/>
  <c r="I822" i="3" s="1"/>
  <c r="C822" i="3"/>
  <c r="B822" i="3"/>
  <c r="A822" i="3"/>
  <c r="H821" i="3"/>
  <c r="G821" i="3"/>
  <c r="F821" i="3"/>
  <c r="E821" i="3"/>
  <c r="D821" i="3"/>
  <c r="C821" i="3"/>
  <c r="I821" i="3" s="1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F818" i="3"/>
  <c r="E818" i="3"/>
  <c r="G818" i="3" s="1"/>
  <c r="D818" i="3"/>
  <c r="I818" i="3" s="1"/>
  <c r="C818" i="3"/>
  <c r="B818" i="3"/>
  <c r="A818" i="3"/>
  <c r="I817" i="3"/>
  <c r="H817" i="3"/>
  <c r="F817" i="3"/>
  <c r="E817" i="3"/>
  <c r="G817" i="3" s="1"/>
  <c r="D817" i="3"/>
  <c r="C817" i="3"/>
  <c r="B817" i="3"/>
  <c r="A817" i="3"/>
  <c r="H816" i="3"/>
  <c r="G816" i="3"/>
  <c r="F816" i="3"/>
  <c r="E816" i="3"/>
  <c r="D816" i="3"/>
  <c r="C816" i="3"/>
  <c r="I816" i="3" s="1"/>
  <c r="B816" i="3"/>
  <c r="A816" i="3"/>
  <c r="H815" i="3"/>
  <c r="G815" i="3"/>
  <c r="F815" i="3"/>
  <c r="E815" i="3"/>
  <c r="D815" i="3"/>
  <c r="I815" i="3" s="1"/>
  <c r="C815" i="3"/>
  <c r="B815" i="3"/>
  <c r="A815" i="3"/>
  <c r="H814" i="3"/>
  <c r="F814" i="3"/>
  <c r="E814" i="3"/>
  <c r="G814" i="3" s="1"/>
  <c r="D814" i="3"/>
  <c r="I814" i="3" s="1"/>
  <c r="C814" i="3"/>
  <c r="B814" i="3"/>
  <c r="A814" i="3"/>
  <c r="I813" i="3"/>
  <c r="H813" i="3"/>
  <c r="F813" i="3"/>
  <c r="E813" i="3"/>
  <c r="G813" i="3" s="1"/>
  <c r="D813" i="3"/>
  <c r="C813" i="3"/>
  <c r="B813" i="3"/>
  <c r="A813" i="3"/>
  <c r="H812" i="3"/>
  <c r="G812" i="3"/>
  <c r="F812" i="3"/>
  <c r="E812" i="3"/>
  <c r="D812" i="3"/>
  <c r="C812" i="3"/>
  <c r="I812" i="3" s="1"/>
  <c r="B812" i="3"/>
  <c r="A812" i="3"/>
  <c r="H811" i="3"/>
  <c r="G811" i="3"/>
  <c r="F811" i="3"/>
  <c r="E811" i="3"/>
  <c r="D811" i="3"/>
  <c r="C811" i="3"/>
  <c r="B811" i="3"/>
  <c r="A811" i="3"/>
  <c r="H810" i="3"/>
  <c r="F810" i="3"/>
  <c r="E810" i="3"/>
  <c r="G810" i="3" s="1"/>
  <c r="D810" i="3"/>
  <c r="I810" i="3" s="1"/>
  <c r="C810" i="3"/>
  <c r="B810" i="3"/>
  <c r="A810" i="3"/>
  <c r="I809" i="3"/>
  <c r="H809" i="3"/>
  <c r="F809" i="3"/>
  <c r="E809" i="3"/>
  <c r="G809" i="3" s="1"/>
  <c r="D809" i="3"/>
  <c r="C809" i="3"/>
  <c r="B809" i="3"/>
  <c r="A809" i="3"/>
  <c r="H808" i="3"/>
  <c r="G808" i="3"/>
  <c r="F808" i="3"/>
  <c r="E808" i="3"/>
  <c r="D808" i="3"/>
  <c r="C808" i="3"/>
  <c r="I808" i="3" s="1"/>
  <c r="B808" i="3"/>
  <c r="A808" i="3"/>
  <c r="H807" i="3"/>
  <c r="G807" i="3"/>
  <c r="F807" i="3"/>
  <c r="E807" i="3"/>
  <c r="D807" i="3"/>
  <c r="I807" i="3" s="1"/>
  <c r="C807" i="3"/>
  <c r="B807" i="3"/>
  <c r="A807" i="3"/>
  <c r="H806" i="3"/>
  <c r="F806" i="3"/>
  <c r="E806" i="3"/>
  <c r="G806" i="3" s="1"/>
  <c r="D806" i="3"/>
  <c r="I806" i="3" s="1"/>
  <c r="C806" i="3"/>
  <c r="B806" i="3"/>
  <c r="A806" i="3"/>
  <c r="I805" i="3"/>
  <c r="H805" i="3"/>
  <c r="F805" i="3"/>
  <c r="E805" i="3"/>
  <c r="G805" i="3" s="1"/>
  <c r="D805" i="3"/>
  <c r="C805" i="3"/>
  <c r="B805" i="3"/>
  <c r="A805" i="3"/>
  <c r="H804" i="3"/>
  <c r="G804" i="3"/>
  <c r="F804" i="3"/>
  <c r="E804" i="3"/>
  <c r="D804" i="3"/>
  <c r="C804" i="3"/>
  <c r="I804" i="3" s="1"/>
  <c r="B804" i="3"/>
  <c r="A804" i="3"/>
  <c r="H803" i="3"/>
  <c r="G803" i="3"/>
  <c r="F803" i="3"/>
  <c r="E803" i="3"/>
  <c r="D803" i="3"/>
  <c r="C803" i="3"/>
  <c r="B803" i="3"/>
  <c r="A803" i="3"/>
  <c r="H802" i="3"/>
  <c r="F802" i="3"/>
  <c r="E802" i="3"/>
  <c r="G802" i="3" s="1"/>
  <c r="D802" i="3"/>
  <c r="I802" i="3" s="1"/>
  <c r="C802" i="3"/>
  <c r="B802" i="3"/>
  <c r="A802" i="3"/>
  <c r="I801" i="3"/>
  <c r="H801" i="3"/>
  <c r="F801" i="3"/>
  <c r="E801" i="3"/>
  <c r="G801" i="3" s="1"/>
  <c r="D801" i="3"/>
  <c r="C801" i="3"/>
  <c r="B801" i="3"/>
  <c r="A801" i="3"/>
  <c r="H800" i="3"/>
  <c r="G800" i="3"/>
  <c r="F800" i="3"/>
  <c r="E800" i="3"/>
  <c r="D800" i="3"/>
  <c r="C800" i="3"/>
  <c r="I800" i="3" s="1"/>
  <c r="B800" i="3"/>
  <c r="A800" i="3"/>
  <c r="H799" i="3"/>
  <c r="G799" i="3"/>
  <c r="F799" i="3"/>
  <c r="E799" i="3"/>
  <c r="D799" i="3"/>
  <c r="I799" i="3" s="1"/>
  <c r="C799" i="3"/>
  <c r="B799" i="3"/>
  <c r="A799" i="3"/>
  <c r="H798" i="3"/>
  <c r="F798" i="3"/>
  <c r="E798" i="3"/>
  <c r="G798" i="3" s="1"/>
  <c r="D798" i="3"/>
  <c r="I798" i="3" s="1"/>
  <c r="C798" i="3"/>
  <c r="B798" i="3"/>
  <c r="A798" i="3"/>
  <c r="I797" i="3"/>
  <c r="H797" i="3"/>
  <c r="F797" i="3"/>
  <c r="E797" i="3"/>
  <c r="G797" i="3" s="1"/>
  <c r="D797" i="3"/>
  <c r="C797" i="3"/>
  <c r="B797" i="3"/>
  <c r="A797" i="3"/>
  <c r="H796" i="3"/>
  <c r="G796" i="3"/>
  <c r="F796" i="3"/>
  <c r="E796" i="3"/>
  <c r="D796" i="3"/>
  <c r="C796" i="3"/>
  <c r="I796" i="3" s="1"/>
  <c r="B796" i="3"/>
  <c r="A796" i="3"/>
  <c r="H795" i="3"/>
  <c r="G795" i="3"/>
  <c r="F795" i="3"/>
  <c r="E795" i="3"/>
  <c r="D795" i="3"/>
  <c r="C795" i="3"/>
  <c r="B795" i="3"/>
  <c r="A795" i="3"/>
  <c r="H794" i="3"/>
  <c r="F794" i="3"/>
  <c r="E794" i="3"/>
  <c r="G794" i="3" s="1"/>
  <c r="D794" i="3"/>
  <c r="I794" i="3" s="1"/>
  <c r="C794" i="3"/>
  <c r="B794" i="3"/>
  <c r="A794" i="3"/>
  <c r="I793" i="3"/>
  <c r="H793" i="3"/>
  <c r="F793" i="3"/>
  <c r="E793" i="3"/>
  <c r="G793" i="3" s="1"/>
  <c r="D793" i="3"/>
  <c r="C793" i="3"/>
  <c r="B793" i="3"/>
  <c r="A793" i="3"/>
  <c r="H792" i="3"/>
  <c r="G792" i="3"/>
  <c r="F792" i="3"/>
  <c r="E792" i="3"/>
  <c r="D792" i="3"/>
  <c r="C792" i="3"/>
  <c r="I792" i="3" s="1"/>
  <c r="B792" i="3"/>
  <c r="A792" i="3"/>
  <c r="H791" i="3"/>
  <c r="G791" i="3"/>
  <c r="F791" i="3"/>
  <c r="E791" i="3"/>
  <c r="D791" i="3"/>
  <c r="I791" i="3" s="1"/>
  <c r="C791" i="3"/>
  <c r="B791" i="3"/>
  <c r="A791" i="3"/>
  <c r="H790" i="3"/>
  <c r="F790" i="3"/>
  <c r="E790" i="3"/>
  <c r="G790" i="3" s="1"/>
  <c r="D790" i="3"/>
  <c r="I790" i="3" s="1"/>
  <c r="C790" i="3"/>
  <c r="B790" i="3"/>
  <c r="A790" i="3"/>
  <c r="I789" i="3"/>
  <c r="H789" i="3"/>
  <c r="F789" i="3"/>
  <c r="E789" i="3"/>
  <c r="G789" i="3" s="1"/>
  <c r="D789" i="3"/>
  <c r="C789" i="3"/>
  <c r="B789" i="3"/>
  <c r="A789" i="3"/>
  <c r="H788" i="3"/>
  <c r="G788" i="3"/>
  <c r="F788" i="3"/>
  <c r="E788" i="3"/>
  <c r="D788" i="3"/>
  <c r="C788" i="3"/>
  <c r="I788" i="3" s="1"/>
  <c r="B788" i="3"/>
  <c r="A788" i="3"/>
  <c r="H787" i="3"/>
  <c r="G787" i="3"/>
  <c r="F787" i="3"/>
  <c r="E787" i="3"/>
  <c r="D787" i="3"/>
  <c r="C787" i="3"/>
  <c r="B787" i="3"/>
  <c r="A787" i="3"/>
  <c r="H786" i="3"/>
  <c r="F786" i="3"/>
  <c r="E786" i="3"/>
  <c r="G786" i="3" s="1"/>
  <c r="D786" i="3"/>
  <c r="I786" i="3" s="1"/>
  <c r="C786" i="3"/>
  <c r="B786" i="3"/>
  <c r="A786" i="3"/>
  <c r="I785" i="3"/>
  <c r="H785" i="3"/>
  <c r="F785" i="3"/>
  <c r="E785" i="3"/>
  <c r="G785" i="3" s="1"/>
  <c r="D785" i="3"/>
  <c r="C785" i="3"/>
  <c r="B785" i="3"/>
  <c r="A785" i="3"/>
  <c r="H784" i="3"/>
  <c r="G784" i="3"/>
  <c r="F784" i="3"/>
  <c r="E784" i="3"/>
  <c r="D784" i="3"/>
  <c r="C784" i="3"/>
  <c r="I784" i="3" s="1"/>
  <c r="B784" i="3"/>
  <c r="A784" i="3"/>
  <c r="H783" i="3"/>
  <c r="G783" i="3"/>
  <c r="F783" i="3"/>
  <c r="E783" i="3"/>
  <c r="D783" i="3"/>
  <c r="I783" i="3" s="1"/>
  <c r="C783" i="3"/>
  <c r="B783" i="3"/>
  <c r="A783" i="3"/>
  <c r="H782" i="3"/>
  <c r="F782" i="3"/>
  <c r="E782" i="3"/>
  <c r="G782" i="3" s="1"/>
  <c r="D782" i="3"/>
  <c r="I782" i="3" s="1"/>
  <c r="C782" i="3"/>
  <c r="B782" i="3"/>
  <c r="A782" i="3"/>
  <c r="I781" i="3"/>
  <c r="H781" i="3"/>
  <c r="F781" i="3"/>
  <c r="E781" i="3"/>
  <c r="G781" i="3" s="1"/>
  <c r="D781" i="3"/>
  <c r="C781" i="3"/>
  <c r="B781" i="3"/>
  <c r="A781" i="3"/>
  <c r="H780" i="3"/>
  <c r="G780" i="3"/>
  <c r="F780" i="3"/>
  <c r="E780" i="3"/>
  <c r="D780" i="3"/>
  <c r="C780" i="3"/>
  <c r="I780" i="3" s="1"/>
  <c r="F69" i="2" s="1"/>
  <c r="B780" i="3"/>
  <c r="A780" i="3"/>
  <c r="H779" i="3"/>
  <c r="G779" i="3"/>
  <c r="F779" i="3"/>
  <c r="E779" i="3"/>
  <c r="D779" i="3"/>
  <c r="C779" i="3"/>
  <c r="B779" i="3"/>
  <c r="A779" i="3"/>
  <c r="H778" i="3"/>
  <c r="F778" i="3"/>
  <c r="E778" i="3"/>
  <c r="G778" i="3" s="1"/>
  <c r="D778" i="3"/>
  <c r="I778" i="3" s="1"/>
  <c r="C778" i="3"/>
  <c r="B778" i="3"/>
  <c r="A778" i="3"/>
  <c r="I777" i="3"/>
  <c r="H777" i="3"/>
  <c r="F777" i="3"/>
  <c r="E777" i="3"/>
  <c r="G777" i="3" s="1"/>
  <c r="D777" i="3"/>
  <c r="C777" i="3"/>
  <c r="B777" i="3"/>
  <c r="A777" i="3"/>
  <c r="H776" i="3"/>
  <c r="G776" i="3"/>
  <c r="F776" i="3"/>
  <c r="E776" i="3"/>
  <c r="D776" i="3"/>
  <c r="C776" i="3"/>
  <c r="I776" i="3" s="1"/>
  <c r="B776" i="3"/>
  <c r="A776" i="3"/>
  <c r="H775" i="3"/>
  <c r="G775" i="3"/>
  <c r="F775" i="3"/>
  <c r="E775" i="3"/>
  <c r="D775" i="3"/>
  <c r="I775" i="3" s="1"/>
  <c r="C775" i="3"/>
  <c r="B775" i="3"/>
  <c r="A775" i="3"/>
  <c r="H774" i="3"/>
  <c r="F774" i="3"/>
  <c r="E774" i="3"/>
  <c r="G774" i="3" s="1"/>
  <c r="D774" i="3"/>
  <c r="I774" i="3" s="1"/>
  <c r="C774" i="3"/>
  <c r="B774" i="3"/>
  <c r="A774" i="3"/>
  <c r="I773" i="3"/>
  <c r="H773" i="3"/>
  <c r="F773" i="3"/>
  <c r="E773" i="3"/>
  <c r="G773" i="3" s="1"/>
  <c r="D773" i="3"/>
  <c r="C773" i="3"/>
  <c r="B773" i="3"/>
  <c r="A773" i="3"/>
  <c r="H772" i="3"/>
  <c r="G772" i="3"/>
  <c r="F772" i="3"/>
  <c r="E772" i="3"/>
  <c r="D772" i="3"/>
  <c r="C772" i="3"/>
  <c r="I772" i="3" s="1"/>
  <c r="B772" i="3"/>
  <c r="A772" i="3"/>
  <c r="H771" i="3"/>
  <c r="G771" i="3"/>
  <c r="F771" i="3"/>
  <c r="E771" i="3"/>
  <c r="D771" i="3"/>
  <c r="C771" i="3"/>
  <c r="B771" i="3"/>
  <c r="A771" i="3"/>
  <c r="H770" i="3"/>
  <c r="F770" i="3"/>
  <c r="E770" i="3"/>
  <c r="G770" i="3" s="1"/>
  <c r="D770" i="3"/>
  <c r="I770" i="3" s="1"/>
  <c r="C770" i="3"/>
  <c r="B770" i="3"/>
  <c r="A770" i="3"/>
  <c r="I769" i="3"/>
  <c r="H769" i="3"/>
  <c r="F769" i="3"/>
  <c r="E769" i="3"/>
  <c r="G769" i="3" s="1"/>
  <c r="D769" i="3"/>
  <c r="C769" i="3"/>
  <c r="B769" i="3"/>
  <c r="A769" i="3"/>
  <c r="H768" i="3"/>
  <c r="G768" i="3"/>
  <c r="F768" i="3"/>
  <c r="E768" i="3"/>
  <c r="D768" i="3"/>
  <c r="C768" i="3"/>
  <c r="I768" i="3" s="1"/>
  <c r="B768" i="3"/>
  <c r="A768" i="3"/>
  <c r="H767" i="3"/>
  <c r="G767" i="3"/>
  <c r="F767" i="3"/>
  <c r="E767" i="3"/>
  <c r="D767" i="3"/>
  <c r="I767" i="3" s="1"/>
  <c r="C767" i="3"/>
  <c r="B767" i="3"/>
  <c r="A767" i="3"/>
  <c r="H766" i="3"/>
  <c r="F766" i="3"/>
  <c r="E766" i="3"/>
  <c r="G766" i="3" s="1"/>
  <c r="D766" i="3"/>
  <c r="I766" i="3" s="1"/>
  <c r="C766" i="3"/>
  <c r="B766" i="3"/>
  <c r="A766" i="3"/>
  <c r="I765" i="3"/>
  <c r="H765" i="3"/>
  <c r="F765" i="3"/>
  <c r="E765" i="3"/>
  <c r="G765" i="3" s="1"/>
  <c r="D765" i="3"/>
  <c r="C765" i="3"/>
  <c r="B765" i="3"/>
  <c r="A765" i="3"/>
  <c r="H764" i="3"/>
  <c r="G764" i="3"/>
  <c r="F764" i="3"/>
  <c r="E764" i="3"/>
  <c r="D764" i="3"/>
  <c r="C764" i="3"/>
  <c r="I764" i="3" s="1"/>
  <c r="B764" i="3"/>
  <c r="A764" i="3"/>
  <c r="H763" i="3"/>
  <c r="G763" i="3"/>
  <c r="F763" i="3"/>
  <c r="E763" i="3"/>
  <c r="D763" i="3"/>
  <c r="C763" i="3"/>
  <c r="B763" i="3"/>
  <c r="A763" i="3"/>
  <c r="H762" i="3"/>
  <c r="F762" i="3"/>
  <c r="E762" i="3"/>
  <c r="G762" i="3" s="1"/>
  <c r="D762" i="3"/>
  <c r="I762" i="3" s="1"/>
  <c r="C762" i="3"/>
  <c r="B762" i="3"/>
  <c r="A762" i="3"/>
  <c r="I761" i="3"/>
  <c r="H761" i="3"/>
  <c r="F761" i="3"/>
  <c r="E761" i="3"/>
  <c r="G761" i="3" s="1"/>
  <c r="D761" i="3"/>
  <c r="C761" i="3"/>
  <c r="B761" i="3"/>
  <c r="A761" i="3"/>
  <c r="H760" i="3"/>
  <c r="G760" i="3"/>
  <c r="F760" i="3"/>
  <c r="E760" i="3"/>
  <c r="D760" i="3"/>
  <c r="C760" i="3"/>
  <c r="I760" i="3" s="1"/>
  <c r="B760" i="3"/>
  <c r="A760" i="3"/>
  <c r="H759" i="3"/>
  <c r="G759" i="3"/>
  <c r="F759" i="3"/>
  <c r="E759" i="3"/>
  <c r="D759" i="3"/>
  <c r="I759" i="3" s="1"/>
  <c r="C759" i="3"/>
  <c r="B759" i="3"/>
  <c r="A759" i="3"/>
  <c r="H758" i="3"/>
  <c r="F758" i="3"/>
  <c r="E758" i="3"/>
  <c r="G758" i="3" s="1"/>
  <c r="D758" i="3"/>
  <c r="I758" i="3" s="1"/>
  <c r="C758" i="3"/>
  <c r="B758" i="3"/>
  <c r="A758" i="3"/>
  <c r="I757" i="3"/>
  <c r="H757" i="3"/>
  <c r="F757" i="3"/>
  <c r="E757" i="3"/>
  <c r="G757" i="3" s="1"/>
  <c r="D757" i="3"/>
  <c r="C757" i="3"/>
  <c r="B757" i="3"/>
  <c r="A757" i="3"/>
  <c r="H756" i="3"/>
  <c r="G756" i="3"/>
  <c r="F756" i="3"/>
  <c r="E756" i="3"/>
  <c r="D756" i="3"/>
  <c r="C756" i="3"/>
  <c r="I756" i="3" s="1"/>
  <c r="B756" i="3"/>
  <c r="A756" i="3"/>
  <c r="H755" i="3"/>
  <c r="G755" i="3"/>
  <c r="F755" i="3"/>
  <c r="E755" i="3"/>
  <c r="D755" i="3"/>
  <c r="C755" i="3"/>
  <c r="B755" i="3"/>
  <c r="A755" i="3"/>
  <c r="H754" i="3"/>
  <c r="F754" i="3"/>
  <c r="E754" i="3"/>
  <c r="G754" i="3" s="1"/>
  <c r="D754" i="3"/>
  <c r="I754" i="3" s="1"/>
  <c r="C754" i="3"/>
  <c r="B754" i="3"/>
  <c r="A754" i="3"/>
  <c r="I753" i="3"/>
  <c r="H753" i="3"/>
  <c r="F753" i="3"/>
  <c r="E753" i="3"/>
  <c r="G753" i="3" s="1"/>
  <c r="D753" i="3"/>
  <c r="C753" i="3"/>
  <c r="B753" i="3"/>
  <c r="A753" i="3"/>
  <c r="H752" i="3"/>
  <c r="G752" i="3"/>
  <c r="F752" i="3"/>
  <c r="E752" i="3"/>
  <c r="D752" i="3"/>
  <c r="C752" i="3"/>
  <c r="I752" i="3" s="1"/>
  <c r="B752" i="3"/>
  <c r="A752" i="3"/>
  <c r="H751" i="3"/>
  <c r="G751" i="3"/>
  <c r="F751" i="3"/>
  <c r="E751" i="3"/>
  <c r="D751" i="3"/>
  <c r="I751" i="3" s="1"/>
  <c r="C751" i="3"/>
  <c r="B751" i="3"/>
  <c r="A751" i="3"/>
  <c r="H750" i="3"/>
  <c r="F750" i="3"/>
  <c r="E750" i="3"/>
  <c r="G750" i="3" s="1"/>
  <c r="D750" i="3"/>
  <c r="I750" i="3" s="1"/>
  <c r="C750" i="3"/>
  <c r="B750" i="3"/>
  <c r="A750" i="3"/>
  <c r="I749" i="3"/>
  <c r="H749" i="3"/>
  <c r="F749" i="3"/>
  <c r="E749" i="3"/>
  <c r="G749" i="3" s="1"/>
  <c r="D749" i="3"/>
  <c r="C749" i="3"/>
  <c r="B749" i="3"/>
  <c r="A749" i="3"/>
  <c r="H748" i="3"/>
  <c r="G748" i="3"/>
  <c r="F748" i="3"/>
  <c r="E748" i="3"/>
  <c r="D748" i="3"/>
  <c r="C748" i="3"/>
  <c r="I748" i="3" s="1"/>
  <c r="B748" i="3"/>
  <c r="A748" i="3"/>
  <c r="H747" i="3"/>
  <c r="G747" i="3"/>
  <c r="F747" i="3"/>
  <c r="E747" i="3"/>
  <c r="D747" i="3"/>
  <c r="C747" i="3"/>
  <c r="B747" i="3"/>
  <c r="A747" i="3"/>
  <c r="H746" i="3"/>
  <c r="F746" i="3"/>
  <c r="E746" i="3"/>
  <c r="G746" i="3" s="1"/>
  <c r="D746" i="3"/>
  <c r="I746" i="3" s="1"/>
  <c r="C746" i="3"/>
  <c r="B746" i="3"/>
  <c r="A746" i="3"/>
  <c r="I745" i="3"/>
  <c r="H745" i="3"/>
  <c r="F745" i="3"/>
  <c r="E745" i="3"/>
  <c r="G745" i="3" s="1"/>
  <c r="D745" i="3"/>
  <c r="C745" i="3"/>
  <c r="B745" i="3"/>
  <c r="A745" i="3"/>
  <c r="H744" i="3"/>
  <c r="G744" i="3"/>
  <c r="F744" i="3"/>
  <c r="E744" i="3"/>
  <c r="D744" i="3"/>
  <c r="C744" i="3"/>
  <c r="I744" i="3" s="1"/>
  <c r="B744" i="3"/>
  <c r="A744" i="3"/>
  <c r="H743" i="3"/>
  <c r="G743" i="3"/>
  <c r="F743" i="3"/>
  <c r="E743" i="3"/>
  <c r="D743" i="3"/>
  <c r="I743" i="3" s="1"/>
  <c r="C743" i="3"/>
  <c r="B743" i="3"/>
  <c r="A743" i="3"/>
  <c r="H742" i="3"/>
  <c r="F742" i="3"/>
  <c r="E742" i="3"/>
  <c r="G742" i="3" s="1"/>
  <c r="D742" i="3"/>
  <c r="I742" i="3" s="1"/>
  <c r="C742" i="3"/>
  <c r="B742" i="3"/>
  <c r="A742" i="3"/>
  <c r="I741" i="3"/>
  <c r="H741" i="3"/>
  <c r="F741" i="3"/>
  <c r="E741" i="3"/>
  <c r="G741" i="3" s="1"/>
  <c r="D741" i="3"/>
  <c r="C741" i="3"/>
  <c r="B741" i="3"/>
  <c r="A741" i="3"/>
  <c r="H740" i="3"/>
  <c r="G740" i="3"/>
  <c r="F740" i="3"/>
  <c r="E740" i="3"/>
  <c r="D740" i="3"/>
  <c r="C740" i="3"/>
  <c r="I740" i="3" s="1"/>
  <c r="B740" i="3"/>
  <c r="A740" i="3"/>
  <c r="H739" i="3"/>
  <c r="G739" i="3"/>
  <c r="F739" i="3"/>
  <c r="E739" i="3"/>
  <c r="D739" i="3"/>
  <c r="C739" i="3"/>
  <c r="B739" i="3"/>
  <c r="A739" i="3"/>
  <c r="H738" i="3"/>
  <c r="F738" i="3"/>
  <c r="E738" i="3"/>
  <c r="G738" i="3" s="1"/>
  <c r="D738" i="3"/>
  <c r="I738" i="3" s="1"/>
  <c r="C738" i="3"/>
  <c r="B738" i="3"/>
  <c r="A738" i="3"/>
  <c r="I737" i="3"/>
  <c r="H737" i="3"/>
  <c r="F737" i="3"/>
  <c r="E737" i="3"/>
  <c r="G737" i="3" s="1"/>
  <c r="D737" i="3"/>
  <c r="C737" i="3"/>
  <c r="B737" i="3"/>
  <c r="A737" i="3"/>
  <c r="H736" i="3"/>
  <c r="G736" i="3"/>
  <c r="F736" i="3"/>
  <c r="E736" i="3"/>
  <c r="D736" i="3"/>
  <c r="C736" i="3"/>
  <c r="I736" i="3" s="1"/>
  <c r="B736" i="3"/>
  <c r="A736" i="3"/>
  <c r="H735" i="3"/>
  <c r="G735" i="3"/>
  <c r="F735" i="3"/>
  <c r="E735" i="3"/>
  <c r="D735" i="3"/>
  <c r="I735" i="3" s="1"/>
  <c r="C735" i="3"/>
  <c r="B735" i="3"/>
  <c r="A735" i="3"/>
  <c r="H734" i="3"/>
  <c r="F734" i="3"/>
  <c r="E734" i="3"/>
  <c r="G734" i="3" s="1"/>
  <c r="D734" i="3"/>
  <c r="I734" i="3" s="1"/>
  <c r="C734" i="3"/>
  <c r="B734" i="3"/>
  <c r="A734" i="3"/>
  <c r="I733" i="3"/>
  <c r="H733" i="3"/>
  <c r="F733" i="3"/>
  <c r="E733" i="3"/>
  <c r="G733" i="3" s="1"/>
  <c r="D733" i="3"/>
  <c r="C733" i="3"/>
  <c r="B733" i="3"/>
  <c r="A733" i="3"/>
  <c r="H732" i="3"/>
  <c r="G732" i="3"/>
  <c r="F732" i="3"/>
  <c r="E732" i="3"/>
  <c r="D732" i="3"/>
  <c r="C732" i="3"/>
  <c r="I732" i="3" s="1"/>
  <c r="B732" i="3"/>
  <c r="A732" i="3"/>
  <c r="H731" i="3"/>
  <c r="G731" i="3"/>
  <c r="F731" i="3"/>
  <c r="E731" i="3"/>
  <c r="D731" i="3"/>
  <c r="C731" i="3"/>
  <c r="B731" i="3"/>
  <c r="A731" i="3"/>
  <c r="H730" i="3"/>
  <c r="F730" i="3"/>
  <c r="E730" i="3"/>
  <c r="G730" i="3" s="1"/>
  <c r="D730" i="3"/>
  <c r="I730" i="3" s="1"/>
  <c r="C730" i="3"/>
  <c r="B730" i="3"/>
  <c r="A730" i="3"/>
  <c r="I729" i="3"/>
  <c r="H729" i="3"/>
  <c r="F729" i="3"/>
  <c r="E729" i="3"/>
  <c r="G729" i="3" s="1"/>
  <c r="D729" i="3"/>
  <c r="C729" i="3"/>
  <c r="B729" i="3"/>
  <c r="A729" i="3"/>
  <c r="H728" i="3"/>
  <c r="G728" i="3"/>
  <c r="F728" i="3"/>
  <c r="E728" i="3"/>
  <c r="D728" i="3"/>
  <c r="C728" i="3"/>
  <c r="I728" i="3" s="1"/>
  <c r="B728" i="3"/>
  <c r="A728" i="3"/>
  <c r="H727" i="3"/>
  <c r="G727" i="3"/>
  <c r="F727" i="3"/>
  <c r="E727" i="3"/>
  <c r="D727" i="3"/>
  <c r="I727" i="3" s="1"/>
  <c r="C727" i="3"/>
  <c r="B727" i="3"/>
  <c r="A727" i="3"/>
  <c r="H726" i="3"/>
  <c r="F726" i="3"/>
  <c r="E726" i="3"/>
  <c r="G726" i="3" s="1"/>
  <c r="D726" i="3"/>
  <c r="I726" i="3" s="1"/>
  <c r="C726" i="3"/>
  <c r="B726" i="3"/>
  <c r="A726" i="3"/>
  <c r="I725" i="3"/>
  <c r="H725" i="3"/>
  <c r="F725" i="3"/>
  <c r="E725" i="3"/>
  <c r="G725" i="3" s="1"/>
  <c r="D725" i="3"/>
  <c r="C725" i="3"/>
  <c r="B725" i="3"/>
  <c r="A725" i="3"/>
  <c r="H724" i="3"/>
  <c r="G724" i="3"/>
  <c r="F724" i="3"/>
  <c r="E724" i="3"/>
  <c r="D724" i="3"/>
  <c r="C724" i="3"/>
  <c r="I724" i="3" s="1"/>
  <c r="B724" i="3"/>
  <c r="A724" i="3"/>
  <c r="H723" i="3"/>
  <c r="G723" i="3"/>
  <c r="F723" i="3"/>
  <c r="E723" i="3"/>
  <c r="D723" i="3"/>
  <c r="C723" i="3"/>
  <c r="B723" i="3"/>
  <c r="A723" i="3"/>
  <c r="H722" i="3"/>
  <c r="F722" i="3"/>
  <c r="E722" i="3"/>
  <c r="G722" i="3" s="1"/>
  <c r="D722" i="3"/>
  <c r="I722" i="3" s="1"/>
  <c r="C722" i="3"/>
  <c r="B722" i="3"/>
  <c r="A722" i="3"/>
  <c r="I721" i="3"/>
  <c r="H721" i="3"/>
  <c r="F721" i="3"/>
  <c r="E721" i="3"/>
  <c r="G721" i="3" s="1"/>
  <c r="D721" i="3"/>
  <c r="C721" i="3"/>
  <c r="B721" i="3"/>
  <c r="A721" i="3"/>
  <c r="H720" i="3"/>
  <c r="G720" i="3"/>
  <c r="F720" i="3"/>
  <c r="E720" i="3"/>
  <c r="D720" i="3"/>
  <c r="C720" i="3"/>
  <c r="I720" i="3" s="1"/>
  <c r="B720" i="3"/>
  <c r="A720" i="3"/>
  <c r="H719" i="3"/>
  <c r="G719" i="3"/>
  <c r="F719" i="3"/>
  <c r="E719" i="3"/>
  <c r="D719" i="3"/>
  <c r="I719" i="3" s="1"/>
  <c r="C719" i="3"/>
  <c r="B719" i="3"/>
  <c r="A719" i="3"/>
  <c r="H718" i="3"/>
  <c r="F718" i="3"/>
  <c r="E718" i="3"/>
  <c r="G718" i="3" s="1"/>
  <c r="D718" i="3"/>
  <c r="I718" i="3" s="1"/>
  <c r="C718" i="3"/>
  <c r="B718" i="3"/>
  <c r="A718" i="3"/>
  <c r="I717" i="3"/>
  <c r="H717" i="3"/>
  <c r="F717" i="3"/>
  <c r="E717" i="3"/>
  <c r="G717" i="3" s="1"/>
  <c r="D717" i="3"/>
  <c r="C717" i="3"/>
  <c r="B717" i="3"/>
  <c r="A717" i="3"/>
  <c r="H716" i="3"/>
  <c r="G716" i="3"/>
  <c r="F716" i="3"/>
  <c r="E716" i="3"/>
  <c r="D716" i="3"/>
  <c r="C716" i="3"/>
  <c r="I716" i="3" s="1"/>
  <c r="B716" i="3"/>
  <c r="A716" i="3"/>
  <c r="H715" i="3"/>
  <c r="G715" i="3"/>
  <c r="F715" i="3"/>
  <c r="E715" i="3"/>
  <c r="D715" i="3"/>
  <c r="C715" i="3"/>
  <c r="B715" i="3"/>
  <c r="A715" i="3"/>
  <c r="H714" i="3"/>
  <c r="F714" i="3"/>
  <c r="E714" i="3"/>
  <c r="G714" i="3" s="1"/>
  <c r="D714" i="3"/>
  <c r="I714" i="3" s="1"/>
  <c r="C714" i="3"/>
  <c r="B714" i="3"/>
  <c r="A714" i="3"/>
  <c r="I713" i="3"/>
  <c r="H713" i="3"/>
  <c r="F713" i="3"/>
  <c r="E713" i="3"/>
  <c r="G713" i="3" s="1"/>
  <c r="D713" i="3"/>
  <c r="C713" i="3"/>
  <c r="B713" i="3"/>
  <c r="A713" i="3"/>
  <c r="H712" i="3"/>
  <c r="G712" i="3"/>
  <c r="F712" i="3"/>
  <c r="E712" i="3"/>
  <c r="D712" i="3"/>
  <c r="C712" i="3"/>
  <c r="I712" i="3" s="1"/>
  <c r="B712" i="3"/>
  <c r="A712" i="3"/>
  <c r="H711" i="3"/>
  <c r="G711" i="3"/>
  <c r="F711" i="3"/>
  <c r="E711" i="3"/>
  <c r="D711" i="3"/>
  <c r="I711" i="3" s="1"/>
  <c r="C711" i="3"/>
  <c r="B711" i="3"/>
  <c r="A711" i="3"/>
  <c r="H710" i="3"/>
  <c r="F710" i="3"/>
  <c r="E710" i="3"/>
  <c r="G710" i="3" s="1"/>
  <c r="D710" i="3"/>
  <c r="I710" i="3" s="1"/>
  <c r="C710" i="3"/>
  <c r="B710" i="3"/>
  <c r="A710" i="3"/>
  <c r="I709" i="3"/>
  <c r="H709" i="3"/>
  <c r="F709" i="3"/>
  <c r="E709" i="3"/>
  <c r="G709" i="3" s="1"/>
  <c r="D709" i="3"/>
  <c r="C709" i="3"/>
  <c r="B709" i="3"/>
  <c r="A709" i="3"/>
  <c r="H708" i="3"/>
  <c r="G708" i="3"/>
  <c r="F708" i="3"/>
  <c r="E708" i="3"/>
  <c r="D708" i="3"/>
  <c r="C708" i="3"/>
  <c r="I708" i="3" s="1"/>
  <c r="B708" i="3"/>
  <c r="A708" i="3"/>
  <c r="H707" i="3"/>
  <c r="G707" i="3"/>
  <c r="F707" i="3"/>
  <c r="E707" i="3"/>
  <c r="D707" i="3"/>
  <c r="C707" i="3"/>
  <c r="B707" i="3"/>
  <c r="A707" i="3"/>
  <c r="H706" i="3"/>
  <c r="F706" i="3"/>
  <c r="E706" i="3"/>
  <c r="G706" i="3" s="1"/>
  <c r="D706" i="3"/>
  <c r="I706" i="3" s="1"/>
  <c r="C706" i="3"/>
  <c r="B706" i="3"/>
  <c r="A706" i="3"/>
  <c r="I705" i="3"/>
  <c r="H705" i="3"/>
  <c r="F705" i="3"/>
  <c r="E705" i="3"/>
  <c r="G705" i="3" s="1"/>
  <c r="D705" i="3"/>
  <c r="C705" i="3"/>
  <c r="B705" i="3"/>
  <c r="A705" i="3"/>
  <c r="H704" i="3"/>
  <c r="G704" i="3"/>
  <c r="F704" i="3"/>
  <c r="E704" i="3"/>
  <c r="D704" i="3"/>
  <c r="C704" i="3"/>
  <c r="I704" i="3" s="1"/>
  <c r="B704" i="3"/>
  <c r="A704" i="3"/>
  <c r="H703" i="3"/>
  <c r="G703" i="3"/>
  <c r="F703" i="3"/>
  <c r="E703" i="3"/>
  <c r="D703" i="3"/>
  <c r="I703" i="3" s="1"/>
  <c r="C703" i="3"/>
  <c r="B703" i="3"/>
  <c r="A703" i="3"/>
  <c r="H702" i="3"/>
  <c r="F702" i="3"/>
  <c r="E702" i="3"/>
  <c r="G702" i="3" s="1"/>
  <c r="D702" i="3"/>
  <c r="I702" i="3" s="1"/>
  <c r="C702" i="3"/>
  <c r="B702" i="3"/>
  <c r="A702" i="3"/>
  <c r="I701" i="3"/>
  <c r="H701" i="3"/>
  <c r="F701" i="3"/>
  <c r="E701" i="3"/>
  <c r="G701" i="3" s="1"/>
  <c r="D701" i="3"/>
  <c r="C701" i="3"/>
  <c r="B701" i="3"/>
  <c r="A701" i="3"/>
  <c r="H700" i="3"/>
  <c r="G700" i="3"/>
  <c r="F700" i="3"/>
  <c r="E700" i="3"/>
  <c r="D700" i="3"/>
  <c r="C700" i="3"/>
  <c r="I700" i="3" s="1"/>
  <c r="B700" i="3"/>
  <c r="A700" i="3"/>
  <c r="H699" i="3"/>
  <c r="G699" i="3"/>
  <c r="F699" i="3"/>
  <c r="E699" i="3"/>
  <c r="D699" i="3"/>
  <c r="C699" i="3"/>
  <c r="B699" i="3"/>
  <c r="A699" i="3"/>
  <c r="H698" i="3"/>
  <c r="F698" i="3"/>
  <c r="E698" i="3"/>
  <c r="G698" i="3" s="1"/>
  <c r="D698" i="3"/>
  <c r="I698" i="3" s="1"/>
  <c r="C698" i="3"/>
  <c r="B698" i="3"/>
  <c r="A698" i="3"/>
  <c r="I697" i="3"/>
  <c r="H697" i="3"/>
  <c r="F697" i="3"/>
  <c r="E697" i="3"/>
  <c r="G697" i="3" s="1"/>
  <c r="D697" i="3"/>
  <c r="C697" i="3"/>
  <c r="B697" i="3"/>
  <c r="A697" i="3"/>
  <c r="H696" i="3"/>
  <c r="G696" i="3"/>
  <c r="F696" i="3"/>
  <c r="E696" i="3"/>
  <c r="D696" i="3"/>
  <c r="C696" i="3"/>
  <c r="I696" i="3" s="1"/>
  <c r="B696" i="3"/>
  <c r="A696" i="3"/>
  <c r="H695" i="3"/>
  <c r="G695" i="3"/>
  <c r="F695" i="3"/>
  <c r="E695" i="3"/>
  <c r="D695" i="3"/>
  <c r="I695" i="3" s="1"/>
  <c r="C695" i="3"/>
  <c r="B695" i="3"/>
  <c r="A695" i="3"/>
  <c r="H694" i="3"/>
  <c r="F694" i="3"/>
  <c r="E694" i="3"/>
  <c r="G694" i="3" s="1"/>
  <c r="D694" i="3"/>
  <c r="I694" i="3" s="1"/>
  <c r="C694" i="3"/>
  <c r="B694" i="3"/>
  <c r="A694" i="3"/>
  <c r="I693" i="3"/>
  <c r="H693" i="3"/>
  <c r="F693" i="3"/>
  <c r="E693" i="3"/>
  <c r="G693" i="3" s="1"/>
  <c r="D693" i="3"/>
  <c r="C693" i="3"/>
  <c r="B693" i="3"/>
  <c r="A693" i="3"/>
  <c r="H692" i="3"/>
  <c r="G692" i="3"/>
  <c r="F692" i="3"/>
  <c r="E692" i="3"/>
  <c r="D692" i="3"/>
  <c r="C692" i="3"/>
  <c r="I692" i="3" s="1"/>
  <c r="B692" i="3"/>
  <c r="A692" i="3"/>
  <c r="H691" i="3"/>
  <c r="G691" i="3"/>
  <c r="F691" i="3"/>
  <c r="E691" i="3"/>
  <c r="D691" i="3"/>
  <c r="C691" i="3"/>
  <c r="B691" i="3"/>
  <c r="A691" i="3"/>
  <c r="H690" i="3"/>
  <c r="F690" i="3"/>
  <c r="E690" i="3"/>
  <c r="G690" i="3" s="1"/>
  <c r="D690" i="3"/>
  <c r="I690" i="3" s="1"/>
  <c r="C690" i="3"/>
  <c r="B690" i="3"/>
  <c r="A690" i="3"/>
  <c r="I689" i="3"/>
  <c r="H689" i="3"/>
  <c r="F689" i="3"/>
  <c r="E689" i="3"/>
  <c r="G689" i="3" s="1"/>
  <c r="D689" i="3"/>
  <c r="C689" i="3"/>
  <c r="B689" i="3"/>
  <c r="A689" i="3"/>
  <c r="H688" i="3"/>
  <c r="G688" i="3"/>
  <c r="F688" i="3"/>
  <c r="E688" i="3"/>
  <c r="D688" i="3"/>
  <c r="C688" i="3"/>
  <c r="I688" i="3" s="1"/>
  <c r="B688" i="3"/>
  <c r="A688" i="3"/>
  <c r="H687" i="3"/>
  <c r="G687" i="3"/>
  <c r="F687" i="3"/>
  <c r="E687" i="3"/>
  <c r="D687" i="3"/>
  <c r="I687" i="3" s="1"/>
  <c r="C687" i="3"/>
  <c r="B687" i="3"/>
  <c r="A687" i="3"/>
  <c r="H686" i="3"/>
  <c r="F686" i="3"/>
  <c r="E686" i="3"/>
  <c r="G686" i="3" s="1"/>
  <c r="D686" i="3"/>
  <c r="I686" i="3" s="1"/>
  <c r="C686" i="3"/>
  <c r="B686" i="3"/>
  <c r="A686" i="3"/>
  <c r="I685" i="3"/>
  <c r="H685" i="3"/>
  <c r="F685" i="3"/>
  <c r="E685" i="3"/>
  <c r="G685" i="3" s="1"/>
  <c r="D685" i="3"/>
  <c r="C685" i="3"/>
  <c r="B685" i="3"/>
  <c r="A685" i="3"/>
  <c r="H684" i="3"/>
  <c r="G684" i="3"/>
  <c r="F684" i="3"/>
  <c r="E684" i="3"/>
  <c r="D684" i="3"/>
  <c r="C684" i="3"/>
  <c r="I684" i="3" s="1"/>
  <c r="B684" i="3"/>
  <c r="A684" i="3"/>
  <c r="H683" i="3"/>
  <c r="G683" i="3"/>
  <c r="F683" i="3"/>
  <c r="E683" i="3"/>
  <c r="D683" i="3"/>
  <c r="C683" i="3"/>
  <c r="B683" i="3"/>
  <c r="A683" i="3"/>
  <c r="H682" i="3"/>
  <c r="F682" i="3"/>
  <c r="E682" i="3"/>
  <c r="G682" i="3" s="1"/>
  <c r="D682" i="3"/>
  <c r="I682" i="3" s="1"/>
  <c r="C682" i="3"/>
  <c r="B682" i="3"/>
  <c r="A682" i="3"/>
  <c r="I681" i="3"/>
  <c r="H681" i="3"/>
  <c r="F681" i="3"/>
  <c r="E681" i="3"/>
  <c r="G681" i="3" s="1"/>
  <c r="D681" i="3"/>
  <c r="C681" i="3"/>
  <c r="B681" i="3"/>
  <c r="A681" i="3"/>
  <c r="H680" i="3"/>
  <c r="G680" i="3"/>
  <c r="F680" i="3"/>
  <c r="E680" i="3"/>
  <c r="D680" i="3"/>
  <c r="C680" i="3"/>
  <c r="I680" i="3" s="1"/>
  <c r="B680" i="3"/>
  <c r="A680" i="3"/>
  <c r="H679" i="3"/>
  <c r="G679" i="3"/>
  <c r="F679" i="3"/>
  <c r="E679" i="3"/>
  <c r="D679" i="3"/>
  <c r="I679" i="3" s="1"/>
  <c r="C679" i="3"/>
  <c r="B679" i="3"/>
  <c r="A679" i="3"/>
  <c r="H678" i="3"/>
  <c r="F678" i="3"/>
  <c r="E678" i="3"/>
  <c r="G678" i="3" s="1"/>
  <c r="D678" i="3"/>
  <c r="I678" i="3" s="1"/>
  <c r="C678" i="3"/>
  <c r="B678" i="3"/>
  <c r="A678" i="3"/>
  <c r="I677" i="3"/>
  <c r="H677" i="3"/>
  <c r="F677" i="3"/>
  <c r="E677" i="3"/>
  <c r="G677" i="3" s="1"/>
  <c r="D677" i="3"/>
  <c r="C677" i="3"/>
  <c r="B677" i="3"/>
  <c r="A677" i="3"/>
  <c r="H676" i="3"/>
  <c r="G676" i="3"/>
  <c r="F676" i="3"/>
  <c r="E676" i="3"/>
  <c r="D676" i="3"/>
  <c r="C676" i="3"/>
  <c r="I676" i="3" s="1"/>
  <c r="B676" i="3"/>
  <c r="A676" i="3"/>
  <c r="H675" i="3"/>
  <c r="G675" i="3"/>
  <c r="F675" i="3"/>
  <c r="E675" i="3"/>
  <c r="D675" i="3"/>
  <c r="C675" i="3"/>
  <c r="B675" i="3"/>
  <c r="A675" i="3"/>
  <c r="H674" i="3"/>
  <c r="F674" i="3"/>
  <c r="E674" i="3"/>
  <c r="G674" i="3" s="1"/>
  <c r="D674" i="3"/>
  <c r="I674" i="3" s="1"/>
  <c r="C674" i="3"/>
  <c r="B674" i="3"/>
  <c r="A674" i="3"/>
  <c r="I673" i="3"/>
  <c r="H673" i="3"/>
  <c r="F673" i="3"/>
  <c r="E673" i="3"/>
  <c r="G673" i="3" s="1"/>
  <c r="D673" i="3"/>
  <c r="C673" i="3"/>
  <c r="B673" i="3"/>
  <c r="A673" i="3"/>
  <c r="H672" i="3"/>
  <c r="G672" i="3"/>
  <c r="F672" i="3"/>
  <c r="E672" i="3"/>
  <c r="D672" i="3"/>
  <c r="C672" i="3"/>
  <c r="I672" i="3" s="1"/>
  <c r="B672" i="3"/>
  <c r="A672" i="3"/>
  <c r="H671" i="3"/>
  <c r="G671" i="3"/>
  <c r="F671" i="3"/>
  <c r="E671" i="3"/>
  <c r="D671" i="3"/>
  <c r="I671" i="3" s="1"/>
  <c r="C671" i="3"/>
  <c r="B671" i="3"/>
  <c r="A671" i="3"/>
  <c r="H670" i="3"/>
  <c r="F670" i="3"/>
  <c r="E670" i="3"/>
  <c r="G670" i="3" s="1"/>
  <c r="D670" i="3"/>
  <c r="I670" i="3" s="1"/>
  <c r="C670" i="3"/>
  <c r="B670" i="3"/>
  <c r="A670" i="3"/>
  <c r="I669" i="3"/>
  <c r="H669" i="3"/>
  <c r="F669" i="3"/>
  <c r="E669" i="3"/>
  <c r="G669" i="3" s="1"/>
  <c r="D669" i="3"/>
  <c r="C669" i="3"/>
  <c r="B669" i="3"/>
  <c r="A669" i="3"/>
  <c r="H668" i="3"/>
  <c r="G668" i="3"/>
  <c r="F668" i="3"/>
  <c r="E668" i="3"/>
  <c r="D668" i="3"/>
  <c r="C668" i="3"/>
  <c r="I668" i="3" s="1"/>
  <c r="B668" i="3"/>
  <c r="A668" i="3"/>
  <c r="H667" i="3"/>
  <c r="G667" i="3"/>
  <c r="F667" i="3"/>
  <c r="E667" i="3"/>
  <c r="D667" i="3"/>
  <c r="C667" i="3"/>
  <c r="B667" i="3"/>
  <c r="A667" i="3"/>
  <c r="H666" i="3"/>
  <c r="F666" i="3"/>
  <c r="E666" i="3"/>
  <c r="G666" i="3" s="1"/>
  <c r="D666" i="3"/>
  <c r="I666" i="3" s="1"/>
  <c r="C666" i="3"/>
  <c r="B666" i="3"/>
  <c r="A666" i="3"/>
  <c r="I665" i="3"/>
  <c r="H665" i="3"/>
  <c r="F665" i="3"/>
  <c r="E665" i="3"/>
  <c r="G665" i="3" s="1"/>
  <c r="D665" i="3"/>
  <c r="C665" i="3"/>
  <c r="B665" i="3"/>
  <c r="A665" i="3"/>
  <c r="H664" i="3"/>
  <c r="G664" i="3"/>
  <c r="F664" i="3"/>
  <c r="E664" i="3"/>
  <c r="D664" i="3"/>
  <c r="C664" i="3"/>
  <c r="I664" i="3" s="1"/>
  <c r="B664" i="3"/>
  <c r="A664" i="3"/>
  <c r="H663" i="3"/>
  <c r="G663" i="3"/>
  <c r="F663" i="3"/>
  <c r="E663" i="3"/>
  <c r="D663" i="3"/>
  <c r="I663" i="3" s="1"/>
  <c r="C663" i="3"/>
  <c r="B663" i="3"/>
  <c r="A663" i="3"/>
  <c r="H662" i="3"/>
  <c r="F662" i="3"/>
  <c r="E662" i="3"/>
  <c r="G662" i="3" s="1"/>
  <c r="D662" i="3"/>
  <c r="I662" i="3" s="1"/>
  <c r="C662" i="3"/>
  <c r="B662" i="3"/>
  <c r="A662" i="3"/>
  <c r="I661" i="3"/>
  <c r="H661" i="3"/>
  <c r="F661" i="3"/>
  <c r="E661" i="3"/>
  <c r="G661" i="3" s="1"/>
  <c r="D661" i="3"/>
  <c r="C661" i="3"/>
  <c r="B661" i="3"/>
  <c r="A661" i="3"/>
  <c r="H660" i="3"/>
  <c r="G660" i="3"/>
  <c r="F660" i="3"/>
  <c r="E660" i="3"/>
  <c r="D660" i="3"/>
  <c r="C660" i="3"/>
  <c r="I660" i="3" s="1"/>
  <c r="B660" i="3"/>
  <c r="A660" i="3"/>
  <c r="H659" i="3"/>
  <c r="G659" i="3"/>
  <c r="F659" i="3"/>
  <c r="E659" i="3"/>
  <c r="D659" i="3"/>
  <c r="C659" i="3"/>
  <c r="B659" i="3"/>
  <c r="A659" i="3"/>
  <c r="H658" i="3"/>
  <c r="F658" i="3"/>
  <c r="E658" i="3"/>
  <c r="G658" i="3" s="1"/>
  <c r="D658" i="3"/>
  <c r="I658" i="3" s="1"/>
  <c r="C658" i="3"/>
  <c r="B658" i="3"/>
  <c r="A658" i="3"/>
  <c r="I657" i="3"/>
  <c r="H657" i="3"/>
  <c r="F657" i="3"/>
  <c r="E657" i="3"/>
  <c r="G657" i="3" s="1"/>
  <c r="D657" i="3"/>
  <c r="C657" i="3"/>
  <c r="B657" i="3"/>
  <c r="A657" i="3"/>
  <c r="H656" i="3"/>
  <c r="G656" i="3"/>
  <c r="F656" i="3"/>
  <c r="E656" i="3"/>
  <c r="D656" i="3"/>
  <c r="C656" i="3"/>
  <c r="I656" i="3" s="1"/>
  <c r="B656" i="3"/>
  <c r="A656" i="3"/>
  <c r="H655" i="3"/>
  <c r="G655" i="3"/>
  <c r="F655" i="3"/>
  <c r="E655" i="3"/>
  <c r="D655" i="3"/>
  <c r="I655" i="3" s="1"/>
  <c r="C655" i="3"/>
  <c r="B655" i="3"/>
  <c r="A655" i="3"/>
  <c r="H654" i="3"/>
  <c r="F654" i="3"/>
  <c r="E654" i="3"/>
  <c r="G654" i="3" s="1"/>
  <c r="D654" i="3"/>
  <c r="I654" i="3" s="1"/>
  <c r="C654" i="3"/>
  <c r="B654" i="3"/>
  <c r="A654" i="3"/>
  <c r="I653" i="3"/>
  <c r="H653" i="3"/>
  <c r="F653" i="3"/>
  <c r="E653" i="3"/>
  <c r="G653" i="3" s="1"/>
  <c r="D653" i="3"/>
  <c r="C653" i="3"/>
  <c r="B653" i="3"/>
  <c r="A653" i="3"/>
  <c r="H652" i="3"/>
  <c r="G652" i="3"/>
  <c r="F652" i="3"/>
  <c r="E652" i="3"/>
  <c r="D652" i="3"/>
  <c r="C652" i="3"/>
  <c r="I652" i="3" s="1"/>
  <c r="B652" i="3"/>
  <c r="A652" i="3"/>
  <c r="H651" i="3"/>
  <c r="G651" i="3"/>
  <c r="F651" i="3"/>
  <c r="E651" i="3"/>
  <c r="D651" i="3"/>
  <c r="C651" i="3"/>
  <c r="B651" i="3"/>
  <c r="A651" i="3"/>
  <c r="H650" i="3"/>
  <c r="F650" i="3"/>
  <c r="E650" i="3"/>
  <c r="G650" i="3" s="1"/>
  <c r="D650" i="3"/>
  <c r="I650" i="3" s="1"/>
  <c r="C650" i="3"/>
  <c r="B650" i="3"/>
  <c r="A650" i="3"/>
  <c r="I649" i="3"/>
  <c r="H649" i="3"/>
  <c r="F649" i="3"/>
  <c r="E649" i="3"/>
  <c r="G649" i="3" s="1"/>
  <c r="D649" i="3"/>
  <c r="C649" i="3"/>
  <c r="B649" i="3"/>
  <c r="A649" i="3"/>
  <c r="H648" i="3"/>
  <c r="G648" i="3"/>
  <c r="F648" i="3"/>
  <c r="E648" i="3"/>
  <c r="D648" i="3"/>
  <c r="C648" i="3"/>
  <c r="I648" i="3" s="1"/>
  <c r="B648" i="3"/>
  <c r="A648" i="3"/>
  <c r="H647" i="3"/>
  <c r="G647" i="3"/>
  <c r="F647" i="3"/>
  <c r="E647" i="3"/>
  <c r="D647" i="3"/>
  <c r="I647" i="3" s="1"/>
  <c r="C647" i="3"/>
  <c r="B647" i="3"/>
  <c r="A647" i="3"/>
  <c r="H646" i="3"/>
  <c r="F646" i="3"/>
  <c r="E646" i="3"/>
  <c r="G646" i="3" s="1"/>
  <c r="D646" i="3"/>
  <c r="I646" i="3" s="1"/>
  <c r="C646" i="3"/>
  <c r="B646" i="3"/>
  <c r="A646" i="3"/>
  <c r="I645" i="3"/>
  <c r="H645" i="3"/>
  <c r="F645" i="3"/>
  <c r="E645" i="3"/>
  <c r="G645" i="3" s="1"/>
  <c r="D645" i="3"/>
  <c r="C645" i="3"/>
  <c r="B645" i="3"/>
  <c r="A645" i="3"/>
  <c r="H644" i="3"/>
  <c r="G644" i="3"/>
  <c r="F644" i="3"/>
  <c r="E644" i="3"/>
  <c r="D644" i="3"/>
  <c r="C644" i="3"/>
  <c r="I644" i="3" s="1"/>
  <c r="B644" i="3"/>
  <c r="A644" i="3"/>
  <c r="H643" i="3"/>
  <c r="G643" i="3"/>
  <c r="F643" i="3"/>
  <c r="E643" i="3"/>
  <c r="D643" i="3"/>
  <c r="C643" i="3"/>
  <c r="B643" i="3"/>
  <c r="A643" i="3"/>
  <c r="H642" i="3"/>
  <c r="F642" i="3"/>
  <c r="E642" i="3"/>
  <c r="G642" i="3" s="1"/>
  <c r="D642" i="3"/>
  <c r="I642" i="3" s="1"/>
  <c r="C642" i="3"/>
  <c r="B642" i="3"/>
  <c r="A642" i="3"/>
  <c r="I641" i="3"/>
  <c r="H641" i="3"/>
  <c r="F641" i="3"/>
  <c r="E641" i="3"/>
  <c r="G641" i="3" s="1"/>
  <c r="D641" i="3"/>
  <c r="C641" i="3"/>
  <c r="B641" i="3"/>
  <c r="A641" i="3"/>
  <c r="H640" i="3"/>
  <c r="G640" i="3"/>
  <c r="F640" i="3"/>
  <c r="E640" i="3"/>
  <c r="D640" i="3"/>
  <c r="C640" i="3"/>
  <c r="I640" i="3" s="1"/>
  <c r="B640" i="3"/>
  <c r="A640" i="3"/>
  <c r="H639" i="3"/>
  <c r="G639" i="3"/>
  <c r="F639" i="3"/>
  <c r="E639" i="3"/>
  <c r="D639" i="3"/>
  <c r="I639" i="3" s="1"/>
  <c r="C639" i="3"/>
  <c r="B639" i="3"/>
  <c r="A639" i="3"/>
  <c r="H638" i="3"/>
  <c r="F638" i="3"/>
  <c r="E638" i="3"/>
  <c r="G638" i="3" s="1"/>
  <c r="D638" i="3"/>
  <c r="I638" i="3" s="1"/>
  <c r="C638" i="3"/>
  <c r="B638" i="3"/>
  <c r="A638" i="3"/>
  <c r="I637" i="3"/>
  <c r="H637" i="3"/>
  <c r="F637" i="3"/>
  <c r="E637" i="3"/>
  <c r="G637" i="3" s="1"/>
  <c r="D637" i="3"/>
  <c r="C637" i="3"/>
  <c r="B637" i="3"/>
  <c r="A637" i="3"/>
  <c r="H636" i="3"/>
  <c r="G636" i="3"/>
  <c r="F636" i="3"/>
  <c r="E636" i="3"/>
  <c r="D636" i="3"/>
  <c r="C636" i="3"/>
  <c r="I636" i="3" s="1"/>
  <c r="B636" i="3"/>
  <c r="A636" i="3"/>
  <c r="H635" i="3"/>
  <c r="G635" i="3"/>
  <c r="F635" i="3"/>
  <c r="E635" i="3"/>
  <c r="D635" i="3"/>
  <c r="C635" i="3"/>
  <c r="B635" i="3"/>
  <c r="A635" i="3"/>
  <c r="H634" i="3"/>
  <c r="F634" i="3"/>
  <c r="E634" i="3"/>
  <c r="G634" i="3" s="1"/>
  <c r="D634" i="3"/>
  <c r="I634" i="3" s="1"/>
  <c r="C634" i="3"/>
  <c r="B634" i="3"/>
  <c r="A634" i="3"/>
  <c r="I633" i="3"/>
  <c r="H633" i="3"/>
  <c r="F633" i="3"/>
  <c r="E633" i="3"/>
  <c r="G633" i="3" s="1"/>
  <c r="D633" i="3"/>
  <c r="C633" i="3"/>
  <c r="B633" i="3"/>
  <c r="A633" i="3"/>
  <c r="H632" i="3"/>
  <c r="G632" i="3"/>
  <c r="F632" i="3"/>
  <c r="E632" i="3"/>
  <c r="D632" i="3"/>
  <c r="C632" i="3"/>
  <c r="I632" i="3" s="1"/>
  <c r="B632" i="3"/>
  <c r="A632" i="3"/>
  <c r="H631" i="3"/>
  <c r="G631" i="3"/>
  <c r="F631" i="3"/>
  <c r="E631" i="3"/>
  <c r="D631" i="3"/>
  <c r="I631" i="3" s="1"/>
  <c r="C631" i="3"/>
  <c r="B631" i="3"/>
  <c r="A631" i="3"/>
  <c r="H630" i="3"/>
  <c r="F630" i="3"/>
  <c r="E630" i="3"/>
  <c r="G630" i="3" s="1"/>
  <c r="D630" i="3"/>
  <c r="I630" i="3" s="1"/>
  <c r="C630" i="3"/>
  <c r="B630" i="3"/>
  <c r="A630" i="3"/>
  <c r="I629" i="3"/>
  <c r="H629" i="3"/>
  <c r="F629" i="3"/>
  <c r="E629" i="3"/>
  <c r="G629" i="3" s="1"/>
  <c r="D629" i="3"/>
  <c r="C629" i="3"/>
  <c r="B629" i="3"/>
  <c r="A629" i="3"/>
  <c r="H628" i="3"/>
  <c r="G628" i="3"/>
  <c r="F628" i="3"/>
  <c r="E628" i="3"/>
  <c r="D628" i="3"/>
  <c r="C628" i="3"/>
  <c r="I628" i="3" s="1"/>
  <c r="B628" i="3"/>
  <c r="A628" i="3"/>
  <c r="H627" i="3"/>
  <c r="G627" i="3"/>
  <c r="F627" i="3"/>
  <c r="E627" i="3"/>
  <c r="D627" i="3"/>
  <c r="C627" i="3"/>
  <c r="B627" i="3"/>
  <c r="A627" i="3"/>
  <c r="H626" i="3"/>
  <c r="F626" i="3"/>
  <c r="E626" i="3"/>
  <c r="G626" i="3" s="1"/>
  <c r="D626" i="3"/>
  <c r="I626" i="3" s="1"/>
  <c r="C626" i="3"/>
  <c r="B626" i="3"/>
  <c r="A626" i="3"/>
  <c r="I625" i="3"/>
  <c r="H625" i="3"/>
  <c r="F625" i="3"/>
  <c r="E625" i="3"/>
  <c r="G625" i="3" s="1"/>
  <c r="D625" i="3"/>
  <c r="C625" i="3"/>
  <c r="B625" i="3"/>
  <c r="A625" i="3"/>
  <c r="H624" i="3"/>
  <c r="G624" i="3"/>
  <c r="F624" i="3"/>
  <c r="E624" i="3"/>
  <c r="D624" i="3"/>
  <c r="C624" i="3"/>
  <c r="I624" i="3" s="1"/>
  <c r="B624" i="3"/>
  <c r="A624" i="3"/>
  <c r="H623" i="3"/>
  <c r="G623" i="3"/>
  <c r="F623" i="3"/>
  <c r="E623" i="3"/>
  <c r="D623" i="3"/>
  <c r="I623" i="3" s="1"/>
  <c r="C623" i="3"/>
  <c r="B623" i="3"/>
  <c r="A623" i="3"/>
  <c r="H622" i="3"/>
  <c r="F622" i="3"/>
  <c r="E622" i="3"/>
  <c r="G622" i="3" s="1"/>
  <c r="D622" i="3"/>
  <c r="I622" i="3" s="1"/>
  <c r="C622" i="3"/>
  <c r="B622" i="3"/>
  <c r="A622" i="3"/>
  <c r="I621" i="3"/>
  <c r="H621" i="3"/>
  <c r="F621" i="3"/>
  <c r="E621" i="3"/>
  <c r="G621" i="3" s="1"/>
  <c r="D621" i="3"/>
  <c r="C621" i="3"/>
  <c r="B621" i="3"/>
  <c r="A621" i="3"/>
  <c r="H620" i="3"/>
  <c r="G620" i="3"/>
  <c r="F620" i="3"/>
  <c r="E620" i="3"/>
  <c r="D620" i="3"/>
  <c r="C620" i="3"/>
  <c r="I620" i="3" s="1"/>
  <c r="B620" i="3"/>
  <c r="A620" i="3"/>
  <c r="H619" i="3"/>
  <c r="G619" i="3"/>
  <c r="F619" i="3"/>
  <c r="E619" i="3"/>
  <c r="D619" i="3"/>
  <c r="C619" i="3"/>
  <c r="B619" i="3"/>
  <c r="A619" i="3"/>
  <c r="H618" i="3"/>
  <c r="F618" i="3"/>
  <c r="E618" i="3"/>
  <c r="G618" i="3" s="1"/>
  <c r="D618" i="3"/>
  <c r="I618" i="3" s="1"/>
  <c r="C618" i="3"/>
  <c r="B618" i="3"/>
  <c r="A618" i="3"/>
  <c r="I617" i="3"/>
  <c r="H617" i="3"/>
  <c r="F617" i="3"/>
  <c r="E617" i="3"/>
  <c r="G617" i="3" s="1"/>
  <c r="D617" i="3"/>
  <c r="C617" i="3"/>
  <c r="B617" i="3"/>
  <c r="A617" i="3"/>
  <c r="H616" i="3"/>
  <c r="G616" i="3"/>
  <c r="F616" i="3"/>
  <c r="E616" i="3"/>
  <c r="D616" i="3"/>
  <c r="C616" i="3"/>
  <c r="I616" i="3" s="1"/>
  <c r="B616" i="3"/>
  <c r="A616" i="3"/>
  <c r="H615" i="3"/>
  <c r="G615" i="3"/>
  <c r="F615" i="3"/>
  <c r="E615" i="3"/>
  <c r="D615" i="3"/>
  <c r="I615" i="3" s="1"/>
  <c r="C615" i="3"/>
  <c r="B615" i="3"/>
  <c r="A615" i="3"/>
  <c r="H614" i="3"/>
  <c r="F614" i="3"/>
  <c r="E614" i="3"/>
  <c r="G614" i="3" s="1"/>
  <c r="D614" i="3"/>
  <c r="I614" i="3" s="1"/>
  <c r="C614" i="3"/>
  <c r="B614" i="3"/>
  <c r="A614" i="3"/>
  <c r="I613" i="3"/>
  <c r="H613" i="3"/>
  <c r="F613" i="3"/>
  <c r="E613" i="3"/>
  <c r="G613" i="3" s="1"/>
  <c r="D613" i="3"/>
  <c r="C613" i="3"/>
  <c r="B613" i="3"/>
  <c r="A613" i="3"/>
  <c r="H612" i="3"/>
  <c r="G612" i="3"/>
  <c r="F612" i="3"/>
  <c r="E612" i="3"/>
  <c r="D612" i="3"/>
  <c r="C612" i="3"/>
  <c r="I612" i="3" s="1"/>
  <c r="B612" i="3"/>
  <c r="A612" i="3"/>
  <c r="H611" i="3"/>
  <c r="G611" i="3"/>
  <c r="F611" i="3"/>
  <c r="E611" i="3"/>
  <c r="D611" i="3"/>
  <c r="C611" i="3"/>
  <c r="B611" i="3"/>
  <c r="A611" i="3"/>
  <c r="H610" i="3"/>
  <c r="F610" i="3"/>
  <c r="E610" i="3"/>
  <c r="G610" i="3" s="1"/>
  <c r="D610" i="3"/>
  <c r="I610" i="3" s="1"/>
  <c r="C610" i="3"/>
  <c r="B610" i="3"/>
  <c r="A610" i="3"/>
  <c r="I609" i="3"/>
  <c r="H609" i="3"/>
  <c r="F609" i="3"/>
  <c r="E609" i="3"/>
  <c r="G609" i="3" s="1"/>
  <c r="D609" i="3"/>
  <c r="C609" i="3"/>
  <c r="B609" i="3"/>
  <c r="A609" i="3"/>
  <c r="H608" i="3"/>
  <c r="G608" i="3"/>
  <c r="F608" i="3"/>
  <c r="E608" i="3"/>
  <c r="D608" i="3"/>
  <c r="C608" i="3"/>
  <c r="I608" i="3" s="1"/>
  <c r="C168" i="2" s="1"/>
  <c r="B608" i="3"/>
  <c r="A608" i="3"/>
  <c r="H607" i="3"/>
  <c r="G607" i="3"/>
  <c r="F607" i="3"/>
  <c r="E607" i="3"/>
  <c r="D607" i="3"/>
  <c r="I607" i="3" s="1"/>
  <c r="C607" i="3"/>
  <c r="B607" i="3"/>
  <c r="A607" i="3"/>
  <c r="H606" i="3"/>
  <c r="F606" i="3"/>
  <c r="E606" i="3"/>
  <c r="G606" i="3" s="1"/>
  <c r="D606" i="3"/>
  <c r="I606" i="3" s="1"/>
  <c r="C606" i="3"/>
  <c r="B606" i="3"/>
  <c r="A606" i="3"/>
  <c r="I605" i="3"/>
  <c r="H605" i="3"/>
  <c r="F605" i="3"/>
  <c r="E605" i="3"/>
  <c r="G605" i="3" s="1"/>
  <c r="D605" i="3"/>
  <c r="C605" i="3"/>
  <c r="B605" i="3"/>
  <c r="A605" i="3"/>
  <c r="H604" i="3"/>
  <c r="G604" i="3"/>
  <c r="F604" i="3"/>
  <c r="E604" i="3"/>
  <c r="D604" i="3"/>
  <c r="C604" i="3"/>
  <c r="I604" i="3" s="1"/>
  <c r="B604" i="3"/>
  <c r="A604" i="3"/>
  <c r="H603" i="3"/>
  <c r="G603" i="3"/>
  <c r="F603" i="3"/>
  <c r="E603" i="3"/>
  <c r="D603" i="3"/>
  <c r="C603" i="3"/>
  <c r="B603" i="3"/>
  <c r="A603" i="3"/>
  <c r="H602" i="3"/>
  <c r="F602" i="3"/>
  <c r="E602" i="3"/>
  <c r="G602" i="3" s="1"/>
  <c r="D602" i="3"/>
  <c r="I602" i="3" s="1"/>
  <c r="C602" i="3"/>
  <c r="B602" i="3"/>
  <c r="A602" i="3"/>
  <c r="I601" i="3"/>
  <c r="H601" i="3"/>
  <c r="F601" i="3"/>
  <c r="E601" i="3"/>
  <c r="G601" i="3" s="1"/>
  <c r="D601" i="3"/>
  <c r="C601" i="3"/>
  <c r="B601" i="3"/>
  <c r="A601" i="3"/>
  <c r="H600" i="3"/>
  <c r="G600" i="3"/>
  <c r="F600" i="3"/>
  <c r="E600" i="3"/>
  <c r="D600" i="3"/>
  <c r="C600" i="3"/>
  <c r="I600" i="3" s="1"/>
  <c r="B600" i="3"/>
  <c r="A600" i="3"/>
  <c r="H599" i="3"/>
  <c r="G599" i="3"/>
  <c r="F599" i="3"/>
  <c r="E599" i="3"/>
  <c r="D599" i="3"/>
  <c r="I599" i="3" s="1"/>
  <c r="C599" i="3"/>
  <c r="B599" i="3"/>
  <c r="A599" i="3"/>
  <c r="H598" i="3"/>
  <c r="F598" i="3"/>
  <c r="E598" i="3"/>
  <c r="G598" i="3" s="1"/>
  <c r="D598" i="3"/>
  <c r="I598" i="3" s="1"/>
  <c r="C598" i="3"/>
  <c r="B598" i="3"/>
  <c r="A598" i="3"/>
  <c r="I597" i="3"/>
  <c r="H597" i="3"/>
  <c r="F597" i="3"/>
  <c r="E597" i="3"/>
  <c r="G597" i="3" s="1"/>
  <c r="D597" i="3"/>
  <c r="C597" i="3"/>
  <c r="B597" i="3"/>
  <c r="A597" i="3"/>
  <c r="H596" i="3"/>
  <c r="G596" i="3"/>
  <c r="F596" i="3"/>
  <c r="E596" i="3"/>
  <c r="D596" i="3"/>
  <c r="C596" i="3"/>
  <c r="I596" i="3" s="1"/>
  <c r="B596" i="3"/>
  <c r="A596" i="3"/>
  <c r="H595" i="3"/>
  <c r="G595" i="3"/>
  <c r="F595" i="3"/>
  <c r="E595" i="3"/>
  <c r="D595" i="3"/>
  <c r="C595" i="3"/>
  <c r="B595" i="3"/>
  <c r="A595" i="3"/>
  <c r="H594" i="3"/>
  <c r="F594" i="3"/>
  <c r="E594" i="3"/>
  <c r="G594" i="3" s="1"/>
  <c r="D594" i="3"/>
  <c r="I594" i="3" s="1"/>
  <c r="C594" i="3"/>
  <c r="B594" i="3"/>
  <c r="A594" i="3"/>
  <c r="I593" i="3"/>
  <c r="H593" i="3"/>
  <c r="F593" i="3"/>
  <c r="E593" i="3"/>
  <c r="G593" i="3" s="1"/>
  <c r="D593" i="3"/>
  <c r="C593" i="3"/>
  <c r="B593" i="3"/>
  <c r="A593" i="3"/>
  <c r="H592" i="3"/>
  <c r="G592" i="3"/>
  <c r="F592" i="3"/>
  <c r="E592" i="3"/>
  <c r="D592" i="3"/>
  <c r="C592" i="3"/>
  <c r="I592" i="3" s="1"/>
  <c r="B592" i="3"/>
  <c r="A592" i="3"/>
  <c r="H591" i="3"/>
  <c r="G591" i="3"/>
  <c r="F591" i="3"/>
  <c r="E591" i="3"/>
  <c r="D591" i="3"/>
  <c r="I591" i="3" s="1"/>
  <c r="C591" i="3"/>
  <c r="B591" i="3"/>
  <c r="A591" i="3"/>
  <c r="H590" i="3"/>
  <c r="F590" i="3"/>
  <c r="E590" i="3"/>
  <c r="G590" i="3" s="1"/>
  <c r="D590" i="3"/>
  <c r="I590" i="3" s="1"/>
  <c r="C590" i="3"/>
  <c r="B590" i="3"/>
  <c r="A590" i="3"/>
  <c r="I589" i="3"/>
  <c r="H589" i="3"/>
  <c r="F589" i="3"/>
  <c r="E589" i="3"/>
  <c r="G589" i="3" s="1"/>
  <c r="D589" i="3"/>
  <c r="C589" i="3"/>
  <c r="B589" i="3"/>
  <c r="A589" i="3"/>
  <c r="H588" i="3"/>
  <c r="G588" i="3"/>
  <c r="F588" i="3"/>
  <c r="E588" i="3"/>
  <c r="D588" i="3"/>
  <c r="C588" i="3"/>
  <c r="I588" i="3" s="1"/>
  <c r="B588" i="3"/>
  <c r="A588" i="3"/>
  <c r="H587" i="3"/>
  <c r="G587" i="3"/>
  <c r="F587" i="3"/>
  <c r="E587" i="3"/>
  <c r="D587" i="3"/>
  <c r="C587" i="3"/>
  <c r="B587" i="3"/>
  <c r="A587" i="3"/>
  <c r="H586" i="3"/>
  <c r="F586" i="3"/>
  <c r="E586" i="3"/>
  <c r="G586" i="3" s="1"/>
  <c r="D586" i="3"/>
  <c r="I586" i="3" s="1"/>
  <c r="C586" i="3"/>
  <c r="B586" i="3"/>
  <c r="A586" i="3"/>
  <c r="I585" i="3"/>
  <c r="H585" i="3"/>
  <c r="F585" i="3"/>
  <c r="E585" i="3"/>
  <c r="G585" i="3" s="1"/>
  <c r="D585" i="3"/>
  <c r="C585" i="3"/>
  <c r="B585" i="3"/>
  <c r="A585" i="3"/>
  <c r="H584" i="3"/>
  <c r="G584" i="3"/>
  <c r="F584" i="3"/>
  <c r="E584" i="3"/>
  <c r="D584" i="3"/>
  <c r="C584" i="3"/>
  <c r="I584" i="3" s="1"/>
  <c r="B584" i="3"/>
  <c r="A584" i="3"/>
  <c r="H583" i="3"/>
  <c r="G583" i="3"/>
  <c r="F583" i="3"/>
  <c r="E583" i="3"/>
  <c r="D583" i="3"/>
  <c r="I583" i="3" s="1"/>
  <c r="C583" i="3"/>
  <c r="B583" i="3"/>
  <c r="A583" i="3"/>
  <c r="H582" i="3"/>
  <c r="F582" i="3"/>
  <c r="E582" i="3"/>
  <c r="G582" i="3" s="1"/>
  <c r="D582" i="3"/>
  <c r="I582" i="3" s="1"/>
  <c r="C582" i="3"/>
  <c r="B582" i="3"/>
  <c r="A582" i="3"/>
  <c r="I581" i="3"/>
  <c r="H581" i="3"/>
  <c r="F581" i="3"/>
  <c r="E581" i="3"/>
  <c r="G581" i="3" s="1"/>
  <c r="D581" i="3"/>
  <c r="C581" i="3"/>
  <c r="B581" i="3"/>
  <c r="A581" i="3"/>
  <c r="H580" i="3"/>
  <c r="G580" i="3"/>
  <c r="F580" i="3"/>
  <c r="E580" i="3"/>
  <c r="D580" i="3"/>
  <c r="C580" i="3"/>
  <c r="I580" i="3" s="1"/>
  <c r="B580" i="3"/>
  <c r="A580" i="3"/>
  <c r="H579" i="3"/>
  <c r="G579" i="3"/>
  <c r="F579" i="3"/>
  <c r="E579" i="3"/>
  <c r="D579" i="3"/>
  <c r="C579" i="3"/>
  <c r="B579" i="3"/>
  <c r="A579" i="3"/>
  <c r="H578" i="3"/>
  <c r="F578" i="3"/>
  <c r="E578" i="3"/>
  <c r="G578" i="3" s="1"/>
  <c r="D578" i="3"/>
  <c r="I578" i="3" s="1"/>
  <c r="C578" i="3"/>
  <c r="B578" i="3"/>
  <c r="A578" i="3"/>
  <c r="I577" i="3"/>
  <c r="H577" i="3"/>
  <c r="F577" i="3"/>
  <c r="E577" i="3"/>
  <c r="G577" i="3" s="1"/>
  <c r="D577" i="3"/>
  <c r="C577" i="3"/>
  <c r="B577" i="3"/>
  <c r="A577" i="3"/>
  <c r="H576" i="3"/>
  <c r="G576" i="3"/>
  <c r="F576" i="3"/>
  <c r="E576" i="3"/>
  <c r="D576" i="3"/>
  <c r="C576" i="3"/>
  <c r="I576" i="3" s="1"/>
  <c r="B576" i="3"/>
  <c r="A576" i="3"/>
  <c r="H575" i="3"/>
  <c r="G575" i="3"/>
  <c r="F575" i="3"/>
  <c r="E575" i="3"/>
  <c r="D575" i="3"/>
  <c r="I575" i="3" s="1"/>
  <c r="C575" i="3"/>
  <c r="B575" i="3"/>
  <c r="A575" i="3"/>
  <c r="H574" i="3"/>
  <c r="F574" i="3"/>
  <c r="E574" i="3"/>
  <c r="G574" i="3" s="1"/>
  <c r="D574" i="3"/>
  <c r="I574" i="3" s="1"/>
  <c r="C574" i="3"/>
  <c r="B574" i="3"/>
  <c r="A574" i="3"/>
  <c r="I573" i="3"/>
  <c r="H573" i="3"/>
  <c r="F573" i="3"/>
  <c r="E573" i="3"/>
  <c r="G573" i="3" s="1"/>
  <c r="D573" i="3"/>
  <c r="C573" i="3"/>
  <c r="B573" i="3"/>
  <c r="A573" i="3"/>
  <c r="H572" i="3"/>
  <c r="G572" i="3"/>
  <c r="F572" i="3"/>
  <c r="E572" i="3"/>
  <c r="D572" i="3"/>
  <c r="C572" i="3"/>
  <c r="I572" i="3" s="1"/>
  <c r="B572" i="3"/>
  <c r="A572" i="3"/>
  <c r="H571" i="3"/>
  <c r="G571" i="3"/>
  <c r="F571" i="3"/>
  <c r="E571" i="3"/>
  <c r="D571" i="3"/>
  <c r="I571" i="3" s="1"/>
  <c r="C571" i="3"/>
  <c r="B571" i="3"/>
  <c r="A571" i="3"/>
  <c r="H570" i="3"/>
  <c r="F570" i="3"/>
  <c r="E570" i="3"/>
  <c r="G570" i="3" s="1"/>
  <c r="D570" i="3"/>
  <c r="I570" i="3" s="1"/>
  <c r="C570" i="3"/>
  <c r="B570" i="3"/>
  <c r="A570" i="3"/>
  <c r="I569" i="3"/>
  <c r="H569" i="3"/>
  <c r="F569" i="3"/>
  <c r="E569" i="3"/>
  <c r="G569" i="3" s="1"/>
  <c r="D569" i="3"/>
  <c r="C569" i="3"/>
  <c r="B569" i="3"/>
  <c r="A569" i="3"/>
  <c r="H568" i="3"/>
  <c r="G568" i="3"/>
  <c r="F568" i="3"/>
  <c r="E568" i="3"/>
  <c r="D568" i="3"/>
  <c r="C568" i="3"/>
  <c r="I568" i="3" s="1"/>
  <c r="B568" i="3"/>
  <c r="A568" i="3"/>
  <c r="H567" i="3"/>
  <c r="G567" i="3"/>
  <c r="F567" i="3"/>
  <c r="E567" i="3"/>
  <c r="D567" i="3"/>
  <c r="I567" i="3" s="1"/>
  <c r="C567" i="3"/>
  <c r="B567" i="3"/>
  <c r="A567" i="3"/>
  <c r="H566" i="3"/>
  <c r="F566" i="3"/>
  <c r="E566" i="3"/>
  <c r="G566" i="3" s="1"/>
  <c r="D566" i="3"/>
  <c r="I566" i="3" s="1"/>
  <c r="C566" i="3"/>
  <c r="B566" i="3"/>
  <c r="A566" i="3"/>
  <c r="I565" i="3"/>
  <c r="H565" i="3"/>
  <c r="F565" i="3"/>
  <c r="E565" i="3"/>
  <c r="G565" i="3" s="1"/>
  <c r="D565" i="3"/>
  <c r="C565" i="3"/>
  <c r="B565" i="3"/>
  <c r="A565" i="3"/>
  <c r="H564" i="3"/>
  <c r="G564" i="3"/>
  <c r="F564" i="3"/>
  <c r="E564" i="3"/>
  <c r="D564" i="3"/>
  <c r="C564" i="3"/>
  <c r="I564" i="3" s="1"/>
  <c r="B564" i="3"/>
  <c r="A564" i="3"/>
  <c r="H563" i="3"/>
  <c r="G563" i="3"/>
  <c r="F563" i="3"/>
  <c r="E563" i="3"/>
  <c r="D563" i="3"/>
  <c r="I563" i="3" s="1"/>
  <c r="C563" i="3"/>
  <c r="B563" i="3"/>
  <c r="A563" i="3"/>
  <c r="H562" i="3"/>
  <c r="F562" i="3"/>
  <c r="E562" i="3"/>
  <c r="G562" i="3" s="1"/>
  <c r="D562" i="3"/>
  <c r="I562" i="3" s="1"/>
  <c r="C562" i="3"/>
  <c r="B562" i="3"/>
  <c r="A562" i="3"/>
  <c r="I561" i="3"/>
  <c r="H561" i="3"/>
  <c r="F561" i="3"/>
  <c r="E561" i="3"/>
  <c r="G561" i="3" s="1"/>
  <c r="D561" i="3"/>
  <c r="C561" i="3"/>
  <c r="B561" i="3"/>
  <c r="A561" i="3"/>
  <c r="H560" i="3"/>
  <c r="G560" i="3"/>
  <c r="F560" i="3"/>
  <c r="E560" i="3"/>
  <c r="D560" i="3"/>
  <c r="C560" i="3"/>
  <c r="I560" i="3" s="1"/>
  <c r="B560" i="3"/>
  <c r="A560" i="3"/>
  <c r="H559" i="3"/>
  <c r="G559" i="3"/>
  <c r="F559" i="3"/>
  <c r="E559" i="3"/>
  <c r="D559" i="3"/>
  <c r="I559" i="3" s="1"/>
  <c r="C559" i="3"/>
  <c r="B559" i="3"/>
  <c r="A559" i="3"/>
  <c r="H558" i="3"/>
  <c r="F558" i="3"/>
  <c r="E558" i="3"/>
  <c r="G558" i="3" s="1"/>
  <c r="D558" i="3"/>
  <c r="I558" i="3" s="1"/>
  <c r="C558" i="3"/>
  <c r="B558" i="3"/>
  <c r="A558" i="3"/>
  <c r="I557" i="3"/>
  <c r="H557" i="3"/>
  <c r="F557" i="3"/>
  <c r="E557" i="3"/>
  <c r="G557" i="3" s="1"/>
  <c r="D557" i="3"/>
  <c r="C557" i="3"/>
  <c r="B557" i="3"/>
  <c r="A557" i="3"/>
  <c r="H556" i="3"/>
  <c r="G556" i="3"/>
  <c r="F556" i="3"/>
  <c r="E556" i="3"/>
  <c r="D556" i="3"/>
  <c r="C556" i="3"/>
  <c r="I556" i="3" s="1"/>
  <c r="B556" i="3"/>
  <c r="A556" i="3"/>
  <c r="H555" i="3"/>
  <c r="G555" i="3"/>
  <c r="F555" i="3"/>
  <c r="E555" i="3"/>
  <c r="D555" i="3"/>
  <c r="I555" i="3" s="1"/>
  <c r="C555" i="3"/>
  <c r="B555" i="3"/>
  <c r="A555" i="3"/>
  <c r="H554" i="3"/>
  <c r="F554" i="3"/>
  <c r="E554" i="3"/>
  <c r="G554" i="3" s="1"/>
  <c r="D554" i="3"/>
  <c r="I554" i="3" s="1"/>
  <c r="C554" i="3"/>
  <c r="B554" i="3"/>
  <c r="A554" i="3"/>
  <c r="I553" i="3"/>
  <c r="H553" i="3"/>
  <c r="F553" i="3"/>
  <c r="E553" i="3"/>
  <c r="G553" i="3" s="1"/>
  <c r="D553" i="3"/>
  <c r="C553" i="3"/>
  <c r="B553" i="3"/>
  <c r="A553" i="3"/>
  <c r="H552" i="3"/>
  <c r="G552" i="3"/>
  <c r="F552" i="3"/>
  <c r="E552" i="3"/>
  <c r="D552" i="3"/>
  <c r="C552" i="3"/>
  <c r="I552" i="3" s="1"/>
  <c r="B552" i="3"/>
  <c r="A552" i="3"/>
  <c r="H551" i="3"/>
  <c r="G551" i="3"/>
  <c r="F551" i="3"/>
  <c r="E551" i="3"/>
  <c r="D551" i="3"/>
  <c r="I551" i="3" s="1"/>
  <c r="C551" i="3"/>
  <c r="B551" i="3"/>
  <c r="A551" i="3"/>
  <c r="H550" i="3"/>
  <c r="F550" i="3"/>
  <c r="E550" i="3"/>
  <c r="G550" i="3" s="1"/>
  <c r="D550" i="3"/>
  <c r="I550" i="3" s="1"/>
  <c r="C550" i="3"/>
  <c r="B550" i="3"/>
  <c r="A550" i="3"/>
  <c r="I549" i="3"/>
  <c r="H549" i="3"/>
  <c r="F549" i="3"/>
  <c r="E549" i="3"/>
  <c r="G549" i="3" s="1"/>
  <c r="D549" i="3"/>
  <c r="C549" i="3"/>
  <c r="B549" i="3"/>
  <c r="A549" i="3"/>
  <c r="H548" i="3"/>
  <c r="G548" i="3"/>
  <c r="F548" i="3"/>
  <c r="E548" i="3"/>
  <c r="D548" i="3"/>
  <c r="C548" i="3"/>
  <c r="I548" i="3" s="1"/>
  <c r="B548" i="3"/>
  <c r="A548" i="3"/>
  <c r="H547" i="3"/>
  <c r="G547" i="3"/>
  <c r="F547" i="3"/>
  <c r="E547" i="3"/>
  <c r="D547" i="3"/>
  <c r="I547" i="3" s="1"/>
  <c r="C547" i="3"/>
  <c r="B547" i="3"/>
  <c r="A547" i="3"/>
  <c r="H546" i="3"/>
  <c r="F546" i="3"/>
  <c r="E546" i="3"/>
  <c r="G546" i="3" s="1"/>
  <c r="D546" i="3"/>
  <c r="I546" i="3" s="1"/>
  <c r="C546" i="3"/>
  <c r="B546" i="3"/>
  <c r="A546" i="3"/>
  <c r="I545" i="3"/>
  <c r="H545" i="3"/>
  <c r="F545" i="3"/>
  <c r="E545" i="3"/>
  <c r="G545" i="3" s="1"/>
  <c r="D545" i="3"/>
  <c r="C545" i="3"/>
  <c r="B545" i="3"/>
  <c r="A545" i="3"/>
  <c r="H544" i="3"/>
  <c r="G544" i="3"/>
  <c r="F544" i="3"/>
  <c r="E544" i="3"/>
  <c r="D544" i="3"/>
  <c r="C544" i="3"/>
  <c r="I544" i="3" s="1"/>
  <c r="B544" i="3"/>
  <c r="A544" i="3"/>
  <c r="H543" i="3"/>
  <c r="G543" i="3"/>
  <c r="F543" i="3"/>
  <c r="E543" i="3"/>
  <c r="D543" i="3"/>
  <c r="I543" i="3" s="1"/>
  <c r="C543" i="3"/>
  <c r="B543" i="3"/>
  <c r="A543" i="3"/>
  <c r="H542" i="3"/>
  <c r="F542" i="3"/>
  <c r="E542" i="3"/>
  <c r="G542" i="3" s="1"/>
  <c r="D542" i="3"/>
  <c r="I542" i="3" s="1"/>
  <c r="C542" i="3"/>
  <c r="B542" i="3"/>
  <c r="A542" i="3"/>
  <c r="I541" i="3"/>
  <c r="H541" i="3"/>
  <c r="F541" i="3"/>
  <c r="E541" i="3"/>
  <c r="G541" i="3" s="1"/>
  <c r="D541" i="3"/>
  <c r="C541" i="3"/>
  <c r="B541" i="3"/>
  <c r="A541" i="3"/>
  <c r="H540" i="3"/>
  <c r="G540" i="3"/>
  <c r="F540" i="3"/>
  <c r="E540" i="3"/>
  <c r="D540" i="3"/>
  <c r="C540" i="3"/>
  <c r="I540" i="3" s="1"/>
  <c r="B540" i="3"/>
  <c r="A540" i="3"/>
  <c r="H539" i="3"/>
  <c r="G539" i="3"/>
  <c r="F539" i="3"/>
  <c r="E539" i="3"/>
  <c r="D539" i="3"/>
  <c r="I539" i="3" s="1"/>
  <c r="C539" i="3"/>
  <c r="B539" i="3"/>
  <c r="A539" i="3"/>
  <c r="H538" i="3"/>
  <c r="F538" i="3"/>
  <c r="E538" i="3"/>
  <c r="G538" i="3" s="1"/>
  <c r="D538" i="3"/>
  <c r="I538" i="3" s="1"/>
  <c r="C538" i="3"/>
  <c r="B538" i="3"/>
  <c r="A538" i="3"/>
  <c r="I537" i="3"/>
  <c r="H537" i="3"/>
  <c r="F537" i="3"/>
  <c r="E537" i="3"/>
  <c r="G537" i="3" s="1"/>
  <c r="D537" i="3"/>
  <c r="C537" i="3"/>
  <c r="B537" i="3"/>
  <c r="A537" i="3"/>
  <c r="H536" i="3"/>
  <c r="G536" i="3"/>
  <c r="F536" i="3"/>
  <c r="E536" i="3"/>
  <c r="D536" i="3"/>
  <c r="C536" i="3"/>
  <c r="I536" i="3" s="1"/>
  <c r="B536" i="3"/>
  <c r="A536" i="3"/>
  <c r="H535" i="3"/>
  <c r="G535" i="3"/>
  <c r="F535" i="3"/>
  <c r="E535" i="3"/>
  <c r="D535" i="3"/>
  <c r="I535" i="3" s="1"/>
  <c r="C535" i="3"/>
  <c r="B535" i="3"/>
  <c r="A535" i="3"/>
  <c r="H534" i="3"/>
  <c r="F534" i="3"/>
  <c r="E534" i="3"/>
  <c r="G534" i="3" s="1"/>
  <c r="D534" i="3"/>
  <c r="I534" i="3" s="1"/>
  <c r="C534" i="3"/>
  <c r="B534" i="3"/>
  <c r="A534" i="3"/>
  <c r="I533" i="3"/>
  <c r="H533" i="3"/>
  <c r="F533" i="3"/>
  <c r="E533" i="3"/>
  <c r="G533" i="3" s="1"/>
  <c r="D533" i="3"/>
  <c r="C533" i="3"/>
  <c r="B533" i="3"/>
  <c r="A533" i="3"/>
  <c r="H532" i="3"/>
  <c r="G532" i="3"/>
  <c r="F532" i="3"/>
  <c r="E532" i="3"/>
  <c r="D532" i="3"/>
  <c r="C532" i="3"/>
  <c r="I532" i="3" s="1"/>
  <c r="B532" i="3"/>
  <c r="A532" i="3"/>
  <c r="H531" i="3"/>
  <c r="G531" i="3"/>
  <c r="F531" i="3"/>
  <c r="E531" i="3"/>
  <c r="D531" i="3"/>
  <c r="I531" i="3" s="1"/>
  <c r="C531" i="3"/>
  <c r="B531" i="3"/>
  <c r="A531" i="3"/>
  <c r="H530" i="3"/>
  <c r="F530" i="3"/>
  <c r="E530" i="3"/>
  <c r="G530" i="3" s="1"/>
  <c r="D530" i="3"/>
  <c r="I530" i="3" s="1"/>
  <c r="C530" i="3"/>
  <c r="B530" i="3"/>
  <c r="A530" i="3"/>
  <c r="I529" i="3"/>
  <c r="H529" i="3"/>
  <c r="F529" i="3"/>
  <c r="E529" i="3"/>
  <c r="G529" i="3" s="1"/>
  <c r="D529" i="3"/>
  <c r="C529" i="3"/>
  <c r="B529" i="3"/>
  <c r="A529" i="3"/>
  <c r="H528" i="3"/>
  <c r="G528" i="3"/>
  <c r="F528" i="3"/>
  <c r="E528" i="3"/>
  <c r="D528" i="3"/>
  <c r="C528" i="3"/>
  <c r="I528" i="3" s="1"/>
  <c r="B528" i="3"/>
  <c r="A528" i="3"/>
  <c r="H527" i="3"/>
  <c r="G527" i="3"/>
  <c r="F527" i="3"/>
  <c r="E527" i="3"/>
  <c r="D527" i="3"/>
  <c r="I527" i="3" s="1"/>
  <c r="C527" i="3"/>
  <c r="B527" i="3"/>
  <c r="A527" i="3"/>
  <c r="H526" i="3"/>
  <c r="F526" i="3"/>
  <c r="E526" i="3"/>
  <c r="G526" i="3" s="1"/>
  <c r="D526" i="3"/>
  <c r="I526" i="3" s="1"/>
  <c r="C526" i="3"/>
  <c r="B526" i="3"/>
  <c r="A526" i="3"/>
  <c r="I525" i="3"/>
  <c r="H525" i="3"/>
  <c r="F525" i="3"/>
  <c r="E525" i="3"/>
  <c r="G525" i="3" s="1"/>
  <c r="D525" i="3"/>
  <c r="C525" i="3"/>
  <c r="B525" i="3"/>
  <c r="A525" i="3"/>
  <c r="H524" i="3"/>
  <c r="G524" i="3"/>
  <c r="F524" i="3"/>
  <c r="E524" i="3"/>
  <c r="D524" i="3"/>
  <c r="C524" i="3"/>
  <c r="I524" i="3" s="1"/>
  <c r="B524" i="3"/>
  <c r="A524" i="3"/>
  <c r="H523" i="3"/>
  <c r="G523" i="3"/>
  <c r="F523" i="3"/>
  <c r="E523" i="3"/>
  <c r="D523" i="3"/>
  <c r="I523" i="3" s="1"/>
  <c r="C523" i="3"/>
  <c r="B523" i="3"/>
  <c r="A523" i="3"/>
  <c r="H522" i="3"/>
  <c r="F522" i="3"/>
  <c r="E522" i="3"/>
  <c r="G522" i="3" s="1"/>
  <c r="D522" i="3"/>
  <c r="I522" i="3" s="1"/>
  <c r="C522" i="3"/>
  <c r="B522" i="3"/>
  <c r="A522" i="3"/>
  <c r="I521" i="3"/>
  <c r="H521" i="3"/>
  <c r="F521" i="3"/>
  <c r="E521" i="3"/>
  <c r="G521" i="3" s="1"/>
  <c r="D521" i="3"/>
  <c r="C521" i="3"/>
  <c r="B521" i="3"/>
  <c r="A521" i="3"/>
  <c r="H520" i="3"/>
  <c r="G520" i="3"/>
  <c r="F520" i="3"/>
  <c r="E520" i="3"/>
  <c r="D520" i="3"/>
  <c r="C520" i="3"/>
  <c r="I520" i="3" s="1"/>
  <c r="B520" i="3"/>
  <c r="A520" i="3"/>
  <c r="H519" i="3"/>
  <c r="G519" i="3"/>
  <c r="F519" i="3"/>
  <c r="E519" i="3"/>
  <c r="D519" i="3"/>
  <c r="I519" i="3" s="1"/>
  <c r="C519" i="3"/>
  <c r="B519" i="3"/>
  <c r="A519" i="3"/>
  <c r="H518" i="3"/>
  <c r="F518" i="3"/>
  <c r="E518" i="3"/>
  <c r="G518" i="3" s="1"/>
  <c r="D518" i="3"/>
  <c r="I518" i="3" s="1"/>
  <c r="C518" i="3"/>
  <c r="B518" i="3"/>
  <c r="A518" i="3"/>
  <c r="I517" i="3"/>
  <c r="H517" i="3"/>
  <c r="F517" i="3"/>
  <c r="E517" i="3"/>
  <c r="G517" i="3" s="1"/>
  <c r="D517" i="3"/>
  <c r="C517" i="3"/>
  <c r="B517" i="3"/>
  <c r="A517" i="3"/>
  <c r="H516" i="3"/>
  <c r="G516" i="3"/>
  <c r="F516" i="3"/>
  <c r="E516" i="3"/>
  <c r="D516" i="3"/>
  <c r="C516" i="3"/>
  <c r="I516" i="3" s="1"/>
  <c r="B516" i="3"/>
  <c r="A516" i="3"/>
  <c r="H515" i="3"/>
  <c r="G515" i="3"/>
  <c r="F515" i="3"/>
  <c r="E515" i="3"/>
  <c r="D515" i="3"/>
  <c r="I515" i="3" s="1"/>
  <c r="C515" i="3"/>
  <c r="B515" i="3"/>
  <c r="A515" i="3"/>
  <c r="H514" i="3"/>
  <c r="F514" i="3"/>
  <c r="E514" i="3"/>
  <c r="G514" i="3" s="1"/>
  <c r="D514" i="3"/>
  <c r="I514" i="3" s="1"/>
  <c r="C514" i="3"/>
  <c r="B514" i="3"/>
  <c r="A514" i="3"/>
  <c r="I513" i="3"/>
  <c r="H513" i="3"/>
  <c r="F513" i="3"/>
  <c r="E513" i="3"/>
  <c r="G513" i="3" s="1"/>
  <c r="D513" i="3"/>
  <c r="C513" i="3"/>
  <c r="B513" i="3"/>
  <c r="A513" i="3"/>
  <c r="H512" i="3"/>
  <c r="G512" i="3"/>
  <c r="F512" i="3"/>
  <c r="E512" i="3"/>
  <c r="D512" i="3"/>
  <c r="C512" i="3"/>
  <c r="I512" i="3" s="1"/>
  <c r="B512" i="3"/>
  <c r="A512" i="3"/>
  <c r="H511" i="3"/>
  <c r="G511" i="3"/>
  <c r="F511" i="3"/>
  <c r="E511" i="3"/>
  <c r="D511" i="3"/>
  <c r="I511" i="3" s="1"/>
  <c r="C511" i="3"/>
  <c r="B511" i="3"/>
  <c r="A511" i="3"/>
  <c r="H510" i="3"/>
  <c r="F510" i="3"/>
  <c r="E510" i="3"/>
  <c r="G510" i="3" s="1"/>
  <c r="D510" i="3"/>
  <c r="I510" i="3" s="1"/>
  <c r="C510" i="3"/>
  <c r="B510" i="3"/>
  <c r="A510" i="3"/>
  <c r="I509" i="3"/>
  <c r="H509" i="3"/>
  <c r="F509" i="3"/>
  <c r="E509" i="3"/>
  <c r="G509" i="3" s="1"/>
  <c r="D509" i="3"/>
  <c r="C509" i="3"/>
  <c r="B509" i="3"/>
  <c r="A509" i="3"/>
  <c r="H508" i="3"/>
  <c r="G508" i="3"/>
  <c r="F508" i="3"/>
  <c r="E508" i="3"/>
  <c r="D508" i="3"/>
  <c r="C508" i="3"/>
  <c r="I508" i="3" s="1"/>
  <c r="B508" i="3"/>
  <c r="A508" i="3"/>
  <c r="H507" i="3"/>
  <c r="G507" i="3"/>
  <c r="F507" i="3"/>
  <c r="E507" i="3"/>
  <c r="D507" i="3"/>
  <c r="I507" i="3" s="1"/>
  <c r="C507" i="3"/>
  <c r="B507" i="3"/>
  <c r="A507" i="3"/>
  <c r="H506" i="3"/>
  <c r="F506" i="3"/>
  <c r="E506" i="3"/>
  <c r="G506" i="3" s="1"/>
  <c r="D506" i="3"/>
  <c r="I506" i="3" s="1"/>
  <c r="C506" i="3"/>
  <c r="B506" i="3"/>
  <c r="A506" i="3"/>
  <c r="I505" i="3"/>
  <c r="H505" i="3"/>
  <c r="F505" i="3"/>
  <c r="E505" i="3"/>
  <c r="G505" i="3" s="1"/>
  <c r="D505" i="3"/>
  <c r="C505" i="3"/>
  <c r="B505" i="3"/>
  <c r="A505" i="3"/>
  <c r="H504" i="3"/>
  <c r="G504" i="3"/>
  <c r="F504" i="3"/>
  <c r="E504" i="3"/>
  <c r="D504" i="3"/>
  <c r="C504" i="3"/>
  <c r="I504" i="3" s="1"/>
  <c r="B504" i="3"/>
  <c r="A504" i="3"/>
  <c r="H503" i="3"/>
  <c r="G503" i="3"/>
  <c r="F503" i="3"/>
  <c r="E503" i="3"/>
  <c r="D503" i="3"/>
  <c r="I503" i="3" s="1"/>
  <c r="C503" i="3"/>
  <c r="B503" i="3"/>
  <c r="A503" i="3"/>
  <c r="H502" i="3"/>
  <c r="F502" i="3"/>
  <c r="E502" i="3"/>
  <c r="G502" i="3" s="1"/>
  <c r="D502" i="3"/>
  <c r="I502" i="3" s="1"/>
  <c r="C502" i="3"/>
  <c r="B502" i="3"/>
  <c r="A502" i="3"/>
  <c r="I501" i="3"/>
  <c r="H501" i="3"/>
  <c r="F501" i="3"/>
  <c r="E501" i="3"/>
  <c r="G501" i="3" s="1"/>
  <c r="D501" i="3"/>
  <c r="C501" i="3"/>
  <c r="B501" i="3"/>
  <c r="A501" i="3"/>
  <c r="H500" i="3"/>
  <c r="G500" i="3"/>
  <c r="F500" i="3"/>
  <c r="E500" i="3"/>
  <c r="D500" i="3"/>
  <c r="C500" i="3"/>
  <c r="I500" i="3" s="1"/>
  <c r="B500" i="3"/>
  <c r="A500" i="3"/>
  <c r="H499" i="3"/>
  <c r="G499" i="3"/>
  <c r="F499" i="3"/>
  <c r="E499" i="3"/>
  <c r="D499" i="3"/>
  <c r="I499" i="3" s="1"/>
  <c r="C499" i="3"/>
  <c r="B499" i="3"/>
  <c r="A499" i="3"/>
  <c r="H498" i="3"/>
  <c r="F498" i="3"/>
  <c r="E498" i="3"/>
  <c r="G498" i="3" s="1"/>
  <c r="D498" i="3"/>
  <c r="I498" i="3" s="1"/>
  <c r="C498" i="3"/>
  <c r="B498" i="3"/>
  <c r="A498" i="3"/>
  <c r="I497" i="3"/>
  <c r="H497" i="3"/>
  <c r="F497" i="3"/>
  <c r="E497" i="3"/>
  <c r="G497" i="3" s="1"/>
  <c r="D497" i="3"/>
  <c r="C497" i="3"/>
  <c r="B497" i="3"/>
  <c r="A497" i="3"/>
  <c r="H496" i="3"/>
  <c r="G496" i="3"/>
  <c r="F496" i="3"/>
  <c r="E496" i="3"/>
  <c r="D496" i="3"/>
  <c r="C496" i="3"/>
  <c r="I496" i="3" s="1"/>
  <c r="B496" i="3"/>
  <c r="A496" i="3"/>
  <c r="H495" i="3"/>
  <c r="G495" i="3"/>
  <c r="F495" i="3"/>
  <c r="E495" i="3"/>
  <c r="D495" i="3"/>
  <c r="I495" i="3" s="1"/>
  <c r="C495" i="3"/>
  <c r="B495" i="3"/>
  <c r="A495" i="3"/>
  <c r="H494" i="3"/>
  <c r="F494" i="3"/>
  <c r="E494" i="3"/>
  <c r="G494" i="3" s="1"/>
  <c r="D494" i="3"/>
  <c r="I494" i="3" s="1"/>
  <c r="C494" i="3"/>
  <c r="B494" i="3"/>
  <c r="A494" i="3"/>
  <c r="I493" i="3"/>
  <c r="H493" i="3"/>
  <c r="F493" i="3"/>
  <c r="E493" i="3"/>
  <c r="G493" i="3" s="1"/>
  <c r="D493" i="3"/>
  <c r="C493" i="3"/>
  <c r="B493" i="3"/>
  <c r="A493" i="3"/>
  <c r="H492" i="3"/>
  <c r="G492" i="3"/>
  <c r="F492" i="3"/>
  <c r="E492" i="3"/>
  <c r="D492" i="3"/>
  <c r="C492" i="3"/>
  <c r="I492" i="3" s="1"/>
  <c r="B492" i="3"/>
  <c r="A492" i="3"/>
  <c r="H491" i="3"/>
  <c r="G491" i="3"/>
  <c r="F491" i="3"/>
  <c r="E491" i="3"/>
  <c r="D491" i="3"/>
  <c r="I491" i="3" s="1"/>
  <c r="C491" i="3"/>
  <c r="B491" i="3"/>
  <c r="A491" i="3"/>
  <c r="H490" i="3"/>
  <c r="F490" i="3"/>
  <c r="E490" i="3"/>
  <c r="G490" i="3" s="1"/>
  <c r="D490" i="3"/>
  <c r="I490" i="3" s="1"/>
  <c r="C490" i="3"/>
  <c r="B490" i="3"/>
  <c r="A490" i="3"/>
  <c r="I489" i="3"/>
  <c r="H489" i="3"/>
  <c r="F489" i="3"/>
  <c r="E489" i="3"/>
  <c r="G489" i="3" s="1"/>
  <c r="D489" i="3"/>
  <c r="C489" i="3"/>
  <c r="B489" i="3"/>
  <c r="A489" i="3"/>
  <c r="H488" i="3"/>
  <c r="G488" i="3"/>
  <c r="F488" i="3"/>
  <c r="E488" i="3"/>
  <c r="D488" i="3"/>
  <c r="C488" i="3"/>
  <c r="I488" i="3" s="1"/>
  <c r="B488" i="3"/>
  <c r="A488" i="3"/>
  <c r="H487" i="3"/>
  <c r="G487" i="3"/>
  <c r="F487" i="3"/>
  <c r="E487" i="3"/>
  <c r="D487" i="3"/>
  <c r="I487" i="3" s="1"/>
  <c r="C487" i="3"/>
  <c r="B487" i="3"/>
  <c r="A487" i="3"/>
  <c r="H486" i="3"/>
  <c r="F486" i="3"/>
  <c r="E486" i="3"/>
  <c r="G486" i="3" s="1"/>
  <c r="D486" i="3"/>
  <c r="I486" i="3" s="1"/>
  <c r="C486" i="3"/>
  <c r="B486" i="3"/>
  <c r="A486" i="3"/>
  <c r="I485" i="3"/>
  <c r="H485" i="3"/>
  <c r="F485" i="3"/>
  <c r="E485" i="3"/>
  <c r="G485" i="3" s="1"/>
  <c r="D485" i="3"/>
  <c r="C485" i="3"/>
  <c r="B485" i="3"/>
  <c r="A485" i="3"/>
  <c r="H484" i="3"/>
  <c r="G484" i="3"/>
  <c r="F484" i="3"/>
  <c r="E484" i="3"/>
  <c r="D484" i="3"/>
  <c r="C484" i="3"/>
  <c r="I484" i="3" s="1"/>
  <c r="B484" i="3"/>
  <c r="A484" i="3"/>
  <c r="H483" i="3"/>
  <c r="G483" i="3"/>
  <c r="F483" i="3"/>
  <c r="E483" i="3"/>
  <c r="D483" i="3"/>
  <c r="I483" i="3" s="1"/>
  <c r="C483" i="3"/>
  <c r="B483" i="3"/>
  <c r="A483" i="3"/>
  <c r="H482" i="3"/>
  <c r="F482" i="3"/>
  <c r="E482" i="3"/>
  <c r="G482" i="3" s="1"/>
  <c r="D482" i="3"/>
  <c r="I482" i="3" s="1"/>
  <c r="C482" i="3"/>
  <c r="B482" i="3"/>
  <c r="A482" i="3"/>
  <c r="I481" i="3"/>
  <c r="H481" i="3"/>
  <c r="F481" i="3"/>
  <c r="E481" i="3"/>
  <c r="G481" i="3" s="1"/>
  <c r="D481" i="3"/>
  <c r="C481" i="3"/>
  <c r="B481" i="3"/>
  <c r="A481" i="3"/>
  <c r="H480" i="3"/>
  <c r="G480" i="3"/>
  <c r="F480" i="3"/>
  <c r="E480" i="3"/>
  <c r="D480" i="3"/>
  <c r="C480" i="3"/>
  <c r="I480" i="3" s="1"/>
  <c r="B480" i="3"/>
  <c r="A480" i="3"/>
  <c r="H479" i="3"/>
  <c r="G479" i="3"/>
  <c r="F479" i="3"/>
  <c r="E479" i="3"/>
  <c r="D479" i="3"/>
  <c r="I479" i="3" s="1"/>
  <c r="C479" i="3"/>
  <c r="B479" i="3"/>
  <c r="A479" i="3"/>
  <c r="H478" i="3"/>
  <c r="F478" i="3"/>
  <c r="E478" i="3"/>
  <c r="G478" i="3" s="1"/>
  <c r="D478" i="3"/>
  <c r="I478" i="3" s="1"/>
  <c r="C478" i="3"/>
  <c r="B478" i="3"/>
  <c r="A478" i="3"/>
  <c r="I477" i="3"/>
  <c r="H477" i="3"/>
  <c r="F477" i="3"/>
  <c r="E477" i="3"/>
  <c r="G477" i="3" s="1"/>
  <c r="D477" i="3"/>
  <c r="C477" i="3"/>
  <c r="B477" i="3"/>
  <c r="A477" i="3"/>
  <c r="H476" i="3"/>
  <c r="G476" i="3"/>
  <c r="F476" i="3"/>
  <c r="E476" i="3"/>
  <c r="D476" i="3"/>
  <c r="C476" i="3"/>
  <c r="I476" i="3" s="1"/>
  <c r="B476" i="3"/>
  <c r="A476" i="3"/>
  <c r="H475" i="3"/>
  <c r="G475" i="3"/>
  <c r="F475" i="3"/>
  <c r="E475" i="3"/>
  <c r="D475" i="3"/>
  <c r="I475" i="3" s="1"/>
  <c r="C475" i="3"/>
  <c r="B475" i="3"/>
  <c r="A475" i="3"/>
  <c r="H474" i="3"/>
  <c r="F474" i="3"/>
  <c r="E474" i="3"/>
  <c r="G474" i="3" s="1"/>
  <c r="D474" i="3"/>
  <c r="I474" i="3" s="1"/>
  <c r="C474" i="3"/>
  <c r="B474" i="3"/>
  <c r="A474" i="3"/>
  <c r="I473" i="3"/>
  <c r="H473" i="3"/>
  <c r="F473" i="3"/>
  <c r="E473" i="3"/>
  <c r="G473" i="3" s="1"/>
  <c r="D473" i="3"/>
  <c r="C473" i="3"/>
  <c r="B473" i="3"/>
  <c r="A473" i="3"/>
  <c r="H472" i="3"/>
  <c r="G472" i="3"/>
  <c r="F472" i="3"/>
  <c r="E472" i="3"/>
  <c r="D472" i="3"/>
  <c r="C472" i="3"/>
  <c r="I472" i="3" s="1"/>
  <c r="B472" i="3"/>
  <c r="A472" i="3"/>
  <c r="H471" i="3"/>
  <c r="G471" i="3"/>
  <c r="F471" i="3"/>
  <c r="E471" i="3"/>
  <c r="D471" i="3"/>
  <c r="I471" i="3" s="1"/>
  <c r="C471" i="3"/>
  <c r="B471" i="3"/>
  <c r="A471" i="3"/>
  <c r="H470" i="3"/>
  <c r="F470" i="3"/>
  <c r="E470" i="3"/>
  <c r="G470" i="3" s="1"/>
  <c r="D470" i="3"/>
  <c r="I470" i="3" s="1"/>
  <c r="C470" i="3"/>
  <c r="B470" i="3"/>
  <c r="A470" i="3"/>
  <c r="I469" i="3"/>
  <c r="H469" i="3"/>
  <c r="F469" i="3"/>
  <c r="E469" i="3"/>
  <c r="G469" i="3" s="1"/>
  <c r="D469" i="3"/>
  <c r="C469" i="3"/>
  <c r="B469" i="3"/>
  <c r="A469" i="3"/>
  <c r="H468" i="3"/>
  <c r="G468" i="3"/>
  <c r="F468" i="3"/>
  <c r="E468" i="3"/>
  <c r="D468" i="3"/>
  <c r="C468" i="3"/>
  <c r="I468" i="3" s="1"/>
  <c r="B468" i="3"/>
  <c r="A468" i="3"/>
  <c r="H467" i="3"/>
  <c r="G467" i="3"/>
  <c r="F467" i="3"/>
  <c r="E467" i="3"/>
  <c r="D467" i="3"/>
  <c r="I467" i="3" s="1"/>
  <c r="C467" i="3"/>
  <c r="B467" i="3"/>
  <c r="A467" i="3"/>
  <c r="H466" i="3"/>
  <c r="F466" i="3"/>
  <c r="E466" i="3"/>
  <c r="G466" i="3" s="1"/>
  <c r="D466" i="3"/>
  <c r="I466" i="3" s="1"/>
  <c r="C466" i="3"/>
  <c r="B466" i="3"/>
  <c r="A466" i="3"/>
  <c r="I465" i="3"/>
  <c r="H465" i="3"/>
  <c r="F465" i="3"/>
  <c r="E465" i="3"/>
  <c r="G465" i="3" s="1"/>
  <c r="D465" i="3"/>
  <c r="C465" i="3"/>
  <c r="B465" i="3"/>
  <c r="A465" i="3"/>
  <c r="H464" i="3"/>
  <c r="G464" i="3"/>
  <c r="F464" i="3"/>
  <c r="E464" i="3"/>
  <c r="D464" i="3"/>
  <c r="C464" i="3"/>
  <c r="I464" i="3" s="1"/>
  <c r="B464" i="3"/>
  <c r="A464" i="3"/>
  <c r="H463" i="3"/>
  <c r="G463" i="3"/>
  <c r="F463" i="3"/>
  <c r="E463" i="3"/>
  <c r="D463" i="3"/>
  <c r="I463" i="3" s="1"/>
  <c r="C463" i="3"/>
  <c r="B463" i="3"/>
  <c r="A463" i="3"/>
  <c r="H462" i="3"/>
  <c r="F462" i="3"/>
  <c r="E462" i="3"/>
  <c r="G462" i="3" s="1"/>
  <c r="D462" i="3"/>
  <c r="I462" i="3" s="1"/>
  <c r="C462" i="3"/>
  <c r="B462" i="3"/>
  <c r="A462" i="3"/>
  <c r="I461" i="3"/>
  <c r="H461" i="3"/>
  <c r="F461" i="3"/>
  <c r="E461" i="3"/>
  <c r="G461" i="3" s="1"/>
  <c r="D461" i="3"/>
  <c r="C461" i="3"/>
  <c r="B461" i="3"/>
  <c r="A461" i="3"/>
  <c r="H460" i="3"/>
  <c r="G460" i="3"/>
  <c r="F460" i="3"/>
  <c r="E460" i="3"/>
  <c r="D460" i="3"/>
  <c r="C460" i="3"/>
  <c r="I460" i="3" s="1"/>
  <c r="B460" i="3"/>
  <c r="A460" i="3"/>
  <c r="H459" i="3"/>
  <c r="G459" i="3"/>
  <c r="F459" i="3"/>
  <c r="E459" i="3"/>
  <c r="D459" i="3"/>
  <c r="I459" i="3" s="1"/>
  <c r="C459" i="3"/>
  <c r="B459" i="3"/>
  <c r="A459" i="3"/>
  <c r="H458" i="3"/>
  <c r="F458" i="3"/>
  <c r="E458" i="3"/>
  <c r="G458" i="3" s="1"/>
  <c r="D458" i="3"/>
  <c r="I458" i="3" s="1"/>
  <c r="C458" i="3"/>
  <c r="B458" i="3"/>
  <c r="A458" i="3"/>
  <c r="I457" i="3"/>
  <c r="H457" i="3"/>
  <c r="F457" i="3"/>
  <c r="E457" i="3"/>
  <c r="G457" i="3" s="1"/>
  <c r="D457" i="3"/>
  <c r="C457" i="3"/>
  <c r="B457" i="3"/>
  <c r="A457" i="3"/>
  <c r="H456" i="3"/>
  <c r="G456" i="3"/>
  <c r="F456" i="3"/>
  <c r="E456" i="3"/>
  <c r="D456" i="3"/>
  <c r="C456" i="3"/>
  <c r="I456" i="3" s="1"/>
  <c r="B456" i="3"/>
  <c r="A456" i="3"/>
  <c r="H455" i="3"/>
  <c r="G455" i="3"/>
  <c r="F455" i="3"/>
  <c r="E455" i="3"/>
  <c r="D455" i="3"/>
  <c r="I455" i="3" s="1"/>
  <c r="C455" i="3"/>
  <c r="B455" i="3"/>
  <c r="A455" i="3"/>
  <c r="H454" i="3"/>
  <c r="F454" i="3"/>
  <c r="E454" i="3"/>
  <c r="G454" i="3" s="1"/>
  <c r="D454" i="3"/>
  <c r="I454" i="3" s="1"/>
  <c r="C454" i="3"/>
  <c r="B454" i="3"/>
  <c r="A454" i="3"/>
  <c r="I453" i="3"/>
  <c r="H453" i="3"/>
  <c r="F453" i="3"/>
  <c r="E453" i="3"/>
  <c r="G453" i="3" s="1"/>
  <c r="D453" i="3"/>
  <c r="C453" i="3"/>
  <c r="B453" i="3"/>
  <c r="A453" i="3"/>
  <c r="H452" i="3"/>
  <c r="G452" i="3"/>
  <c r="F452" i="3"/>
  <c r="E452" i="3"/>
  <c r="D452" i="3"/>
  <c r="C452" i="3"/>
  <c r="I452" i="3" s="1"/>
  <c r="B452" i="3"/>
  <c r="A452" i="3"/>
  <c r="H451" i="3"/>
  <c r="G451" i="3"/>
  <c r="F451" i="3"/>
  <c r="E451" i="3"/>
  <c r="D451" i="3"/>
  <c r="I451" i="3" s="1"/>
  <c r="C451" i="3"/>
  <c r="B451" i="3"/>
  <c r="A451" i="3"/>
  <c r="H450" i="3"/>
  <c r="F450" i="3"/>
  <c r="E450" i="3"/>
  <c r="G450" i="3" s="1"/>
  <c r="D450" i="3"/>
  <c r="I450" i="3" s="1"/>
  <c r="C450" i="3"/>
  <c r="B450" i="3"/>
  <c r="A450" i="3"/>
  <c r="I449" i="3"/>
  <c r="H449" i="3"/>
  <c r="F449" i="3"/>
  <c r="E449" i="3"/>
  <c r="G449" i="3" s="1"/>
  <c r="D449" i="3"/>
  <c r="C449" i="3"/>
  <c r="B449" i="3"/>
  <c r="A449" i="3"/>
  <c r="H448" i="3"/>
  <c r="G448" i="3"/>
  <c r="F448" i="3"/>
  <c r="E448" i="3"/>
  <c r="D448" i="3"/>
  <c r="C448" i="3"/>
  <c r="I448" i="3" s="1"/>
  <c r="B448" i="3"/>
  <c r="A448" i="3"/>
  <c r="H447" i="3"/>
  <c r="G447" i="3"/>
  <c r="F447" i="3"/>
  <c r="E447" i="3"/>
  <c r="D447" i="3"/>
  <c r="I447" i="3" s="1"/>
  <c r="C447" i="3"/>
  <c r="B447" i="3"/>
  <c r="A447" i="3"/>
  <c r="H446" i="3"/>
  <c r="F446" i="3"/>
  <c r="E446" i="3"/>
  <c r="G446" i="3" s="1"/>
  <c r="D446" i="3"/>
  <c r="I446" i="3" s="1"/>
  <c r="C446" i="3"/>
  <c r="B446" i="3"/>
  <c r="A446" i="3"/>
  <c r="I445" i="3"/>
  <c r="H445" i="3"/>
  <c r="F445" i="3"/>
  <c r="E445" i="3"/>
  <c r="G445" i="3" s="1"/>
  <c r="D445" i="3"/>
  <c r="C445" i="3"/>
  <c r="B445" i="3"/>
  <c r="A445" i="3"/>
  <c r="H444" i="3"/>
  <c r="G444" i="3"/>
  <c r="F444" i="3"/>
  <c r="E444" i="3"/>
  <c r="D444" i="3"/>
  <c r="C444" i="3"/>
  <c r="I444" i="3" s="1"/>
  <c r="B444" i="3"/>
  <c r="A444" i="3"/>
  <c r="H443" i="3"/>
  <c r="G443" i="3"/>
  <c r="F443" i="3"/>
  <c r="E443" i="3"/>
  <c r="D443" i="3"/>
  <c r="I443" i="3" s="1"/>
  <c r="C443" i="3"/>
  <c r="B443" i="3"/>
  <c r="A443" i="3"/>
  <c r="H442" i="3"/>
  <c r="F442" i="3"/>
  <c r="E442" i="3"/>
  <c r="G442" i="3" s="1"/>
  <c r="D442" i="3"/>
  <c r="I442" i="3" s="1"/>
  <c r="C442" i="3"/>
  <c r="B442" i="3"/>
  <c r="A442" i="3"/>
  <c r="I441" i="3"/>
  <c r="H441" i="3"/>
  <c r="F441" i="3"/>
  <c r="E441" i="3"/>
  <c r="G441" i="3" s="1"/>
  <c r="D441" i="3"/>
  <c r="C441" i="3"/>
  <c r="B441" i="3"/>
  <c r="A441" i="3"/>
  <c r="H440" i="3"/>
  <c r="G440" i="3"/>
  <c r="F440" i="3"/>
  <c r="E440" i="3"/>
  <c r="D440" i="3"/>
  <c r="C440" i="3"/>
  <c r="I440" i="3" s="1"/>
  <c r="B440" i="3"/>
  <c r="A440" i="3"/>
  <c r="H439" i="3"/>
  <c r="G439" i="3"/>
  <c r="F439" i="3"/>
  <c r="E439" i="3"/>
  <c r="D439" i="3"/>
  <c r="I439" i="3" s="1"/>
  <c r="C439" i="3"/>
  <c r="B439" i="3"/>
  <c r="A439" i="3"/>
  <c r="H438" i="3"/>
  <c r="F438" i="3"/>
  <c r="E438" i="3"/>
  <c r="G438" i="3" s="1"/>
  <c r="D438" i="3"/>
  <c r="I438" i="3" s="1"/>
  <c r="C438" i="3"/>
  <c r="B438" i="3"/>
  <c r="A438" i="3"/>
  <c r="I437" i="3"/>
  <c r="H437" i="3"/>
  <c r="F437" i="3"/>
  <c r="E437" i="3"/>
  <c r="G437" i="3" s="1"/>
  <c r="D437" i="3"/>
  <c r="C437" i="3"/>
  <c r="B437" i="3"/>
  <c r="A437" i="3"/>
  <c r="H436" i="3"/>
  <c r="G436" i="3"/>
  <c r="F436" i="3"/>
  <c r="E436" i="3"/>
  <c r="D436" i="3"/>
  <c r="C436" i="3"/>
  <c r="I436" i="3" s="1"/>
  <c r="B436" i="3"/>
  <c r="A436" i="3"/>
  <c r="H435" i="3"/>
  <c r="G435" i="3"/>
  <c r="F435" i="3"/>
  <c r="E435" i="3"/>
  <c r="D435" i="3"/>
  <c r="I435" i="3" s="1"/>
  <c r="C435" i="3"/>
  <c r="B435" i="3"/>
  <c r="A435" i="3"/>
  <c r="H434" i="3"/>
  <c r="F434" i="3"/>
  <c r="E434" i="3"/>
  <c r="G434" i="3" s="1"/>
  <c r="D434" i="3"/>
  <c r="I434" i="3" s="1"/>
  <c r="C434" i="3"/>
  <c r="B434" i="3"/>
  <c r="A434" i="3"/>
  <c r="I433" i="3"/>
  <c r="H433" i="3"/>
  <c r="F433" i="3"/>
  <c r="E433" i="3"/>
  <c r="G433" i="3" s="1"/>
  <c r="D433" i="3"/>
  <c r="C433" i="3"/>
  <c r="B433" i="3"/>
  <c r="A433" i="3"/>
  <c r="H432" i="3"/>
  <c r="G432" i="3"/>
  <c r="F432" i="3"/>
  <c r="E432" i="3"/>
  <c r="D432" i="3"/>
  <c r="C432" i="3"/>
  <c r="I432" i="3" s="1"/>
  <c r="B432" i="3"/>
  <c r="A432" i="3"/>
  <c r="H431" i="3"/>
  <c r="G431" i="3"/>
  <c r="F431" i="3"/>
  <c r="E431" i="3"/>
  <c r="D431" i="3"/>
  <c r="I431" i="3" s="1"/>
  <c r="C431" i="3"/>
  <c r="B431" i="3"/>
  <c r="A431" i="3"/>
  <c r="H430" i="3"/>
  <c r="F430" i="3"/>
  <c r="E430" i="3"/>
  <c r="G430" i="3" s="1"/>
  <c r="D430" i="3"/>
  <c r="I430" i="3" s="1"/>
  <c r="C430" i="3"/>
  <c r="B430" i="3"/>
  <c r="A430" i="3"/>
  <c r="I429" i="3"/>
  <c r="H429" i="3"/>
  <c r="F429" i="3"/>
  <c r="E429" i="3"/>
  <c r="G429" i="3" s="1"/>
  <c r="D429" i="3"/>
  <c r="C429" i="3"/>
  <c r="B429" i="3"/>
  <c r="A429" i="3"/>
  <c r="H428" i="3"/>
  <c r="G428" i="3"/>
  <c r="F428" i="3"/>
  <c r="E428" i="3"/>
  <c r="D428" i="3"/>
  <c r="C428" i="3"/>
  <c r="I428" i="3" s="1"/>
  <c r="B428" i="3"/>
  <c r="A428" i="3"/>
  <c r="H427" i="3"/>
  <c r="G427" i="3"/>
  <c r="F427" i="3"/>
  <c r="E427" i="3"/>
  <c r="D427" i="3"/>
  <c r="I427" i="3" s="1"/>
  <c r="C427" i="3"/>
  <c r="B427" i="3"/>
  <c r="A427" i="3"/>
  <c r="H426" i="3"/>
  <c r="F426" i="3"/>
  <c r="E426" i="3"/>
  <c r="G426" i="3" s="1"/>
  <c r="D426" i="3"/>
  <c r="I426" i="3" s="1"/>
  <c r="C426" i="3"/>
  <c r="B426" i="3"/>
  <c r="A426" i="3"/>
  <c r="I425" i="3"/>
  <c r="H425" i="3"/>
  <c r="F425" i="3"/>
  <c r="E425" i="3"/>
  <c r="G425" i="3" s="1"/>
  <c r="D425" i="3"/>
  <c r="C425" i="3"/>
  <c r="B425" i="3"/>
  <c r="A425" i="3"/>
  <c r="H424" i="3"/>
  <c r="G424" i="3"/>
  <c r="F424" i="3"/>
  <c r="E424" i="3"/>
  <c r="D424" i="3"/>
  <c r="C424" i="3"/>
  <c r="I424" i="3" s="1"/>
  <c r="B424" i="3"/>
  <c r="A424" i="3"/>
  <c r="H423" i="3"/>
  <c r="G423" i="3"/>
  <c r="F423" i="3"/>
  <c r="E423" i="3"/>
  <c r="D423" i="3"/>
  <c r="I423" i="3" s="1"/>
  <c r="C423" i="3"/>
  <c r="B423" i="3"/>
  <c r="A423" i="3"/>
  <c r="H422" i="3"/>
  <c r="F422" i="3"/>
  <c r="E422" i="3"/>
  <c r="G422" i="3" s="1"/>
  <c r="D422" i="3"/>
  <c r="I422" i="3" s="1"/>
  <c r="C422" i="3"/>
  <c r="B422" i="3"/>
  <c r="A422" i="3"/>
  <c r="I421" i="3"/>
  <c r="H421" i="3"/>
  <c r="F421" i="3"/>
  <c r="E421" i="3"/>
  <c r="G421" i="3" s="1"/>
  <c r="D421" i="3"/>
  <c r="C421" i="3"/>
  <c r="B421" i="3"/>
  <c r="A421" i="3"/>
  <c r="H420" i="3"/>
  <c r="G420" i="3"/>
  <c r="F420" i="3"/>
  <c r="E420" i="3"/>
  <c r="D420" i="3"/>
  <c r="C420" i="3"/>
  <c r="I420" i="3" s="1"/>
  <c r="B420" i="3"/>
  <c r="A420" i="3"/>
  <c r="H419" i="3"/>
  <c r="G419" i="3"/>
  <c r="F419" i="3"/>
  <c r="E419" i="3"/>
  <c r="D419" i="3"/>
  <c r="I419" i="3" s="1"/>
  <c r="C419" i="3"/>
  <c r="B419" i="3"/>
  <c r="A419" i="3"/>
  <c r="H418" i="3"/>
  <c r="F418" i="3"/>
  <c r="E418" i="3"/>
  <c r="G418" i="3" s="1"/>
  <c r="D418" i="3"/>
  <c r="I418" i="3" s="1"/>
  <c r="C418" i="3"/>
  <c r="B418" i="3"/>
  <c r="A418" i="3"/>
  <c r="I417" i="3"/>
  <c r="H417" i="3"/>
  <c r="F417" i="3"/>
  <c r="E417" i="3"/>
  <c r="G417" i="3" s="1"/>
  <c r="D417" i="3"/>
  <c r="C417" i="3"/>
  <c r="B417" i="3"/>
  <c r="A417" i="3"/>
  <c r="H416" i="3"/>
  <c r="G416" i="3"/>
  <c r="F416" i="3"/>
  <c r="E416" i="3"/>
  <c r="D416" i="3"/>
  <c r="C416" i="3"/>
  <c r="I416" i="3" s="1"/>
  <c r="B416" i="3"/>
  <c r="A416" i="3"/>
  <c r="H415" i="3"/>
  <c r="G415" i="3"/>
  <c r="F415" i="3"/>
  <c r="E415" i="3"/>
  <c r="D415" i="3"/>
  <c r="I415" i="3" s="1"/>
  <c r="C415" i="3"/>
  <c r="B415" i="3"/>
  <c r="A415" i="3"/>
  <c r="H414" i="3"/>
  <c r="F414" i="3"/>
  <c r="E414" i="3"/>
  <c r="G414" i="3" s="1"/>
  <c r="D414" i="3"/>
  <c r="I414" i="3" s="1"/>
  <c r="C414" i="3"/>
  <c r="B414" i="3"/>
  <c r="A414" i="3"/>
  <c r="I413" i="3"/>
  <c r="H413" i="3"/>
  <c r="F413" i="3"/>
  <c r="E413" i="3"/>
  <c r="G413" i="3" s="1"/>
  <c r="D413" i="3"/>
  <c r="C413" i="3"/>
  <c r="B413" i="3"/>
  <c r="A413" i="3"/>
  <c r="H412" i="3"/>
  <c r="G412" i="3"/>
  <c r="F412" i="3"/>
  <c r="E412" i="3"/>
  <c r="D412" i="3"/>
  <c r="C412" i="3"/>
  <c r="I412" i="3" s="1"/>
  <c r="B412" i="3"/>
  <c r="A412" i="3"/>
  <c r="H411" i="3"/>
  <c r="G411" i="3"/>
  <c r="F411" i="3"/>
  <c r="E411" i="3"/>
  <c r="D411" i="3"/>
  <c r="I411" i="3" s="1"/>
  <c r="C411" i="3"/>
  <c r="B411" i="3"/>
  <c r="A411" i="3"/>
  <c r="H410" i="3"/>
  <c r="F410" i="3"/>
  <c r="E410" i="3"/>
  <c r="G410" i="3" s="1"/>
  <c r="D410" i="3"/>
  <c r="I410" i="3" s="1"/>
  <c r="C410" i="3"/>
  <c r="B410" i="3"/>
  <c r="A410" i="3"/>
  <c r="I409" i="3"/>
  <c r="H409" i="3"/>
  <c r="F409" i="3"/>
  <c r="E409" i="3"/>
  <c r="G409" i="3" s="1"/>
  <c r="D409" i="3"/>
  <c r="C409" i="3"/>
  <c r="B409" i="3"/>
  <c r="A409" i="3"/>
  <c r="H408" i="3"/>
  <c r="G408" i="3"/>
  <c r="F408" i="3"/>
  <c r="E408" i="3"/>
  <c r="D408" i="3"/>
  <c r="C408" i="3"/>
  <c r="I408" i="3" s="1"/>
  <c r="B408" i="3"/>
  <c r="A408" i="3"/>
  <c r="H407" i="3"/>
  <c r="G407" i="3"/>
  <c r="F407" i="3"/>
  <c r="E407" i="3"/>
  <c r="D407" i="3"/>
  <c r="I407" i="3" s="1"/>
  <c r="C407" i="3"/>
  <c r="B407" i="3"/>
  <c r="A407" i="3"/>
  <c r="H406" i="3"/>
  <c r="F406" i="3"/>
  <c r="E406" i="3"/>
  <c r="G406" i="3" s="1"/>
  <c r="D406" i="3"/>
  <c r="I406" i="3" s="1"/>
  <c r="C406" i="3"/>
  <c r="B406" i="3"/>
  <c r="A406" i="3"/>
  <c r="I405" i="3"/>
  <c r="H405" i="3"/>
  <c r="F405" i="3"/>
  <c r="E405" i="3"/>
  <c r="G405" i="3" s="1"/>
  <c r="D405" i="3"/>
  <c r="C405" i="3"/>
  <c r="B405" i="3"/>
  <c r="A405" i="3"/>
  <c r="H404" i="3"/>
  <c r="G404" i="3"/>
  <c r="F404" i="3"/>
  <c r="E404" i="3"/>
  <c r="D404" i="3"/>
  <c r="C404" i="3"/>
  <c r="I404" i="3" s="1"/>
  <c r="B404" i="3"/>
  <c r="A404" i="3"/>
  <c r="H403" i="3"/>
  <c r="G403" i="3"/>
  <c r="F403" i="3"/>
  <c r="E403" i="3"/>
  <c r="D403" i="3"/>
  <c r="I403" i="3" s="1"/>
  <c r="C403" i="3"/>
  <c r="B403" i="3"/>
  <c r="A403" i="3"/>
  <c r="H402" i="3"/>
  <c r="F402" i="3"/>
  <c r="E402" i="3"/>
  <c r="G402" i="3" s="1"/>
  <c r="D402" i="3"/>
  <c r="I402" i="3" s="1"/>
  <c r="C402" i="3"/>
  <c r="B402" i="3"/>
  <c r="A402" i="3"/>
  <c r="I401" i="3"/>
  <c r="H401" i="3"/>
  <c r="F401" i="3"/>
  <c r="E401" i="3"/>
  <c r="G401" i="3" s="1"/>
  <c r="D401" i="3"/>
  <c r="C401" i="3"/>
  <c r="B401" i="3"/>
  <c r="A401" i="3"/>
  <c r="H400" i="3"/>
  <c r="G400" i="3"/>
  <c r="F400" i="3"/>
  <c r="E400" i="3"/>
  <c r="D400" i="3"/>
  <c r="C400" i="3"/>
  <c r="I400" i="3" s="1"/>
  <c r="B400" i="3"/>
  <c r="A400" i="3"/>
  <c r="H399" i="3"/>
  <c r="G399" i="3"/>
  <c r="F399" i="3"/>
  <c r="E399" i="3"/>
  <c r="D399" i="3"/>
  <c r="I399" i="3" s="1"/>
  <c r="C399" i="3"/>
  <c r="B399" i="3"/>
  <c r="A399" i="3"/>
  <c r="H398" i="3"/>
  <c r="F398" i="3"/>
  <c r="E398" i="3"/>
  <c r="G398" i="3" s="1"/>
  <c r="D398" i="3"/>
  <c r="I398" i="3" s="1"/>
  <c r="C398" i="3"/>
  <c r="B398" i="3"/>
  <c r="A398" i="3"/>
  <c r="I397" i="3"/>
  <c r="H397" i="3"/>
  <c r="F397" i="3"/>
  <c r="E397" i="3"/>
  <c r="G397" i="3" s="1"/>
  <c r="D397" i="3"/>
  <c r="C397" i="3"/>
  <c r="B397" i="3"/>
  <c r="A397" i="3"/>
  <c r="H396" i="3"/>
  <c r="G396" i="3"/>
  <c r="F396" i="3"/>
  <c r="E396" i="3"/>
  <c r="D396" i="3"/>
  <c r="C396" i="3"/>
  <c r="I396" i="3" s="1"/>
  <c r="B396" i="3"/>
  <c r="A396" i="3"/>
  <c r="H395" i="3"/>
  <c r="G395" i="3"/>
  <c r="F395" i="3"/>
  <c r="E395" i="3"/>
  <c r="D395" i="3"/>
  <c r="I395" i="3" s="1"/>
  <c r="C395" i="3"/>
  <c r="B395" i="3"/>
  <c r="A395" i="3"/>
  <c r="H394" i="3"/>
  <c r="F394" i="3"/>
  <c r="E394" i="3"/>
  <c r="G394" i="3" s="1"/>
  <c r="D394" i="3"/>
  <c r="I394" i="3" s="1"/>
  <c r="C394" i="3"/>
  <c r="B394" i="3"/>
  <c r="A394" i="3"/>
  <c r="I393" i="3"/>
  <c r="H393" i="3"/>
  <c r="F393" i="3"/>
  <c r="E393" i="3"/>
  <c r="G393" i="3" s="1"/>
  <c r="D393" i="3"/>
  <c r="C393" i="3"/>
  <c r="B393" i="3"/>
  <c r="A393" i="3"/>
  <c r="H392" i="3"/>
  <c r="G392" i="3"/>
  <c r="F392" i="3"/>
  <c r="E392" i="3"/>
  <c r="D392" i="3"/>
  <c r="C392" i="3"/>
  <c r="I392" i="3" s="1"/>
  <c r="B392" i="3"/>
  <c r="A392" i="3"/>
  <c r="H391" i="3"/>
  <c r="G391" i="3"/>
  <c r="F391" i="3"/>
  <c r="E391" i="3"/>
  <c r="D391" i="3"/>
  <c r="I391" i="3" s="1"/>
  <c r="C391" i="3"/>
  <c r="B391" i="3"/>
  <c r="A391" i="3"/>
  <c r="H390" i="3"/>
  <c r="F390" i="3"/>
  <c r="E390" i="3"/>
  <c r="G390" i="3" s="1"/>
  <c r="D390" i="3"/>
  <c r="I390" i="3" s="1"/>
  <c r="C390" i="3"/>
  <c r="B390" i="3"/>
  <c r="A390" i="3"/>
  <c r="I389" i="3"/>
  <c r="H389" i="3"/>
  <c r="F389" i="3"/>
  <c r="E389" i="3"/>
  <c r="G389" i="3" s="1"/>
  <c r="D389" i="3"/>
  <c r="C389" i="3"/>
  <c r="B389" i="3"/>
  <c r="A389" i="3"/>
  <c r="H388" i="3"/>
  <c r="G388" i="3"/>
  <c r="F388" i="3"/>
  <c r="E388" i="3"/>
  <c r="D388" i="3"/>
  <c r="C388" i="3"/>
  <c r="I388" i="3" s="1"/>
  <c r="B388" i="3"/>
  <c r="A388" i="3"/>
  <c r="H387" i="3"/>
  <c r="G387" i="3"/>
  <c r="F387" i="3"/>
  <c r="E387" i="3"/>
  <c r="D387" i="3"/>
  <c r="I387" i="3" s="1"/>
  <c r="C387" i="3"/>
  <c r="B387" i="3"/>
  <c r="A387" i="3"/>
  <c r="H386" i="3"/>
  <c r="F386" i="3"/>
  <c r="E386" i="3"/>
  <c r="G386" i="3" s="1"/>
  <c r="D386" i="3"/>
  <c r="I386" i="3" s="1"/>
  <c r="C386" i="3"/>
  <c r="B386" i="3"/>
  <c r="A386" i="3"/>
  <c r="I385" i="3"/>
  <c r="H385" i="3"/>
  <c r="F385" i="3"/>
  <c r="E385" i="3"/>
  <c r="G385" i="3" s="1"/>
  <c r="D385" i="3"/>
  <c r="C385" i="3"/>
  <c r="B385" i="3"/>
  <c r="A385" i="3"/>
  <c r="H384" i="3"/>
  <c r="G384" i="3"/>
  <c r="F384" i="3"/>
  <c r="E384" i="3"/>
  <c r="D384" i="3"/>
  <c r="C384" i="3"/>
  <c r="I384" i="3" s="1"/>
  <c r="B384" i="3"/>
  <c r="A384" i="3"/>
  <c r="H383" i="3"/>
  <c r="G383" i="3"/>
  <c r="F383" i="3"/>
  <c r="E383" i="3"/>
  <c r="D383" i="3"/>
  <c r="I383" i="3" s="1"/>
  <c r="F64" i="2" s="1"/>
  <c r="C383" i="3"/>
  <c r="B383" i="3"/>
  <c r="A383" i="3"/>
  <c r="H382" i="3"/>
  <c r="F382" i="3"/>
  <c r="E382" i="3"/>
  <c r="G382" i="3" s="1"/>
  <c r="D382" i="3"/>
  <c r="I382" i="3" s="1"/>
  <c r="C382" i="3"/>
  <c r="B382" i="3"/>
  <c r="A382" i="3"/>
  <c r="I381" i="3"/>
  <c r="H381" i="3"/>
  <c r="F381" i="3"/>
  <c r="E381" i="3"/>
  <c r="G381" i="3" s="1"/>
  <c r="D381" i="3"/>
  <c r="C381" i="3"/>
  <c r="B381" i="3"/>
  <c r="A381" i="3"/>
  <c r="H380" i="3"/>
  <c r="G380" i="3"/>
  <c r="F380" i="3"/>
  <c r="E380" i="3"/>
  <c r="D380" i="3"/>
  <c r="C380" i="3"/>
  <c r="I380" i="3" s="1"/>
  <c r="B380" i="3"/>
  <c r="A380" i="3"/>
  <c r="H379" i="3"/>
  <c r="G379" i="3"/>
  <c r="F379" i="3"/>
  <c r="E379" i="3"/>
  <c r="D379" i="3"/>
  <c r="I379" i="3" s="1"/>
  <c r="C379" i="3"/>
  <c r="B379" i="3"/>
  <c r="A379" i="3"/>
  <c r="H378" i="3"/>
  <c r="F378" i="3"/>
  <c r="E378" i="3"/>
  <c r="G378" i="3" s="1"/>
  <c r="D378" i="3"/>
  <c r="I378" i="3" s="1"/>
  <c r="C378" i="3"/>
  <c r="B378" i="3"/>
  <c r="A378" i="3"/>
  <c r="I377" i="3"/>
  <c r="H377" i="3"/>
  <c r="F377" i="3"/>
  <c r="E377" i="3"/>
  <c r="G377" i="3" s="1"/>
  <c r="D377" i="3"/>
  <c r="C377" i="3"/>
  <c r="B377" i="3"/>
  <c r="A377" i="3"/>
  <c r="H376" i="3"/>
  <c r="G376" i="3"/>
  <c r="F376" i="3"/>
  <c r="E376" i="3"/>
  <c r="D376" i="3"/>
  <c r="C376" i="3"/>
  <c r="I376" i="3" s="1"/>
  <c r="B376" i="3"/>
  <c r="A376" i="3"/>
  <c r="H375" i="3"/>
  <c r="G375" i="3"/>
  <c r="F375" i="3"/>
  <c r="E375" i="3"/>
  <c r="D375" i="3"/>
  <c r="I375" i="3" s="1"/>
  <c r="C375" i="3"/>
  <c r="B375" i="3"/>
  <c r="A375" i="3"/>
  <c r="H374" i="3"/>
  <c r="F374" i="3"/>
  <c r="E374" i="3"/>
  <c r="G374" i="3" s="1"/>
  <c r="D374" i="3"/>
  <c r="I374" i="3" s="1"/>
  <c r="C374" i="3"/>
  <c r="B374" i="3"/>
  <c r="A374" i="3"/>
  <c r="I373" i="3"/>
  <c r="H373" i="3"/>
  <c r="F373" i="3"/>
  <c r="E373" i="3"/>
  <c r="G373" i="3" s="1"/>
  <c r="D373" i="3"/>
  <c r="C373" i="3"/>
  <c r="B373" i="3"/>
  <c r="A373" i="3"/>
  <c r="H372" i="3"/>
  <c r="G372" i="3"/>
  <c r="F372" i="3"/>
  <c r="E372" i="3"/>
  <c r="D372" i="3"/>
  <c r="C372" i="3"/>
  <c r="I372" i="3" s="1"/>
  <c r="B372" i="3"/>
  <c r="A372" i="3"/>
  <c r="H371" i="3"/>
  <c r="G371" i="3"/>
  <c r="F371" i="3"/>
  <c r="E371" i="3"/>
  <c r="D371" i="3"/>
  <c r="I371" i="3" s="1"/>
  <c r="C371" i="3"/>
  <c r="B371" i="3"/>
  <c r="A371" i="3"/>
  <c r="H370" i="3"/>
  <c r="F370" i="3"/>
  <c r="E370" i="3"/>
  <c r="G370" i="3" s="1"/>
  <c r="D370" i="3"/>
  <c r="I370" i="3" s="1"/>
  <c r="C370" i="3"/>
  <c r="B370" i="3"/>
  <c r="A370" i="3"/>
  <c r="I369" i="3"/>
  <c r="H369" i="3"/>
  <c r="F369" i="3"/>
  <c r="E369" i="3"/>
  <c r="G369" i="3" s="1"/>
  <c r="D369" i="3"/>
  <c r="C369" i="3"/>
  <c r="B369" i="3"/>
  <c r="A369" i="3"/>
  <c r="H368" i="3"/>
  <c r="G368" i="3"/>
  <c r="F368" i="3"/>
  <c r="E368" i="3"/>
  <c r="D368" i="3"/>
  <c r="C368" i="3"/>
  <c r="I368" i="3" s="1"/>
  <c r="B368" i="3"/>
  <c r="A368" i="3"/>
  <c r="H367" i="3"/>
  <c r="G367" i="3"/>
  <c r="F367" i="3"/>
  <c r="E367" i="3"/>
  <c r="D367" i="3"/>
  <c r="I367" i="3" s="1"/>
  <c r="C367" i="3"/>
  <c r="B367" i="3"/>
  <c r="A367" i="3"/>
  <c r="H366" i="3"/>
  <c r="F366" i="3"/>
  <c r="E366" i="3"/>
  <c r="G366" i="3" s="1"/>
  <c r="D366" i="3"/>
  <c r="I366" i="3" s="1"/>
  <c r="C366" i="3"/>
  <c r="B366" i="3"/>
  <c r="A366" i="3"/>
  <c r="I365" i="3"/>
  <c r="H365" i="3"/>
  <c r="F365" i="3"/>
  <c r="E365" i="3"/>
  <c r="G365" i="3" s="1"/>
  <c r="D365" i="3"/>
  <c r="C365" i="3"/>
  <c r="B365" i="3"/>
  <c r="A365" i="3"/>
  <c r="H364" i="3"/>
  <c r="G364" i="3"/>
  <c r="F364" i="3"/>
  <c r="E364" i="3"/>
  <c r="D364" i="3"/>
  <c r="C364" i="3"/>
  <c r="I364" i="3" s="1"/>
  <c r="B364" i="3"/>
  <c r="A364" i="3"/>
  <c r="H363" i="3"/>
  <c r="G363" i="3"/>
  <c r="F363" i="3"/>
  <c r="E363" i="3"/>
  <c r="D363" i="3"/>
  <c r="I363" i="3" s="1"/>
  <c r="C363" i="3"/>
  <c r="B363" i="3"/>
  <c r="A363" i="3"/>
  <c r="H362" i="3"/>
  <c r="F362" i="3"/>
  <c r="E362" i="3"/>
  <c r="G362" i="3" s="1"/>
  <c r="D362" i="3"/>
  <c r="I362" i="3" s="1"/>
  <c r="C362" i="3"/>
  <c r="B362" i="3"/>
  <c r="A362" i="3"/>
  <c r="I361" i="3"/>
  <c r="H361" i="3"/>
  <c r="F361" i="3"/>
  <c r="E361" i="3"/>
  <c r="G361" i="3" s="1"/>
  <c r="D361" i="3"/>
  <c r="C361" i="3"/>
  <c r="B361" i="3"/>
  <c r="A361" i="3"/>
  <c r="H360" i="3"/>
  <c r="G360" i="3"/>
  <c r="F360" i="3"/>
  <c r="E360" i="3"/>
  <c r="D360" i="3"/>
  <c r="C360" i="3"/>
  <c r="I360" i="3" s="1"/>
  <c r="B360" i="3"/>
  <c r="A360" i="3"/>
  <c r="H359" i="3"/>
  <c r="G359" i="3"/>
  <c r="F359" i="3"/>
  <c r="E359" i="3"/>
  <c r="D359" i="3"/>
  <c r="I359" i="3" s="1"/>
  <c r="C359" i="3"/>
  <c r="B359" i="3"/>
  <c r="A359" i="3"/>
  <c r="H358" i="3"/>
  <c r="F358" i="3"/>
  <c r="E358" i="3"/>
  <c r="G358" i="3" s="1"/>
  <c r="D358" i="3"/>
  <c r="I358" i="3" s="1"/>
  <c r="C358" i="3"/>
  <c r="B358" i="3"/>
  <c r="A358" i="3"/>
  <c r="I357" i="3"/>
  <c r="H357" i="3"/>
  <c r="F357" i="3"/>
  <c r="E357" i="3"/>
  <c r="G357" i="3" s="1"/>
  <c r="D357" i="3"/>
  <c r="C357" i="3"/>
  <c r="B357" i="3"/>
  <c r="A357" i="3"/>
  <c r="H356" i="3"/>
  <c r="G356" i="3"/>
  <c r="F356" i="3"/>
  <c r="E356" i="3"/>
  <c r="D356" i="3"/>
  <c r="C356" i="3"/>
  <c r="I356" i="3" s="1"/>
  <c r="B356" i="3"/>
  <c r="A356" i="3"/>
  <c r="H355" i="3"/>
  <c r="G355" i="3"/>
  <c r="F355" i="3"/>
  <c r="E355" i="3"/>
  <c r="D355" i="3"/>
  <c r="I355" i="3" s="1"/>
  <c r="C355" i="3"/>
  <c r="B355" i="3"/>
  <c r="A355" i="3"/>
  <c r="H354" i="3"/>
  <c r="G354" i="3"/>
  <c r="F354" i="3"/>
  <c r="E354" i="3"/>
  <c r="D354" i="3"/>
  <c r="C354" i="3"/>
  <c r="I354" i="3" s="1"/>
  <c r="B354" i="3"/>
  <c r="A354" i="3"/>
  <c r="H353" i="3"/>
  <c r="F353" i="3"/>
  <c r="E353" i="3"/>
  <c r="G353" i="3" s="1"/>
  <c r="D353" i="3"/>
  <c r="I353" i="3" s="1"/>
  <c r="C353" i="3"/>
  <c r="B353" i="3"/>
  <c r="A353" i="3"/>
  <c r="I352" i="3"/>
  <c r="H352" i="3"/>
  <c r="F352" i="3"/>
  <c r="E352" i="3"/>
  <c r="G352" i="3" s="1"/>
  <c r="D352" i="3"/>
  <c r="C352" i="3"/>
  <c r="B352" i="3"/>
  <c r="A352" i="3"/>
  <c r="H351" i="3"/>
  <c r="G351" i="3"/>
  <c r="F351" i="3"/>
  <c r="E351" i="3"/>
  <c r="D351" i="3"/>
  <c r="I351" i="3" s="1"/>
  <c r="C351" i="3"/>
  <c r="B351" i="3"/>
  <c r="A351" i="3"/>
  <c r="I350" i="3"/>
  <c r="H350" i="3"/>
  <c r="F350" i="3"/>
  <c r="E350" i="3"/>
  <c r="G350" i="3" s="1"/>
  <c r="D350" i="3"/>
  <c r="C350" i="3"/>
  <c r="B350" i="3"/>
  <c r="A350" i="3"/>
  <c r="H349" i="3"/>
  <c r="F349" i="3"/>
  <c r="E349" i="3"/>
  <c r="G349" i="3" s="1"/>
  <c r="D349" i="3"/>
  <c r="I349" i="3" s="1"/>
  <c r="C349" i="3"/>
  <c r="B349" i="3"/>
  <c r="A349" i="3"/>
  <c r="H348" i="3"/>
  <c r="G348" i="3"/>
  <c r="F348" i="3"/>
  <c r="E348" i="3"/>
  <c r="D348" i="3"/>
  <c r="C348" i="3"/>
  <c r="I348" i="3" s="1"/>
  <c r="B348" i="3"/>
  <c r="A348" i="3"/>
  <c r="H347" i="3"/>
  <c r="G347" i="3"/>
  <c r="F347" i="3"/>
  <c r="E347" i="3"/>
  <c r="D347" i="3"/>
  <c r="I347" i="3" s="1"/>
  <c r="C347" i="3"/>
  <c r="B347" i="3"/>
  <c r="A347" i="3"/>
  <c r="H346" i="3"/>
  <c r="G346" i="3"/>
  <c r="F346" i="3"/>
  <c r="E346" i="3"/>
  <c r="D346" i="3"/>
  <c r="C346" i="3"/>
  <c r="I346" i="3" s="1"/>
  <c r="B346" i="3"/>
  <c r="A346" i="3"/>
  <c r="H345" i="3"/>
  <c r="F345" i="3"/>
  <c r="E345" i="3"/>
  <c r="G345" i="3" s="1"/>
  <c r="D345" i="3"/>
  <c r="I345" i="3" s="1"/>
  <c r="C345" i="3"/>
  <c r="B345" i="3"/>
  <c r="A345" i="3"/>
  <c r="I344" i="3"/>
  <c r="H344" i="3"/>
  <c r="F344" i="3"/>
  <c r="E344" i="3"/>
  <c r="G344" i="3" s="1"/>
  <c r="D344" i="3"/>
  <c r="C344" i="3"/>
  <c r="B344" i="3"/>
  <c r="A344" i="3"/>
  <c r="H343" i="3"/>
  <c r="G343" i="3"/>
  <c r="F343" i="3"/>
  <c r="E343" i="3"/>
  <c r="D343" i="3"/>
  <c r="I343" i="3" s="1"/>
  <c r="C343" i="3"/>
  <c r="B343" i="3"/>
  <c r="A343" i="3"/>
  <c r="I342" i="3"/>
  <c r="H342" i="3"/>
  <c r="F342" i="3"/>
  <c r="E342" i="3"/>
  <c r="G342" i="3" s="1"/>
  <c r="D342" i="3"/>
  <c r="C342" i="3"/>
  <c r="B342" i="3"/>
  <c r="A342" i="3"/>
  <c r="H341" i="3"/>
  <c r="F341" i="3"/>
  <c r="E341" i="3"/>
  <c r="G341" i="3" s="1"/>
  <c r="D341" i="3"/>
  <c r="I341" i="3" s="1"/>
  <c r="C341" i="3"/>
  <c r="B341" i="3"/>
  <c r="A341" i="3"/>
  <c r="H340" i="3"/>
  <c r="G340" i="3"/>
  <c r="F340" i="3"/>
  <c r="E340" i="3"/>
  <c r="D340" i="3"/>
  <c r="C340" i="3"/>
  <c r="I340" i="3" s="1"/>
  <c r="B340" i="3"/>
  <c r="A340" i="3"/>
  <c r="H339" i="3"/>
  <c r="G339" i="3"/>
  <c r="F339" i="3"/>
  <c r="E339" i="3"/>
  <c r="D339" i="3"/>
  <c r="I339" i="3" s="1"/>
  <c r="C339" i="3"/>
  <c r="B339" i="3"/>
  <c r="A339" i="3"/>
  <c r="H338" i="3"/>
  <c r="G338" i="3"/>
  <c r="F338" i="3"/>
  <c r="E338" i="3"/>
  <c r="D338" i="3"/>
  <c r="C338" i="3"/>
  <c r="I338" i="3" s="1"/>
  <c r="B338" i="3"/>
  <c r="A338" i="3"/>
  <c r="H337" i="3"/>
  <c r="F337" i="3"/>
  <c r="E337" i="3"/>
  <c r="G337" i="3" s="1"/>
  <c r="D337" i="3"/>
  <c r="I337" i="3" s="1"/>
  <c r="C337" i="3"/>
  <c r="B337" i="3"/>
  <c r="A337" i="3"/>
  <c r="I336" i="3"/>
  <c r="H336" i="3"/>
  <c r="F336" i="3"/>
  <c r="E336" i="3"/>
  <c r="G336" i="3" s="1"/>
  <c r="D336" i="3"/>
  <c r="C336" i="3"/>
  <c r="B336" i="3"/>
  <c r="A336" i="3"/>
  <c r="H335" i="3"/>
  <c r="G335" i="3"/>
  <c r="F335" i="3"/>
  <c r="E335" i="3"/>
  <c r="D335" i="3"/>
  <c r="I335" i="3" s="1"/>
  <c r="C335" i="3"/>
  <c r="B335" i="3"/>
  <c r="A335" i="3"/>
  <c r="I334" i="3"/>
  <c r="H334" i="3"/>
  <c r="F334" i="3"/>
  <c r="E334" i="3"/>
  <c r="G334" i="3" s="1"/>
  <c r="D334" i="3"/>
  <c r="C334" i="3"/>
  <c r="B334" i="3"/>
  <c r="A334" i="3"/>
  <c r="H333" i="3"/>
  <c r="F333" i="3"/>
  <c r="E333" i="3"/>
  <c r="G333" i="3" s="1"/>
  <c r="D333" i="3"/>
  <c r="I333" i="3" s="1"/>
  <c r="C333" i="3"/>
  <c r="B333" i="3"/>
  <c r="A333" i="3"/>
  <c r="H332" i="3"/>
  <c r="G332" i="3"/>
  <c r="F332" i="3"/>
  <c r="E332" i="3"/>
  <c r="D332" i="3"/>
  <c r="C332" i="3"/>
  <c r="I332" i="3" s="1"/>
  <c r="B332" i="3"/>
  <c r="A332" i="3"/>
  <c r="H331" i="3"/>
  <c r="G331" i="3"/>
  <c r="F331" i="3"/>
  <c r="E331" i="3"/>
  <c r="D331" i="3"/>
  <c r="I331" i="3" s="1"/>
  <c r="C331" i="3"/>
  <c r="B331" i="3"/>
  <c r="A331" i="3"/>
  <c r="H330" i="3"/>
  <c r="G330" i="3"/>
  <c r="F330" i="3"/>
  <c r="E330" i="3"/>
  <c r="D330" i="3"/>
  <c r="C330" i="3"/>
  <c r="I330" i="3" s="1"/>
  <c r="B330" i="3"/>
  <c r="A330" i="3"/>
  <c r="H329" i="3"/>
  <c r="F329" i="3"/>
  <c r="E329" i="3"/>
  <c r="G329" i="3" s="1"/>
  <c r="D329" i="3"/>
  <c r="I329" i="3" s="1"/>
  <c r="C329" i="3"/>
  <c r="B329" i="3"/>
  <c r="A329" i="3"/>
  <c r="I328" i="3"/>
  <c r="H328" i="3"/>
  <c r="F328" i="3"/>
  <c r="E328" i="3"/>
  <c r="G328" i="3" s="1"/>
  <c r="D328" i="3"/>
  <c r="C328" i="3"/>
  <c r="B328" i="3"/>
  <c r="A328" i="3"/>
  <c r="H327" i="3"/>
  <c r="G327" i="3"/>
  <c r="F327" i="3"/>
  <c r="E327" i="3"/>
  <c r="D327" i="3"/>
  <c r="I327" i="3" s="1"/>
  <c r="C327" i="3"/>
  <c r="B327" i="3"/>
  <c r="A327" i="3"/>
  <c r="I326" i="3"/>
  <c r="H326" i="3"/>
  <c r="F326" i="3"/>
  <c r="E326" i="3"/>
  <c r="G326" i="3" s="1"/>
  <c r="D326" i="3"/>
  <c r="C326" i="3"/>
  <c r="B326" i="3"/>
  <c r="A326" i="3"/>
  <c r="H325" i="3"/>
  <c r="F325" i="3"/>
  <c r="E325" i="3"/>
  <c r="G325" i="3" s="1"/>
  <c r="D325" i="3"/>
  <c r="I325" i="3" s="1"/>
  <c r="C325" i="3"/>
  <c r="B325" i="3"/>
  <c r="A325" i="3"/>
  <c r="H324" i="3"/>
  <c r="G324" i="3"/>
  <c r="F324" i="3"/>
  <c r="E324" i="3"/>
  <c r="D324" i="3"/>
  <c r="C324" i="3"/>
  <c r="I324" i="3" s="1"/>
  <c r="B324" i="3"/>
  <c r="A324" i="3"/>
  <c r="H323" i="3"/>
  <c r="G323" i="3"/>
  <c r="F323" i="3"/>
  <c r="E323" i="3"/>
  <c r="D323" i="3"/>
  <c r="I323" i="3" s="1"/>
  <c r="C323" i="3"/>
  <c r="B323" i="3"/>
  <c r="A323" i="3"/>
  <c r="H322" i="3"/>
  <c r="G322" i="3"/>
  <c r="F322" i="3"/>
  <c r="E322" i="3"/>
  <c r="D322" i="3"/>
  <c r="C322" i="3"/>
  <c r="I322" i="3" s="1"/>
  <c r="B322" i="3"/>
  <c r="A322" i="3"/>
  <c r="H321" i="3"/>
  <c r="F321" i="3"/>
  <c r="E321" i="3"/>
  <c r="G321" i="3" s="1"/>
  <c r="D321" i="3"/>
  <c r="I321" i="3" s="1"/>
  <c r="C321" i="3"/>
  <c r="B321" i="3"/>
  <c r="A321" i="3"/>
  <c r="I320" i="3"/>
  <c r="H320" i="3"/>
  <c r="F320" i="3"/>
  <c r="E320" i="3"/>
  <c r="G320" i="3" s="1"/>
  <c r="D320" i="3"/>
  <c r="C320" i="3"/>
  <c r="B320" i="3"/>
  <c r="A320" i="3"/>
  <c r="H319" i="3"/>
  <c r="G319" i="3"/>
  <c r="F319" i="3"/>
  <c r="E319" i="3"/>
  <c r="D319" i="3"/>
  <c r="I319" i="3" s="1"/>
  <c r="C319" i="3"/>
  <c r="B319" i="3"/>
  <c r="A319" i="3"/>
  <c r="I318" i="3"/>
  <c r="H318" i="3"/>
  <c r="F318" i="3"/>
  <c r="E318" i="3"/>
  <c r="G318" i="3" s="1"/>
  <c r="D318" i="3"/>
  <c r="C318" i="3"/>
  <c r="B318" i="3"/>
  <c r="A318" i="3"/>
  <c r="H317" i="3"/>
  <c r="F317" i="3"/>
  <c r="E317" i="3"/>
  <c r="G317" i="3" s="1"/>
  <c r="D317" i="3"/>
  <c r="I317" i="3" s="1"/>
  <c r="C317" i="3"/>
  <c r="B317" i="3"/>
  <c r="A317" i="3"/>
  <c r="H316" i="3"/>
  <c r="G316" i="3"/>
  <c r="F316" i="3"/>
  <c r="E316" i="3"/>
  <c r="D316" i="3"/>
  <c r="C316" i="3"/>
  <c r="I316" i="3" s="1"/>
  <c r="B316" i="3"/>
  <c r="A316" i="3"/>
  <c r="H315" i="3"/>
  <c r="G315" i="3"/>
  <c r="F315" i="3"/>
  <c r="E315" i="3"/>
  <c r="D315" i="3"/>
  <c r="I315" i="3" s="1"/>
  <c r="C315" i="3"/>
  <c r="B315" i="3"/>
  <c r="A315" i="3"/>
  <c r="H314" i="3"/>
  <c r="G314" i="3"/>
  <c r="F314" i="3"/>
  <c r="E314" i="3"/>
  <c r="D314" i="3"/>
  <c r="C314" i="3"/>
  <c r="I314" i="3" s="1"/>
  <c r="B314" i="3"/>
  <c r="A314" i="3"/>
  <c r="H313" i="3"/>
  <c r="F313" i="3"/>
  <c r="E313" i="3"/>
  <c r="G313" i="3" s="1"/>
  <c r="D313" i="3"/>
  <c r="I313" i="3" s="1"/>
  <c r="C313" i="3"/>
  <c r="B313" i="3"/>
  <c r="A313" i="3"/>
  <c r="I312" i="3"/>
  <c r="H312" i="3"/>
  <c r="F312" i="3"/>
  <c r="E312" i="3"/>
  <c r="G312" i="3" s="1"/>
  <c r="D312" i="3"/>
  <c r="C312" i="3"/>
  <c r="B312" i="3"/>
  <c r="A312" i="3"/>
  <c r="H311" i="3"/>
  <c r="G311" i="3"/>
  <c r="F311" i="3"/>
  <c r="E311" i="3"/>
  <c r="D311" i="3"/>
  <c r="I311" i="3" s="1"/>
  <c r="C311" i="3"/>
  <c r="B311" i="3"/>
  <c r="A311" i="3"/>
  <c r="I310" i="3"/>
  <c r="H310" i="3"/>
  <c r="F310" i="3"/>
  <c r="E310" i="3"/>
  <c r="G310" i="3" s="1"/>
  <c r="D310" i="3"/>
  <c r="C310" i="3"/>
  <c r="B310" i="3"/>
  <c r="A310" i="3"/>
  <c r="H309" i="3"/>
  <c r="F309" i="3"/>
  <c r="E309" i="3"/>
  <c r="G309" i="3" s="1"/>
  <c r="D309" i="3"/>
  <c r="I309" i="3" s="1"/>
  <c r="C309" i="3"/>
  <c r="B309" i="3"/>
  <c r="A309" i="3"/>
  <c r="H308" i="3"/>
  <c r="G308" i="3"/>
  <c r="F308" i="3"/>
  <c r="E308" i="3"/>
  <c r="D308" i="3"/>
  <c r="C308" i="3"/>
  <c r="I308" i="3" s="1"/>
  <c r="B308" i="3"/>
  <c r="A308" i="3"/>
  <c r="H307" i="3"/>
  <c r="G307" i="3"/>
  <c r="F307" i="3"/>
  <c r="E307" i="3"/>
  <c r="D307" i="3"/>
  <c r="I307" i="3" s="1"/>
  <c r="C307" i="3"/>
  <c r="B307" i="3"/>
  <c r="A307" i="3"/>
  <c r="H306" i="3"/>
  <c r="G306" i="3"/>
  <c r="F306" i="3"/>
  <c r="E306" i="3"/>
  <c r="D306" i="3"/>
  <c r="C306" i="3"/>
  <c r="I306" i="3" s="1"/>
  <c r="B306" i="3"/>
  <c r="A306" i="3"/>
  <c r="H305" i="3"/>
  <c r="F305" i="3"/>
  <c r="E305" i="3"/>
  <c r="G305" i="3" s="1"/>
  <c r="D305" i="3"/>
  <c r="I305" i="3" s="1"/>
  <c r="C305" i="3"/>
  <c r="B305" i="3"/>
  <c r="A305" i="3"/>
  <c r="I304" i="3"/>
  <c r="H304" i="3"/>
  <c r="F304" i="3"/>
  <c r="E304" i="3"/>
  <c r="G304" i="3" s="1"/>
  <c r="D304" i="3"/>
  <c r="C304" i="3"/>
  <c r="B304" i="3"/>
  <c r="A304" i="3"/>
  <c r="H303" i="3"/>
  <c r="G303" i="3"/>
  <c r="F303" i="3"/>
  <c r="E303" i="3"/>
  <c r="D303" i="3"/>
  <c r="I303" i="3" s="1"/>
  <c r="C303" i="3"/>
  <c r="B303" i="3"/>
  <c r="A303" i="3"/>
  <c r="I302" i="3"/>
  <c r="H302" i="3"/>
  <c r="F302" i="3"/>
  <c r="E302" i="3"/>
  <c r="G302" i="3" s="1"/>
  <c r="D302" i="3"/>
  <c r="C302" i="3"/>
  <c r="B302" i="3"/>
  <c r="A302" i="3"/>
  <c r="H301" i="3"/>
  <c r="F301" i="3"/>
  <c r="E301" i="3"/>
  <c r="G301" i="3" s="1"/>
  <c r="D301" i="3"/>
  <c r="I301" i="3" s="1"/>
  <c r="C301" i="3"/>
  <c r="B301" i="3"/>
  <c r="A301" i="3"/>
  <c r="H300" i="3"/>
  <c r="G300" i="3"/>
  <c r="F300" i="3"/>
  <c r="E300" i="3"/>
  <c r="D300" i="3"/>
  <c r="C300" i="3"/>
  <c r="I300" i="3" s="1"/>
  <c r="B300" i="3"/>
  <c r="A300" i="3"/>
  <c r="H299" i="3"/>
  <c r="G299" i="3"/>
  <c r="F299" i="3"/>
  <c r="E299" i="3"/>
  <c r="D299" i="3"/>
  <c r="I299" i="3" s="1"/>
  <c r="C299" i="3"/>
  <c r="B299" i="3"/>
  <c r="A299" i="3"/>
  <c r="H298" i="3"/>
  <c r="G298" i="3"/>
  <c r="F298" i="3"/>
  <c r="E298" i="3"/>
  <c r="D298" i="3"/>
  <c r="C298" i="3"/>
  <c r="I298" i="3" s="1"/>
  <c r="B298" i="3"/>
  <c r="A298" i="3"/>
  <c r="H297" i="3"/>
  <c r="F297" i="3"/>
  <c r="E297" i="3"/>
  <c r="G297" i="3" s="1"/>
  <c r="D297" i="3"/>
  <c r="I297" i="3" s="1"/>
  <c r="C297" i="3"/>
  <c r="B297" i="3"/>
  <c r="A297" i="3"/>
  <c r="I296" i="3"/>
  <c r="H296" i="3"/>
  <c r="F296" i="3"/>
  <c r="E296" i="3"/>
  <c r="G296" i="3" s="1"/>
  <c r="D296" i="3"/>
  <c r="C296" i="3"/>
  <c r="B296" i="3"/>
  <c r="A296" i="3"/>
  <c r="H295" i="3"/>
  <c r="G295" i="3"/>
  <c r="F295" i="3"/>
  <c r="E295" i="3"/>
  <c r="D295" i="3"/>
  <c r="I295" i="3" s="1"/>
  <c r="C295" i="3"/>
  <c r="B295" i="3"/>
  <c r="A295" i="3"/>
  <c r="I294" i="3"/>
  <c r="H294" i="3"/>
  <c r="F294" i="3"/>
  <c r="E294" i="3"/>
  <c r="G294" i="3" s="1"/>
  <c r="D294" i="3"/>
  <c r="C294" i="3"/>
  <c r="B294" i="3"/>
  <c r="A294" i="3"/>
  <c r="H293" i="3"/>
  <c r="F293" i="3"/>
  <c r="E293" i="3"/>
  <c r="G293" i="3" s="1"/>
  <c r="D293" i="3"/>
  <c r="I293" i="3" s="1"/>
  <c r="C293" i="3"/>
  <c r="B293" i="3"/>
  <c r="A293" i="3"/>
  <c r="H292" i="3"/>
  <c r="G292" i="3"/>
  <c r="F292" i="3"/>
  <c r="E292" i="3"/>
  <c r="D292" i="3"/>
  <c r="C292" i="3"/>
  <c r="I292" i="3" s="1"/>
  <c r="B292" i="3"/>
  <c r="A292" i="3"/>
  <c r="H291" i="3"/>
  <c r="G291" i="3"/>
  <c r="F291" i="3"/>
  <c r="E291" i="3"/>
  <c r="D291" i="3"/>
  <c r="I291" i="3" s="1"/>
  <c r="C291" i="3"/>
  <c r="B291" i="3"/>
  <c r="A291" i="3"/>
  <c r="H290" i="3"/>
  <c r="G290" i="3"/>
  <c r="F290" i="3"/>
  <c r="E290" i="3"/>
  <c r="D290" i="3"/>
  <c r="C290" i="3"/>
  <c r="I290" i="3" s="1"/>
  <c r="B290" i="3"/>
  <c r="A290" i="3"/>
  <c r="H289" i="3"/>
  <c r="F289" i="3"/>
  <c r="E289" i="3"/>
  <c r="G289" i="3" s="1"/>
  <c r="D289" i="3"/>
  <c r="I289" i="3" s="1"/>
  <c r="C289" i="3"/>
  <c r="B289" i="3"/>
  <c r="A289" i="3"/>
  <c r="I288" i="3"/>
  <c r="H288" i="3"/>
  <c r="F288" i="3"/>
  <c r="E288" i="3"/>
  <c r="G288" i="3" s="1"/>
  <c r="D288" i="3"/>
  <c r="C288" i="3"/>
  <c r="B288" i="3"/>
  <c r="A288" i="3"/>
  <c r="H287" i="3"/>
  <c r="G287" i="3"/>
  <c r="F287" i="3"/>
  <c r="E287" i="3"/>
  <c r="D287" i="3"/>
  <c r="I287" i="3" s="1"/>
  <c r="C287" i="3"/>
  <c r="B287" i="3"/>
  <c r="A287" i="3"/>
  <c r="I286" i="3"/>
  <c r="H286" i="3"/>
  <c r="F286" i="3"/>
  <c r="E286" i="3"/>
  <c r="G286" i="3" s="1"/>
  <c r="D286" i="3"/>
  <c r="C286" i="3"/>
  <c r="B286" i="3"/>
  <c r="A286" i="3"/>
  <c r="H285" i="3"/>
  <c r="F285" i="3"/>
  <c r="E285" i="3"/>
  <c r="G285" i="3" s="1"/>
  <c r="D285" i="3"/>
  <c r="I285" i="3" s="1"/>
  <c r="C285" i="3"/>
  <c r="B285" i="3"/>
  <c r="A285" i="3"/>
  <c r="H284" i="3"/>
  <c r="G284" i="3"/>
  <c r="F284" i="3"/>
  <c r="E284" i="3"/>
  <c r="D284" i="3"/>
  <c r="C284" i="3"/>
  <c r="I284" i="3" s="1"/>
  <c r="B284" i="3"/>
  <c r="A284" i="3"/>
  <c r="H283" i="3"/>
  <c r="G283" i="3"/>
  <c r="F283" i="3"/>
  <c r="E283" i="3"/>
  <c r="D283" i="3"/>
  <c r="I283" i="3" s="1"/>
  <c r="C283" i="3"/>
  <c r="B283" i="3"/>
  <c r="A283" i="3"/>
  <c r="H282" i="3"/>
  <c r="G282" i="3"/>
  <c r="F282" i="3"/>
  <c r="E282" i="3"/>
  <c r="D282" i="3"/>
  <c r="C282" i="3"/>
  <c r="I282" i="3" s="1"/>
  <c r="B282" i="3"/>
  <c r="A282" i="3"/>
  <c r="H281" i="3"/>
  <c r="F281" i="3"/>
  <c r="E281" i="3"/>
  <c r="G281" i="3" s="1"/>
  <c r="D281" i="3"/>
  <c r="I281" i="3" s="1"/>
  <c r="C281" i="3"/>
  <c r="B281" i="3"/>
  <c r="A281" i="3"/>
  <c r="I280" i="3"/>
  <c r="H280" i="3"/>
  <c r="F280" i="3"/>
  <c r="E280" i="3"/>
  <c r="G280" i="3" s="1"/>
  <c r="D280" i="3"/>
  <c r="C280" i="3"/>
  <c r="B280" i="3"/>
  <c r="A280" i="3"/>
  <c r="H279" i="3"/>
  <c r="G279" i="3"/>
  <c r="F279" i="3"/>
  <c r="E279" i="3"/>
  <c r="D279" i="3"/>
  <c r="I279" i="3" s="1"/>
  <c r="C279" i="3"/>
  <c r="B279" i="3"/>
  <c r="A279" i="3"/>
  <c r="I278" i="3"/>
  <c r="H278" i="3"/>
  <c r="F278" i="3"/>
  <c r="E278" i="3"/>
  <c r="G278" i="3" s="1"/>
  <c r="D278" i="3"/>
  <c r="C278" i="3"/>
  <c r="B278" i="3"/>
  <c r="A278" i="3"/>
  <c r="H277" i="3"/>
  <c r="F277" i="3"/>
  <c r="E277" i="3"/>
  <c r="G277" i="3" s="1"/>
  <c r="D277" i="3"/>
  <c r="I277" i="3" s="1"/>
  <c r="C277" i="3"/>
  <c r="B277" i="3"/>
  <c r="A277" i="3"/>
  <c r="H276" i="3"/>
  <c r="G276" i="3"/>
  <c r="F276" i="3"/>
  <c r="E276" i="3"/>
  <c r="D276" i="3"/>
  <c r="C276" i="3"/>
  <c r="I276" i="3" s="1"/>
  <c r="B276" i="3"/>
  <c r="A276" i="3"/>
  <c r="H275" i="3"/>
  <c r="G275" i="3"/>
  <c r="F275" i="3"/>
  <c r="E275" i="3"/>
  <c r="D275" i="3"/>
  <c r="I275" i="3" s="1"/>
  <c r="C275" i="3"/>
  <c r="B275" i="3"/>
  <c r="A275" i="3"/>
  <c r="H274" i="3"/>
  <c r="G274" i="3"/>
  <c r="F274" i="3"/>
  <c r="E274" i="3"/>
  <c r="D274" i="3"/>
  <c r="C274" i="3"/>
  <c r="I274" i="3" s="1"/>
  <c r="B274" i="3"/>
  <c r="A274" i="3"/>
  <c r="H273" i="3"/>
  <c r="F273" i="3"/>
  <c r="E273" i="3"/>
  <c r="G273" i="3" s="1"/>
  <c r="D273" i="3"/>
  <c r="I273" i="3" s="1"/>
  <c r="C273" i="3"/>
  <c r="B273" i="3"/>
  <c r="A273" i="3"/>
  <c r="I272" i="3"/>
  <c r="H272" i="3"/>
  <c r="F272" i="3"/>
  <c r="E272" i="3"/>
  <c r="G272" i="3" s="1"/>
  <c r="D272" i="3"/>
  <c r="C272" i="3"/>
  <c r="B272" i="3"/>
  <c r="A272" i="3"/>
  <c r="H271" i="3"/>
  <c r="G271" i="3"/>
  <c r="F271" i="3"/>
  <c r="E271" i="3"/>
  <c r="D271" i="3"/>
  <c r="I271" i="3" s="1"/>
  <c r="C271" i="3"/>
  <c r="B271" i="3"/>
  <c r="A271" i="3"/>
  <c r="I270" i="3"/>
  <c r="H270" i="3"/>
  <c r="F270" i="3"/>
  <c r="E270" i="3"/>
  <c r="G270" i="3" s="1"/>
  <c r="D270" i="3"/>
  <c r="C270" i="3"/>
  <c r="B270" i="3"/>
  <c r="A270" i="3"/>
  <c r="H269" i="3"/>
  <c r="F269" i="3"/>
  <c r="E269" i="3"/>
  <c r="G269" i="3" s="1"/>
  <c r="D269" i="3"/>
  <c r="I269" i="3" s="1"/>
  <c r="C269" i="3"/>
  <c r="B269" i="3"/>
  <c r="A269" i="3"/>
  <c r="H268" i="3"/>
  <c r="G268" i="3"/>
  <c r="F268" i="3"/>
  <c r="E268" i="3"/>
  <c r="D268" i="3"/>
  <c r="C268" i="3"/>
  <c r="I268" i="3" s="1"/>
  <c r="B268" i="3"/>
  <c r="A268" i="3"/>
  <c r="H267" i="3"/>
  <c r="G267" i="3"/>
  <c r="F267" i="3"/>
  <c r="E267" i="3"/>
  <c r="D267" i="3"/>
  <c r="I267" i="3" s="1"/>
  <c r="C267" i="3"/>
  <c r="B267" i="3"/>
  <c r="A267" i="3"/>
  <c r="H266" i="3"/>
  <c r="G266" i="3"/>
  <c r="F266" i="3"/>
  <c r="E266" i="3"/>
  <c r="D266" i="3"/>
  <c r="C266" i="3"/>
  <c r="I266" i="3" s="1"/>
  <c r="B266" i="3"/>
  <c r="A266" i="3"/>
  <c r="H265" i="3"/>
  <c r="F265" i="3"/>
  <c r="E265" i="3"/>
  <c r="G265" i="3" s="1"/>
  <c r="D265" i="3"/>
  <c r="I265" i="3" s="1"/>
  <c r="C265" i="3"/>
  <c r="B265" i="3"/>
  <c r="A265" i="3"/>
  <c r="I264" i="3"/>
  <c r="H264" i="3"/>
  <c r="F264" i="3"/>
  <c r="E264" i="3"/>
  <c r="G264" i="3" s="1"/>
  <c r="D264" i="3"/>
  <c r="C264" i="3"/>
  <c r="B264" i="3"/>
  <c r="A264" i="3"/>
  <c r="H263" i="3"/>
  <c r="G263" i="3"/>
  <c r="F263" i="3"/>
  <c r="E263" i="3"/>
  <c r="D263" i="3"/>
  <c r="I263" i="3" s="1"/>
  <c r="C263" i="3"/>
  <c r="B263" i="3"/>
  <c r="A263" i="3"/>
  <c r="I262" i="3"/>
  <c r="H262" i="3"/>
  <c r="F262" i="3"/>
  <c r="E262" i="3"/>
  <c r="G262" i="3" s="1"/>
  <c r="D262" i="3"/>
  <c r="C262" i="3"/>
  <c r="B262" i="3"/>
  <c r="A262" i="3"/>
  <c r="H261" i="3"/>
  <c r="F261" i="3"/>
  <c r="E261" i="3"/>
  <c r="G261" i="3" s="1"/>
  <c r="D261" i="3"/>
  <c r="I261" i="3" s="1"/>
  <c r="C261" i="3"/>
  <c r="B261" i="3"/>
  <c r="A261" i="3"/>
  <c r="H260" i="3"/>
  <c r="G260" i="3"/>
  <c r="F260" i="3"/>
  <c r="E260" i="3"/>
  <c r="D260" i="3"/>
  <c r="C260" i="3"/>
  <c r="I260" i="3" s="1"/>
  <c r="B260" i="3"/>
  <c r="A260" i="3"/>
  <c r="H259" i="3"/>
  <c r="G259" i="3"/>
  <c r="F259" i="3"/>
  <c r="E259" i="3"/>
  <c r="D259" i="3"/>
  <c r="I259" i="3" s="1"/>
  <c r="C259" i="3"/>
  <c r="B259" i="3"/>
  <c r="A259" i="3"/>
  <c r="H258" i="3"/>
  <c r="G258" i="3"/>
  <c r="F258" i="3"/>
  <c r="E258" i="3"/>
  <c r="D258" i="3"/>
  <c r="C258" i="3"/>
  <c r="I258" i="3" s="1"/>
  <c r="B258" i="3"/>
  <c r="A258" i="3"/>
  <c r="H257" i="3"/>
  <c r="F257" i="3"/>
  <c r="E257" i="3"/>
  <c r="G257" i="3" s="1"/>
  <c r="D257" i="3"/>
  <c r="I257" i="3" s="1"/>
  <c r="C257" i="3"/>
  <c r="B257" i="3"/>
  <c r="A257" i="3"/>
  <c r="I256" i="3"/>
  <c r="H256" i="3"/>
  <c r="F256" i="3"/>
  <c r="E256" i="3"/>
  <c r="G256" i="3" s="1"/>
  <c r="D256" i="3"/>
  <c r="C256" i="3"/>
  <c r="B256" i="3"/>
  <c r="A256" i="3"/>
  <c r="H255" i="3"/>
  <c r="G255" i="3"/>
  <c r="F255" i="3"/>
  <c r="E255" i="3"/>
  <c r="D255" i="3"/>
  <c r="I255" i="3" s="1"/>
  <c r="C255" i="3"/>
  <c r="B255" i="3"/>
  <c r="A255" i="3"/>
  <c r="I254" i="3"/>
  <c r="H254" i="3"/>
  <c r="F254" i="3"/>
  <c r="E254" i="3"/>
  <c r="G254" i="3" s="1"/>
  <c r="D254" i="3"/>
  <c r="C254" i="3"/>
  <c r="B254" i="3"/>
  <c r="A254" i="3"/>
  <c r="H253" i="3"/>
  <c r="F253" i="3"/>
  <c r="E253" i="3"/>
  <c r="G253" i="3" s="1"/>
  <c r="D253" i="3"/>
  <c r="I253" i="3" s="1"/>
  <c r="C253" i="3"/>
  <c r="B253" i="3"/>
  <c r="A253" i="3"/>
  <c r="H252" i="3"/>
  <c r="G252" i="3"/>
  <c r="F252" i="3"/>
  <c r="E252" i="3"/>
  <c r="D252" i="3"/>
  <c r="C252" i="3"/>
  <c r="I252" i="3" s="1"/>
  <c r="B252" i="3"/>
  <c r="A252" i="3"/>
  <c r="H251" i="3"/>
  <c r="G251" i="3"/>
  <c r="F251" i="3"/>
  <c r="E251" i="3"/>
  <c r="D251" i="3"/>
  <c r="I251" i="3" s="1"/>
  <c r="C251" i="3"/>
  <c r="B251" i="3"/>
  <c r="A251" i="3"/>
  <c r="H250" i="3"/>
  <c r="G250" i="3"/>
  <c r="F250" i="3"/>
  <c r="E250" i="3"/>
  <c r="D250" i="3"/>
  <c r="C250" i="3"/>
  <c r="I250" i="3" s="1"/>
  <c r="B250" i="3"/>
  <c r="A250" i="3"/>
  <c r="H249" i="3"/>
  <c r="F249" i="3"/>
  <c r="E249" i="3"/>
  <c r="G249" i="3" s="1"/>
  <c r="D249" i="3"/>
  <c r="I249" i="3" s="1"/>
  <c r="C249" i="3"/>
  <c r="B249" i="3"/>
  <c r="A249" i="3"/>
  <c r="I248" i="3"/>
  <c r="H248" i="3"/>
  <c r="F248" i="3"/>
  <c r="E248" i="3"/>
  <c r="G248" i="3" s="1"/>
  <c r="D248" i="3"/>
  <c r="C248" i="3"/>
  <c r="B248" i="3"/>
  <c r="A248" i="3"/>
  <c r="H247" i="3"/>
  <c r="G247" i="3"/>
  <c r="F247" i="3"/>
  <c r="E247" i="3"/>
  <c r="D247" i="3"/>
  <c r="I247" i="3" s="1"/>
  <c r="C247" i="3"/>
  <c r="B247" i="3"/>
  <c r="A247" i="3"/>
  <c r="I246" i="3"/>
  <c r="H246" i="3"/>
  <c r="F246" i="3"/>
  <c r="E246" i="3"/>
  <c r="G246" i="3" s="1"/>
  <c r="D246" i="3"/>
  <c r="C246" i="3"/>
  <c r="B246" i="3"/>
  <c r="A246" i="3"/>
  <c r="H245" i="3"/>
  <c r="F245" i="3"/>
  <c r="E245" i="3"/>
  <c r="G245" i="3" s="1"/>
  <c r="D245" i="3"/>
  <c r="I245" i="3" s="1"/>
  <c r="C245" i="3"/>
  <c r="B245" i="3"/>
  <c r="A245" i="3"/>
  <c r="H244" i="3"/>
  <c r="G244" i="3"/>
  <c r="F244" i="3"/>
  <c r="E244" i="3"/>
  <c r="D244" i="3"/>
  <c r="C244" i="3"/>
  <c r="I244" i="3" s="1"/>
  <c r="B244" i="3"/>
  <c r="A244" i="3"/>
  <c r="H243" i="3"/>
  <c r="G243" i="3"/>
  <c r="F243" i="3"/>
  <c r="E243" i="3"/>
  <c r="D243" i="3"/>
  <c r="I243" i="3" s="1"/>
  <c r="C243" i="3"/>
  <c r="B243" i="3"/>
  <c r="A243" i="3"/>
  <c r="H242" i="3"/>
  <c r="G242" i="3"/>
  <c r="F242" i="3"/>
  <c r="E242" i="3"/>
  <c r="D242" i="3"/>
  <c r="C242" i="3"/>
  <c r="I242" i="3" s="1"/>
  <c r="B242" i="3"/>
  <c r="A242" i="3"/>
  <c r="H241" i="3"/>
  <c r="F241" i="3"/>
  <c r="E241" i="3"/>
  <c r="G241" i="3" s="1"/>
  <c r="D241" i="3"/>
  <c r="I241" i="3" s="1"/>
  <c r="C241" i="3"/>
  <c r="B241" i="3"/>
  <c r="A241" i="3"/>
  <c r="I240" i="3"/>
  <c r="H240" i="3"/>
  <c r="F240" i="3"/>
  <c r="E240" i="3"/>
  <c r="G240" i="3" s="1"/>
  <c r="D240" i="3"/>
  <c r="C240" i="3"/>
  <c r="B240" i="3"/>
  <c r="A240" i="3"/>
  <c r="H239" i="3"/>
  <c r="G239" i="3"/>
  <c r="F239" i="3"/>
  <c r="E239" i="3"/>
  <c r="D239" i="3"/>
  <c r="I239" i="3" s="1"/>
  <c r="C239" i="3"/>
  <c r="B239" i="3"/>
  <c r="A239" i="3"/>
  <c r="I238" i="3"/>
  <c r="H238" i="3"/>
  <c r="F238" i="3"/>
  <c r="E238" i="3"/>
  <c r="G238" i="3" s="1"/>
  <c r="D238" i="3"/>
  <c r="C238" i="3"/>
  <c r="B238" i="3"/>
  <c r="A238" i="3"/>
  <c r="H237" i="3"/>
  <c r="F237" i="3"/>
  <c r="E237" i="3"/>
  <c r="G237" i="3" s="1"/>
  <c r="D237" i="3"/>
  <c r="I237" i="3" s="1"/>
  <c r="C237" i="3"/>
  <c r="B237" i="3"/>
  <c r="A237" i="3"/>
  <c r="H236" i="3"/>
  <c r="G236" i="3"/>
  <c r="F236" i="3"/>
  <c r="E236" i="3"/>
  <c r="D236" i="3"/>
  <c r="C236" i="3"/>
  <c r="I236" i="3" s="1"/>
  <c r="B236" i="3"/>
  <c r="A236" i="3"/>
  <c r="H235" i="3"/>
  <c r="G235" i="3"/>
  <c r="F235" i="3"/>
  <c r="E235" i="3"/>
  <c r="D235" i="3"/>
  <c r="I235" i="3" s="1"/>
  <c r="C235" i="3"/>
  <c r="B235" i="3"/>
  <c r="A235" i="3"/>
  <c r="H234" i="3"/>
  <c r="G234" i="3"/>
  <c r="F234" i="3"/>
  <c r="E234" i="3"/>
  <c r="D234" i="3"/>
  <c r="C234" i="3"/>
  <c r="I234" i="3" s="1"/>
  <c r="B234" i="3"/>
  <c r="A234" i="3"/>
  <c r="H233" i="3"/>
  <c r="F233" i="3"/>
  <c r="E233" i="3"/>
  <c r="G233" i="3" s="1"/>
  <c r="D233" i="3"/>
  <c r="I233" i="3" s="1"/>
  <c r="C233" i="3"/>
  <c r="B233" i="3"/>
  <c r="A233" i="3"/>
  <c r="I232" i="3"/>
  <c r="H232" i="3"/>
  <c r="F232" i="3"/>
  <c r="E232" i="3"/>
  <c r="G232" i="3" s="1"/>
  <c r="D232" i="3"/>
  <c r="C232" i="3"/>
  <c r="B232" i="3"/>
  <c r="A232" i="3"/>
  <c r="H231" i="3"/>
  <c r="G231" i="3"/>
  <c r="F231" i="3"/>
  <c r="E231" i="3"/>
  <c r="D231" i="3"/>
  <c r="I231" i="3" s="1"/>
  <c r="C231" i="3"/>
  <c r="B231" i="3"/>
  <c r="A231" i="3"/>
  <c r="I230" i="3"/>
  <c r="H230" i="3"/>
  <c r="F230" i="3"/>
  <c r="E230" i="3"/>
  <c r="G230" i="3" s="1"/>
  <c r="D230" i="3"/>
  <c r="C230" i="3"/>
  <c r="B230" i="3"/>
  <c r="A230" i="3"/>
  <c r="H229" i="3"/>
  <c r="F229" i="3"/>
  <c r="E229" i="3"/>
  <c r="G229" i="3" s="1"/>
  <c r="D229" i="3"/>
  <c r="I229" i="3" s="1"/>
  <c r="C229" i="3"/>
  <c r="B229" i="3"/>
  <c r="A229" i="3"/>
  <c r="H228" i="3"/>
  <c r="G228" i="3"/>
  <c r="F228" i="3"/>
  <c r="E228" i="3"/>
  <c r="D228" i="3"/>
  <c r="C228" i="3"/>
  <c r="I228" i="3" s="1"/>
  <c r="B228" i="3"/>
  <c r="A228" i="3"/>
  <c r="H227" i="3"/>
  <c r="G227" i="3"/>
  <c r="F227" i="3"/>
  <c r="E227" i="3"/>
  <c r="D227" i="3"/>
  <c r="I227" i="3" s="1"/>
  <c r="C227" i="3"/>
  <c r="B227" i="3"/>
  <c r="A227" i="3"/>
  <c r="H226" i="3"/>
  <c r="G226" i="3"/>
  <c r="F226" i="3"/>
  <c r="E226" i="3"/>
  <c r="D226" i="3"/>
  <c r="C226" i="3"/>
  <c r="I226" i="3" s="1"/>
  <c r="B226" i="3"/>
  <c r="A226" i="3"/>
  <c r="H225" i="3"/>
  <c r="F225" i="3"/>
  <c r="E225" i="3"/>
  <c r="G225" i="3" s="1"/>
  <c r="D225" i="3"/>
  <c r="I225" i="3" s="1"/>
  <c r="C225" i="3"/>
  <c r="B225" i="3"/>
  <c r="A225" i="3"/>
  <c r="I224" i="3"/>
  <c r="H224" i="3"/>
  <c r="F224" i="3"/>
  <c r="E224" i="3"/>
  <c r="G224" i="3" s="1"/>
  <c r="D224" i="3"/>
  <c r="C224" i="3"/>
  <c r="B224" i="3"/>
  <c r="A224" i="3"/>
  <c r="H223" i="3"/>
  <c r="G223" i="3"/>
  <c r="F223" i="3"/>
  <c r="E223" i="3"/>
  <c r="D223" i="3"/>
  <c r="I223" i="3" s="1"/>
  <c r="C223" i="3"/>
  <c r="B223" i="3"/>
  <c r="A223" i="3"/>
  <c r="I222" i="3"/>
  <c r="H222" i="3"/>
  <c r="F222" i="3"/>
  <c r="E222" i="3"/>
  <c r="G222" i="3" s="1"/>
  <c r="D222" i="3"/>
  <c r="C222" i="3"/>
  <c r="B222" i="3"/>
  <c r="A222" i="3"/>
  <c r="H221" i="3"/>
  <c r="F221" i="3"/>
  <c r="E221" i="3"/>
  <c r="G221" i="3" s="1"/>
  <c r="D221" i="3"/>
  <c r="I221" i="3" s="1"/>
  <c r="C221" i="3"/>
  <c r="B221" i="3"/>
  <c r="A221" i="3"/>
  <c r="H220" i="3"/>
  <c r="G220" i="3"/>
  <c r="F220" i="3"/>
  <c r="E220" i="3"/>
  <c r="D220" i="3"/>
  <c r="C220" i="3"/>
  <c r="I220" i="3" s="1"/>
  <c r="B220" i="3"/>
  <c r="A220" i="3"/>
  <c r="H219" i="3"/>
  <c r="G219" i="3"/>
  <c r="F219" i="3"/>
  <c r="E219" i="3"/>
  <c r="D219" i="3"/>
  <c r="I219" i="3" s="1"/>
  <c r="C219" i="3"/>
  <c r="B219" i="3"/>
  <c r="A219" i="3"/>
  <c r="H218" i="3"/>
  <c r="G218" i="3"/>
  <c r="F218" i="3"/>
  <c r="E218" i="3"/>
  <c r="D218" i="3"/>
  <c r="C218" i="3"/>
  <c r="I218" i="3" s="1"/>
  <c r="B218" i="3"/>
  <c r="A218" i="3"/>
  <c r="H217" i="3"/>
  <c r="F217" i="3"/>
  <c r="E217" i="3"/>
  <c r="G217" i="3" s="1"/>
  <c r="D217" i="3"/>
  <c r="I217" i="3" s="1"/>
  <c r="C217" i="3"/>
  <c r="B217" i="3"/>
  <c r="A217" i="3"/>
  <c r="I216" i="3"/>
  <c r="H216" i="3"/>
  <c r="F216" i="3"/>
  <c r="E216" i="3"/>
  <c r="G216" i="3" s="1"/>
  <c r="D216" i="3"/>
  <c r="C216" i="3"/>
  <c r="B216" i="3"/>
  <c r="A216" i="3"/>
  <c r="H215" i="3"/>
  <c r="G215" i="3"/>
  <c r="F215" i="3"/>
  <c r="E215" i="3"/>
  <c r="D215" i="3"/>
  <c r="I215" i="3" s="1"/>
  <c r="C215" i="3"/>
  <c r="B215" i="3"/>
  <c r="A215" i="3"/>
  <c r="I214" i="3"/>
  <c r="H214" i="3"/>
  <c r="F214" i="3"/>
  <c r="E214" i="3"/>
  <c r="G214" i="3" s="1"/>
  <c r="D214" i="3"/>
  <c r="C214" i="3"/>
  <c r="B214" i="3"/>
  <c r="A214" i="3"/>
  <c r="H213" i="3"/>
  <c r="F213" i="3"/>
  <c r="E213" i="3"/>
  <c r="G213" i="3" s="1"/>
  <c r="D213" i="3"/>
  <c r="I213" i="3" s="1"/>
  <c r="C213" i="3"/>
  <c r="B213" i="3"/>
  <c r="A213" i="3"/>
  <c r="H212" i="3"/>
  <c r="G212" i="3"/>
  <c r="F212" i="3"/>
  <c r="E212" i="3"/>
  <c r="D212" i="3"/>
  <c r="C212" i="3"/>
  <c r="I212" i="3" s="1"/>
  <c r="B212" i="3"/>
  <c r="A212" i="3"/>
  <c r="H211" i="3"/>
  <c r="G211" i="3"/>
  <c r="F211" i="3"/>
  <c r="E211" i="3"/>
  <c r="D211" i="3"/>
  <c r="I211" i="3" s="1"/>
  <c r="C211" i="3"/>
  <c r="B211" i="3"/>
  <c r="A211" i="3"/>
  <c r="H210" i="3"/>
  <c r="G210" i="3"/>
  <c r="F210" i="3"/>
  <c r="E210" i="3"/>
  <c r="D210" i="3"/>
  <c r="C210" i="3"/>
  <c r="I210" i="3" s="1"/>
  <c r="B210" i="3"/>
  <c r="A210" i="3"/>
  <c r="H209" i="3"/>
  <c r="F209" i="3"/>
  <c r="E209" i="3"/>
  <c r="G209" i="3" s="1"/>
  <c r="D209" i="3"/>
  <c r="I209" i="3" s="1"/>
  <c r="C209" i="3"/>
  <c r="B209" i="3"/>
  <c r="A209" i="3"/>
  <c r="I208" i="3"/>
  <c r="H208" i="3"/>
  <c r="F208" i="3"/>
  <c r="E208" i="3"/>
  <c r="G208" i="3" s="1"/>
  <c r="D208" i="3"/>
  <c r="C208" i="3"/>
  <c r="B208" i="3"/>
  <c r="A208" i="3"/>
  <c r="H207" i="3"/>
  <c r="G207" i="3"/>
  <c r="F207" i="3"/>
  <c r="E207" i="3"/>
  <c r="D207" i="3"/>
  <c r="I207" i="3" s="1"/>
  <c r="C207" i="3"/>
  <c r="B207" i="3"/>
  <c r="A207" i="3"/>
  <c r="I206" i="3"/>
  <c r="H206" i="3"/>
  <c r="F206" i="3"/>
  <c r="E206" i="3"/>
  <c r="G206" i="3" s="1"/>
  <c r="D206" i="3"/>
  <c r="C206" i="3"/>
  <c r="B206" i="3"/>
  <c r="A206" i="3"/>
  <c r="H205" i="3"/>
  <c r="F205" i="3"/>
  <c r="E205" i="3"/>
  <c r="G205" i="3" s="1"/>
  <c r="D205" i="3"/>
  <c r="I205" i="3" s="1"/>
  <c r="C205" i="3"/>
  <c r="B205" i="3"/>
  <c r="A205" i="3"/>
  <c r="H204" i="3"/>
  <c r="G204" i="3"/>
  <c r="F204" i="3"/>
  <c r="E204" i="3"/>
  <c r="D204" i="3"/>
  <c r="C204" i="3"/>
  <c r="I204" i="3" s="1"/>
  <c r="B204" i="3"/>
  <c r="A204" i="3"/>
  <c r="H203" i="3"/>
  <c r="G203" i="3"/>
  <c r="F203" i="3"/>
  <c r="E203" i="3"/>
  <c r="D203" i="3"/>
  <c r="I203" i="3" s="1"/>
  <c r="C203" i="3"/>
  <c r="B203" i="3"/>
  <c r="A203" i="3"/>
  <c r="H202" i="3"/>
  <c r="G202" i="3"/>
  <c r="F202" i="3"/>
  <c r="E202" i="3"/>
  <c r="D202" i="3"/>
  <c r="C202" i="3"/>
  <c r="I202" i="3" s="1"/>
  <c r="B202" i="3"/>
  <c r="A202" i="3"/>
  <c r="H201" i="3"/>
  <c r="F201" i="3"/>
  <c r="E201" i="3"/>
  <c r="G201" i="3" s="1"/>
  <c r="D201" i="3"/>
  <c r="I201" i="3" s="1"/>
  <c r="C201" i="3"/>
  <c r="B201" i="3"/>
  <c r="A201" i="3"/>
  <c r="I200" i="3"/>
  <c r="H200" i="3"/>
  <c r="F200" i="3"/>
  <c r="E200" i="3"/>
  <c r="G200" i="3" s="1"/>
  <c r="D200" i="3"/>
  <c r="C200" i="3"/>
  <c r="B200" i="3"/>
  <c r="A200" i="3"/>
  <c r="H199" i="3"/>
  <c r="G199" i="3"/>
  <c r="F199" i="3"/>
  <c r="E199" i="3"/>
  <c r="D199" i="3"/>
  <c r="I199" i="3" s="1"/>
  <c r="C199" i="3"/>
  <c r="B199" i="3"/>
  <c r="A199" i="3"/>
  <c r="I198" i="3"/>
  <c r="H198" i="3"/>
  <c r="F198" i="3"/>
  <c r="E198" i="3"/>
  <c r="G198" i="3" s="1"/>
  <c r="D198" i="3"/>
  <c r="C198" i="3"/>
  <c r="B198" i="3"/>
  <c r="A198" i="3"/>
  <c r="H197" i="3"/>
  <c r="F197" i="3"/>
  <c r="E197" i="3"/>
  <c r="G197" i="3" s="1"/>
  <c r="D197" i="3"/>
  <c r="I197" i="3" s="1"/>
  <c r="C197" i="3"/>
  <c r="B197" i="3"/>
  <c r="A197" i="3"/>
  <c r="H196" i="3"/>
  <c r="G196" i="3"/>
  <c r="F196" i="3"/>
  <c r="E196" i="3"/>
  <c r="D196" i="3"/>
  <c r="C196" i="3"/>
  <c r="I196" i="3" s="1"/>
  <c r="B196" i="3"/>
  <c r="A196" i="3"/>
  <c r="H195" i="3"/>
  <c r="G195" i="3"/>
  <c r="F195" i="3"/>
  <c r="E195" i="3"/>
  <c r="D195" i="3"/>
  <c r="I195" i="3" s="1"/>
  <c r="C195" i="3"/>
  <c r="B195" i="3"/>
  <c r="A195" i="3"/>
  <c r="H194" i="3"/>
  <c r="G194" i="3"/>
  <c r="F194" i="3"/>
  <c r="E194" i="3"/>
  <c r="D194" i="3"/>
  <c r="C194" i="3"/>
  <c r="I194" i="3" s="1"/>
  <c r="B194" i="3"/>
  <c r="A194" i="3"/>
  <c r="H193" i="3"/>
  <c r="F193" i="3"/>
  <c r="E193" i="3"/>
  <c r="G193" i="3" s="1"/>
  <c r="D193" i="3"/>
  <c r="I193" i="3" s="1"/>
  <c r="C193" i="3"/>
  <c r="B193" i="3"/>
  <c r="A193" i="3"/>
  <c r="I192" i="3"/>
  <c r="H192" i="3"/>
  <c r="F192" i="3"/>
  <c r="E192" i="3"/>
  <c r="G192" i="3" s="1"/>
  <c r="D192" i="3"/>
  <c r="C192" i="3"/>
  <c r="B192" i="3"/>
  <c r="A192" i="3"/>
  <c r="H191" i="3"/>
  <c r="G191" i="3"/>
  <c r="F191" i="3"/>
  <c r="E191" i="3"/>
  <c r="D191" i="3"/>
  <c r="I191" i="3" s="1"/>
  <c r="C191" i="3"/>
  <c r="B191" i="3"/>
  <c r="A191" i="3"/>
  <c r="I190" i="3"/>
  <c r="H190" i="3"/>
  <c r="F190" i="3"/>
  <c r="E190" i="3"/>
  <c r="G190" i="3" s="1"/>
  <c r="D190" i="3"/>
  <c r="C190" i="3"/>
  <c r="B190" i="3"/>
  <c r="A190" i="3"/>
  <c r="H189" i="3"/>
  <c r="F189" i="3"/>
  <c r="E189" i="3"/>
  <c r="G189" i="3" s="1"/>
  <c r="D189" i="3"/>
  <c r="I189" i="3" s="1"/>
  <c r="C189" i="3"/>
  <c r="B189" i="3"/>
  <c r="A189" i="3"/>
  <c r="H188" i="3"/>
  <c r="G188" i="3"/>
  <c r="F188" i="3"/>
  <c r="E188" i="3"/>
  <c r="D188" i="3"/>
  <c r="C188" i="3"/>
  <c r="I188" i="3" s="1"/>
  <c r="B188" i="3"/>
  <c r="A188" i="3"/>
  <c r="H187" i="3"/>
  <c r="G187" i="3"/>
  <c r="F187" i="3"/>
  <c r="E187" i="3"/>
  <c r="D187" i="3"/>
  <c r="I187" i="3" s="1"/>
  <c r="C187" i="3"/>
  <c r="B187" i="3"/>
  <c r="A187" i="3"/>
  <c r="H186" i="3"/>
  <c r="G186" i="3"/>
  <c r="F186" i="3"/>
  <c r="E186" i="3"/>
  <c r="D186" i="3"/>
  <c r="C186" i="3"/>
  <c r="I186" i="3" s="1"/>
  <c r="B186" i="3"/>
  <c r="A186" i="3"/>
  <c r="H185" i="3"/>
  <c r="F185" i="3"/>
  <c r="E185" i="3"/>
  <c r="G185" i="3" s="1"/>
  <c r="D185" i="3"/>
  <c r="I185" i="3" s="1"/>
  <c r="C185" i="3"/>
  <c r="B185" i="3"/>
  <c r="A185" i="3"/>
  <c r="I184" i="3"/>
  <c r="H184" i="3"/>
  <c r="F184" i="3"/>
  <c r="E184" i="3"/>
  <c r="G184" i="3" s="1"/>
  <c r="D184" i="3"/>
  <c r="C184" i="3"/>
  <c r="B184" i="3"/>
  <c r="A184" i="3"/>
  <c r="H183" i="3"/>
  <c r="G183" i="3"/>
  <c r="F183" i="3"/>
  <c r="E183" i="3"/>
  <c r="D183" i="3"/>
  <c r="I183" i="3" s="1"/>
  <c r="C183" i="3"/>
  <c r="B183" i="3"/>
  <c r="A183" i="3"/>
  <c r="I182" i="3"/>
  <c r="H182" i="3"/>
  <c r="F182" i="3"/>
  <c r="E182" i="3"/>
  <c r="G182" i="3" s="1"/>
  <c r="D182" i="3"/>
  <c r="C182" i="3"/>
  <c r="B182" i="3"/>
  <c r="A182" i="3"/>
  <c r="H181" i="3"/>
  <c r="F181" i="3"/>
  <c r="E181" i="3"/>
  <c r="G181" i="3" s="1"/>
  <c r="D181" i="3"/>
  <c r="I181" i="3" s="1"/>
  <c r="C181" i="3"/>
  <c r="B181" i="3"/>
  <c r="A181" i="3"/>
  <c r="H180" i="3"/>
  <c r="G180" i="3"/>
  <c r="F180" i="3"/>
  <c r="E180" i="3"/>
  <c r="D180" i="3"/>
  <c r="C180" i="3"/>
  <c r="I180" i="3" s="1"/>
  <c r="B180" i="3"/>
  <c r="A180" i="3"/>
  <c r="H179" i="3"/>
  <c r="G179" i="3"/>
  <c r="F179" i="3"/>
  <c r="E179" i="3"/>
  <c r="D179" i="3"/>
  <c r="I179" i="3" s="1"/>
  <c r="C179" i="3"/>
  <c r="B179" i="3"/>
  <c r="A179" i="3"/>
  <c r="H178" i="3"/>
  <c r="G178" i="3"/>
  <c r="F178" i="3"/>
  <c r="E178" i="3"/>
  <c r="D178" i="3"/>
  <c r="C178" i="3"/>
  <c r="I178" i="3" s="1"/>
  <c r="B178" i="3"/>
  <c r="A178" i="3"/>
  <c r="H177" i="3"/>
  <c r="F177" i="3"/>
  <c r="E177" i="3"/>
  <c r="G177" i="3" s="1"/>
  <c r="D177" i="3"/>
  <c r="I177" i="3" s="1"/>
  <c r="C177" i="3"/>
  <c r="B177" i="3"/>
  <c r="A177" i="3"/>
  <c r="I176" i="3"/>
  <c r="H176" i="3"/>
  <c r="F176" i="3"/>
  <c r="E176" i="3"/>
  <c r="G176" i="3" s="1"/>
  <c r="D176" i="3"/>
  <c r="C176" i="3"/>
  <c r="B176" i="3"/>
  <c r="A176" i="3"/>
  <c r="H175" i="3"/>
  <c r="G175" i="3"/>
  <c r="F175" i="3"/>
  <c r="E175" i="3"/>
  <c r="D175" i="3"/>
  <c r="I175" i="3" s="1"/>
  <c r="C175" i="3"/>
  <c r="B175" i="3"/>
  <c r="A175" i="3"/>
  <c r="I174" i="3"/>
  <c r="H174" i="3"/>
  <c r="F174" i="3"/>
  <c r="E174" i="3"/>
  <c r="G174" i="3" s="1"/>
  <c r="D174" i="3"/>
  <c r="C174" i="3"/>
  <c r="B174" i="3"/>
  <c r="A174" i="3"/>
  <c r="H173" i="3"/>
  <c r="F173" i="3"/>
  <c r="E173" i="3"/>
  <c r="G173" i="3" s="1"/>
  <c r="D173" i="3"/>
  <c r="I173" i="3" s="1"/>
  <c r="C173" i="3"/>
  <c r="B173" i="3"/>
  <c r="A173" i="3"/>
  <c r="H172" i="3"/>
  <c r="G172" i="3"/>
  <c r="F172" i="3"/>
  <c r="E172" i="3"/>
  <c r="D172" i="3"/>
  <c r="C172" i="3"/>
  <c r="I172" i="3" s="1"/>
  <c r="B172" i="3"/>
  <c r="A172" i="3"/>
  <c r="H171" i="3"/>
  <c r="G171" i="3"/>
  <c r="F171" i="3"/>
  <c r="E171" i="3"/>
  <c r="D171" i="3"/>
  <c r="I171" i="3" s="1"/>
  <c r="C171" i="3"/>
  <c r="B171" i="3"/>
  <c r="A171" i="3"/>
  <c r="H170" i="3"/>
  <c r="G170" i="3"/>
  <c r="F170" i="3"/>
  <c r="E170" i="3"/>
  <c r="D170" i="3"/>
  <c r="C170" i="3"/>
  <c r="I170" i="3" s="1"/>
  <c r="B170" i="3"/>
  <c r="A170" i="3"/>
  <c r="H169" i="3"/>
  <c r="F169" i="3"/>
  <c r="E169" i="3"/>
  <c r="G169" i="3" s="1"/>
  <c r="D169" i="3"/>
  <c r="I169" i="3" s="1"/>
  <c r="C169" i="3"/>
  <c r="B169" i="3"/>
  <c r="A169" i="3"/>
  <c r="I168" i="3"/>
  <c r="H168" i="3"/>
  <c r="F168" i="3"/>
  <c r="E168" i="3"/>
  <c r="G168" i="3" s="1"/>
  <c r="D168" i="3"/>
  <c r="C168" i="3"/>
  <c r="B168" i="3"/>
  <c r="A168" i="3"/>
  <c r="H167" i="3"/>
  <c r="G167" i="3"/>
  <c r="F167" i="3"/>
  <c r="E167" i="3"/>
  <c r="D167" i="3"/>
  <c r="I167" i="3" s="1"/>
  <c r="C167" i="3"/>
  <c r="B167" i="3"/>
  <c r="A167" i="3"/>
  <c r="I166" i="3"/>
  <c r="H166" i="3"/>
  <c r="F166" i="3"/>
  <c r="E166" i="3"/>
  <c r="G166" i="3" s="1"/>
  <c r="D166" i="3"/>
  <c r="C166" i="3"/>
  <c r="B166" i="3"/>
  <c r="A166" i="3"/>
  <c r="H165" i="3"/>
  <c r="F165" i="3"/>
  <c r="E165" i="3"/>
  <c r="G165" i="3" s="1"/>
  <c r="D165" i="3"/>
  <c r="I165" i="3" s="1"/>
  <c r="C165" i="3"/>
  <c r="B165" i="3"/>
  <c r="A165" i="3"/>
  <c r="H164" i="3"/>
  <c r="G164" i="3"/>
  <c r="F164" i="3"/>
  <c r="E164" i="3"/>
  <c r="D164" i="3"/>
  <c r="C164" i="3"/>
  <c r="I164" i="3" s="1"/>
  <c r="B164" i="3"/>
  <c r="A164" i="3"/>
  <c r="H163" i="3"/>
  <c r="G163" i="3"/>
  <c r="F163" i="3"/>
  <c r="E163" i="3"/>
  <c r="D163" i="3"/>
  <c r="I163" i="3" s="1"/>
  <c r="C163" i="3"/>
  <c r="B163" i="3"/>
  <c r="A163" i="3"/>
  <c r="H162" i="3"/>
  <c r="G162" i="3"/>
  <c r="F162" i="3"/>
  <c r="E162" i="3"/>
  <c r="D162" i="3"/>
  <c r="C162" i="3"/>
  <c r="I162" i="3" s="1"/>
  <c r="B162" i="3"/>
  <c r="A162" i="3"/>
  <c r="H161" i="3"/>
  <c r="F161" i="3"/>
  <c r="E161" i="3"/>
  <c r="G161" i="3" s="1"/>
  <c r="D161" i="3"/>
  <c r="I161" i="3" s="1"/>
  <c r="C161" i="3"/>
  <c r="B161" i="3"/>
  <c r="A161" i="3"/>
  <c r="I160" i="3"/>
  <c r="H160" i="3"/>
  <c r="F160" i="3"/>
  <c r="E160" i="3"/>
  <c r="G160" i="3" s="1"/>
  <c r="D160" i="3"/>
  <c r="C160" i="3"/>
  <c r="B160" i="3"/>
  <c r="A160" i="3"/>
  <c r="H159" i="3"/>
  <c r="G159" i="3"/>
  <c r="F159" i="3"/>
  <c r="E159" i="3"/>
  <c r="D159" i="3"/>
  <c r="I159" i="3" s="1"/>
  <c r="C159" i="3"/>
  <c r="B159" i="3"/>
  <c r="A159" i="3"/>
  <c r="I158" i="3"/>
  <c r="H158" i="3"/>
  <c r="F158" i="3"/>
  <c r="E158" i="3"/>
  <c r="G158" i="3" s="1"/>
  <c r="D158" i="3"/>
  <c r="C158" i="3"/>
  <c r="B158" i="3"/>
  <c r="A158" i="3"/>
  <c r="H157" i="3"/>
  <c r="F157" i="3"/>
  <c r="E157" i="3"/>
  <c r="G157" i="3" s="1"/>
  <c r="D157" i="3"/>
  <c r="I157" i="3" s="1"/>
  <c r="C157" i="3"/>
  <c r="B157" i="3"/>
  <c r="A157" i="3"/>
  <c r="H156" i="3"/>
  <c r="G156" i="3"/>
  <c r="F156" i="3"/>
  <c r="E156" i="3"/>
  <c r="D156" i="3"/>
  <c r="C156" i="3"/>
  <c r="I156" i="3" s="1"/>
  <c r="B156" i="3"/>
  <c r="A156" i="3"/>
  <c r="H155" i="3"/>
  <c r="G155" i="3"/>
  <c r="F155" i="3"/>
  <c r="E155" i="3"/>
  <c r="D155" i="3"/>
  <c r="I155" i="3" s="1"/>
  <c r="C155" i="3"/>
  <c r="B155" i="3"/>
  <c r="A155" i="3"/>
  <c r="H154" i="3"/>
  <c r="G154" i="3"/>
  <c r="F154" i="3"/>
  <c r="E154" i="3"/>
  <c r="D154" i="3"/>
  <c r="C154" i="3"/>
  <c r="I154" i="3" s="1"/>
  <c r="B154" i="3"/>
  <c r="A154" i="3"/>
  <c r="H153" i="3"/>
  <c r="F153" i="3"/>
  <c r="E153" i="3"/>
  <c r="G153" i="3" s="1"/>
  <c r="D153" i="3"/>
  <c r="I153" i="3" s="1"/>
  <c r="C153" i="3"/>
  <c r="B153" i="3"/>
  <c r="A153" i="3"/>
  <c r="I152" i="3"/>
  <c r="H152" i="3"/>
  <c r="F152" i="3"/>
  <c r="E152" i="3"/>
  <c r="G152" i="3" s="1"/>
  <c r="D152" i="3"/>
  <c r="C152" i="3"/>
  <c r="B152" i="3"/>
  <c r="A152" i="3"/>
  <c r="H151" i="3"/>
  <c r="G151" i="3"/>
  <c r="F151" i="3"/>
  <c r="E151" i="3"/>
  <c r="D151" i="3"/>
  <c r="I151" i="3" s="1"/>
  <c r="C151" i="3"/>
  <c r="B151" i="3"/>
  <c r="A151" i="3"/>
  <c r="I150" i="3"/>
  <c r="H150" i="3"/>
  <c r="F150" i="3"/>
  <c r="E150" i="3"/>
  <c r="G150" i="3" s="1"/>
  <c r="D150" i="3"/>
  <c r="C150" i="3"/>
  <c r="B150" i="3"/>
  <c r="A150" i="3"/>
  <c r="H149" i="3"/>
  <c r="F149" i="3"/>
  <c r="E149" i="3"/>
  <c r="G149" i="3" s="1"/>
  <c r="D149" i="3"/>
  <c r="I149" i="3" s="1"/>
  <c r="C149" i="3"/>
  <c r="B149" i="3"/>
  <c r="A149" i="3"/>
  <c r="H148" i="3"/>
  <c r="G148" i="3"/>
  <c r="F148" i="3"/>
  <c r="E148" i="3"/>
  <c r="D148" i="3"/>
  <c r="C148" i="3"/>
  <c r="I148" i="3" s="1"/>
  <c r="B148" i="3"/>
  <c r="A148" i="3"/>
  <c r="H147" i="3"/>
  <c r="G147" i="3"/>
  <c r="F147" i="3"/>
  <c r="E147" i="3"/>
  <c r="D147" i="3"/>
  <c r="I147" i="3" s="1"/>
  <c r="C147" i="3"/>
  <c r="B147" i="3"/>
  <c r="A147" i="3"/>
  <c r="H146" i="3"/>
  <c r="G146" i="3"/>
  <c r="F146" i="3"/>
  <c r="E146" i="3"/>
  <c r="D146" i="3"/>
  <c r="C146" i="3"/>
  <c r="I146" i="3" s="1"/>
  <c r="B146" i="3"/>
  <c r="A146" i="3"/>
  <c r="H145" i="3"/>
  <c r="F145" i="3"/>
  <c r="E145" i="3"/>
  <c r="G145" i="3" s="1"/>
  <c r="D145" i="3"/>
  <c r="I145" i="3" s="1"/>
  <c r="C145" i="3"/>
  <c r="B145" i="3"/>
  <c r="A145" i="3"/>
  <c r="I144" i="3"/>
  <c r="H144" i="3"/>
  <c r="F144" i="3"/>
  <c r="E144" i="3"/>
  <c r="G144" i="3" s="1"/>
  <c r="D144" i="3"/>
  <c r="C144" i="3"/>
  <c r="B144" i="3"/>
  <c r="A144" i="3"/>
  <c r="H143" i="3"/>
  <c r="G143" i="3"/>
  <c r="F143" i="3"/>
  <c r="E143" i="3"/>
  <c r="D143" i="3"/>
  <c r="I143" i="3" s="1"/>
  <c r="C143" i="3"/>
  <c r="B143" i="3"/>
  <c r="A143" i="3"/>
  <c r="I142" i="3"/>
  <c r="H142" i="3"/>
  <c r="F142" i="3"/>
  <c r="E142" i="3"/>
  <c r="G142" i="3" s="1"/>
  <c r="D142" i="3"/>
  <c r="C142" i="3"/>
  <c r="B142" i="3"/>
  <c r="A142" i="3"/>
  <c r="H141" i="3"/>
  <c r="F141" i="3"/>
  <c r="E141" i="3"/>
  <c r="G141" i="3" s="1"/>
  <c r="D141" i="3"/>
  <c r="I141" i="3" s="1"/>
  <c r="C141" i="3"/>
  <c r="B141" i="3"/>
  <c r="A141" i="3"/>
  <c r="H140" i="3"/>
  <c r="G140" i="3"/>
  <c r="F140" i="3"/>
  <c r="E140" i="3"/>
  <c r="D140" i="3"/>
  <c r="C140" i="3"/>
  <c r="I140" i="3" s="1"/>
  <c r="B140" i="3"/>
  <c r="A140" i="3"/>
  <c r="H139" i="3"/>
  <c r="G139" i="3"/>
  <c r="F139" i="3"/>
  <c r="E139" i="3"/>
  <c r="D139" i="3"/>
  <c r="I139" i="3" s="1"/>
  <c r="C139" i="3"/>
  <c r="B139" i="3"/>
  <c r="A139" i="3"/>
  <c r="H138" i="3"/>
  <c r="G138" i="3"/>
  <c r="F138" i="3"/>
  <c r="E138" i="3"/>
  <c r="D138" i="3"/>
  <c r="C138" i="3"/>
  <c r="I138" i="3" s="1"/>
  <c r="B138" i="3"/>
  <c r="A138" i="3"/>
  <c r="H137" i="3"/>
  <c r="F137" i="3"/>
  <c r="E137" i="3"/>
  <c r="G137" i="3" s="1"/>
  <c r="D137" i="3"/>
  <c r="I137" i="3" s="1"/>
  <c r="C137" i="3"/>
  <c r="B137" i="3"/>
  <c r="A137" i="3"/>
  <c r="I136" i="3"/>
  <c r="H136" i="3"/>
  <c r="F136" i="3"/>
  <c r="E136" i="3"/>
  <c r="G136" i="3" s="1"/>
  <c r="D136" i="3"/>
  <c r="C136" i="3"/>
  <c r="B136" i="3"/>
  <c r="A136" i="3"/>
  <c r="H135" i="3"/>
  <c r="G135" i="3"/>
  <c r="F135" i="3"/>
  <c r="E135" i="3"/>
  <c r="D135" i="3"/>
  <c r="I135" i="3" s="1"/>
  <c r="C135" i="3"/>
  <c r="B135" i="3"/>
  <c r="A135" i="3"/>
  <c r="I134" i="3"/>
  <c r="H134" i="3"/>
  <c r="F134" i="3"/>
  <c r="E134" i="3"/>
  <c r="G134" i="3" s="1"/>
  <c r="D134" i="3"/>
  <c r="C134" i="3"/>
  <c r="B134" i="3"/>
  <c r="A134" i="3"/>
  <c r="H133" i="3"/>
  <c r="F133" i="3"/>
  <c r="E133" i="3"/>
  <c r="G133" i="3" s="1"/>
  <c r="D133" i="3"/>
  <c r="I133" i="3" s="1"/>
  <c r="C133" i="3"/>
  <c r="B133" i="3"/>
  <c r="A133" i="3"/>
  <c r="H132" i="3"/>
  <c r="G132" i="3"/>
  <c r="F132" i="3"/>
  <c r="E132" i="3"/>
  <c r="D132" i="3"/>
  <c r="C132" i="3"/>
  <c r="I132" i="3" s="1"/>
  <c r="B132" i="3"/>
  <c r="A132" i="3"/>
  <c r="H131" i="3"/>
  <c r="G131" i="3"/>
  <c r="F131" i="3"/>
  <c r="E131" i="3"/>
  <c r="D131" i="3"/>
  <c r="I131" i="3" s="1"/>
  <c r="C131" i="3"/>
  <c r="B131" i="3"/>
  <c r="A131" i="3"/>
  <c r="H130" i="3"/>
  <c r="G130" i="3"/>
  <c r="F130" i="3"/>
  <c r="E130" i="3"/>
  <c r="D130" i="3"/>
  <c r="C130" i="3"/>
  <c r="I130" i="3" s="1"/>
  <c r="B130" i="3"/>
  <c r="A130" i="3"/>
  <c r="H129" i="3"/>
  <c r="F129" i="3"/>
  <c r="E129" i="3"/>
  <c r="G129" i="3" s="1"/>
  <c r="D129" i="3"/>
  <c r="I129" i="3" s="1"/>
  <c r="C129" i="3"/>
  <c r="B129" i="3"/>
  <c r="A129" i="3"/>
  <c r="I128" i="3"/>
  <c r="H128" i="3"/>
  <c r="F128" i="3"/>
  <c r="E128" i="3"/>
  <c r="G128" i="3" s="1"/>
  <c r="D128" i="3"/>
  <c r="C128" i="3"/>
  <c r="B128" i="3"/>
  <c r="A128" i="3"/>
  <c r="H127" i="3"/>
  <c r="G127" i="3"/>
  <c r="F127" i="3"/>
  <c r="E127" i="3"/>
  <c r="D127" i="3"/>
  <c r="I127" i="3" s="1"/>
  <c r="C127" i="3"/>
  <c r="B127" i="3"/>
  <c r="A127" i="3"/>
  <c r="I126" i="3"/>
  <c r="H126" i="3"/>
  <c r="F126" i="3"/>
  <c r="E126" i="3"/>
  <c r="G126" i="3" s="1"/>
  <c r="D126" i="3"/>
  <c r="C126" i="3"/>
  <c r="B126" i="3"/>
  <c r="A126" i="3"/>
  <c r="H125" i="3"/>
  <c r="F125" i="3"/>
  <c r="E125" i="3"/>
  <c r="G125" i="3" s="1"/>
  <c r="D125" i="3"/>
  <c r="I125" i="3" s="1"/>
  <c r="C125" i="3"/>
  <c r="B125" i="3"/>
  <c r="A125" i="3"/>
  <c r="H124" i="3"/>
  <c r="G124" i="3"/>
  <c r="F124" i="3"/>
  <c r="E124" i="3"/>
  <c r="D124" i="3"/>
  <c r="C124" i="3"/>
  <c r="I124" i="3" s="1"/>
  <c r="B124" i="3"/>
  <c r="A124" i="3"/>
  <c r="H123" i="3"/>
  <c r="G123" i="3"/>
  <c r="F123" i="3"/>
  <c r="E123" i="3"/>
  <c r="D123" i="3"/>
  <c r="I123" i="3" s="1"/>
  <c r="C123" i="3"/>
  <c r="B123" i="3"/>
  <c r="A123" i="3"/>
  <c r="H122" i="3"/>
  <c r="G122" i="3"/>
  <c r="F122" i="3"/>
  <c r="E122" i="3"/>
  <c r="D122" i="3"/>
  <c r="C122" i="3"/>
  <c r="I122" i="3" s="1"/>
  <c r="B122" i="3"/>
  <c r="A122" i="3"/>
  <c r="H121" i="3"/>
  <c r="F121" i="3"/>
  <c r="E121" i="3"/>
  <c r="G121" i="3" s="1"/>
  <c r="D121" i="3"/>
  <c r="I121" i="3" s="1"/>
  <c r="C121" i="3"/>
  <c r="B121" i="3"/>
  <c r="A121" i="3"/>
  <c r="I120" i="3"/>
  <c r="H120" i="3"/>
  <c r="F120" i="3"/>
  <c r="E120" i="3"/>
  <c r="G120" i="3" s="1"/>
  <c r="D120" i="3"/>
  <c r="C120" i="3"/>
  <c r="B120" i="3"/>
  <c r="A120" i="3"/>
  <c r="H119" i="3"/>
  <c r="G119" i="3"/>
  <c r="F119" i="3"/>
  <c r="E119" i="3"/>
  <c r="D119" i="3"/>
  <c r="I119" i="3" s="1"/>
  <c r="C119" i="3"/>
  <c r="B119" i="3"/>
  <c r="A119" i="3"/>
  <c r="I118" i="3"/>
  <c r="H118" i="3"/>
  <c r="F118" i="3"/>
  <c r="E118" i="3"/>
  <c r="G118" i="3" s="1"/>
  <c r="D118" i="3"/>
  <c r="C118" i="3"/>
  <c r="B118" i="3"/>
  <c r="A118" i="3"/>
  <c r="H117" i="3"/>
  <c r="F117" i="3"/>
  <c r="E117" i="3"/>
  <c r="G117" i="3" s="1"/>
  <c r="D117" i="3"/>
  <c r="I117" i="3" s="1"/>
  <c r="C117" i="3"/>
  <c r="B117" i="3"/>
  <c r="A117" i="3"/>
  <c r="H116" i="3"/>
  <c r="G116" i="3"/>
  <c r="F116" i="3"/>
  <c r="E116" i="3"/>
  <c r="D116" i="3"/>
  <c r="C116" i="3"/>
  <c r="I116" i="3" s="1"/>
  <c r="B116" i="3"/>
  <c r="A116" i="3"/>
  <c r="H115" i="3"/>
  <c r="G115" i="3"/>
  <c r="F115" i="3"/>
  <c r="E115" i="3"/>
  <c r="D115" i="3"/>
  <c r="I115" i="3" s="1"/>
  <c r="C115" i="3"/>
  <c r="B115" i="3"/>
  <c r="A115" i="3"/>
  <c r="H114" i="3"/>
  <c r="G114" i="3"/>
  <c r="F114" i="3"/>
  <c r="E114" i="3"/>
  <c r="D114" i="3"/>
  <c r="C114" i="3"/>
  <c r="I114" i="3" s="1"/>
  <c r="B114" i="3"/>
  <c r="A114" i="3"/>
  <c r="H113" i="3"/>
  <c r="F113" i="3"/>
  <c r="E113" i="3"/>
  <c r="G113" i="3" s="1"/>
  <c r="D113" i="3"/>
  <c r="I113" i="3" s="1"/>
  <c r="C113" i="3"/>
  <c r="B113" i="3"/>
  <c r="A113" i="3"/>
  <c r="I112" i="3"/>
  <c r="H112" i="3"/>
  <c r="F112" i="3"/>
  <c r="E112" i="3"/>
  <c r="G112" i="3" s="1"/>
  <c r="D112" i="3"/>
  <c r="C112" i="3"/>
  <c r="B112" i="3"/>
  <c r="A112" i="3"/>
  <c r="H111" i="3"/>
  <c r="G111" i="3"/>
  <c r="F111" i="3"/>
  <c r="E111" i="3"/>
  <c r="D111" i="3"/>
  <c r="I111" i="3" s="1"/>
  <c r="C111" i="3"/>
  <c r="B111" i="3"/>
  <c r="A111" i="3"/>
  <c r="I110" i="3"/>
  <c r="H110" i="3"/>
  <c r="F110" i="3"/>
  <c r="E110" i="3"/>
  <c r="G110" i="3" s="1"/>
  <c r="D110" i="3"/>
  <c r="C110" i="3"/>
  <c r="B110" i="3"/>
  <c r="A110" i="3"/>
  <c r="H109" i="3"/>
  <c r="F109" i="3"/>
  <c r="E109" i="3"/>
  <c r="G109" i="3" s="1"/>
  <c r="D109" i="3"/>
  <c r="I109" i="3" s="1"/>
  <c r="C109" i="3"/>
  <c r="B109" i="3"/>
  <c r="A109" i="3"/>
  <c r="H108" i="3"/>
  <c r="G108" i="3"/>
  <c r="F108" i="3"/>
  <c r="E108" i="3"/>
  <c r="D108" i="3"/>
  <c r="C108" i="3"/>
  <c r="I108" i="3" s="1"/>
  <c r="B108" i="3"/>
  <c r="A108" i="3"/>
  <c r="H107" i="3"/>
  <c r="G107" i="3"/>
  <c r="F107" i="3"/>
  <c r="E107" i="3"/>
  <c r="D107" i="3"/>
  <c r="I107" i="3" s="1"/>
  <c r="C107" i="3"/>
  <c r="B107" i="3"/>
  <c r="A107" i="3"/>
  <c r="H106" i="3"/>
  <c r="G106" i="3"/>
  <c r="F106" i="3"/>
  <c r="E106" i="3"/>
  <c r="D106" i="3"/>
  <c r="C106" i="3"/>
  <c r="I106" i="3" s="1"/>
  <c r="B106" i="3"/>
  <c r="A106" i="3"/>
  <c r="H105" i="3"/>
  <c r="F105" i="3"/>
  <c r="E105" i="3"/>
  <c r="G105" i="3" s="1"/>
  <c r="D105" i="3"/>
  <c r="I105" i="3" s="1"/>
  <c r="C105" i="3"/>
  <c r="B105" i="3"/>
  <c r="A105" i="3"/>
  <c r="I104" i="3"/>
  <c r="H104" i="3"/>
  <c r="F104" i="3"/>
  <c r="E104" i="3"/>
  <c r="G104" i="3" s="1"/>
  <c r="D104" i="3"/>
  <c r="C104" i="3"/>
  <c r="B104" i="3"/>
  <c r="A104" i="3"/>
  <c r="H103" i="3"/>
  <c r="G103" i="3"/>
  <c r="F103" i="3"/>
  <c r="E103" i="3"/>
  <c r="D103" i="3"/>
  <c r="I103" i="3" s="1"/>
  <c r="C103" i="3"/>
  <c r="B103" i="3"/>
  <c r="A103" i="3"/>
  <c r="I102" i="3"/>
  <c r="H102" i="3"/>
  <c r="F102" i="3"/>
  <c r="E102" i="3"/>
  <c r="G102" i="3" s="1"/>
  <c r="D102" i="3"/>
  <c r="C102" i="3"/>
  <c r="B102" i="3"/>
  <c r="A102" i="3"/>
  <c r="H101" i="3"/>
  <c r="F101" i="3"/>
  <c r="E101" i="3"/>
  <c r="G101" i="3" s="1"/>
  <c r="D101" i="3"/>
  <c r="I101" i="3" s="1"/>
  <c r="C101" i="3"/>
  <c r="B101" i="3"/>
  <c r="A101" i="3"/>
  <c r="H100" i="3"/>
  <c r="G100" i="3"/>
  <c r="F100" i="3"/>
  <c r="E100" i="3"/>
  <c r="D100" i="3"/>
  <c r="C100" i="3"/>
  <c r="I100" i="3" s="1"/>
  <c r="B100" i="3"/>
  <c r="A100" i="3"/>
  <c r="H99" i="3"/>
  <c r="G99" i="3"/>
  <c r="F99" i="3"/>
  <c r="E99" i="3"/>
  <c r="D99" i="3"/>
  <c r="I99" i="3" s="1"/>
  <c r="C99" i="3"/>
  <c r="B99" i="3"/>
  <c r="A99" i="3"/>
  <c r="H98" i="3"/>
  <c r="G98" i="3"/>
  <c r="F98" i="3"/>
  <c r="E98" i="3"/>
  <c r="D98" i="3"/>
  <c r="C98" i="3"/>
  <c r="I98" i="3" s="1"/>
  <c r="B98" i="3"/>
  <c r="A98" i="3"/>
  <c r="H97" i="3"/>
  <c r="F97" i="3"/>
  <c r="E97" i="3"/>
  <c r="G97" i="3" s="1"/>
  <c r="D97" i="3"/>
  <c r="I97" i="3" s="1"/>
  <c r="C97" i="3"/>
  <c r="B97" i="3"/>
  <c r="A97" i="3"/>
  <c r="I96" i="3"/>
  <c r="H96" i="3"/>
  <c r="F96" i="3"/>
  <c r="E96" i="3"/>
  <c r="G96" i="3" s="1"/>
  <c r="D96" i="3"/>
  <c r="C96" i="3"/>
  <c r="B96" i="3"/>
  <c r="A96" i="3"/>
  <c r="H95" i="3"/>
  <c r="G95" i="3"/>
  <c r="F95" i="3"/>
  <c r="E95" i="3"/>
  <c r="D95" i="3"/>
  <c r="I95" i="3" s="1"/>
  <c r="C95" i="3"/>
  <c r="B95" i="3"/>
  <c r="A95" i="3"/>
  <c r="I94" i="3"/>
  <c r="H94" i="3"/>
  <c r="F94" i="3"/>
  <c r="E94" i="3"/>
  <c r="G94" i="3" s="1"/>
  <c r="D94" i="3"/>
  <c r="C94" i="3"/>
  <c r="B94" i="3"/>
  <c r="A94" i="3"/>
  <c r="H93" i="3"/>
  <c r="F93" i="3"/>
  <c r="E93" i="3"/>
  <c r="G93" i="3" s="1"/>
  <c r="D93" i="3"/>
  <c r="I93" i="3" s="1"/>
  <c r="C93" i="3"/>
  <c r="B93" i="3"/>
  <c r="A93" i="3"/>
  <c r="H92" i="3"/>
  <c r="G92" i="3"/>
  <c r="F92" i="3"/>
  <c r="E92" i="3"/>
  <c r="D92" i="3"/>
  <c r="C92" i="3"/>
  <c r="I92" i="3" s="1"/>
  <c r="B92" i="3"/>
  <c r="A92" i="3"/>
  <c r="H91" i="3"/>
  <c r="G91" i="3"/>
  <c r="F91" i="3"/>
  <c r="E91" i="3"/>
  <c r="D91" i="3"/>
  <c r="I91" i="3" s="1"/>
  <c r="C91" i="3"/>
  <c r="B91" i="3"/>
  <c r="A91" i="3"/>
  <c r="H90" i="3"/>
  <c r="G90" i="3"/>
  <c r="F90" i="3"/>
  <c r="E90" i="3"/>
  <c r="D90" i="3"/>
  <c r="C90" i="3"/>
  <c r="I90" i="3" s="1"/>
  <c r="B90" i="3"/>
  <c r="A90" i="3"/>
  <c r="H89" i="3"/>
  <c r="F89" i="3"/>
  <c r="E89" i="3"/>
  <c r="G89" i="3" s="1"/>
  <c r="D89" i="3"/>
  <c r="I89" i="3" s="1"/>
  <c r="C89" i="3"/>
  <c r="B89" i="3"/>
  <c r="A89" i="3"/>
  <c r="I88" i="3"/>
  <c r="H88" i="3"/>
  <c r="F88" i="3"/>
  <c r="E88" i="3"/>
  <c r="G88" i="3" s="1"/>
  <c r="D88" i="3"/>
  <c r="C88" i="3"/>
  <c r="B88" i="3"/>
  <c r="A88" i="3"/>
  <c r="H87" i="3"/>
  <c r="G87" i="3"/>
  <c r="F87" i="3"/>
  <c r="E87" i="3"/>
  <c r="D87" i="3"/>
  <c r="I87" i="3" s="1"/>
  <c r="C87" i="3"/>
  <c r="B87" i="3"/>
  <c r="A87" i="3"/>
  <c r="I86" i="3"/>
  <c r="H86" i="3"/>
  <c r="F86" i="3"/>
  <c r="E86" i="3"/>
  <c r="G86" i="3" s="1"/>
  <c r="D86" i="3"/>
  <c r="C86" i="3"/>
  <c r="B86" i="3"/>
  <c r="A86" i="3"/>
  <c r="H85" i="3"/>
  <c r="F85" i="3"/>
  <c r="E85" i="3"/>
  <c r="G85" i="3" s="1"/>
  <c r="D85" i="3"/>
  <c r="I85" i="3" s="1"/>
  <c r="C85" i="3"/>
  <c r="B85" i="3"/>
  <c r="A85" i="3"/>
  <c r="H84" i="3"/>
  <c r="G84" i="3"/>
  <c r="F84" i="3"/>
  <c r="E84" i="3"/>
  <c r="D84" i="3"/>
  <c r="C84" i="3"/>
  <c r="I84" i="3" s="1"/>
  <c r="B84" i="3"/>
  <c r="A84" i="3"/>
  <c r="H83" i="3"/>
  <c r="G83" i="3"/>
  <c r="F83" i="3"/>
  <c r="E83" i="3"/>
  <c r="D83" i="3"/>
  <c r="I83" i="3" s="1"/>
  <c r="C83" i="3"/>
  <c r="B83" i="3"/>
  <c r="A83" i="3"/>
  <c r="H82" i="3"/>
  <c r="G82" i="3"/>
  <c r="F82" i="3"/>
  <c r="E82" i="3"/>
  <c r="D82" i="3"/>
  <c r="C82" i="3"/>
  <c r="I82" i="3" s="1"/>
  <c r="B82" i="3"/>
  <c r="A82" i="3"/>
  <c r="H81" i="3"/>
  <c r="F81" i="3"/>
  <c r="E81" i="3"/>
  <c r="G81" i="3" s="1"/>
  <c r="D81" i="3"/>
  <c r="I81" i="3" s="1"/>
  <c r="C81" i="3"/>
  <c r="B81" i="3"/>
  <c r="A81" i="3"/>
  <c r="I80" i="3"/>
  <c r="H80" i="3"/>
  <c r="F80" i="3"/>
  <c r="E80" i="3"/>
  <c r="G80" i="3" s="1"/>
  <c r="D80" i="3"/>
  <c r="C80" i="3"/>
  <c r="B80" i="3"/>
  <c r="A80" i="3"/>
  <c r="H79" i="3"/>
  <c r="G79" i="3"/>
  <c r="F79" i="3"/>
  <c r="E79" i="3"/>
  <c r="D79" i="3"/>
  <c r="I79" i="3" s="1"/>
  <c r="C79" i="3"/>
  <c r="B79" i="3"/>
  <c r="A79" i="3"/>
  <c r="I78" i="3"/>
  <c r="H78" i="3"/>
  <c r="F78" i="3"/>
  <c r="E78" i="3"/>
  <c r="G78" i="3" s="1"/>
  <c r="D78" i="3"/>
  <c r="C78" i="3"/>
  <c r="B78" i="3"/>
  <c r="A78" i="3"/>
  <c r="H77" i="3"/>
  <c r="F77" i="3"/>
  <c r="E77" i="3"/>
  <c r="G77" i="3" s="1"/>
  <c r="D77" i="3"/>
  <c r="I77" i="3" s="1"/>
  <c r="C77" i="3"/>
  <c r="B77" i="3"/>
  <c r="A77" i="3"/>
  <c r="H76" i="3"/>
  <c r="G76" i="3"/>
  <c r="F76" i="3"/>
  <c r="E76" i="3"/>
  <c r="D76" i="3"/>
  <c r="C76" i="3"/>
  <c r="I76" i="3" s="1"/>
  <c r="B76" i="3"/>
  <c r="A76" i="3"/>
  <c r="H75" i="3"/>
  <c r="G75" i="3"/>
  <c r="F75" i="3"/>
  <c r="E75" i="3"/>
  <c r="D75" i="3"/>
  <c r="I75" i="3" s="1"/>
  <c r="C75" i="3"/>
  <c r="B75" i="3"/>
  <c r="A75" i="3"/>
  <c r="H74" i="3"/>
  <c r="G74" i="3"/>
  <c r="F74" i="3"/>
  <c r="E74" i="3"/>
  <c r="D74" i="3"/>
  <c r="C74" i="3"/>
  <c r="I74" i="3" s="1"/>
  <c r="B74" i="3"/>
  <c r="A74" i="3"/>
  <c r="H73" i="3"/>
  <c r="F73" i="3"/>
  <c r="E73" i="3"/>
  <c r="G73" i="3" s="1"/>
  <c r="D73" i="3"/>
  <c r="I73" i="3" s="1"/>
  <c r="C73" i="3"/>
  <c r="B73" i="3"/>
  <c r="A73" i="3"/>
  <c r="I72" i="3"/>
  <c r="H72" i="3"/>
  <c r="F72" i="3"/>
  <c r="E72" i="3"/>
  <c r="G72" i="3" s="1"/>
  <c r="D72" i="3"/>
  <c r="C72" i="3"/>
  <c r="B72" i="3"/>
  <c r="A72" i="3"/>
  <c r="H71" i="3"/>
  <c r="G71" i="3"/>
  <c r="F71" i="3"/>
  <c r="E71" i="3"/>
  <c r="D71" i="3"/>
  <c r="I71" i="3" s="1"/>
  <c r="C71" i="3"/>
  <c r="B71" i="3"/>
  <c r="A71" i="3"/>
  <c r="I70" i="3"/>
  <c r="H70" i="3"/>
  <c r="F70" i="3"/>
  <c r="E70" i="3"/>
  <c r="G70" i="3" s="1"/>
  <c r="D70" i="3"/>
  <c r="C70" i="3"/>
  <c r="B70" i="3"/>
  <c r="A70" i="3"/>
  <c r="H69" i="3"/>
  <c r="F69" i="3"/>
  <c r="E69" i="3"/>
  <c r="G69" i="3" s="1"/>
  <c r="D69" i="3"/>
  <c r="I69" i="3" s="1"/>
  <c r="C69" i="3"/>
  <c r="B69" i="3"/>
  <c r="A69" i="3"/>
  <c r="H68" i="3"/>
  <c r="G68" i="3"/>
  <c r="F68" i="3"/>
  <c r="E68" i="3"/>
  <c r="D68" i="3"/>
  <c r="C68" i="3"/>
  <c r="I68" i="3" s="1"/>
  <c r="B68" i="3"/>
  <c r="A68" i="3"/>
  <c r="H67" i="3"/>
  <c r="G67" i="3"/>
  <c r="F67" i="3"/>
  <c r="E67" i="3"/>
  <c r="D67" i="3"/>
  <c r="I67" i="3" s="1"/>
  <c r="C67" i="3"/>
  <c r="B67" i="3"/>
  <c r="A67" i="3"/>
  <c r="H66" i="3"/>
  <c r="G66" i="3"/>
  <c r="F66" i="3"/>
  <c r="E66" i="3"/>
  <c r="D66" i="3"/>
  <c r="C66" i="3"/>
  <c r="I66" i="3" s="1"/>
  <c r="B66" i="3"/>
  <c r="A66" i="3"/>
  <c r="H65" i="3"/>
  <c r="F65" i="3"/>
  <c r="E65" i="3"/>
  <c r="G65" i="3" s="1"/>
  <c r="D65" i="3"/>
  <c r="I65" i="3" s="1"/>
  <c r="C65" i="3"/>
  <c r="B65" i="3"/>
  <c r="A65" i="3"/>
  <c r="I64" i="3"/>
  <c r="H64" i="3"/>
  <c r="F64" i="3"/>
  <c r="E64" i="3"/>
  <c r="G64" i="3" s="1"/>
  <c r="D64" i="3"/>
  <c r="C64" i="3"/>
  <c r="B64" i="3"/>
  <c r="A64" i="3"/>
  <c r="H63" i="3"/>
  <c r="G63" i="3"/>
  <c r="F63" i="3"/>
  <c r="E63" i="3"/>
  <c r="D63" i="3"/>
  <c r="I63" i="3" s="1"/>
  <c r="C63" i="3"/>
  <c r="B63" i="3"/>
  <c r="A63" i="3"/>
  <c r="I62" i="3"/>
  <c r="H62" i="3"/>
  <c r="F62" i="3"/>
  <c r="E62" i="3"/>
  <c r="G62" i="3" s="1"/>
  <c r="D62" i="3"/>
  <c r="C62" i="3"/>
  <c r="B62" i="3"/>
  <c r="A62" i="3"/>
  <c r="H61" i="3"/>
  <c r="F61" i="3"/>
  <c r="E61" i="3"/>
  <c r="G61" i="3" s="1"/>
  <c r="D61" i="3"/>
  <c r="I61" i="3" s="1"/>
  <c r="C61" i="3"/>
  <c r="B61" i="3"/>
  <c r="A61" i="3"/>
  <c r="H60" i="3"/>
  <c r="G60" i="3"/>
  <c r="F60" i="3"/>
  <c r="E60" i="3"/>
  <c r="D60" i="3"/>
  <c r="C60" i="3"/>
  <c r="I60" i="3" s="1"/>
  <c r="B60" i="3"/>
  <c r="A60" i="3"/>
  <c r="H59" i="3"/>
  <c r="G59" i="3"/>
  <c r="F59" i="3"/>
  <c r="E59" i="3"/>
  <c r="D59" i="3"/>
  <c r="I59" i="3" s="1"/>
  <c r="C59" i="3"/>
  <c r="B59" i="3"/>
  <c r="A59" i="3"/>
  <c r="H58" i="3"/>
  <c r="G58" i="3"/>
  <c r="F58" i="3"/>
  <c r="E58" i="3"/>
  <c r="D58" i="3"/>
  <c r="C58" i="3"/>
  <c r="I58" i="3" s="1"/>
  <c r="B58" i="3"/>
  <c r="A58" i="3"/>
  <c r="H57" i="3"/>
  <c r="F57" i="3"/>
  <c r="E57" i="3"/>
  <c r="G57" i="3" s="1"/>
  <c r="D57" i="3"/>
  <c r="I57" i="3" s="1"/>
  <c r="C57" i="3"/>
  <c r="B57" i="3"/>
  <c r="A57" i="3"/>
  <c r="I56" i="3"/>
  <c r="H56" i="3"/>
  <c r="F56" i="3"/>
  <c r="E56" i="3"/>
  <c r="G56" i="3" s="1"/>
  <c r="D56" i="3"/>
  <c r="C56" i="3"/>
  <c r="B56" i="3"/>
  <c r="A56" i="3"/>
  <c r="H55" i="3"/>
  <c r="G55" i="3"/>
  <c r="F55" i="3"/>
  <c r="E55" i="3"/>
  <c r="D55" i="3"/>
  <c r="I55" i="3" s="1"/>
  <c r="C55" i="3"/>
  <c r="B55" i="3"/>
  <c r="A55" i="3"/>
  <c r="I54" i="3"/>
  <c r="H54" i="3"/>
  <c r="F54" i="3"/>
  <c r="E54" i="3"/>
  <c r="G54" i="3" s="1"/>
  <c r="D54" i="3"/>
  <c r="C54" i="3"/>
  <c r="B54" i="3"/>
  <c r="A54" i="3"/>
  <c r="H53" i="3"/>
  <c r="F53" i="3"/>
  <c r="E53" i="3"/>
  <c r="G53" i="3" s="1"/>
  <c r="D53" i="3"/>
  <c r="I53" i="3" s="1"/>
  <c r="C53" i="3"/>
  <c r="B53" i="3"/>
  <c r="A53" i="3"/>
  <c r="H52" i="3"/>
  <c r="G52" i="3"/>
  <c r="F52" i="3"/>
  <c r="E52" i="3"/>
  <c r="D52" i="3"/>
  <c r="C52" i="3"/>
  <c r="I52" i="3" s="1"/>
  <c r="B52" i="3"/>
  <c r="A52" i="3"/>
  <c r="H51" i="3"/>
  <c r="G51" i="3"/>
  <c r="F51" i="3"/>
  <c r="E51" i="3"/>
  <c r="D51" i="3"/>
  <c r="I51" i="3" s="1"/>
  <c r="C51" i="3"/>
  <c r="B51" i="3"/>
  <c r="A51" i="3"/>
  <c r="H50" i="3"/>
  <c r="G50" i="3"/>
  <c r="F50" i="3"/>
  <c r="E50" i="3"/>
  <c r="D50" i="3"/>
  <c r="C50" i="3"/>
  <c r="I50" i="3" s="1"/>
  <c r="B50" i="3"/>
  <c r="A50" i="3"/>
  <c r="H49" i="3"/>
  <c r="F49" i="3"/>
  <c r="E49" i="3"/>
  <c r="G49" i="3" s="1"/>
  <c r="D49" i="3"/>
  <c r="I49" i="3" s="1"/>
  <c r="C49" i="3"/>
  <c r="B49" i="3"/>
  <c r="A49" i="3"/>
  <c r="I48" i="3"/>
  <c r="H48" i="3"/>
  <c r="F48" i="3"/>
  <c r="E48" i="3"/>
  <c r="G48" i="3" s="1"/>
  <c r="D48" i="3"/>
  <c r="C48" i="3"/>
  <c r="B48" i="3"/>
  <c r="A48" i="3"/>
  <c r="H47" i="3"/>
  <c r="G47" i="3"/>
  <c r="F47" i="3"/>
  <c r="E47" i="3"/>
  <c r="D47" i="3"/>
  <c r="I47" i="3" s="1"/>
  <c r="C47" i="3"/>
  <c r="B47" i="3"/>
  <c r="A47" i="3"/>
  <c r="I46" i="3"/>
  <c r="H46" i="3"/>
  <c r="F46" i="3"/>
  <c r="E46" i="3"/>
  <c r="G46" i="3" s="1"/>
  <c r="D46" i="3"/>
  <c r="C46" i="3"/>
  <c r="B46" i="3"/>
  <c r="A46" i="3"/>
  <c r="H45" i="3"/>
  <c r="F45" i="3"/>
  <c r="E45" i="3"/>
  <c r="G45" i="3" s="1"/>
  <c r="D45" i="3"/>
  <c r="I45" i="3" s="1"/>
  <c r="C45" i="3"/>
  <c r="B45" i="3"/>
  <c r="A45" i="3"/>
  <c r="H44" i="3"/>
  <c r="G44" i="3"/>
  <c r="F44" i="3"/>
  <c r="E44" i="3"/>
  <c r="D44" i="3"/>
  <c r="C44" i="3"/>
  <c r="I44" i="3" s="1"/>
  <c r="B44" i="3"/>
  <c r="A44" i="3"/>
  <c r="H43" i="3"/>
  <c r="G43" i="3"/>
  <c r="F43" i="3"/>
  <c r="E43" i="3"/>
  <c r="D43" i="3"/>
  <c r="I43" i="3" s="1"/>
  <c r="C43" i="3"/>
  <c r="B43" i="3"/>
  <c r="A43" i="3"/>
  <c r="H42" i="3"/>
  <c r="G42" i="3"/>
  <c r="F42" i="3"/>
  <c r="E42" i="3"/>
  <c r="D42" i="3"/>
  <c r="C42" i="3"/>
  <c r="I42" i="3" s="1"/>
  <c r="B42" i="3"/>
  <c r="A42" i="3"/>
  <c r="H41" i="3"/>
  <c r="F41" i="3"/>
  <c r="E41" i="3"/>
  <c r="G41" i="3" s="1"/>
  <c r="D41" i="3"/>
  <c r="I41" i="3" s="1"/>
  <c r="C41" i="3"/>
  <c r="B41" i="3"/>
  <c r="A41" i="3"/>
  <c r="I40" i="3"/>
  <c r="H40" i="3"/>
  <c r="F40" i="3"/>
  <c r="E40" i="3"/>
  <c r="G40" i="3" s="1"/>
  <c r="D40" i="3"/>
  <c r="C40" i="3"/>
  <c r="B40" i="3"/>
  <c r="A40" i="3"/>
  <c r="H39" i="3"/>
  <c r="G39" i="3"/>
  <c r="F39" i="3"/>
  <c r="E39" i="3"/>
  <c r="D39" i="3"/>
  <c r="I39" i="3" s="1"/>
  <c r="C39" i="3"/>
  <c r="B39" i="3"/>
  <c r="A39" i="3"/>
  <c r="I38" i="3"/>
  <c r="H38" i="3"/>
  <c r="F38" i="3"/>
  <c r="E38" i="3"/>
  <c r="G38" i="3" s="1"/>
  <c r="D38" i="3"/>
  <c r="C38" i="3"/>
  <c r="B38" i="3"/>
  <c r="A38" i="3"/>
  <c r="H37" i="3"/>
  <c r="F37" i="3"/>
  <c r="E37" i="3"/>
  <c r="G37" i="3" s="1"/>
  <c r="D37" i="3"/>
  <c r="I37" i="3" s="1"/>
  <c r="C37" i="3"/>
  <c r="B37" i="3"/>
  <c r="A37" i="3"/>
  <c r="H36" i="3"/>
  <c r="G36" i="3"/>
  <c r="F36" i="3"/>
  <c r="E36" i="3"/>
  <c r="D36" i="3"/>
  <c r="C36" i="3"/>
  <c r="I36" i="3" s="1"/>
  <c r="B36" i="3"/>
  <c r="A36" i="3"/>
  <c r="H35" i="3"/>
  <c r="G35" i="3"/>
  <c r="F35" i="3"/>
  <c r="E35" i="3"/>
  <c r="D35" i="3"/>
  <c r="I35" i="3" s="1"/>
  <c r="C35" i="3"/>
  <c r="B35" i="3"/>
  <c r="A35" i="3"/>
  <c r="H34" i="3"/>
  <c r="G34" i="3"/>
  <c r="F34" i="3"/>
  <c r="E34" i="3"/>
  <c r="D34" i="3"/>
  <c r="C34" i="3"/>
  <c r="I34" i="3" s="1"/>
  <c r="B34" i="3"/>
  <c r="A34" i="3"/>
  <c r="H33" i="3"/>
  <c r="F33" i="3"/>
  <c r="E33" i="3"/>
  <c r="G33" i="3" s="1"/>
  <c r="D33" i="3"/>
  <c r="I33" i="3" s="1"/>
  <c r="C33" i="3"/>
  <c r="B33" i="3"/>
  <c r="A33" i="3"/>
  <c r="I32" i="3"/>
  <c r="H32" i="3"/>
  <c r="F32" i="3"/>
  <c r="E32" i="3"/>
  <c r="G32" i="3" s="1"/>
  <c r="D32" i="3"/>
  <c r="C32" i="3"/>
  <c r="B32" i="3"/>
  <c r="A32" i="3"/>
  <c r="H31" i="3"/>
  <c r="G31" i="3"/>
  <c r="F31" i="3"/>
  <c r="E31" i="3"/>
  <c r="D31" i="3"/>
  <c r="I31" i="3" s="1"/>
  <c r="C31" i="3"/>
  <c r="B31" i="3"/>
  <c r="A31" i="3"/>
  <c r="I30" i="3"/>
  <c r="C174" i="2" s="1"/>
  <c r="H30" i="3"/>
  <c r="F30" i="3"/>
  <c r="E30" i="3"/>
  <c r="G30" i="3" s="1"/>
  <c r="D30" i="3"/>
  <c r="C30" i="3"/>
  <c r="B30" i="3"/>
  <c r="A30" i="3"/>
  <c r="H29" i="3"/>
  <c r="F29" i="3"/>
  <c r="E29" i="3"/>
  <c r="G29" i="3" s="1"/>
  <c r="D29" i="3"/>
  <c r="I29" i="3" s="1"/>
  <c r="C29" i="3"/>
  <c r="B29" i="3"/>
  <c r="A29" i="3"/>
  <c r="H28" i="3"/>
  <c r="G28" i="3"/>
  <c r="F28" i="3"/>
  <c r="E28" i="3"/>
  <c r="D28" i="3"/>
  <c r="C28" i="3"/>
  <c r="I28" i="3" s="1"/>
  <c r="B28" i="3"/>
  <c r="A28" i="3"/>
  <c r="H27" i="3"/>
  <c r="G27" i="3"/>
  <c r="F27" i="3"/>
  <c r="E27" i="3"/>
  <c r="D27" i="3"/>
  <c r="I27" i="3" s="1"/>
  <c r="C27" i="3"/>
  <c r="B27" i="3"/>
  <c r="A27" i="3"/>
  <c r="H26" i="3"/>
  <c r="G26" i="3"/>
  <c r="F26" i="3"/>
  <c r="E26" i="3"/>
  <c r="D26" i="3"/>
  <c r="C26" i="3"/>
  <c r="I26" i="3" s="1"/>
  <c r="B26" i="3"/>
  <c r="A26" i="3"/>
  <c r="H25" i="3"/>
  <c r="F25" i="3"/>
  <c r="E25" i="3"/>
  <c r="G25" i="3" s="1"/>
  <c r="D25" i="3"/>
  <c r="I25" i="3" s="1"/>
  <c r="C25" i="3"/>
  <c r="B25" i="3"/>
  <c r="A25" i="3"/>
  <c r="I24" i="3"/>
  <c r="H24" i="3"/>
  <c r="F24" i="3"/>
  <c r="E24" i="3"/>
  <c r="G24" i="3" s="1"/>
  <c r="D24" i="3"/>
  <c r="C24" i="3"/>
  <c r="B24" i="3"/>
  <c r="A24" i="3"/>
  <c r="H23" i="3"/>
  <c r="G23" i="3"/>
  <c r="F23" i="3"/>
  <c r="E23" i="3"/>
  <c r="D23" i="3"/>
  <c r="I23" i="3" s="1"/>
  <c r="C23" i="3"/>
  <c r="B23" i="3"/>
  <c r="A23" i="3"/>
  <c r="I22" i="3"/>
  <c r="H22" i="3"/>
  <c r="F22" i="3"/>
  <c r="E22" i="3"/>
  <c r="G22" i="3" s="1"/>
  <c r="D22" i="3"/>
  <c r="C22" i="3"/>
  <c r="B22" i="3"/>
  <c r="A22" i="3"/>
  <c r="H21" i="3"/>
  <c r="F21" i="3"/>
  <c r="E21" i="3"/>
  <c r="G21" i="3" s="1"/>
  <c r="D21" i="3"/>
  <c r="I21" i="3" s="1"/>
  <c r="C21" i="3"/>
  <c r="B21" i="3"/>
  <c r="A21" i="3"/>
  <c r="H20" i="3"/>
  <c r="G20" i="3"/>
  <c r="F20" i="3"/>
  <c r="E20" i="3"/>
  <c r="D20" i="3"/>
  <c r="I20" i="3" s="1"/>
  <c r="C20" i="3"/>
  <c r="B20" i="3"/>
  <c r="A20" i="3"/>
  <c r="L19" i="3"/>
  <c r="H19" i="3"/>
  <c r="F19" i="3"/>
  <c r="E19" i="3"/>
  <c r="G19" i="3" s="1"/>
  <c r="D19" i="3"/>
  <c r="I19" i="3" s="1"/>
  <c r="C19" i="3"/>
  <c r="B19" i="3"/>
  <c r="A19" i="3"/>
  <c r="H18" i="3"/>
  <c r="G18" i="3"/>
  <c r="F18" i="3"/>
  <c r="E18" i="3"/>
  <c r="D18" i="3"/>
  <c r="I18" i="3" s="1"/>
  <c r="C18" i="3"/>
  <c r="B18" i="3"/>
  <c r="A18" i="3"/>
  <c r="H17" i="3"/>
  <c r="F17" i="3"/>
  <c r="E17" i="3"/>
  <c r="G17" i="3" s="1"/>
  <c r="D17" i="3"/>
  <c r="I17" i="3" s="1"/>
  <c r="C17" i="3"/>
  <c r="B17" i="3"/>
  <c r="A17" i="3"/>
  <c r="L16" i="3"/>
  <c r="H16" i="3"/>
  <c r="G16" i="3"/>
  <c r="F16" i="3"/>
  <c r="E16" i="3"/>
  <c r="D16" i="3"/>
  <c r="I16" i="3" s="1"/>
  <c r="C16" i="3"/>
  <c r="B16" i="3"/>
  <c r="A16" i="3"/>
  <c r="L15" i="3"/>
  <c r="H15" i="3"/>
  <c r="F15" i="3"/>
  <c r="E15" i="3"/>
  <c r="G15" i="3" s="1"/>
  <c r="D15" i="3"/>
  <c r="I15" i="3" s="1"/>
  <c r="C15" i="3"/>
  <c r="B15" i="3"/>
  <c r="A15" i="3"/>
  <c r="L14" i="3"/>
  <c r="H14" i="3"/>
  <c r="G14" i="3"/>
  <c r="F14" i="3"/>
  <c r="E14" i="3"/>
  <c r="D14" i="3"/>
  <c r="C14" i="3"/>
  <c r="B14" i="3"/>
  <c r="A14" i="3"/>
  <c r="H13" i="3"/>
  <c r="F13" i="3"/>
  <c r="E13" i="3"/>
  <c r="G13" i="3" s="1"/>
  <c r="D13" i="3"/>
  <c r="I13" i="3" s="1"/>
  <c r="C13" i="3"/>
  <c r="B13" i="3"/>
  <c r="A13" i="3"/>
  <c r="H12" i="3"/>
  <c r="F12" i="3"/>
  <c r="E12" i="3"/>
  <c r="G12" i="3" s="1"/>
  <c r="D12" i="3"/>
  <c r="I12" i="3" s="1"/>
  <c r="C12" i="3"/>
  <c r="B12" i="3"/>
  <c r="A12" i="3"/>
  <c r="I11" i="3"/>
  <c r="H11" i="3"/>
  <c r="F11" i="3"/>
  <c r="E11" i="3"/>
  <c r="G11" i="3" s="1"/>
  <c r="D11" i="3"/>
  <c r="C11" i="3"/>
  <c r="B11" i="3"/>
  <c r="A11" i="3"/>
  <c r="H10" i="3"/>
  <c r="G10" i="3"/>
  <c r="F10" i="3"/>
  <c r="E10" i="3"/>
  <c r="D10" i="3"/>
  <c r="I10" i="3" s="1"/>
  <c r="C10" i="3"/>
  <c r="B10" i="3"/>
  <c r="A10" i="3"/>
  <c r="H9" i="3"/>
  <c r="G9" i="3"/>
  <c r="F9" i="3"/>
  <c r="E9" i="3"/>
  <c r="D9" i="3"/>
  <c r="C9" i="3"/>
  <c r="I9" i="3" s="1"/>
  <c r="B9" i="3"/>
  <c r="A9" i="3"/>
  <c r="H8" i="3"/>
  <c r="F8" i="3"/>
  <c r="B57" i="2" s="1"/>
  <c r="E8" i="3"/>
  <c r="G8" i="3" s="1"/>
  <c r="D8" i="3"/>
  <c r="I8" i="3" s="1"/>
  <c r="C8" i="3"/>
  <c r="B8" i="3"/>
  <c r="A8" i="3"/>
  <c r="H7" i="3"/>
  <c r="G7" i="3"/>
  <c r="F7" i="3"/>
  <c r="E7" i="3"/>
  <c r="D7" i="3"/>
  <c r="C7" i="3"/>
  <c r="I7" i="3" s="1"/>
  <c r="B7" i="3"/>
  <c r="A7" i="3"/>
  <c r="H6" i="3"/>
  <c r="G6" i="3"/>
  <c r="F6" i="3"/>
  <c r="E6" i="3"/>
  <c r="D6" i="3"/>
  <c r="C6" i="3"/>
  <c r="B6" i="3"/>
  <c r="A6" i="3"/>
  <c r="H5" i="3"/>
  <c r="F5" i="3"/>
  <c r="E5" i="3"/>
  <c r="G5" i="3" s="1"/>
  <c r="D5" i="3"/>
  <c r="I5" i="3" s="1"/>
  <c r="C5" i="3"/>
  <c r="B5" i="3"/>
  <c r="A5" i="3"/>
  <c r="H4" i="3"/>
  <c r="F4" i="3"/>
  <c r="E4" i="3"/>
  <c r="G4" i="3" s="1"/>
  <c r="D4" i="3"/>
  <c r="I4" i="3" s="1"/>
  <c r="C4" i="3"/>
  <c r="B4" i="3"/>
  <c r="A4" i="3"/>
  <c r="I3" i="3"/>
  <c r="H3" i="3"/>
  <c r="F3" i="3"/>
  <c r="E3" i="3"/>
  <c r="G3" i="3" s="1"/>
  <c r="D3" i="3"/>
  <c r="C3" i="3"/>
  <c r="B3" i="3"/>
  <c r="A3" i="3"/>
  <c r="H2" i="3"/>
  <c r="L18" i="3" s="1"/>
  <c r="G2" i="3"/>
  <c r="F2" i="3"/>
  <c r="B58" i="2" s="1"/>
  <c r="E2" i="3"/>
  <c r="D2" i="3"/>
  <c r="I2" i="3" s="1"/>
  <c r="B124" i="2" s="1"/>
  <c r="C2" i="3"/>
  <c r="B2" i="3"/>
  <c r="A2" i="3"/>
  <c r="C140" i="2"/>
  <c r="B140" i="2"/>
  <c r="C128" i="2"/>
  <c r="C124" i="2"/>
  <c r="F83" i="2"/>
  <c r="F82" i="2"/>
  <c r="F76" i="2"/>
  <c r="G73" i="2"/>
  <c r="G71" i="2"/>
  <c r="A46" i="2"/>
  <c r="A45" i="2"/>
  <c r="A44" i="2"/>
  <c r="A43" i="2"/>
  <c r="E28" i="1" s="1"/>
  <c r="A42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1" i="2"/>
  <c r="B10" i="2"/>
  <c r="E34" i="1"/>
  <c r="E32" i="1"/>
  <c r="E30" i="1"/>
  <c r="E26" i="1"/>
  <c r="E3" i="1"/>
  <c r="F68" i="2" l="1"/>
  <c r="B127" i="2"/>
  <c r="G68" i="2"/>
  <c r="B52" i="2"/>
  <c r="G65" i="2"/>
  <c r="C131" i="2"/>
  <c r="D71" i="2"/>
  <c r="G83" i="2"/>
  <c r="C125" i="2"/>
  <c r="F70" i="2"/>
  <c r="F67" i="2"/>
  <c r="B154" i="2"/>
  <c r="G67" i="2"/>
  <c r="B125" i="2"/>
  <c r="C154" i="2"/>
  <c r="B131" i="2"/>
  <c r="B168" i="2"/>
  <c r="B170" i="2"/>
  <c r="F77" i="2"/>
  <c r="C175" i="2"/>
  <c r="G81" i="2"/>
  <c r="B126" i="2"/>
  <c r="C127" i="2"/>
  <c r="C136" i="2"/>
  <c r="B136" i="2"/>
  <c r="F78" i="2"/>
  <c r="C169" i="2"/>
  <c r="B169" i="2"/>
  <c r="C143" i="2"/>
  <c r="B143" i="2"/>
  <c r="G82" i="2"/>
  <c r="F66" i="2"/>
  <c r="D17" i="2"/>
  <c r="C17" i="2"/>
  <c r="C133" i="2"/>
  <c r="B133" i="2"/>
  <c r="B145" i="2"/>
  <c r="C145" i="2"/>
  <c r="D18" i="2"/>
  <c r="C18" i="2"/>
  <c r="E18" i="2"/>
  <c r="C178" i="2"/>
  <c r="B178" i="2"/>
  <c r="F75" i="2"/>
  <c r="D36" i="2"/>
  <c r="E36" i="2"/>
  <c r="G69" i="2"/>
  <c r="C147" i="2"/>
  <c r="B147" i="2"/>
  <c r="E71" i="2"/>
  <c r="B144" i="2"/>
  <c r="C144" i="2"/>
  <c r="F79" i="2"/>
  <c r="L17" i="3"/>
  <c r="E17" i="2"/>
  <c r="F72" i="2"/>
  <c r="C126" i="2"/>
  <c r="C170" i="2"/>
  <c r="B174" i="2"/>
  <c r="B175" i="2"/>
  <c r="L20" i="3"/>
  <c r="I587" i="3"/>
  <c r="I603" i="3"/>
  <c r="I619" i="3"/>
  <c r="I635" i="3"/>
  <c r="I651" i="3"/>
  <c r="I667" i="3"/>
  <c r="I683" i="3"/>
  <c r="I699" i="3"/>
  <c r="I715" i="3"/>
  <c r="I731" i="3"/>
  <c r="I747" i="3"/>
  <c r="I763" i="3"/>
  <c r="I779" i="3"/>
  <c r="I795" i="3"/>
  <c r="I811" i="3"/>
  <c r="I827" i="3"/>
  <c r="I843" i="3"/>
  <c r="I859" i="3"/>
  <c r="I875" i="3"/>
  <c r="I891" i="3"/>
  <c r="I907" i="3"/>
  <c r="G78" i="2" s="1"/>
  <c r="I923" i="3"/>
  <c r="I939" i="3"/>
  <c r="I955" i="3"/>
  <c r="I971" i="3"/>
  <c r="I987" i="3"/>
  <c r="I1003" i="3"/>
  <c r="C149" i="2" s="1"/>
  <c r="I1019" i="3"/>
  <c r="I1035" i="3"/>
  <c r="I1051" i="3"/>
  <c r="I1067" i="3"/>
  <c r="I1083" i="3"/>
  <c r="I1099" i="3"/>
  <c r="I6" i="3"/>
  <c r="I14" i="3"/>
  <c r="I579" i="3"/>
  <c r="D19" i="2" s="1"/>
  <c r="I595" i="3"/>
  <c r="I611" i="3"/>
  <c r="I627" i="3"/>
  <c r="I643" i="3"/>
  <c r="I659" i="3"/>
  <c r="I675" i="3"/>
  <c r="I691" i="3"/>
  <c r="I707" i="3"/>
  <c r="I723" i="3"/>
  <c r="I739" i="3"/>
  <c r="I755" i="3"/>
  <c r="I771" i="3"/>
  <c r="I787" i="3"/>
  <c r="I803" i="3"/>
  <c r="I819" i="3"/>
  <c r="I835" i="3"/>
  <c r="I851" i="3"/>
  <c r="I867" i="3"/>
  <c r="I883" i="3"/>
  <c r="I899" i="3"/>
  <c r="I915" i="3"/>
  <c r="G64" i="2" s="1"/>
  <c r="I931" i="3"/>
  <c r="I947" i="3"/>
  <c r="I963" i="3"/>
  <c r="I979" i="3"/>
  <c r="I995" i="3"/>
  <c r="I1011" i="3"/>
  <c r="I1027" i="3"/>
  <c r="I1043" i="3"/>
  <c r="I1059" i="3"/>
  <c r="D72" i="2" s="1"/>
  <c r="I1075" i="3"/>
  <c r="I1091" i="3"/>
  <c r="I1108" i="3"/>
  <c r="I1112" i="3"/>
  <c r="I1116" i="3"/>
  <c r="I1120" i="3"/>
  <c r="I1124" i="3"/>
  <c r="I1128" i="3"/>
  <c r="I1132" i="3"/>
  <c r="I1136" i="3"/>
  <c r="I1140" i="3"/>
  <c r="I1144" i="3"/>
  <c r="I1148" i="3"/>
  <c r="I1152" i="3"/>
  <c r="I1156" i="3"/>
  <c r="I1160" i="3"/>
  <c r="I1164" i="3"/>
  <c r="I1168" i="3"/>
  <c r="I1172" i="3"/>
  <c r="I1176" i="3"/>
  <c r="I1180" i="3"/>
  <c r="I1184" i="3"/>
  <c r="I1188" i="3"/>
  <c r="I1192" i="3"/>
  <c r="I1196" i="3"/>
  <c r="I1200" i="3"/>
  <c r="I1204" i="3"/>
  <c r="I1208" i="3"/>
  <c r="I1212" i="3"/>
  <c r="I1216" i="3"/>
  <c r="I1220" i="3"/>
  <c r="I1224" i="3"/>
  <c r="I1228" i="3"/>
  <c r="I1232" i="3"/>
  <c r="I1345" i="3"/>
  <c r="I820" i="3"/>
  <c r="F65" i="2" s="1"/>
  <c r="I828" i="3"/>
  <c r="G66" i="2" s="1"/>
  <c r="I836" i="3"/>
  <c r="I844" i="3"/>
  <c r="I852" i="3"/>
  <c r="I860" i="3"/>
  <c r="I868" i="3"/>
  <c r="I876" i="3"/>
  <c r="I884" i="3"/>
  <c r="I892" i="3"/>
  <c r="I900" i="3"/>
  <c r="I908" i="3"/>
  <c r="I916" i="3"/>
  <c r="I924" i="3"/>
  <c r="I932" i="3"/>
  <c r="I940" i="3"/>
  <c r="I948" i="3"/>
  <c r="I956" i="3"/>
  <c r="I964" i="3"/>
  <c r="I972" i="3"/>
  <c r="I980" i="3"/>
  <c r="I988" i="3"/>
  <c r="I996" i="3"/>
  <c r="I1004" i="3"/>
  <c r="I1012" i="3"/>
  <c r="I1020" i="3"/>
  <c r="I1028" i="3"/>
  <c r="I1036" i="3"/>
  <c r="I1044" i="3"/>
  <c r="I1052" i="3"/>
  <c r="I1060" i="3"/>
  <c r="I1068" i="3"/>
  <c r="I1076" i="3"/>
  <c r="I1084" i="3"/>
  <c r="C177" i="2" s="1"/>
  <c r="I1092" i="3"/>
  <c r="I1100" i="3"/>
  <c r="I1456" i="3"/>
  <c r="I1472" i="3"/>
  <c r="I1488" i="3"/>
  <c r="I1504" i="3"/>
  <c r="I1520" i="3"/>
  <c r="I1547" i="3"/>
  <c r="I1563" i="3"/>
  <c r="F71" i="2" s="1"/>
  <c r="I1573" i="3"/>
  <c r="I1589" i="3"/>
  <c r="I1605" i="3"/>
  <c r="I1621" i="3"/>
  <c r="I1637" i="3"/>
  <c r="I1653" i="3"/>
  <c r="I1669" i="3"/>
  <c r="I1685" i="3"/>
  <c r="I1701" i="3"/>
  <c r="I1717" i="3"/>
  <c r="I1733" i="3"/>
  <c r="I1749" i="3"/>
  <c r="I1765" i="3"/>
  <c r="I1994" i="3"/>
  <c r="I2058" i="3"/>
  <c r="I1444" i="3"/>
  <c r="I1452" i="3"/>
  <c r="I1460" i="3"/>
  <c r="I1468" i="3"/>
  <c r="I1476" i="3"/>
  <c r="I1484" i="3"/>
  <c r="I1492" i="3"/>
  <c r="I1500" i="3"/>
  <c r="I1508" i="3"/>
  <c r="I1516" i="3"/>
  <c r="I1524" i="3"/>
  <c r="I1532" i="3"/>
  <c r="G75" i="2" s="1"/>
  <c r="I1540" i="3"/>
  <c r="I1548" i="3"/>
  <c r="I1556" i="3"/>
  <c r="I1564" i="3"/>
  <c r="I1576" i="3"/>
  <c r="I1592" i="3"/>
  <c r="I1608" i="3"/>
  <c r="I1624" i="3"/>
  <c r="I1640" i="3"/>
  <c r="I1656" i="3"/>
  <c r="E74" i="2" s="1"/>
  <c r="I1672" i="3"/>
  <c r="C166" i="2" s="1"/>
  <c r="I1688" i="3"/>
  <c r="I1704" i="3"/>
  <c r="I1720" i="3"/>
  <c r="I1736" i="3"/>
  <c r="I1752" i="3"/>
  <c r="I1768" i="3"/>
  <c r="I1991" i="3"/>
  <c r="I2102" i="3"/>
  <c r="I1859" i="3"/>
  <c r="B139" i="2" s="1"/>
  <c r="I1927" i="3"/>
  <c r="I1569" i="3"/>
  <c r="I1577" i="3"/>
  <c r="I1585" i="3"/>
  <c r="I1593" i="3"/>
  <c r="I1601" i="3"/>
  <c r="I1609" i="3"/>
  <c r="I1617" i="3"/>
  <c r="I1625" i="3"/>
  <c r="I1633" i="3"/>
  <c r="I1641" i="3"/>
  <c r="I1649" i="3"/>
  <c r="I1657" i="3"/>
  <c r="I1665" i="3"/>
  <c r="I1673" i="3"/>
  <c r="I1681" i="3"/>
  <c r="I1689" i="3"/>
  <c r="I1697" i="3"/>
  <c r="I1705" i="3"/>
  <c r="I1713" i="3"/>
  <c r="E83" i="2" s="1"/>
  <c r="I1721" i="3"/>
  <c r="I1729" i="3"/>
  <c r="I1737" i="3"/>
  <c r="I1745" i="3"/>
  <c r="F73" i="2" s="1"/>
  <c r="I1753" i="3"/>
  <c r="I1761" i="3"/>
  <c r="I1769" i="3"/>
  <c r="B146" i="2" s="1"/>
  <c r="I1826" i="3"/>
  <c r="I1839" i="3"/>
  <c r="I1866" i="3"/>
  <c r="I1910" i="3"/>
  <c r="G72" i="2" s="1"/>
  <c r="I1987" i="3"/>
  <c r="I2055" i="3"/>
  <c r="I2122" i="3"/>
  <c r="I1795" i="3"/>
  <c r="I1811" i="3"/>
  <c r="I1827" i="3"/>
  <c r="I1843" i="3"/>
  <c r="C161" i="2" s="1"/>
  <c r="I1907" i="3"/>
  <c r="I1911" i="3"/>
  <c r="I1914" i="3"/>
  <c r="I1971" i="3"/>
  <c r="I1975" i="3"/>
  <c r="I1978" i="3"/>
  <c r="I2035" i="3"/>
  <c r="I2039" i="3"/>
  <c r="I2042" i="3"/>
  <c r="I2099" i="3"/>
  <c r="I2103" i="3"/>
  <c r="I2106" i="3"/>
  <c r="I2135" i="3"/>
  <c r="I1867" i="3"/>
  <c r="I1883" i="3"/>
  <c r="I1899" i="3"/>
  <c r="I1915" i="3"/>
  <c r="I1931" i="3"/>
  <c r="I1947" i="3"/>
  <c r="I1963" i="3"/>
  <c r="I1979" i="3"/>
  <c r="I1995" i="3"/>
  <c r="I2011" i="3"/>
  <c r="I2027" i="3"/>
  <c r="I2043" i="3"/>
  <c r="I2059" i="3"/>
  <c r="D82" i="2" s="1"/>
  <c r="I2075" i="3"/>
  <c r="I2091" i="3"/>
  <c r="I2107" i="3"/>
  <c r="I2123" i="3"/>
  <c r="I2149" i="3"/>
  <c r="I2150" i="3"/>
  <c r="I2165" i="3"/>
  <c r="I2166" i="3"/>
  <c r="I2181" i="3"/>
  <c r="I2182" i="3"/>
  <c r="I2197" i="3"/>
  <c r="I2198" i="3"/>
  <c r="I2213" i="3"/>
  <c r="I2214" i="3"/>
  <c r="I2229" i="3"/>
  <c r="I2230" i="3"/>
  <c r="I2245" i="3"/>
  <c r="I2246" i="3"/>
  <c r="I2261" i="3"/>
  <c r="I2262" i="3"/>
  <c r="I2277" i="3"/>
  <c r="I2278" i="3"/>
  <c r="I2294" i="3"/>
  <c r="I2295" i="3"/>
  <c r="D35" i="2" s="1"/>
  <c r="I2310" i="3"/>
  <c r="I2311" i="3"/>
  <c r="I2326" i="3"/>
  <c r="I2327" i="3"/>
  <c r="I2342" i="3"/>
  <c r="I2343" i="3"/>
  <c r="I2358" i="3"/>
  <c r="I2359" i="3"/>
  <c r="I2374" i="3"/>
  <c r="I2375" i="3"/>
  <c r="I2390" i="3"/>
  <c r="I2391" i="3"/>
  <c r="C19" i="2" l="1"/>
  <c r="E212" i="2"/>
  <c r="E79" i="2"/>
  <c r="D64" i="2"/>
  <c r="B150" i="2"/>
  <c r="E73" i="2"/>
  <c r="C142" i="2"/>
  <c r="B155" i="2"/>
  <c r="D24" i="2"/>
  <c r="C129" i="2"/>
  <c r="E77" i="2"/>
  <c r="B138" i="2"/>
  <c r="B134" i="2"/>
  <c r="B173" i="2"/>
  <c r="C160" i="2"/>
  <c r="F214" i="2"/>
  <c r="C152" i="2"/>
  <c r="C206" i="2"/>
  <c r="C80" i="2"/>
  <c r="C75" i="2"/>
  <c r="B123" i="2"/>
  <c r="B149" i="2"/>
  <c r="D73" i="2"/>
  <c r="C179" i="2"/>
  <c r="E214" i="2"/>
  <c r="B152" i="2"/>
  <c r="B160" i="2"/>
  <c r="D78" i="2"/>
  <c r="D22" i="2"/>
  <c r="D80" i="2"/>
  <c r="C198" i="2"/>
  <c r="B179" i="2"/>
  <c r="C71" i="2"/>
  <c r="B135" i="2"/>
  <c r="C134" i="2"/>
  <c r="C214" i="2"/>
  <c r="D66" i="2"/>
  <c r="B132" i="2"/>
  <c r="E68" i="2"/>
  <c r="C203" i="2"/>
  <c r="C204" i="2"/>
  <c r="D34" i="2"/>
  <c r="D213" i="2"/>
  <c r="C67" i="2"/>
  <c r="C76" i="2"/>
  <c r="C171" i="2"/>
  <c r="E69" i="2"/>
  <c r="C83" i="2"/>
  <c r="C163" i="2"/>
  <c r="B79" i="2"/>
  <c r="D77" i="2"/>
  <c r="B112" i="2"/>
  <c r="C65" i="2"/>
  <c r="C205" i="2"/>
  <c r="E76" i="2"/>
  <c r="C138" i="2"/>
  <c r="E81" i="2"/>
  <c r="D75" i="2"/>
  <c r="E24" i="2"/>
  <c r="C176" i="2"/>
  <c r="D70" i="2"/>
  <c r="C72" i="2"/>
  <c r="D67" i="2"/>
  <c r="C36" i="2"/>
  <c r="B80" i="2"/>
  <c r="B114" i="2"/>
  <c r="C172" i="2"/>
  <c r="D212" i="2"/>
  <c r="E70" i="2"/>
  <c r="E80" i="2"/>
  <c r="E65" i="2"/>
  <c r="C38" i="2"/>
  <c r="B74" i="2"/>
  <c r="C180" i="2"/>
  <c r="B180" i="2"/>
  <c r="C141" i="2"/>
  <c r="C68" i="2"/>
  <c r="B56" i="2"/>
  <c r="B141" i="2"/>
  <c r="B68" i="2"/>
  <c r="D68" i="2"/>
  <c r="C8" i="2"/>
  <c r="B11" i="1" s="1"/>
  <c r="F212" i="2"/>
  <c r="B55" i="2"/>
  <c r="E20" i="2"/>
  <c r="C9" i="2"/>
  <c r="B15" i="1" s="1"/>
  <c r="D112" i="2"/>
  <c r="E64" i="2"/>
  <c r="G74" i="2"/>
  <c r="C64" i="2"/>
  <c r="B161" i="2"/>
  <c r="B159" i="2"/>
  <c r="C158" i="2"/>
  <c r="B153" i="2"/>
  <c r="B37" i="2"/>
  <c r="C70" i="2"/>
  <c r="C132" i="2"/>
  <c r="C120" i="2"/>
  <c r="B77" i="2"/>
  <c r="B177" i="2"/>
  <c r="D20" i="2"/>
  <c r="B157" i="2"/>
  <c r="B166" i="2"/>
  <c r="B72" i="2"/>
  <c r="E72" i="2"/>
  <c r="B35" i="2"/>
  <c r="D83" i="2"/>
  <c r="C150" i="2"/>
  <c r="D113" i="2"/>
  <c r="C165" i="2"/>
  <c r="B165" i="2"/>
  <c r="B75" i="2"/>
  <c r="E34" i="2"/>
  <c r="E75" i="2"/>
  <c r="B53" i="2"/>
  <c r="D81" i="2"/>
  <c r="B36" i="2"/>
  <c r="C156" i="2"/>
  <c r="D21" i="2"/>
  <c r="C173" i="2"/>
  <c r="D37" i="2"/>
  <c r="C79" i="2"/>
  <c r="F81" i="2"/>
  <c r="B64" i="2"/>
  <c r="B78" i="2"/>
  <c r="D25" i="2"/>
  <c r="C25" i="2"/>
  <c r="E25" i="2"/>
  <c r="F80" i="2"/>
  <c r="C20" i="2"/>
  <c r="C200" i="2"/>
  <c r="B120" i="2"/>
  <c r="C7" i="2"/>
  <c r="B7" i="1" s="1"/>
  <c r="C34" i="2"/>
  <c r="B176" i="2"/>
  <c r="C159" i="2"/>
  <c r="B69" i="2"/>
  <c r="C37" i="2"/>
  <c r="B34" i="2"/>
  <c r="C77" i="2"/>
  <c r="B81" i="2"/>
  <c r="C74" i="2"/>
  <c r="E66" i="2"/>
  <c r="B137" i="2"/>
  <c r="E67" i="2"/>
  <c r="B73" i="2"/>
  <c r="C199" i="2"/>
  <c r="B142" i="2"/>
  <c r="D38" i="2"/>
  <c r="B82" i="2"/>
  <c r="D114" i="2"/>
  <c r="E37" i="2"/>
  <c r="G70" i="2"/>
  <c r="C66" i="2"/>
  <c r="D79" i="2"/>
  <c r="B164" i="2"/>
  <c r="C78" i="2"/>
  <c r="D23" i="2"/>
  <c r="E23" i="2"/>
  <c r="C23" i="2"/>
  <c r="C22" i="2"/>
  <c r="D28" i="2"/>
  <c r="C28" i="2"/>
  <c r="E28" i="2"/>
  <c r="B213" i="2"/>
  <c r="G80" i="2"/>
  <c r="D16" i="2"/>
  <c r="C157" i="2"/>
  <c r="B171" i="2"/>
  <c r="C146" i="2"/>
  <c r="B76" i="2"/>
  <c r="D27" i="2"/>
  <c r="C27" i="2"/>
  <c r="E27" i="2"/>
  <c r="D214" i="2"/>
  <c r="C162" i="2"/>
  <c r="B162" i="2"/>
  <c r="C16" i="2"/>
  <c r="B167" i="2"/>
  <c r="C167" i="2"/>
  <c r="C213" i="2"/>
  <c r="B163" i="2"/>
  <c r="D74" i="2"/>
  <c r="E22" i="2"/>
  <c r="E16" i="2"/>
  <c r="C135" i="2"/>
  <c r="E35" i="2"/>
  <c r="D69" i="2"/>
  <c r="B158" i="2"/>
  <c r="C212" i="2"/>
  <c r="B70" i="2"/>
  <c r="C201" i="2"/>
  <c r="B111" i="2"/>
  <c r="D111" i="2"/>
  <c r="E82" i="2"/>
  <c r="G76" i="2"/>
  <c r="B67" i="2"/>
  <c r="B172" i="2"/>
  <c r="C73" i="2"/>
  <c r="B83" i="2"/>
  <c r="E38" i="2"/>
  <c r="C82" i="2"/>
  <c r="C155" i="2"/>
  <c r="D65" i="2"/>
  <c r="E78" i="2"/>
  <c r="B65" i="2"/>
  <c r="C123" i="2"/>
  <c r="C164" i="2"/>
  <c r="B130" i="2"/>
  <c r="C130" i="2"/>
  <c r="D26" i="2"/>
  <c r="E26" i="2"/>
  <c r="C26" i="2"/>
  <c r="B214" i="2"/>
  <c r="C24" i="2"/>
  <c r="G77" i="2"/>
  <c r="C148" i="2"/>
  <c r="B148" i="2"/>
  <c r="E213" i="2"/>
  <c r="C202" i="2"/>
  <c r="C151" i="2"/>
  <c r="B38" i="2"/>
  <c r="B151" i="2"/>
  <c r="C10" i="2"/>
  <c r="B19" i="1" s="1"/>
  <c r="C21" i="2"/>
  <c r="F213" i="2"/>
  <c r="B129" i="2"/>
  <c r="C81" i="2"/>
  <c r="E21" i="2"/>
  <c r="C11" i="2"/>
  <c r="B23" i="1" s="1"/>
  <c r="B71" i="2"/>
  <c r="D76" i="2"/>
  <c r="C69" i="2"/>
  <c r="C153" i="2"/>
  <c r="C35" i="2"/>
  <c r="B212" i="2"/>
  <c r="B54" i="2"/>
  <c r="C137" i="2"/>
  <c r="B113" i="2"/>
  <c r="B66" i="2"/>
  <c r="B156" i="2"/>
  <c r="C139" i="2"/>
  <c r="E19" i="2"/>
  <c r="C113" i="2" l="1"/>
  <c r="D129" i="2"/>
  <c r="D39" i="2"/>
  <c r="H81" i="2"/>
  <c r="E111" i="2"/>
  <c r="H76" i="2"/>
  <c r="D164" i="2"/>
  <c r="D143" i="2"/>
  <c r="D145" i="2"/>
  <c r="D174" i="2"/>
  <c r="C111" i="2"/>
  <c r="D158" i="2"/>
  <c r="D144" i="2"/>
  <c r="D163" i="2"/>
  <c r="D136" i="2"/>
  <c r="H66" i="2"/>
  <c r="D133" i="2"/>
  <c r="H77" i="2"/>
  <c r="C39" i="2"/>
  <c r="H79" i="2"/>
  <c r="F35" i="2"/>
  <c r="D166" i="2"/>
  <c r="D177" i="2"/>
  <c r="H70" i="2"/>
  <c r="D159" i="2"/>
  <c r="H68" i="2"/>
  <c r="D135" i="2"/>
  <c r="D134" i="2"/>
  <c r="D146" i="2"/>
  <c r="D126" i="2"/>
  <c r="D128" i="2"/>
  <c r="H75" i="2"/>
  <c r="H83" i="2"/>
  <c r="D130" i="2"/>
  <c r="D167" i="2"/>
  <c r="E114" i="2"/>
  <c r="D176" i="2"/>
  <c r="D165" i="2"/>
  <c r="D152" i="2"/>
  <c r="D150" i="2"/>
  <c r="D140" i="2"/>
  <c r="D127" i="2"/>
  <c r="D125" i="2"/>
  <c r="C112" i="2"/>
  <c r="D156" i="2"/>
  <c r="H69" i="2"/>
  <c r="D151" i="2"/>
  <c r="H73" i="2"/>
  <c r="D162" i="2"/>
  <c r="D171" i="2"/>
  <c r="D139" i="2"/>
  <c r="H74" i="2"/>
  <c r="B39" i="2"/>
  <c r="F34" i="2"/>
  <c r="D147" i="2"/>
  <c r="F36" i="2"/>
  <c r="E39" i="2"/>
  <c r="E113" i="2"/>
  <c r="D157" i="2"/>
  <c r="F37" i="2"/>
  <c r="D161" i="2"/>
  <c r="E112" i="2"/>
  <c r="D160" i="2"/>
  <c r="D138" i="2"/>
  <c r="D124" i="2"/>
  <c r="D131" i="2"/>
  <c r="D123" i="2"/>
  <c r="H80" i="2"/>
  <c r="H72" i="2"/>
  <c r="D132" i="2"/>
  <c r="D175" i="2"/>
  <c r="F38" i="2"/>
  <c r="D148" i="2"/>
  <c r="H82" i="2"/>
  <c r="D172" i="2"/>
  <c r="D178" i="2"/>
  <c r="H78" i="2"/>
  <c r="D169" i="2"/>
  <c r="D142" i="2"/>
  <c r="D137" i="2"/>
  <c r="D149" i="2"/>
  <c r="H71" i="2"/>
  <c r="D153" i="2"/>
  <c r="H64" i="2"/>
  <c r="D179" i="2"/>
  <c r="D141" i="2"/>
  <c r="D180" i="2"/>
  <c r="D173" i="2"/>
  <c r="C114" i="2"/>
  <c r="D154" i="2"/>
  <c r="D170" i="2"/>
  <c r="D168" i="2"/>
  <c r="D155" i="2"/>
  <c r="H65" i="2"/>
  <c r="H67" i="2"/>
  <c r="H105" i="2" l="1"/>
  <c r="D105" i="2"/>
  <c r="G104" i="2"/>
  <c r="C104" i="2"/>
  <c r="F103" i="2"/>
  <c r="B103" i="2"/>
  <c r="E102" i="2"/>
  <c r="H101" i="2"/>
  <c r="D101" i="2"/>
  <c r="G100" i="2"/>
  <c r="C100" i="2"/>
  <c r="F99" i="2"/>
  <c r="B99" i="2"/>
  <c r="E98" i="2"/>
  <c r="H97" i="2"/>
  <c r="D97" i="2"/>
  <c r="G96" i="2"/>
  <c r="C96" i="2"/>
  <c r="F95" i="2"/>
  <c r="B95" i="2"/>
  <c r="E94" i="2"/>
  <c r="H93" i="2"/>
  <c r="D93" i="2"/>
  <c r="G92" i="2"/>
  <c r="C92" i="2"/>
  <c r="F91" i="2"/>
  <c r="B91" i="2"/>
  <c r="E90" i="2"/>
  <c r="H89" i="2"/>
  <c r="D89" i="2"/>
  <c r="G88" i="2"/>
  <c r="C88" i="2"/>
  <c r="F87" i="2"/>
  <c r="B87" i="2"/>
  <c r="E86" i="2"/>
  <c r="G105" i="2"/>
  <c r="C105" i="2"/>
  <c r="F104" i="2"/>
  <c r="B104" i="2"/>
  <c r="E103" i="2"/>
  <c r="H102" i="2"/>
  <c r="D102" i="2"/>
  <c r="G101" i="2"/>
  <c r="C101" i="2"/>
  <c r="F100" i="2"/>
  <c r="B100" i="2"/>
  <c r="E99" i="2"/>
  <c r="H98" i="2"/>
  <c r="D98" i="2"/>
  <c r="G97" i="2"/>
  <c r="C97" i="2"/>
  <c r="F96" i="2"/>
  <c r="E95" i="2"/>
  <c r="H94" i="2"/>
  <c r="D94" i="2"/>
  <c r="G93" i="2"/>
  <c r="C93" i="2"/>
  <c r="F92" i="2"/>
  <c r="E91" i="2"/>
  <c r="D90" i="2"/>
  <c r="G89" i="2"/>
  <c r="C89" i="2"/>
  <c r="B88" i="2"/>
  <c r="E87" i="2"/>
  <c r="D86" i="2"/>
  <c r="G102" i="2"/>
  <c r="F101" i="2"/>
  <c r="E100" i="2"/>
  <c r="D99" i="2"/>
  <c r="C98" i="2"/>
  <c r="F97" i="2"/>
  <c r="E96" i="2"/>
  <c r="H95" i="2"/>
  <c r="G94" i="2"/>
  <c r="F93" i="2"/>
  <c r="B93" i="2"/>
  <c r="H91" i="2"/>
  <c r="G90" i="2"/>
  <c r="C90" i="2"/>
  <c r="B89" i="2"/>
  <c r="E88" i="2"/>
  <c r="D87" i="2"/>
  <c r="G86" i="2"/>
  <c r="E105" i="2"/>
  <c r="H104" i="2"/>
  <c r="D104" i="2"/>
  <c r="G103" i="2"/>
  <c r="C103" i="2"/>
  <c r="F102" i="2"/>
  <c r="B102" i="2"/>
  <c r="E101" i="2"/>
  <c r="H100" i="2"/>
  <c r="D100" i="2"/>
  <c r="G99" i="2"/>
  <c r="C99" i="2"/>
  <c r="F98" i="2"/>
  <c r="B98" i="2"/>
  <c r="E97" i="2"/>
  <c r="H96" i="2"/>
  <c r="D96" i="2"/>
  <c r="G95" i="2"/>
  <c r="C95" i="2"/>
  <c r="F94" i="2"/>
  <c r="B94" i="2"/>
  <c r="E93" i="2"/>
  <c r="H92" i="2"/>
  <c r="D92" i="2"/>
  <c r="G91" i="2"/>
  <c r="C91" i="2"/>
  <c r="F90" i="2"/>
  <c r="B90" i="2"/>
  <c r="E89" i="2"/>
  <c r="H88" i="2"/>
  <c r="D88" i="2"/>
  <c r="G87" i="2"/>
  <c r="C87" i="2"/>
  <c r="F86" i="2"/>
  <c r="B86" i="2"/>
  <c r="B96" i="2"/>
  <c r="B92" i="2"/>
  <c r="H90" i="2"/>
  <c r="F88" i="2"/>
  <c r="H86" i="2"/>
  <c r="F105" i="2"/>
  <c r="B105" i="2"/>
  <c r="E104" i="2"/>
  <c r="H103" i="2"/>
  <c r="D103" i="2"/>
  <c r="C102" i="2"/>
  <c r="B101" i="2"/>
  <c r="H99" i="2"/>
  <c r="G98" i="2"/>
  <c r="B97" i="2"/>
  <c r="D95" i="2"/>
  <c r="C94" i="2"/>
  <c r="E92" i="2"/>
  <c r="D91" i="2"/>
  <c r="F89" i="2"/>
  <c r="H87" i="2"/>
  <c r="C86" i="2"/>
  <c r="D191" i="2"/>
  <c r="C190" i="2"/>
  <c r="B190" i="2" s="1"/>
  <c r="D187" i="2"/>
  <c r="C186" i="2"/>
  <c r="B186" i="2" s="1"/>
  <c r="D183" i="2"/>
  <c r="C191" i="2"/>
  <c r="B191" i="2" s="1"/>
  <c r="D189" i="2"/>
  <c r="C184" i="2"/>
  <c r="B184" i="2" s="1"/>
  <c r="D192" i="2"/>
  <c r="C189" i="2"/>
  <c r="B189" i="2" s="1"/>
  <c r="C187" i="2"/>
  <c r="B187" i="2" s="1"/>
  <c r="D185" i="2"/>
  <c r="C188" i="2"/>
  <c r="B188" i="2" s="1"/>
  <c r="D186" i="2"/>
  <c r="D184" i="2"/>
  <c r="C192" i="2"/>
  <c r="B192" i="2" s="1"/>
  <c r="D190" i="2"/>
  <c r="D188" i="2"/>
  <c r="C185" i="2"/>
  <c r="B185" i="2" s="1"/>
  <c r="C183" i="2"/>
  <c r="B183" i="2" s="1"/>
  <c r="F39" i="2"/>
  <c r="F42" i="2" s="1"/>
  <c r="D43" i="2" l="1"/>
  <c r="I28" i="1" s="1"/>
  <c r="D44" i="2"/>
  <c r="I30" i="1" s="1"/>
  <c r="E44" i="2"/>
  <c r="J30" i="1" s="1"/>
  <c r="C46" i="2"/>
  <c r="H34" i="1" s="1"/>
  <c r="D42" i="2"/>
  <c r="I26" i="1" s="1"/>
  <c r="C44" i="2"/>
  <c r="H30" i="1" s="1"/>
  <c r="B42" i="2"/>
  <c r="G26" i="1" s="1"/>
  <c r="B46" i="2"/>
  <c r="G34" i="1" s="1"/>
  <c r="E45" i="2"/>
  <c r="J32" i="1" s="1"/>
  <c r="C45" i="2"/>
  <c r="H32" i="1" s="1"/>
  <c r="C42" i="2"/>
  <c r="H26" i="1" s="1"/>
  <c r="C43" i="2"/>
  <c r="H28" i="1" s="1"/>
  <c r="D46" i="2"/>
  <c r="I34" i="1" s="1"/>
  <c r="B44" i="2"/>
  <c r="G30" i="1" s="1"/>
  <c r="B43" i="2"/>
  <c r="G28" i="1" s="1"/>
  <c r="E46" i="2"/>
  <c r="J34" i="1" s="1"/>
  <c r="D45" i="2"/>
  <c r="I32" i="1" s="1"/>
  <c r="E43" i="2"/>
  <c r="J28" i="1" s="1"/>
  <c r="E42" i="2"/>
  <c r="J26" i="1" s="1"/>
  <c r="B45" i="2"/>
  <c r="G32" i="1" s="1"/>
  <c r="F43" i="2"/>
  <c r="F45" i="2"/>
  <c r="F44" i="2"/>
  <c r="F46" i="2"/>
</calcChain>
</file>

<file path=xl/sharedStrings.xml><?xml version="1.0" encoding="utf-8"?>
<sst xmlns="http://schemas.openxmlformats.org/spreadsheetml/2006/main" count="14657" uniqueCount="2643">
  <si>
    <t>Ecommerce Sales &amp; Orders Dashboard</t>
  </si>
  <si>
    <t>Sales &amp; Quantity Trend (weekly)</t>
  </si>
  <si>
    <t>Gender Contribution</t>
  </si>
  <si>
    <t>🛒  TOTAL ORDERS</t>
  </si>
  <si>
    <t>Trend in the last 13 weeks - quantity (left axis) vs sales amount (right axis)</t>
  </si>
  <si>
    <t>Overall gender split - share of orders</t>
  </si>
  <si>
    <t>👕  TOTAL QUANTITY</t>
  </si>
  <si>
    <t>💰  TOTAL SALES AMOUNT</t>
  </si>
  <si>
    <t>⭐  AVERAGE RATING</t>
  </si>
  <si>
    <t>📅  AVG DAYS TO DELIVER</t>
  </si>
  <si>
    <t>Channel Performance by Gender</t>
  </si>
  <si>
    <t>Monthly Channel Performance</t>
  </si>
  <si>
    <t>Rating Distribution</t>
  </si>
  <si>
    <t>How our customers like to buy - share of total sales (blue = higher, red = lower)</t>
  </si>
  <si>
    <t>Sales amount by month and order channel</t>
  </si>
  <si>
    <t>How happy are our customers? Orders by rating</t>
  </si>
  <si>
    <t>Channel</t>
  </si>
  <si>
    <t>Female</t>
  </si>
  <si>
    <t>Male</t>
  </si>
  <si>
    <t>Other</t>
  </si>
  <si>
    <t>Unknown</t>
  </si>
  <si>
    <t>FILTERS  (pick from dropdowns)</t>
  </si>
  <si>
    <t>Order Mode / Channel</t>
  </si>
  <si>
    <t>All</t>
  </si>
  <si>
    <t>Gender</t>
  </si>
  <si>
    <t>Product Category</t>
  </si>
  <si>
    <t>Cell = channel/gender sales / total filtered sales</t>
  </si>
  <si>
    <t>Month</t>
  </si>
  <si>
    <t>Product Category Performance</t>
  </si>
  <si>
    <t>County-wise Quantity Distribution</t>
  </si>
  <si>
    <t>Delivery Days Analysis</t>
  </si>
  <si>
    <t>County (State has 1 value)</t>
  </si>
  <si>
    <t>Which products are popular? Sales by gender, high to low</t>
  </si>
  <si>
    <t>Where do our customers live? Top 10 counties by quantity</t>
  </si>
  <si>
    <t>How long we take to ship - orders by days to deliver</t>
  </si>
  <si>
    <t>Set every filter to "All" to reset.</t>
  </si>
  <si>
    <t>Source: Data sheet (orders table). All numbers recalculate from Pivot_Calculations and respond to the dropdown filters on the left. Data covers one state (California), so the map is a county bar chart. Logic: Working_Calculations, Formula_Guide.</t>
  </si>
  <si>
    <t>PIVOT_CALCULATIONS  -  formula-driven pivot tables (one per chart)</t>
  </si>
  <si>
    <t>Every table is a SUMIFS/COUNTIFS "pivot" over the Data table, restricted to Filter Flag = 1 (dashboard dropdowns). Blue = typed labels, black = formulas.</t>
  </si>
  <si>
    <t>1. KPI Pivot</t>
  </si>
  <si>
    <t>Equivalent PivotTable: Values = Count of TX ID, Sum of Quantity, Sum of Amount, Average of Rating, Average of Days to Deliver | Filters = slicers</t>
  </si>
  <si>
    <t>Metric</t>
  </si>
  <si>
    <t>All data (spec formula)</t>
  </si>
  <si>
    <t>Filtered (dashboard)</t>
  </si>
  <si>
    <t>Total Orders</t>
  </si>
  <si>
    <t>Total Quantity</t>
  </si>
  <si>
    <t>Total Sales Amount</t>
  </si>
  <si>
    <t>Average Rating</t>
  </si>
  <si>
    <t>Avg Days to Deliver</t>
  </si>
  <si>
    <t>2. Sales Trend Pivot (weekly)</t>
  </si>
  <si>
    <t>Week #</t>
  </si>
  <si>
    <t>Week starts</t>
  </si>
  <si>
    <t>Orders</t>
  </si>
  <si>
    <t>Quantity</t>
  </si>
  <si>
    <t>Amount ($)</t>
  </si>
  <si>
    <t>3. Channel vs Gender Pivot</t>
  </si>
  <si>
    <t>Equivalent PivotTable: Rows = Order Mode | Columns = Gender Value | Values = Sum of Amount (second block: % of grand total)</t>
  </si>
  <si>
    <t>Sales ($)</t>
  </si>
  <si>
    <t>Total</t>
  </si>
  <si>
    <t>App</t>
  </si>
  <si>
    <t>Instagram</t>
  </si>
  <si>
    <t>Partner App</t>
  </si>
  <si>
    <t>Target.com</t>
  </si>
  <si>
    <t>Website</t>
  </si>
  <si>
    <t>% of total sales</t>
  </si>
  <si>
    <t>4. Rating Distribution Pivot</t>
  </si>
  <si>
    <t>Equivalent PivotTable: Rows = Rating C | Values = Count of TX ID. Ratings in this dataset only run 1-5; the 6-10 / &gt;10 rows exist for completeness (they are 0).</t>
  </si>
  <si>
    <t>Rating</t>
  </si>
  <si>
    <t>6 TO 10</t>
  </si>
  <si>
    <t>More than 10</t>
  </si>
  <si>
    <t>5. Product Category Pivot</t>
  </si>
  <si>
    <t>Equivalent PivotTable: Rows = Product | Columns = Gender Value | Values = Sum of Quantity, Sum of Amount. Table A is unsorted; Table B sorts by Amount using RANK + INDEX/MATCH.</t>
  </si>
  <si>
    <t>A) Product</t>
  </si>
  <si>
    <t>Rank</t>
  </si>
  <si>
    <t>Baseball Caps</t>
  </si>
  <si>
    <t>Bikinis</t>
  </si>
  <si>
    <t>Casual Dresses</t>
  </si>
  <si>
    <t>Crop Tops</t>
  </si>
  <si>
    <t>Graphic Tees</t>
  </si>
  <si>
    <t>Hoodies &amp; Sweatshirts</t>
  </si>
  <si>
    <t>Jeans</t>
  </si>
  <si>
    <t>Jewelry</t>
  </si>
  <si>
    <t>Leggings</t>
  </si>
  <si>
    <t>Maxi Dresses</t>
  </si>
  <si>
    <t>Pajama Sets</t>
  </si>
  <si>
    <t>Sandals</t>
  </si>
  <si>
    <t>Shorts</t>
  </si>
  <si>
    <t>Sneakers</t>
  </si>
  <si>
    <t>Sundresses</t>
  </si>
  <si>
    <t>Sunglasses</t>
  </si>
  <si>
    <t>T-Shirts</t>
  </si>
  <si>
    <t>Tank Tops</t>
  </si>
  <si>
    <t>Tote Bags</t>
  </si>
  <si>
    <t>Workout Tops</t>
  </si>
  <si>
    <t>B) Rank</t>
  </si>
  <si>
    <t>Product</t>
  </si>
  <si>
    <t>6. Gender Distribution Pivot</t>
  </si>
  <si>
    <t>Equivalent PivotTable: Rows = Gender Value | Values = Count of TX ID (+ % of column total), Sum of Amount</t>
  </si>
  <si>
    <t>% of orders</t>
  </si>
  <si>
    <t>% of sales</t>
  </si>
  <si>
    <t>7. State / Region Pivot</t>
  </si>
  <si>
    <t>Equivalent PivotTable: Rows = State (and County) | Values = Sum of Quantity, Sum of Amount. Data covers ONE state, so the map is shown as a County bar chart (Excel Map charts cannot be created programmatically).</t>
  </si>
  <si>
    <t>State</t>
  </si>
  <si>
    <t>California</t>
  </si>
  <si>
    <t>A) County</t>
  </si>
  <si>
    <t>Rank (by qty)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</si>
  <si>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</si>
  <si>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</si>
  <si>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</si>
  <si>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</si>
  <si>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</si>
  <si>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</si>
  <si>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</si>
  <si>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</si>
  <si>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</si>
  <si>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</si>
  <si>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</si>
  <si>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</si>
  <si>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</si>
  <si>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</si>
  <si>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</si>
  <si>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</si>
  <si>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</si>
  <si>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</si>
  <si>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</si>
  <si>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</si>
  <si>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</si>
  <si>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</si>
  <si>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</si>
  <si>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</si>
  <si>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</si>
  <si>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</si>
  <si>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</si>
  <si>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</si>
  <si>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Nevada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</si>
  <si>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</si>
  <si>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</si>
  <si>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</si>
  <si>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</si>
  <si>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</si>
  <si>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</si>
  <si>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</si>
  <si>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</si>
  <si>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</t>
  </si>
  <si>
    <t>San Joaquin County</t>
  </si>
  <si>
    <t>San Luis Obispo County</t>
  </si>
  <si>
    <t>San Mateo County</t>
  </si>
  <si>
    <t>Santa Barbara County</t>
  </si>
  <si>
    <t>Santa Clara County</t>
  </si>
  <si>
    <t>Santa Cruz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</si>
  <si>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</si>
  <si>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</si>
  <si>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</si>
  <si>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</si>
  <si>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</si>
  <si>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</si>
  <si>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</si>
  <si>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</si>
  <si>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</si>
  <si>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</si>
  <si>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</si>
  <si>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</si>
  <si>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</si>
  <si>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</si>
  <si>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Top 10 County</t>
  </si>
  <si>
    <t>8. Delivery Days Pivot</t>
  </si>
  <si>
    <t>Equivalent PivotTable: Rows = Days to Deliver (group 8+) | Values = Count of TX ID</t>
  </si>
  <si>
    <t>Days to deliver</t>
  </si>
  <si>
    <t>Criteria</t>
  </si>
  <si>
    <t>0</t>
  </si>
  <si>
    <t>1</t>
  </si>
  <si>
    <t>2</t>
  </si>
  <si>
    <t>3</t>
  </si>
  <si>
    <t>4</t>
  </si>
  <si>
    <t>5</t>
  </si>
  <si>
    <t>6</t>
  </si>
  <si>
    <t>7</t>
  </si>
  <si>
    <t>8+</t>
  </si>
  <si>
    <t>&gt;=8</t>
  </si>
  <si>
    <t>9. Monthly Channel Pivot</t>
  </si>
  <si>
    <t>Equivalent PivotTable: Rows = Month | Columns = Order Mode | Values = Sum of Amount</t>
  </si>
  <si>
    <t>Jan</t>
  </si>
  <si>
    <t>Feb</t>
  </si>
  <si>
    <t>Mar</t>
  </si>
  <si>
    <t>TX ID</t>
  </si>
  <si>
    <t>Month Num</t>
  </si>
  <si>
    <t>Days to Deliver</t>
  </si>
  <si>
    <t>Rating Group</t>
  </si>
  <si>
    <t>Delivery Group</t>
  </si>
  <si>
    <t>Amount Check</t>
  </si>
  <si>
    <t>Filter Flag</t>
  </si>
  <si>
    <t>HOW THIS SHEET WORKS</t>
  </si>
  <si>
    <t>List: Mode</t>
  </si>
  <si>
    <t>List: Gender</t>
  </si>
  <si>
    <t>List: Category</t>
  </si>
  <si>
    <t>List: Month</t>
  </si>
  <si>
    <t>List: County</t>
  </si>
  <si>
    <t>Row n here = row n on the Data sheet (same order, 2,400 rows).</t>
  </si>
  <si>
    <t>Month Num / Month: =MONTH(date) and =TEXT(date,"mmm").</t>
  </si>
  <si>
    <t>Gender: reuses the "Gender Value" column of the Data table (M/F/O/blank -&gt; Male/Female/Other/Unknown).</t>
  </si>
  <si>
    <t>Days to Deliver: =Ship Date - Order Date. Delivery Group: 8 or more days -&gt; "8+".</t>
  </si>
  <si>
    <t>Rating Group: 1-5 stay as-is, 6-10 -&gt; "6 TO 10", above 10 -&gt; "More than 10".</t>
  </si>
  <si>
    <t>Amount Check: Quantity x Unit Price - Amount (0 = OK).</t>
  </si>
  <si>
    <t>Filter Flag: 1 if the row passes ALL five dashboard dropdowns, else 0.</t>
  </si>
  <si>
    <t>Every Pivot_Calculations formula uses "Filter Flag = 1", which is how the</t>
  </si>
  <si>
    <t>dropdowns drive every chart and KPI (replacing slicers).</t>
  </si>
  <si>
    <t>If you append rows to the Data table, copy the formulas here down and extend named ranges (Formulas &gt; Name Manager).</t>
  </si>
  <si>
    <t>DATA QUALITY CHECKS</t>
  </si>
  <si>
    <t>Result</t>
  </si>
  <si>
    <t>Rows in Data table</t>
  </si>
  <si>
    <t>Blank gender codes (shown as "Unknown")</t>
  </si>
  <si>
    <t>Duplicate TX IDs</t>
  </si>
  <si>
    <t>Negative delivery days</t>
  </si>
  <si>
    <t>Amount &lt;&gt; Quantity x Unit Price</t>
  </si>
  <si>
    <t>Ratings outside 1-5</t>
  </si>
  <si>
    <t>Days here &lt;&gt; Days on Data sheet</t>
  </si>
  <si>
    <t>Blue text = typed values that feed the dashboard dropdowns (equivalent to =UNIQUE(...) in Excel 365).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</si>
  <si>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</si>
  <si>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</si>
  <si>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</si>
  <si>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</si>
  <si>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</si>
  <si>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</si>
  <si>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</si>
  <si>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County</t>
  </si>
  <si>
    <t>Weeknum</t>
  </si>
  <si>
    <t>Gender Value</t>
  </si>
  <si>
    <t>TX500001</t>
  </si>
  <si>
    <t>TX500002</t>
  </si>
  <si>
    <t>M</t>
  </si>
  <si>
    <t>TX500003</t>
  </si>
  <si>
    <t>F</t>
  </si>
  <si>
    <t>TX500004</t>
  </si>
  <si>
    <t>TX500005</t>
  </si>
  <si>
    <t>TX500006</t>
  </si>
  <si>
    <t>TX500007</t>
  </si>
  <si>
    <t>TX500008</t>
  </si>
  <si>
    <t>TX500009</t>
  </si>
  <si>
    <t>TX500010</t>
  </si>
  <si>
    <t>TX500011</t>
  </si>
  <si>
    <t>TX500012</t>
  </si>
  <si>
    <t>TX500013</t>
  </si>
  <si>
    <t>TX500014</t>
  </si>
  <si>
    <t>TX500015</t>
  </si>
  <si>
    <t>TX500016</t>
  </si>
  <si>
    <t>TX500017</t>
  </si>
  <si>
    <t>TX500018</t>
  </si>
  <si>
    <t>TX500019</t>
  </si>
  <si>
    <t>TX500020</t>
  </si>
  <si>
    <t>TX500021</t>
  </si>
  <si>
    <t>TX500022</t>
  </si>
  <si>
    <t>TX500023</t>
  </si>
  <si>
    <t>TX500024</t>
  </si>
  <si>
    <t>TX500025</t>
  </si>
  <si>
    <t>TX500026</t>
  </si>
  <si>
    <t>TX500027</t>
  </si>
  <si>
    <t>TX500028</t>
  </si>
  <si>
    <t>TX500029</t>
  </si>
  <si>
    <t>TX500030</t>
  </si>
  <si>
    <t>TX500031</t>
  </si>
  <si>
    <t>TX500032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</si>
  <si>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</si>
  <si>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</si>
  <si>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</si>
  <si>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</si>
  <si>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</si>
  <si>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</si>
  <si>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</si>
  <si>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</si>
  <si>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</si>
  <si>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</si>
  <si>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</si>
  <si>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TX500043</t>
  </si>
  <si>
    <t>TX500044</t>
  </si>
  <si>
    <t>TX500045</t>
  </si>
  <si>
    <t>TX500046</t>
  </si>
  <si>
    <t>TX500047</t>
  </si>
  <si>
    <t>TX500048</t>
  </si>
  <si>
    <t>TX500049</t>
  </si>
  <si>
    <t>TX500050</t>
  </si>
  <si>
    <t>TX500051</t>
  </si>
  <si>
    <t>TX500052</t>
  </si>
  <si>
    <t>TX500053</t>
  </si>
  <si>
    <t>TX500054</t>
  </si>
  <si>
    <t>TX500055</t>
  </si>
  <si>
    <t>TX500056</t>
  </si>
  <si>
    <t>TX500057</t>
  </si>
  <si>
    <t>TX500058</t>
  </si>
  <si>
    <t>TX500059</t>
  </si>
  <si>
    <t>TX500060</t>
  </si>
  <si>
    <t>TX500061</t>
  </si>
  <si>
    <t>TX500062</t>
  </si>
  <si>
    <t>TX500063</t>
  </si>
  <si>
    <t>TX500064</t>
  </si>
  <si>
    <t>TX500065</t>
  </si>
  <si>
    <t>TX500066</t>
  </si>
  <si>
    <t>TX500067</t>
  </si>
  <si>
    <t>TX500068</t>
  </si>
  <si>
    <t>TX500069</t>
  </si>
  <si>
    <t>TX500070</t>
  </si>
  <si>
    <t>TX500071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</si>
  <si>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</si>
  <si>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</si>
  <si>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</si>
  <si>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</si>
  <si>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</si>
  <si>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</si>
  <si>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</si>
  <si>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</si>
  <si>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</si>
  <si>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</si>
  <si>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</si>
  <si>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</si>
  <si>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</si>
  <si>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</si>
  <si>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</si>
  <si>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</si>
  <si>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</si>
  <si>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</si>
  <si>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</si>
  <si>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</si>
  <si>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</si>
  <si>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</si>
  <si>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</si>
  <si>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</si>
  <si>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</si>
  <si>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</si>
  <si>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</si>
  <si>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</si>
  <si>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</si>
  <si>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</si>
  <si>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</si>
  <si>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</si>
  <si>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</si>
  <si>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</si>
  <si>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</si>
  <si>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</si>
  <si>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</si>
  <si>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</si>
  <si>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</si>
  <si>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</si>
  <si>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</si>
  <si>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</si>
  <si>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</si>
  <si>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</si>
  <si>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</si>
  <si>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</si>
  <si>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TX500118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</si>
  <si>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</si>
  <si>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</si>
  <si>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</si>
  <si>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</si>
  <si>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</si>
  <si>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</si>
  <si>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</si>
  <si>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</si>
  <si>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</si>
  <si>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</si>
  <si>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</si>
  <si>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</si>
  <si>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TX500131</t>
  </si>
  <si>
    <t>TX500132</t>
  </si>
  <si>
    <t>TX500133</t>
  </si>
  <si>
    <t>TX500134</t>
  </si>
  <si>
    <t>TX500135</t>
  </si>
  <si>
    <t>TX500136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</si>
  <si>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</si>
  <si>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</si>
  <si>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</si>
  <si>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</si>
  <si>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</si>
  <si>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</si>
  <si>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</si>
  <si>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</si>
  <si>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</si>
  <si>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</si>
  <si>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</si>
  <si>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</si>
  <si>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</si>
  <si>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</si>
  <si>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</si>
  <si>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</si>
  <si>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</si>
  <si>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</si>
  <si>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</si>
  <si>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</si>
  <si>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</si>
  <si>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</si>
  <si>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</si>
  <si>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</si>
  <si>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</si>
  <si>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</si>
  <si>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</si>
  <si>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</si>
  <si>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</si>
  <si>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</si>
  <si>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</si>
  <si>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</si>
  <si>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</si>
  <si>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</si>
  <si>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</si>
  <si>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</si>
  <si>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</si>
  <si>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</si>
  <si>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</si>
  <si>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</si>
  <si>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</si>
  <si>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</si>
  <si>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</si>
  <si>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</si>
  <si>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</si>
  <si>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</si>
  <si>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</si>
  <si>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</si>
  <si>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</si>
  <si>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</si>
  <si>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</si>
  <si>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</si>
  <si>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</si>
  <si>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</si>
  <si>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</si>
  <si>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</si>
  <si>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</si>
  <si>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</si>
  <si>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</si>
  <si>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</si>
  <si>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</si>
  <si>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</si>
  <si>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</si>
  <si>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</si>
  <si>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</si>
  <si>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</si>
  <si>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</si>
  <si>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</si>
  <si>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</si>
  <si>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</si>
  <si>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</si>
  <si>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</si>
  <si>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</si>
  <si>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</si>
  <si>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</si>
  <si>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</si>
  <si>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</si>
  <si>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</si>
  <si>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</si>
  <si>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</si>
  <si>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</si>
  <si>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</si>
  <si>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</si>
  <si>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</si>
  <si>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</si>
  <si>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</si>
  <si>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</si>
  <si>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</si>
  <si>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</si>
  <si>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</si>
  <si>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</si>
  <si>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</si>
  <si>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</si>
  <si>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</si>
  <si>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</si>
  <si>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</si>
  <si>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</si>
  <si>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</si>
  <si>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</si>
  <si>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</si>
  <si>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</si>
  <si>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</si>
  <si>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</si>
  <si>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</si>
  <si>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</si>
  <si>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</si>
  <si>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</si>
  <si>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</si>
  <si>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</si>
  <si>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</si>
  <si>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</si>
  <si>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</si>
  <si>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</si>
  <si>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</si>
  <si>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</si>
  <si>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</si>
  <si>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</si>
  <si>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TX500254</t>
  </si>
  <si>
    <t>TX500255</t>
  </si>
  <si>
    <t>TX500256</t>
  </si>
  <si>
    <t>TX500257</t>
  </si>
  <si>
    <t>TX500258</t>
  </si>
  <si>
    <t>TX500259</t>
  </si>
  <si>
    <t>TX500260</t>
  </si>
  <si>
    <t>TX500261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</si>
  <si>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</si>
  <si>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</si>
  <si>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</si>
  <si>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</si>
  <si>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</si>
  <si>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</si>
  <si>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</si>
  <si>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</si>
  <si>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</si>
  <si>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</si>
  <si>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</si>
  <si>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</si>
  <si>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</si>
  <si>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</si>
  <si>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</si>
  <si>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</si>
  <si>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</si>
  <si>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</si>
  <si>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</si>
  <si>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</si>
  <si>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</si>
  <si>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</si>
  <si>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</si>
  <si>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</si>
  <si>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</si>
  <si>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</si>
  <si>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</si>
  <si>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</si>
  <si>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</si>
  <si>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</si>
  <si>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</si>
  <si>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</si>
  <si>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</si>
  <si>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</si>
  <si>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</si>
  <si>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</si>
  <si>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</si>
  <si>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</si>
  <si>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</si>
  <si>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</si>
  <si>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</si>
  <si>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</si>
  <si>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</si>
  <si>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</si>
  <si>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</si>
  <si>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</si>
  <si>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</si>
  <si>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</si>
  <si>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</si>
  <si>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</si>
  <si>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</si>
  <si>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</si>
  <si>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</si>
  <si>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</si>
  <si>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</si>
  <si>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</si>
  <si>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</si>
  <si>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</si>
  <si>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</si>
  <si>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</si>
  <si>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</si>
  <si>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</si>
  <si>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</si>
  <si>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</si>
  <si>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</si>
  <si>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</si>
  <si>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</si>
  <si>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</si>
  <si>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</si>
  <si>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</si>
  <si>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</si>
  <si>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</si>
  <si>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</si>
  <si>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</si>
  <si>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</si>
  <si>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</si>
  <si>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</si>
  <si>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</si>
  <si>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</si>
  <si>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</si>
  <si>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</si>
  <si>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</si>
  <si>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TX500344</t>
  </si>
  <si>
    <t>TX500345</t>
  </si>
  <si>
    <t>TX500346</t>
  </si>
  <si>
    <t>TX500347</t>
  </si>
  <si>
    <t>TX500348</t>
  </si>
  <si>
    <t>TX500349</t>
  </si>
  <si>
    <t>TX500350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</si>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</sst>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,\k"/>
    <numFmt numFmtId="165" formatCode="0.0"/>
    <numFmt numFmtId="166" formatCode="0.0%"/>
    <numFmt numFmtId="168" formatCode="\$#,##0"/>
  </numFmts>
  <fonts count="25" x14ac:knownFonts="1">
    <font>
      <sz val="11"/>
      <color theme="1"/>
      <name val="Aptos Narrow"/>
      <family val="2"/>
      <charset val="1"/>
    </font>
    <font>
      <b/>
      <sz val="20"/>
      <color rgb="FF24473A"/>
      <name val="Arial"/>
      <charset val="1"/>
    </font>
    <font>
      <i/>
      <sz val="10"/>
      <color rgb="FF505947"/>
      <name val="Arial"/>
      <charset val="1"/>
    </font>
    <font>
      <b/>
      <sz val="12"/>
      <color rgb="FF24473A"/>
      <name val="Arial"/>
      <charset val="1"/>
    </font>
    <font>
      <b/>
      <sz val="9"/>
      <color rgb="FFBFD8C8"/>
      <name val="Arial"/>
      <charset val="1"/>
    </font>
    <font>
      <i/>
      <sz val="9"/>
      <color rgb="FF707070"/>
      <name val="Arial"/>
      <charset val="1"/>
    </font>
    <font>
      <b/>
      <sz val="2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40404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1"/>
      <color rgb="FF24473A"/>
      <name val="Arial"/>
      <charset val="1"/>
    </font>
    <font>
      <i/>
      <sz val="8"/>
      <color rgb="FF707070"/>
      <name val="Arial"/>
      <charset val="1"/>
    </font>
    <font>
      <i/>
      <sz val="9"/>
      <color rgb="FFBFD8C8"/>
      <name val="Arial"/>
      <charset val="1"/>
    </font>
    <font>
      <i/>
      <sz val="8"/>
      <color rgb="FF505947"/>
      <name val="Arial"/>
      <charset val="1"/>
    </font>
    <font>
      <b/>
      <sz val="16"/>
      <color rgb="FF24473A"/>
      <name val="Arial"/>
      <charset val="1"/>
    </font>
    <font>
      <i/>
      <sz val="9"/>
      <color rgb="FF606060"/>
      <name val="Arial"/>
      <charset val="1"/>
    </font>
    <font>
      <b/>
      <sz val="13"/>
      <color rgb="FF24473A"/>
      <name val="Arial"/>
      <charset val="1"/>
    </font>
    <font>
      <sz val="10"/>
      <color rgb="FF000000"/>
      <name val="Arial"/>
      <charset val="1"/>
    </font>
    <font>
      <sz val="9"/>
      <color rgb="FF606060"/>
      <name val="Arial"/>
      <charset val="1"/>
    </font>
    <font>
      <sz val="10"/>
      <color rgb="FF0000FF"/>
      <name val="Arial"/>
      <charset val="1"/>
    </font>
    <font>
      <b/>
      <sz val="10"/>
      <color rgb="FF24473A"/>
      <name val="Arial"/>
      <charset val="1"/>
    </font>
    <font>
      <sz val="9"/>
      <color rgb="FF000000"/>
      <name val="Arial"/>
      <charset val="1"/>
    </font>
    <font>
      <sz val="10"/>
      <color rgb="FF404040"/>
      <name val="Arial"/>
      <charset val="1"/>
    </font>
    <font>
      <b/>
      <sz val="11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4F8F5"/>
        <bgColor rgb="FFFFFFFF"/>
      </patternFill>
    </fill>
    <fill>
      <patternFill patternType="solid">
        <fgColor rgb="FFE4EFE8"/>
        <bgColor rgb="FFE6E6E6"/>
      </patternFill>
    </fill>
    <fill>
      <patternFill patternType="solid">
        <fgColor rgb="FF24473A"/>
        <bgColor rgb="FF1F3D2B"/>
      </patternFill>
    </fill>
    <fill>
      <patternFill patternType="solid">
        <fgColor rgb="FFFFFFFF"/>
        <bgColor rgb="FFF4F8F5"/>
      </patternFill>
    </fill>
    <fill>
      <patternFill patternType="solid">
        <fgColor theme="9"/>
        <bgColor rgb="FF467886"/>
      </patternFill>
    </fill>
  </fills>
  <borders count="13">
    <border>
      <left/>
      <right/>
      <top/>
      <bottom/>
      <diagonal/>
    </border>
    <border>
      <left style="thin">
        <color rgb="FFD0DCD4"/>
      </left>
      <right/>
      <top style="thin">
        <color rgb="FFD0DCD4"/>
      </top>
      <bottom/>
      <diagonal/>
    </border>
    <border>
      <left/>
      <right/>
      <top style="thin">
        <color rgb="FFD0DCD4"/>
      </top>
      <bottom/>
      <diagonal/>
    </border>
    <border>
      <left/>
      <right style="thin">
        <color rgb="FFD0DCD4"/>
      </right>
      <top style="thin">
        <color rgb="FFD0DCD4"/>
      </top>
      <bottom/>
      <diagonal/>
    </border>
    <border>
      <left style="thin">
        <color rgb="FFD0DCD4"/>
      </left>
      <right/>
      <top/>
      <bottom/>
      <diagonal/>
    </border>
    <border>
      <left/>
      <right style="thin">
        <color rgb="FFD0DCD4"/>
      </right>
      <top/>
      <bottom/>
      <diagonal/>
    </border>
    <border>
      <left/>
      <right/>
      <top style="thin">
        <color rgb="FF4F7A63"/>
      </top>
      <bottom/>
      <diagonal/>
    </border>
    <border>
      <left style="thin">
        <color rgb="FFD0DCD4"/>
      </left>
      <right/>
      <top/>
      <bottom style="thin">
        <color rgb="FFD0DCD4"/>
      </bottom>
      <diagonal/>
    </border>
    <border>
      <left/>
      <right/>
      <top/>
      <bottom style="thin">
        <color rgb="FFD0DCD4"/>
      </bottom>
      <diagonal/>
    </border>
    <border>
      <left/>
      <right style="thin">
        <color rgb="FFD0DCD4"/>
      </right>
      <top/>
      <bottom style="thin">
        <color rgb="FFD0DCD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CD4"/>
      </left>
      <right style="thin">
        <color rgb="FFD0DCD4"/>
      </right>
      <top style="thin">
        <color rgb="FFD0DCD4"/>
      </top>
      <bottom style="thin">
        <color rgb="FFD0DCD4"/>
      </bottom>
      <diagonal/>
    </border>
    <border>
      <left style="thin">
        <color rgb="FFD0DCD4"/>
      </left>
      <right/>
      <top style="thin">
        <color rgb="FFD0DCD4"/>
      </top>
      <bottom style="thin">
        <color rgb="FFD0DCD4"/>
      </bottom>
      <diagonal/>
    </border>
  </borders>
  <cellStyleXfs count="1">
    <xf numFmtId="0" fontId="0" fillId="0" borderId="0"/>
  </cellStyleXfs>
  <cellXfs count="68">
    <xf numFmtId="0" fontId="0" fillId="0" borderId="0" xfId="0"/>
    <xf numFmtId="166" fontId="9" fillId="5" borderId="10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 indent="1"/>
    </xf>
    <xf numFmtId="0" fontId="7" fillId="4" borderId="4" xfId="0" applyFont="1" applyFill="1" applyBorder="1" applyAlignment="1">
      <alignment horizontal="center" vertical="center"/>
    </xf>
    <xf numFmtId="165" fontId="6" fillId="4" borderId="0" xfId="0" applyNumberFormat="1" applyFont="1" applyFill="1" applyAlignment="1">
      <alignment horizontal="left" vertical="center"/>
    </xf>
    <xf numFmtId="2" fontId="6" fillId="4" borderId="0" xfId="0" applyNumberFormat="1" applyFont="1" applyFill="1" applyAlignment="1">
      <alignment horizontal="left" vertical="center"/>
    </xf>
    <xf numFmtId="164" fontId="6" fillId="4" borderId="0" xfId="0" applyNumberFormat="1" applyFont="1" applyFill="1" applyAlignment="1">
      <alignment horizontal="left" vertical="center"/>
    </xf>
    <xf numFmtId="3" fontId="6" fillId="4" borderId="0" xfId="0" applyNumberFormat="1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4" borderId="0" xfId="0" applyFill="1"/>
    <xf numFmtId="0" fontId="3" fillId="5" borderId="1" xfId="0" applyFont="1" applyFill="1" applyBorder="1" applyAlignment="1">
      <alignment vertical="center" indent="1"/>
    </xf>
    <xf numFmtId="0" fontId="0" fillId="5" borderId="2" xfId="0" applyFill="1" applyBorder="1"/>
    <xf numFmtId="0" fontId="0" fillId="5" borderId="3" xfId="0" applyFill="1" applyBorder="1"/>
    <xf numFmtId="0" fontId="4" fillId="4" borderId="0" xfId="0" applyFont="1" applyFill="1"/>
    <xf numFmtId="0" fontId="5" fillId="5" borderId="4" xfId="0" applyFont="1" applyFill="1" applyBorder="1" applyAlignment="1">
      <alignment vertical="top" indent="1"/>
    </xf>
    <xf numFmtId="0" fontId="0" fillId="5" borderId="0" xfId="0" applyFill="1"/>
    <xf numFmtId="0" fontId="0" fillId="5" borderId="5" xfId="0" applyFill="1" applyBorder="1"/>
    <xf numFmtId="0" fontId="0" fillId="5" borderId="4" xfId="0" applyFill="1" applyBorder="1"/>
    <xf numFmtId="0" fontId="0" fillId="4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7" fillId="4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0" fillId="4" borderId="0" xfId="0" applyFont="1" applyFill="1"/>
    <xf numFmtId="0" fontId="11" fillId="5" borderId="11" xfId="0" applyFont="1" applyFill="1" applyBorder="1" applyAlignment="1">
      <alignment horizontal="left" indent="1"/>
    </xf>
    <xf numFmtId="0" fontId="12" fillId="5" borderId="4" xfId="0" applyFont="1" applyFill="1" applyBorder="1" applyAlignment="1">
      <alignment indent="1"/>
    </xf>
    <xf numFmtId="0" fontId="13" fillId="4" borderId="0" xfId="0" applyFont="1" applyFill="1"/>
    <xf numFmtId="0" fontId="14" fillId="3" borderId="0" xfId="0" applyFont="1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4" borderId="11" xfId="0" applyFont="1" applyFill="1" applyBorder="1" applyAlignment="1">
      <alignment horizontal="center" wrapText="1"/>
    </xf>
    <xf numFmtId="0" fontId="9" fillId="0" borderId="11" xfId="0" applyFont="1" applyBorder="1"/>
    <xf numFmtId="3" fontId="18" fillId="0" borderId="11" xfId="0" applyNumberFormat="1" applyFont="1" applyBorder="1" applyAlignment="1">
      <alignment horizontal="right"/>
    </xf>
    <xf numFmtId="164" fontId="18" fillId="0" borderId="11" xfId="0" applyNumberFormat="1" applyFont="1" applyBorder="1" applyAlignment="1">
      <alignment horizontal="right"/>
    </xf>
    <xf numFmtId="2" fontId="18" fillId="0" borderId="11" xfId="0" applyNumberFormat="1" applyFont="1" applyBorder="1" applyAlignment="1">
      <alignment horizontal="right"/>
    </xf>
    <xf numFmtId="165" fontId="18" fillId="0" borderId="11" xfId="0" applyNumberFormat="1" applyFont="1" applyBorder="1" applyAlignment="1">
      <alignment horizontal="right"/>
    </xf>
    <xf numFmtId="0" fontId="20" fillId="0" borderId="11" xfId="0" applyFont="1" applyBorder="1"/>
    <xf numFmtId="0" fontId="18" fillId="0" borderId="11" xfId="0" applyFont="1" applyBorder="1" applyAlignment="1">
      <alignment horizontal="right"/>
    </xf>
    <xf numFmtId="168" fontId="18" fillId="0" borderId="11" xfId="0" applyNumberFormat="1" applyFont="1" applyBorder="1" applyAlignment="1">
      <alignment horizontal="right"/>
    </xf>
    <xf numFmtId="168" fontId="9" fillId="0" borderId="11" xfId="0" applyNumberFormat="1" applyFont="1" applyBorder="1" applyAlignment="1">
      <alignment horizontal="right"/>
    </xf>
    <xf numFmtId="0" fontId="18" fillId="0" borderId="11" xfId="0" applyFont="1" applyBorder="1"/>
    <xf numFmtId="166" fontId="18" fillId="0" borderId="11" xfId="0" applyNumberFormat="1" applyFont="1" applyBorder="1" applyAlignment="1">
      <alignment horizontal="right"/>
    </xf>
    <xf numFmtId="1" fontId="18" fillId="0" borderId="11" xfId="0" applyNumberFormat="1" applyFont="1" applyBorder="1" applyAlignment="1">
      <alignment horizontal="right"/>
    </xf>
    <xf numFmtId="49" fontId="20" fillId="0" borderId="11" xfId="0" applyNumberFormat="1" applyFont="1" applyBorder="1" applyAlignment="1">
      <alignment horizontal="left"/>
    </xf>
    <xf numFmtId="0" fontId="20" fillId="0" borderId="11" xfId="0" applyFont="1" applyBorder="1" applyAlignment="1">
      <alignment horizontal="right"/>
    </xf>
    <xf numFmtId="0" fontId="10" fillId="4" borderId="0" xfId="0" applyFont="1" applyFill="1" applyAlignment="1">
      <alignment horizontal="center" wrapText="1"/>
    </xf>
    <xf numFmtId="0" fontId="21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0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0" fillId="6" borderId="0" xfId="0" applyFill="1"/>
    <xf numFmtId="15" fontId="0" fillId="0" borderId="0" xfId="0" applyNumberFormat="1"/>
    <xf numFmtId="0" fontId="24" fillId="6" borderId="0" xfId="0" applyFont="1" applyFill="1"/>
    <xf numFmtId="0" fontId="0" fillId="0" borderId="0" xfId="0" applyAlignment="1">
      <alignment horizontal="left" indent="1"/>
    </xf>
    <xf numFmtId="0" fontId="10" fillId="4" borderId="12" xfId="0" applyFont="1" applyFill="1" applyBorder="1" applyAlignment="1">
      <alignment horizontal="center" wrapText="1"/>
    </xf>
    <xf numFmtId="3" fontId="18" fillId="0" borderId="12" xfId="0" applyNumberFormat="1" applyFont="1" applyBorder="1" applyAlignment="1">
      <alignment horizontal="right"/>
    </xf>
    <xf numFmtId="164" fontId="18" fillId="0" borderId="12" xfId="0" applyNumberFormat="1" applyFont="1" applyBorder="1" applyAlignment="1">
      <alignment horizontal="right"/>
    </xf>
    <xf numFmtId="2" fontId="18" fillId="0" borderId="12" xfId="0" applyNumberFormat="1" applyFont="1" applyBorder="1" applyAlignment="1">
      <alignment horizontal="right"/>
    </xf>
    <xf numFmtId="165" fontId="18" fillId="0" borderId="12" xfId="0" applyNumberFormat="1" applyFont="1" applyBorder="1" applyAlignment="1">
      <alignment horizontal="right"/>
    </xf>
    <xf numFmtId="0" fontId="10" fillId="0" borderId="0" xfId="0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7A63"/>
      <rgbColor rgb="FF800080"/>
      <rgbColor rgb="FF467886"/>
      <rgbColor rgb="FFBFBFBF"/>
      <rgbColor rgb="FF748C76"/>
      <rgbColor rgb="FF8E6BBF"/>
      <rgbColor rgb="FFBF3939"/>
      <rgbColor rgb="FFF4F8F5"/>
      <rgbColor rgb="FFE4EFE8"/>
      <rgbColor rgb="FF660066"/>
      <rgbColor rgb="FFBF7F5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D0DCD4"/>
      <rgbColor rgb="FFFFFF99"/>
      <rgbColor rgb="FF9FBFAD"/>
      <rgbColor rgb="FFFF99CC"/>
      <rgbColor rgb="FFCC99FF"/>
      <rgbColor rgb="FFBFD8C8"/>
      <rgbColor rgb="FF4887E6"/>
      <rgbColor rgb="FF33CCCC"/>
      <rgbColor rgb="FF99CC00"/>
      <rgbColor rgb="FFFFCC00"/>
      <rgbColor rgb="FFF28E2B"/>
      <rgbColor rgb="FFFF6600"/>
      <rgbColor rgb="FF707070"/>
      <rgbColor rgb="FFA6A6A6"/>
      <rgbColor rgb="FF24473A"/>
      <rgbColor rgb="FF5FA777"/>
      <rgbColor rgb="FF003300"/>
      <rgbColor rgb="FF1F3D2B"/>
      <rgbColor rgb="FF505947"/>
      <rgbColor rgb="FF606060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Pivot_Calculations!$D$15</c:f>
              <c:strCache>
                <c:ptCount val="1"/>
                <c:pt idx="0">
                  <c:v>Quantity</c:v>
                </c:pt>
              </c:strCache>
            </c:strRef>
          </c:tx>
          <c:spPr>
            <a:ln w="28080">
              <a:solidFill>
                <a:srgbClr val="4887E6"/>
              </a:solidFill>
              <a:round/>
            </a:ln>
          </c:spPr>
          <c:marker>
            <c:symbol val="circle"/>
            <c:size val="5"/>
            <c:spPr>
              <a:solidFill>
                <a:srgbClr val="4887E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Pivot_Calculations!$B$16:$B$28</c:f>
              <c:strCache>
                <c:ptCount val="13"/>
                <c:pt idx="0">
                  <c:v>1 Jan</c:v>
                </c:pt>
                <c:pt idx="1">
                  <c:v>5 Jan</c:v>
                </c:pt>
                <c:pt idx="2">
                  <c:v>12 Jan</c:v>
                </c:pt>
                <c:pt idx="3">
                  <c:v>19 Jan</c:v>
                </c:pt>
                <c:pt idx="4">
                  <c:v>26 Jan</c:v>
                </c:pt>
                <c:pt idx="5">
                  <c:v>2 Feb</c:v>
                </c:pt>
                <c:pt idx="6">
                  <c:v>9 Feb</c:v>
                </c:pt>
                <c:pt idx="7">
                  <c:v>16 Feb</c:v>
                </c:pt>
                <c:pt idx="8">
                  <c:v>23 Feb</c:v>
                </c:pt>
                <c:pt idx="9">
                  <c:v>2 Mar</c:v>
                </c:pt>
                <c:pt idx="10">
                  <c:v>9 Mar</c:v>
                </c:pt>
                <c:pt idx="11">
                  <c:v>16 Mar</c:v>
                </c:pt>
                <c:pt idx="12">
                  <c:v>23 Mar</c:v>
                </c:pt>
              </c:strCache>
            </c:strRef>
          </c:cat>
          <c:val>
            <c:numRef>
              <c:f>Pivot_Calculations!$D$16:$D$28</c:f>
              <c:numCache>
                <c:formatCode>#,##0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A-4FD5-9905-FD8FACEFB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705649"/>
        <c:axId val="86291877"/>
      </c:lineChart>
      <c:lineChart>
        <c:grouping val="standard"/>
        <c:varyColors val="0"/>
        <c:ser>
          <c:idx val="1"/>
          <c:order val="1"/>
          <c:tx>
            <c:strRef>
              <c:f>Pivot_Calculations!$E$15</c:f>
              <c:strCache>
                <c:ptCount val="1"/>
                <c:pt idx="0">
                  <c:v>Amount ($)</c:v>
                </c:pt>
              </c:strCache>
            </c:strRef>
          </c:tx>
          <c:spPr>
            <a:ln w="28080">
              <a:solidFill>
                <a:srgbClr val="F28E2B"/>
              </a:solidFill>
              <a:round/>
            </a:ln>
          </c:spPr>
          <c:marker>
            <c:symbol val="circle"/>
            <c:size val="5"/>
            <c:spPr>
              <a:solidFill>
                <a:srgbClr val="F28E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Pivot_Calculations!$B$16:$B$28</c:f>
              <c:strCache>
                <c:ptCount val="13"/>
                <c:pt idx="0">
                  <c:v>1 Jan</c:v>
                </c:pt>
                <c:pt idx="1">
                  <c:v>5 Jan</c:v>
                </c:pt>
                <c:pt idx="2">
                  <c:v>12 Jan</c:v>
                </c:pt>
                <c:pt idx="3">
                  <c:v>19 Jan</c:v>
                </c:pt>
                <c:pt idx="4">
                  <c:v>26 Jan</c:v>
                </c:pt>
                <c:pt idx="5">
                  <c:v>2 Feb</c:v>
                </c:pt>
                <c:pt idx="6">
                  <c:v>9 Feb</c:v>
                </c:pt>
                <c:pt idx="7">
                  <c:v>16 Feb</c:v>
                </c:pt>
                <c:pt idx="8">
                  <c:v>23 Feb</c:v>
                </c:pt>
                <c:pt idx="9">
                  <c:v>2 Mar</c:v>
                </c:pt>
                <c:pt idx="10">
                  <c:v>9 Mar</c:v>
                </c:pt>
                <c:pt idx="11">
                  <c:v>16 Mar</c:v>
                </c:pt>
                <c:pt idx="12">
                  <c:v>23 Mar</c:v>
                </c:pt>
              </c:strCache>
            </c:strRef>
          </c:cat>
          <c:val>
            <c:numRef>
              <c:f>Pivot_Calculations!$E$16:$E$28</c:f>
              <c:numCache>
                <c:formatCode>\$#,##0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AA-4FD5-9905-FD8FACEFB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685166"/>
        <c:axId val="25111075"/>
      </c:lineChart>
      <c:catAx>
        <c:axId val="67056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86291877"/>
        <c:crosses val="autoZero"/>
        <c:auto val="1"/>
        <c:lblAlgn val="ctr"/>
        <c:lblOffset val="100"/>
        <c:noMultiLvlLbl val="0"/>
      </c:catAx>
      <c:valAx>
        <c:axId val="8629187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6705649"/>
        <c:crosses val="autoZero"/>
        <c:crossBetween val="between"/>
      </c:valAx>
      <c:catAx>
        <c:axId val="54685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5111075"/>
        <c:crosses val="autoZero"/>
        <c:auto val="1"/>
        <c:lblAlgn val="ctr"/>
        <c:lblOffset val="100"/>
        <c:noMultiLvlLbl val="0"/>
      </c:catAx>
      <c:valAx>
        <c:axId val="25111075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468516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Pivot_Calculations!$B$110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9FBFA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887E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3AD-4DE8-A90C-63D1683935E4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3AD-4DE8-A90C-63D1683935E4}"/>
              </c:ext>
            </c:extLst>
          </c:dPt>
          <c:dPt>
            <c:idx val="2"/>
            <c:bubble3D val="0"/>
            <c:spPr>
              <a:solidFill>
                <a:srgbClr val="5FA777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3AD-4DE8-A90C-63D1683935E4}"/>
              </c:ext>
            </c:extLst>
          </c:dPt>
          <c:dPt>
            <c:idx val="3"/>
            <c:bubble3D val="0"/>
            <c:spPr>
              <a:solidFill>
                <a:srgbClr val="A6A6A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3AD-4DE8-A90C-63D1683935E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3AD-4DE8-A90C-63D1683935E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3AD-4DE8-A90C-63D1683935E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3AD-4DE8-A90C-63D1683935E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3AD-4DE8-A90C-63D1683935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Pivot_Calculations!$A$111:$A$114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Pivot_Calculations!$B$111:$B$114</c:f>
              <c:numCache>
                <c:formatCode>#,##0</c:formatCode>
                <c:ptCount val="4"/>
                <c:pt idx="0">
                  <c:v>1231</c:v>
                </c:pt>
                <c:pt idx="1">
                  <c:v>959</c:v>
                </c:pt>
                <c:pt idx="2">
                  <c:v>75</c:v>
                </c:pt>
                <c:pt idx="3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AD-4DE8-A90C-63D168393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Pivot_Calculations!$B$211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4887E6"/>
            </a:solidFill>
            <a:ln w="0">
              <a:solidFill>
                <a:srgbClr val="4887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Pivot_Calculations!$A$212:$A$214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Pivot_Calculations!$B$212:$B$214</c:f>
              <c:numCache>
                <c:formatCode>\$#,##0</c:formatCode>
                <c:ptCount val="3"/>
                <c:pt idx="0">
                  <c:v>69760.599999999962</c:v>
                </c:pt>
                <c:pt idx="1">
                  <c:v>85734.999999999956</c:v>
                </c:pt>
                <c:pt idx="2">
                  <c:v>73897.900000000023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D-4935-8DD0-494B14753619}"/>
            </c:ext>
          </c:extLst>
        </c:ser>
        <c:ser>
          <c:idx val="1"/>
          <c:order val="1"/>
          <c:tx>
            <c:strRef>
              <c:f>Pivot_Calculations!$C$211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rgbClr val="F28E2B"/>
            </a:solidFill>
            <a:ln w="0">
              <a:solidFill>
                <a:srgbClr val="F28E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Pivot_Calculations!$A$212:$A$214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Pivot_Calculations!$C$212:$C$214</c:f>
              <c:numCache>
                <c:formatCode>\$#,##0</c:formatCode>
                <c:ptCount val="3"/>
                <c:pt idx="0">
                  <c:v>25929.200000000004</c:v>
                </c:pt>
                <c:pt idx="1">
                  <c:v>20087.899999999998</c:v>
                </c:pt>
                <c:pt idx="2">
                  <c:v>27109.1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D-4935-8DD0-494B14753619}"/>
            </c:ext>
          </c:extLst>
        </c:ser>
        <c:ser>
          <c:idx val="2"/>
          <c:order val="2"/>
          <c:tx>
            <c:strRef>
              <c:f>Pivot_Calculations!$D$211</c:f>
              <c:strCache>
                <c:ptCount val="1"/>
                <c:pt idx="0">
                  <c:v>Partner App</c:v>
                </c:pt>
              </c:strCache>
            </c:strRef>
          </c:tx>
          <c:spPr>
            <a:solidFill>
              <a:srgbClr val="5FA777"/>
            </a:solidFill>
            <a:ln w="0">
              <a:solidFill>
                <a:srgbClr val="5FA77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Pivot_Calculations!$A$212:$A$214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Pivot_Calculations!$D$212:$D$214</c:f>
              <c:numCache>
                <c:formatCode>\$#,##0</c:formatCode>
                <c:ptCount val="3"/>
                <c:pt idx="0">
                  <c:v>20115.900000000005</c:v>
                </c:pt>
                <c:pt idx="1">
                  <c:v>26201.999999999989</c:v>
                </c:pt>
                <c:pt idx="2">
                  <c:v>28817.000000000004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4D-4935-8DD0-494B14753619}"/>
            </c:ext>
          </c:extLst>
        </c:ser>
        <c:ser>
          <c:idx val="3"/>
          <c:order val="3"/>
          <c:tx>
            <c:strRef>
              <c:f>Pivot_Calculations!$E$211</c:f>
              <c:strCache>
                <c:ptCount val="1"/>
                <c:pt idx="0">
                  <c:v>Target.com</c:v>
                </c:pt>
              </c:strCache>
            </c:strRef>
          </c:tx>
          <c:spPr>
            <a:solidFill>
              <a:srgbClr val="8E6BBF"/>
            </a:solidFill>
            <a:ln w="0">
              <a:solidFill>
                <a:srgbClr val="8E6BB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Pivot_Calculations!$A$212:$A$214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Pivot_Calculations!$E$212:$E$214</c:f>
              <c:numCache>
                <c:formatCode>\$#,##0</c:formatCode>
                <c:ptCount val="3"/>
                <c:pt idx="0">
                  <c:v>40546.300000000025</c:v>
                </c:pt>
                <c:pt idx="1">
                  <c:v>43079.8</c:v>
                </c:pt>
                <c:pt idx="2">
                  <c:v>34942.700000000004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4D-4935-8DD0-494B14753619}"/>
            </c:ext>
          </c:extLst>
        </c:ser>
        <c:ser>
          <c:idx val="4"/>
          <c:order val="4"/>
          <c:tx>
            <c:strRef>
              <c:f>Pivot_Calculations!$F$211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rgbClr val="A6A6A6"/>
            </a:solidFill>
            <a:ln w="0">
              <a:solidFill>
                <a:srgbClr val="A6A6A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Pivot_Calculations!$A$212:$A$214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Pivot_Calculations!$F$212:$F$214</c:f>
              <c:numCache>
                <c:formatCode>\$#,##0</c:formatCode>
                <c:ptCount val="3"/>
                <c:pt idx="0">
                  <c:v>50006.799999999974</c:v>
                </c:pt>
                <c:pt idx="1">
                  <c:v>52117.099999999984</c:v>
                </c:pt>
                <c:pt idx="2">
                  <c:v>50672.499999999993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4D-4935-8DD0-494B14753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380229"/>
        <c:axId val="30477886"/>
      </c:barChart>
      <c:catAx>
        <c:axId val="33802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0477886"/>
        <c:crosses val="autoZero"/>
        <c:auto val="1"/>
        <c:lblAlgn val="ctr"/>
        <c:lblOffset val="100"/>
        <c:noMultiLvlLbl val="0"/>
      </c:catAx>
      <c:valAx>
        <c:axId val="30477886"/>
        <c:scaling>
          <c:orientation val="minMax"/>
        </c:scaling>
        <c:delete val="0"/>
        <c:axPos val="l"/>
        <c:numFmt formatCode="\$#,##0,\k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3802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Pivot_Calculations!$B$51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887E6"/>
            </a:solidFill>
            <a:ln w="0">
              <a:solidFill>
                <a:srgbClr val="4887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Pivot_Calculations!$A$52:$A$56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Pivot_Calculations!$B$52:$B$56</c:f>
              <c:numCache>
                <c:formatCode>#,##0</c:formatCode>
                <c:ptCount val="5"/>
                <c:pt idx="0">
                  <c:v>21</c:v>
                </c:pt>
                <c:pt idx="1">
                  <c:v>127</c:v>
                </c:pt>
                <c:pt idx="2">
                  <c:v>495</c:v>
                </c:pt>
                <c:pt idx="3">
                  <c:v>1036</c:v>
                </c:pt>
                <c:pt idx="4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D-4A93-A6F6-5C009D8CA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055101"/>
        <c:axId val="35459913"/>
      </c:barChart>
      <c:catAx>
        <c:axId val="90055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5459913"/>
        <c:crosses val="autoZero"/>
        <c:auto val="1"/>
        <c:lblAlgn val="ctr"/>
        <c:lblOffset val="100"/>
        <c:noMultiLvlLbl val="0"/>
      </c:catAx>
      <c:valAx>
        <c:axId val="3545991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90055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Pivot_Calculations!$E$85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4887E6"/>
            </a:solidFill>
            <a:ln w="0">
              <a:solidFill>
                <a:srgbClr val="4887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Pivot_Calculations!$B$86:$B$105</c:f>
              <c:strCache>
                <c:ptCount val="20"/>
                <c:pt idx="0">
                  <c:v>Sneakers</c:v>
                </c:pt>
                <c:pt idx="1">
                  <c:v>Jeans</c:v>
                </c:pt>
                <c:pt idx="2">
                  <c:v>Tank Tops</c:v>
                </c:pt>
                <c:pt idx="3">
                  <c:v>T-Shirts</c:v>
                </c:pt>
                <c:pt idx="4">
                  <c:v>Hoodies &amp; Sweatshirts</c:v>
                </c:pt>
                <c:pt idx="5">
                  <c:v>Sundresses</c:v>
                </c:pt>
                <c:pt idx="6">
                  <c:v>Sandals</c:v>
                </c:pt>
                <c:pt idx="7">
                  <c:v>Bikinis</c:v>
                </c:pt>
                <c:pt idx="8">
                  <c:v>Leggings</c:v>
                </c:pt>
                <c:pt idx="9">
                  <c:v>Casual Dresses</c:v>
                </c:pt>
                <c:pt idx="10">
                  <c:v>Graphic Tees</c:v>
                </c:pt>
                <c:pt idx="11">
                  <c:v>Crop Tops</c:v>
                </c:pt>
                <c:pt idx="12">
                  <c:v>Workout Tops</c:v>
                </c:pt>
                <c:pt idx="13">
                  <c:v>Shorts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Pivot_Calculations!$E$86:$E$105</c:f>
              <c:numCache>
                <c:formatCode>\$#,##0</c:formatCode>
                <c:ptCount val="20"/>
                <c:pt idx="0">
                  <c:v>65526.899999999987</c:v>
                </c:pt>
                <c:pt idx="1">
                  <c:v>51517.69999999999</c:v>
                </c:pt>
                <c:pt idx="2">
                  <c:v>36637.9</c:v>
                </c:pt>
                <c:pt idx="3">
                  <c:v>23579</c:v>
                </c:pt>
                <c:pt idx="4">
                  <c:v>15958.099999999999</c:v>
                </c:pt>
                <c:pt idx="5">
                  <c:v>20737.599999999999</c:v>
                </c:pt>
                <c:pt idx="6">
                  <c:v>16244.9</c:v>
                </c:pt>
                <c:pt idx="7">
                  <c:v>18259.300000000003</c:v>
                </c:pt>
                <c:pt idx="8">
                  <c:v>14225.499999999996</c:v>
                </c:pt>
                <c:pt idx="9">
                  <c:v>15491.400000000005</c:v>
                </c:pt>
                <c:pt idx="10">
                  <c:v>15089.999999999995</c:v>
                </c:pt>
                <c:pt idx="11">
                  <c:v>7255.300000000002</c:v>
                </c:pt>
                <c:pt idx="12">
                  <c:v>8267.2000000000007</c:v>
                </c:pt>
                <c:pt idx="13">
                  <c:v>9612.6999999999953</c:v>
                </c:pt>
                <c:pt idx="14">
                  <c:v>4965.8</c:v>
                </c:pt>
                <c:pt idx="15">
                  <c:v>7367.1</c:v>
                </c:pt>
                <c:pt idx="16">
                  <c:v>5668.8999999999987</c:v>
                </c:pt>
                <c:pt idx="17">
                  <c:v>2640.7999999999997</c:v>
                </c:pt>
                <c:pt idx="18">
                  <c:v>1235.3</c:v>
                </c:pt>
                <c:pt idx="19">
                  <c:v>426.20000000000005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2-4C1D-9B67-702CB98EE342}"/>
            </c:ext>
          </c:extLst>
        </c:ser>
        <c:ser>
          <c:idx val="1"/>
          <c:order val="1"/>
          <c:tx>
            <c:strRef>
              <c:f>Pivot_Calculations!$F$85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28E2B"/>
            </a:solidFill>
            <a:ln w="0">
              <a:solidFill>
                <a:srgbClr val="F28E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Pivot_Calculations!$B$86:$B$105</c:f>
              <c:strCache>
                <c:ptCount val="20"/>
                <c:pt idx="0">
                  <c:v>Sneakers</c:v>
                </c:pt>
                <c:pt idx="1">
                  <c:v>Jeans</c:v>
                </c:pt>
                <c:pt idx="2">
                  <c:v>Tank Tops</c:v>
                </c:pt>
                <c:pt idx="3">
                  <c:v>T-Shirts</c:v>
                </c:pt>
                <c:pt idx="4">
                  <c:v>Hoodies &amp; Sweatshirts</c:v>
                </c:pt>
                <c:pt idx="5">
                  <c:v>Sundresses</c:v>
                </c:pt>
                <c:pt idx="6">
                  <c:v>Sandals</c:v>
                </c:pt>
                <c:pt idx="7">
                  <c:v>Bikinis</c:v>
                </c:pt>
                <c:pt idx="8">
                  <c:v>Leggings</c:v>
                </c:pt>
                <c:pt idx="9">
                  <c:v>Casual Dresses</c:v>
                </c:pt>
                <c:pt idx="10">
                  <c:v>Graphic Tees</c:v>
                </c:pt>
                <c:pt idx="11">
                  <c:v>Crop Tops</c:v>
                </c:pt>
                <c:pt idx="12">
                  <c:v>Workout Tops</c:v>
                </c:pt>
                <c:pt idx="13">
                  <c:v>Shorts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Pivot_Calculations!$F$86:$F$105</c:f>
              <c:numCache>
                <c:formatCode>\$#,##0</c:formatCode>
                <c:ptCount val="20"/>
                <c:pt idx="0">
                  <c:v>42922.100000000006</c:v>
                </c:pt>
                <c:pt idx="1">
                  <c:v>42448.80000000001</c:v>
                </c:pt>
                <c:pt idx="2">
                  <c:v>18378.100000000006</c:v>
                </c:pt>
                <c:pt idx="3">
                  <c:v>20907.899999999998</c:v>
                </c:pt>
                <c:pt idx="4">
                  <c:v>17923.5</c:v>
                </c:pt>
                <c:pt idx="5">
                  <c:v>8644.9</c:v>
                </c:pt>
                <c:pt idx="6">
                  <c:v>13831.999999999996</c:v>
                </c:pt>
                <c:pt idx="7">
                  <c:v>11586.300000000001</c:v>
                </c:pt>
                <c:pt idx="8">
                  <c:v>8705.9</c:v>
                </c:pt>
                <c:pt idx="9">
                  <c:v>6208.1</c:v>
                </c:pt>
                <c:pt idx="10">
                  <c:v>6977.3</c:v>
                </c:pt>
                <c:pt idx="11">
                  <c:v>11228.900000000001</c:v>
                </c:pt>
                <c:pt idx="12">
                  <c:v>6150.8</c:v>
                </c:pt>
                <c:pt idx="13">
                  <c:v>6373.0999999999985</c:v>
                </c:pt>
                <c:pt idx="14">
                  <c:v>4991</c:v>
                </c:pt>
                <c:pt idx="15">
                  <c:v>3362.3000000000006</c:v>
                </c:pt>
                <c:pt idx="16">
                  <c:v>3198.4</c:v>
                </c:pt>
                <c:pt idx="17">
                  <c:v>3242.2</c:v>
                </c:pt>
                <c:pt idx="18">
                  <c:v>2420.7000000000003</c:v>
                </c:pt>
                <c:pt idx="19">
                  <c:v>1393.3999999999999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42-4C1D-9B67-702CB98EE342}"/>
            </c:ext>
          </c:extLst>
        </c:ser>
        <c:ser>
          <c:idx val="2"/>
          <c:order val="2"/>
          <c:tx>
            <c:strRef>
              <c:f>Pivot_Calculations!$G$85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5FA777"/>
            </a:solidFill>
            <a:ln w="0">
              <a:solidFill>
                <a:srgbClr val="5FA77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Pivot_Calculations!$B$86:$B$105</c:f>
              <c:strCache>
                <c:ptCount val="20"/>
                <c:pt idx="0">
                  <c:v>Sneakers</c:v>
                </c:pt>
                <c:pt idx="1">
                  <c:v>Jeans</c:v>
                </c:pt>
                <c:pt idx="2">
                  <c:v>Tank Tops</c:v>
                </c:pt>
                <c:pt idx="3">
                  <c:v>T-Shirts</c:v>
                </c:pt>
                <c:pt idx="4">
                  <c:v>Hoodies &amp; Sweatshirts</c:v>
                </c:pt>
                <c:pt idx="5">
                  <c:v>Sundresses</c:v>
                </c:pt>
                <c:pt idx="6">
                  <c:v>Sandals</c:v>
                </c:pt>
                <c:pt idx="7">
                  <c:v>Bikinis</c:v>
                </c:pt>
                <c:pt idx="8">
                  <c:v>Leggings</c:v>
                </c:pt>
                <c:pt idx="9">
                  <c:v>Casual Dresses</c:v>
                </c:pt>
                <c:pt idx="10">
                  <c:v>Graphic Tees</c:v>
                </c:pt>
                <c:pt idx="11">
                  <c:v>Crop Tops</c:v>
                </c:pt>
                <c:pt idx="12">
                  <c:v>Workout Tops</c:v>
                </c:pt>
                <c:pt idx="13">
                  <c:v>Shorts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Pivot_Calculations!$G$86:$G$105</c:f>
              <c:numCache>
                <c:formatCode>\$#,##0</c:formatCode>
                <c:ptCount val="20"/>
                <c:pt idx="0">
                  <c:v>3173</c:v>
                </c:pt>
                <c:pt idx="1">
                  <c:v>1788.7</c:v>
                </c:pt>
                <c:pt idx="2">
                  <c:v>1304.5999999999999</c:v>
                </c:pt>
                <c:pt idx="3">
                  <c:v>2266.7999999999997</c:v>
                </c:pt>
                <c:pt idx="4">
                  <c:v>894</c:v>
                </c:pt>
                <c:pt idx="5">
                  <c:v>656.7</c:v>
                </c:pt>
                <c:pt idx="6">
                  <c:v>558.1</c:v>
                </c:pt>
                <c:pt idx="7">
                  <c:v>216.79999999999998</c:v>
                </c:pt>
                <c:pt idx="8">
                  <c:v>606.79999999999995</c:v>
                </c:pt>
                <c:pt idx="9">
                  <c:v>1415.4</c:v>
                </c:pt>
                <c:pt idx="10">
                  <c:v>537.70000000000005</c:v>
                </c:pt>
                <c:pt idx="11">
                  <c:v>1310.3</c:v>
                </c:pt>
                <c:pt idx="12">
                  <c:v>222.8</c:v>
                </c:pt>
                <c:pt idx="13">
                  <c:v>0</c:v>
                </c:pt>
                <c:pt idx="14">
                  <c:v>670.8</c:v>
                </c:pt>
                <c:pt idx="15">
                  <c:v>295.8</c:v>
                </c:pt>
                <c:pt idx="16">
                  <c:v>109.8</c:v>
                </c:pt>
                <c:pt idx="17">
                  <c:v>90.4</c:v>
                </c:pt>
                <c:pt idx="18">
                  <c:v>828.8</c:v>
                </c:pt>
                <c:pt idx="19">
                  <c:v>86.8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42-4C1D-9B67-702CB98EE342}"/>
            </c:ext>
          </c:extLst>
        </c:ser>
        <c:ser>
          <c:idx val="3"/>
          <c:order val="3"/>
          <c:tx>
            <c:strRef>
              <c:f>Pivot_Calculations!$H$85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A6A6A6"/>
            </a:solidFill>
            <a:ln w="0">
              <a:solidFill>
                <a:srgbClr val="A6A6A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Pivot_Calculations!$B$86:$B$105</c:f>
              <c:strCache>
                <c:ptCount val="20"/>
                <c:pt idx="0">
                  <c:v>Sneakers</c:v>
                </c:pt>
                <c:pt idx="1">
                  <c:v>Jeans</c:v>
                </c:pt>
                <c:pt idx="2">
                  <c:v>Tank Tops</c:v>
                </c:pt>
                <c:pt idx="3">
                  <c:v>T-Shirts</c:v>
                </c:pt>
                <c:pt idx="4">
                  <c:v>Hoodies &amp; Sweatshirts</c:v>
                </c:pt>
                <c:pt idx="5">
                  <c:v>Sundresses</c:v>
                </c:pt>
                <c:pt idx="6">
                  <c:v>Sandals</c:v>
                </c:pt>
                <c:pt idx="7">
                  <c:v>Bikinis</c:v>
                </c:pt>
                <c:pt idx="8">
                  <c:v>Leggings</c:v>
                </c:pt>
                <c:pt idx="9">
                  <c:v>Casual Dresses</c:v>
                </c:pt>
                <c:pt idx="10">
                  <c:v>Graphic Tees</c:v>
                </c:pt>
                <c:pt idx="11">
                  <c:v>Crop Tops</c:v>
                </c:pt>
                <c:pt idx="12">
                  <c:v>Workout Tops</c:v>
                </c:pt>
                <c:pt idx="13">
                  <c:v>Shorts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Pivot_Calculations!$H$86:$H$105</c:f>
              <c:numCache>
                <c:formatCode>\$#,##0</c:formatCode>
                <c:ptCount val="20"/>
                <c:pt idx="0">
                  <c:v>16015.5</c:v>
                </c:pt>
                <c:pt idx="1">
                  <c:v>17138</c:v>
                </c:pt>
                <c:pt idx="2">
                  <c:v>1073.3999999999999</c:v>
                </c:pt>
                <c:pt idx="3">
                  <c:v>2802.2</c:v>
                </c:pt>
                <c:pt idx="4">
                  <c:v>464.9</c:v>
                </c:pt>
                <c:pt idx="5">
                  <c:v>2013.6000000000001</c:v>
                </c:pt>
                <c:pt idx="6">
                  <c:v>973.10000000000014</c:v>
                </c:pt>
                <c:pt idx="7">
                  <c:v>774.4</c:v>
                </c:pt>
                <c:pt idx="8">
                  <c:v>1668.3</c:v>
                </c:pt>
                <c:pt idx="9">
                  <c:v>1549.7</c:v>
                </c:pt>
                <c:pt idx="10">
                  <c:v>383.6</c:v>
                </c:pt>
                <c:pt idx="11">
                  <c:v>375.90000000000003</c:v>
                </c:pt>
                <c:pt idx="12">
                  <c:v>2027.3999999999999</c:v>
                </c:pt>
                <c:pt idx="13">
                  <c:v>330.6</c:v>
                </c:pt>
                <c:pt idx="14">
                  <c:v>636</c:v>
                </c:pt>
                <c:pt idx="15">
                  <c:v>0</c:v>
                </c:pt>
                <c:pt idx="16">
                  <c:v>1728.4</c:v>
                </c:pt>
                <c:pt idx="17">
                  <c:v>315.20000000000005</c:v>
                </c:pt>
                <c:pt idx="18">
                  <c:v>112.2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42-4C1D-9B67-702CB98EE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7212100"/>
        <c:axId val="88847976"/>
      </c:barChart>
      <c:catAx>
        <c:axId val="472121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60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88847976"/>
        <c:crosses val="autoZero"/>
        <c:auto val="1"/>
        <c:lblAlgn val="ctr"/>
        <c:lblOffset val="100"/>
        <c:noMultiLvlLbl val="0"/>
      </c:catAx>
      <c:valAx>
        <c:axId val="88847976"/>
        <c:scaling>
          <c:orientation val="minMax"/>
        </c:scaling>
        <c:delete val="0"/>
        <c:axPos val="b"/>
        <c:numFmt formatCode="\$#,##0,\k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4721210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Pivot_Calculations!$C$182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F28E2B"/>
            </a:solidFill>
            <a:ln w="0">
              <a:solidFill>
                <a:srgbClr val="F28E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Pivot_Calculations!$B$183:$B$192</c:f>
              <c:strCache>
                <c:ptCount val="10"/>
                <c:pt idx="0">
                  <c:v>Los Angeles County</c:v>
                </c:pt>
                <c:pt idx="1">
                  <c:v>San Diego County</c:v>
                </c:pt>
                <c:pt idx="2">
                  <c:v>Santa Clara County</c:v>
                </c:pt>
                <c:pt idx="3">
                  <c:v>Sacramento County</c:v>
                </c:pt>
                <c:pt idx="4">
                  <c:v>Alameda County</c:v>
                </c:pt>
                <c:pt idx="5">
                  <c:v>San Mateo County</c:v>
                </c:pt>
                <c:pt idx="6">
                  <c:v>San Bernardino County</c:v>
                </c:pt>
                <c:pt idx="7">
                  <c:v>Contra Costa County</c:v>
                </c:pt>
                <c:pt idx="8">
                  <c:v>San Francisco</c:v>
                </c:pt>
                <c:pt idx="9">
                  <c:v>Sonoma County</c:v>
                </c:pt>
              </c:strCache>
            </c:strRef>
          </c:cat>
          <c:val>
            <c:numRef>
              <c:f>Pivot_Calculations!$C$183:$C$192</c:f>
              <c:numCache>
                <c:formatCode>#,##0</c:formatCode>
                <c:ptCount val="10"/>
                <c:pt idx="0">
                  <c:v>3991</c:v>
                </c:pt>
                <c:pt idx="1">
                  <c:v>1768</c:v>
                </c:pt>
                <c:pt idx="2">
                  <c:v>737</c:v>
                </c:pt>
                <c:pt idx="3">
                  <c:v>699</c:v>
                </c:pt>
                <c:pt idx="4">
                  <c:v>579</c:v>
                </c:pt>
                <c:pt idx="5">
                  <c:v>364</c:v>
                </c:pt>
                <c:pt idx="6">
                  <c:v>356</c:v>
                </c:pt>
                <c:pt idx="7">
                  <c:v>341</c:v>
                </c:pt>
                <c:pt idx="8">
                  <c:v>307</c:v>
                </c:pt>
                <c:pt idx="9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8-4DBA-A3D9-1F06F0401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350143"/>
        <c:axId val="23731773"/>
      </c:barChart>
      <c:catAx>
        <c:axId val="43501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60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3731773"/>
        <c:crosses val="autoZero"/>
        <c:auto val="1"/>
        <c:lblAlgn val="ctr"/>
        <c:lblOffset val="100"/>
        <c:noMultiLvlLbl val="0"/>
      </c:catAx>
      <c:valAx>
        <c:axId val="23731773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4350143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Pivot_Calculations!$C$197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887E6"/>
            </a:solidFill>
            <a:ln w="0">
              <a:solidFill>
                <a:srgbClr val="4887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Pivot_Calculations!$A$198:$A$206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8+</c:v>
                </c:pt>
              </c:strCache>
            </c:strRef>
          </c:cat>
          <c:val>
            <c:numRef>
              <c:f>Pivot_Calculations!$C$198:$C$206</c:f>
              <c:numCache>
                <c:formatCode>#,##0</c:formatCode>
                <c:ptCount val="9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C-4734-A763-520DF1BF1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6684056"/>
        <c:axId val="38832292"/>
      </c:barChart>
      <c:catAx>
        <c:axId val="668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8832292"/>
        <c:crosses val="autoZero"/>
        <c:auto val="1"/>
        <c:lblAlgn val="ctr"/>
        <c:lblOffset val="100"/>
        <c:noMultiLvlLbl val="0"/>
      </c:catAx>
      <c:valAx>
        <c:axId val="388322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66840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14</xdr:col>
      <xdr:colOff>478800</xdr:colOff>
      <xdr:row>19</xdr:row>
      <xdr:rowOff>114120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6</xdr:row>
      <xdr:rowOff>0</xdr:rowOff>
    </xdr:from>
    <xdr:to>
      <xdr:col>22</xdr:col>
      <xdr:colOff>590040</xdr:colOff>
      <xdr:row>19</xdr:row>
      <xdr:rowOff>114120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23</xdr:row>
      <xdr:rowOff>0</xdr:rowOff>
    </xdr:from>
    <xdr:to>
      <xdr:col>15</xdr:col>
      <xdr:colOff>590040</xdr:colOff>
      <xdr:row>36</xdr:row>
      <xdr:rowOff>114120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23</xdr:row>
      <xdr:rowOff>0</xdr:rowOff>
    </xdr:from>
    <xdr:to>
      <xdr:col>22</xdr:col>
      <xdr:colOff>590040</xdr:colOff>
      <xdr:row>36</xdr:row>
      <xdr:rowOff>114120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40</xdr:row>
      <xdr:rowOff>0</xdr:rowOff>
    </xdr:from>
    <xdr:to>
      <xdr:col>8</xdr:col>
      <xdr:colOff>590040</xdr:colOff>
      <xdr:row>59</xdr:row>
      <xdr:rowOff>113760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40</xdr:row>
      <xdr:rowOff>0</xdr:rowOff>
    </xdr:from>
    <xdr:to>
      <xdr:col>15</xdr:col>
      <xdr:colOff>590040</xdr:colOff>
      <xdr:row>59</xdr:row>
      <xdr:rowOff>113760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590040</xdr:colOff>
      <xdr:row>59</xdr:row>
      <xdr:rowOff>113760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1809360</xdr:colOff>
      <xdr:row>2</xdr:row>
      <xdr:rowOff>161640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77840" y="190440"/>
          <a:ext cx="180936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O2401" totalsRowShown="0">
  <tableColumns count="15">
    <tableColumn id="1" xr3:uid="{00000000-0010-0000-0000-000001000000}" name="TX ID"/>
    <tableColumn id="2" xr3:uid="{00000000-0010-0000-0000-000002000000}" name="Product"/>
    <tableColumn id="3" xr3:uid="{00000000-0010-0000-0000-000003000000}" name="Quantity"/>
    <tableColumn id="4" xr3:uid="{00000000-0010-0000-0000-000004000000}" name="Unit Price"/>
    <tableColumn id="5" xr3:uid="{00000000-0010-0000-0000-000005000000}" name="Amount"/>
    <tableColumn id="6" xr3:uid="{00000000-0010-0000-0000-000006000000}" name="Order Date"/>
    <tableColumn id="7" xr3:uid="{00000000-0010-0000-0000-000007000000}" name="Ship Date"/>
    <tableColumn id="8" xr3:uid="{00000000-0010-0000-0000-000008000000}" name="Customer Gender"/>
    <tableColumn id="9" xr3:uid="{00000000-0010-0000-0000-000009000000}" name="Order Mode"/>
    <tableColumn id="10" xr3:uid="{00000000-0010-0000-0000-00000A000000}" name="Rating C"/>
    <tableColumn id="11" xr3:uid="{00000000-0010-0000-0000-00000B000000}" name="State"/>
    <tableColumn id="12" xr3:uid="{00000000-0010-0000-0000-00000C000000}" name="County"/>
    <tableColumn id="13" xr3:uid="{00000000-0010-0000-0000-00000D000000}" name="Days to Deliver"/>
    <tableColumn id="14" xr3:uid="{00000000-0010-0000-0000-00000E000000}" name="Weeknum"/>
    <tableColumn id="15" xr3:uid="{00000000-0010-0000-0000-00000F000000}" name="Gender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73A"/>
    <pageSetUpPr fitToPage="1"/>
  </sheetPr>
  <dimension ref="A1:Y62"/>
  <sheetViews>
    <sheetView showGridLines="0" tabSelected="1" zoomScale="90" zoomScaleNormal="90" workbookViewId="0">
      <selection activeCell="AA12" sqref="AA12"/>
    </sheetView>
  </sheetViews>
  <sheetFormatPr defaultColWidth="8.5703125" defaultRowHeight="15" x14ac:dyDescent="0.25"/>
  <cols>
    <col min="1" max="1" width="2" customWidth="1"/>
    <col min="2" max="2" width="28" customWidth="1"/>
    <col min="3" max="4" width="2" customWidth="1"/>
    <col min="5" max="10" width="9" customWidth="1"/>
    <col min="11" max="11" width="2" customWidth="1"/>
    <col min="12" max="17" width="9" customWidth="1"/>
    <col min="18" max="18" width="2" customWidth="1"/>
    <col min="19" max="24" width="9" customWidth="1"/>
    <col min="25" max="25" width="2" customWidth="1"/>
    <col min="26" max="26" width="3.28515625" customWidth="1"/>
  </cols>
  <sheetData>
    <row r="1" spans="1:25" ht="15" customHeight="1" x14ac:dyDescent="0.25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27.75" customHeight="1" x14ac:dyDescent="0.4">
      <c r="A2" s="8"/>
      <c r="B2" s="8"/>
      <c r="C2" s="8"/>
      <c r="D2" s="9"/>
      <c r="E2" s="10" t="s">
        <v>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5" customHeight="1" x14ac:dyDescent="0.25">
      <c r="A3" s="8"/>
      <c r="B3" s="8"/>
      <c r="C3" s="8"/>
      <c r="D3" s="9"/>
      <c r="E3" s="11" t="str">
        <f>"Filters  &gt;  Mode: "&amp;Sel_Mode&amp;"   |   Gender: "&amp;Sel_Gender&amp;"   |   Category: "&amp;Sel_Category&amp;"   |   Month: "&amp;Sel_Month&amp;"   |   County: "&amp;Sel_County</f>
        <v>Filters  &gt;  Mode: All   |   Gender: All   |   Category: All   |   Month: All   |   County: All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5" customHeight="1" x14ac:dyDescent="0.25">
      <c r="A4" s="8"/>
      <c r="B4" s="8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5" customHeight="1" x14ac:dyDescent="0.25">
      <c r="A5" s="12"/>
      <c r="B5" s="12"/>
      <c r="C5" s="12"/>
      <c r="D5" s="9"/>
      <c r="E5" s="13" t="s">
        <v>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9"/>
      <c r="S5" s="13" t="s">
        <v>2</v>
      </c>
      <c r="T5" s="14"/>
      <c r="U5" s="14"/>
      <c r="V5" s="14"/>
      <c r="W5" s="14"/>
      <c r="X5" s="15"/>
      <c r="Y5" s="9"/>
    </row>
    <row r="6" spans="1:25" ht="15" customHeight="1" x14ac:dyDescent="0.25">
      <c r="A6" s="12"/>
      <c r="B6" s="16" t="s">
        <v>3</v>
      </c>
      <c r="C6" s="12"/>
      <c r="D6" s="9"/>
      <c r="E6" s="17" t="s">
        <v>4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9"/>
      <c r="S6" s="17" t="s">
        <v>5</v>
      </c>
      <c r="T6" s="18"/>
      <c r="U6" s="18"/>
      <c r="V6" s="18"/>
      <c r="W6" s="18"/>
      <c r="X6" s="19"/>
      <c r="Y6" s="9"/>
    </row>
    <row r="7" spans="1:25" ht="15" customHeight="1" x14ac:dyDescent="0.25">
      <c r="A7" s="12"/>
      <c r="B7" s="7">
        <f>Pivot_Calculations!C7</f>
        <v>2400</v>
      </c>
      <c r="C7" s="12"/>
      <c r="D7" s="9"/>
      <c r="E7" s="20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R7" s="9"/>
      <c r="S7" s="20"/>
      <c r="T7" s="18"/>
      <c r="U7" s="18"/>
      <c r="V7" s="18"/>
      <c r="W7" s="18"/>
      <c r="X7" s="19"/>
      <c r="Y7" s="9"/>
    </row>
    <row r="8" spans="1:25" ht="15" customHeight="1" x14ac:dyDescent="0.25">
      <c r="A8" s="12"/>
      <c r="B8" s="7"/>
      <c r="C8" s="12"/>
      <c r="D8" s="9"/>
      <c r="E8" s="20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  <c r="R8" s="9"/>
      <c r="S8" s="20"/>
      <c r="T8" s="18"/>
      <c r="U8" s="18"/>
      <c r="V8" s="18"/>
      <c r="W8" s="18"/>
      <c r="X8" s="19"/>
      <c r="Y8" s="9"/>
    </row>
    <row r="9" spans="1:25" ht="15" customHeight="1" x14ac:dyDescent="0.25">
      <c r="A9" s="12"/>
      <c r="B9" s="21"/>
      <c r="C9" s="12"/>
      <c r="D9" s="9"/>
      <c r="E9" s="20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/>
      <c r="R9" s="9"/>
      <c r="S9" s="20"/>
      <c r="T9" s="18"/>
      <c r="U9" s="18"/>
      <c r="V9" s="18"/>
      <c r="W9" s="18"/>
      <c r="X9" s="19"/>
      <c r="Y9" s="9"/>
    </row>
    <row r="10" spans="1:25" ht="15" customHeight="1" x14ac:dyDescent="0.25">
      <c r="A10" s="12"/>
      <c r="B10" s="16" t="s">
        <v>6</v>
      </c>
      <c r="C10" s="12"/>
      <c r="D10" s="9"/>
      <c r="E10" s="20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/>
      <c r="R10" s="9"/>
      <c r="S10" s="20"/>
      <c r="T10" s="18"/>
      <c r="U10" s="18"/>
      <c r="V10" s="18"/>
      <c r="W10" s="18"/>
      <c r="X10" s="19"/>
      <c r="Y10" s="9"/>
    </row>
    <row r="11" spans="1:25" ht="15" customHeight="1" x14ac:dyDescent="0.25">
      <c r="A11" s="12"/>
      <c r="B11" s="7">
        <f>Pivot_Calculations!C8</f>
        <v>11997</v>
      </c>
      <c r="C11" s="12"/>
      <c r="D11" s="9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R11" s="9"/>
      <c r="S11" s="20"/>
      <c r="T11" s="18"/>
      <c r="U11" s="18"/>
      <c r="V11" s="18"/>
      <c r="W11" s="18"/>
      <c r="X11" s="19"/>
      <c r="Y11" s="9"/>
    </row>
    <row r="12" spans="1:25" ht="15" customHeight="1" x14ac:dyDescent="0.25">
      <c r="A12" s="12"/>
      <c r="B12" s="7"/>
      <c r="C12" s="12"/>
      <c r="D12" s="9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9"/>
      <c r="S12" s="20"/>
      <c r="T12" s="18"/>
      <c r="U12" s="18"/>
      <c r="V12" s="18"/>
      <c r="W12" s="18"/>
      <c r="X12" s="19"/>
      <c r="Y12" s="9"/>
    </row>
    <row r="13" spans="1:25" ht="15" customHeight="1" x14ac:dyDescent="0.25">
      <c r="A13" s="12"/>
      <c r="B13" s="21"/>
      <c r="C13" s="12"/>
      <c r="D13" s="9"/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9"/>
      <c r="R13" s="9"/>
      <c r="S13" s="20"/>
      <c r="T13" s="18"/>
      <c r="U13" s="18"/>
      <c r="V13" s="18"/>
      <c r="W13" s="18"/>
      <c r="X13" s="19"/>
      <c r="Y13" s="9"/>
    </row>
    <row r="14" spans="1:25" ht="15" customHeight="1" x14ac:dyDescent="0.25">
      <c r="A14" s="12"/>
      <c r="B14" s="16" t="s">
        <v>7</v>
      </c>
      <c r="C14" s="12"/>
      <c r="D14" s="9"/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9"/>
      <c r="R14" s="9"/>
      <c r="S14" s="20"/>
      <c r="T14" s="18"/>
      <c r="U14" s="18"/>
      <c r="V14" s="18"/>
      <c r="W14" s="18"/>
      <c r="X14" s="19"/>
      <c r="Y14" s="9"/>
    </row>
    <row r="15" spans="1:25" ht="15" customHeight="1" x14ac:dyDescent="0.25">
      <c r="A15" s="12"/>
      <c r="B15" s="6">
        <f>Pivot_Calculations!C9</f>
        <v>649019.80000000144</v>
      </c>
      <c r="C15" s="12"/>
      <c r="D15" s="9"/>
      <c r="E15" s="20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9"/>
      <c r="R15" s="9"/>
      <c r="S15" s="20"/>
      <c r="T15" s="18"/>
      <c r="U15" s="18"/>
      <c r="V15" s="18"/>
      <c r="W15" s="18"/>
      <c r="X15" s="19"/>
      <c r="Y15" s="9"/>
    </row>
    <row r="16" spans="1:25" ht="15" customHeight="1" x14ac:dyDescent="0.25">
      <c r="A16" s="12"/>
      <c r="B16" s="6"/>
      <c r="C16" s="12"/>
      <c r="D16" s="9"/>
      <c r="E16" s="20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9"/>
      <c r="R16" s="9"/>
      <c r="S16" s="20"/>
      <c r="T16" s="18"/>
      <c r="U16" s="18"/>
      <c r="V16" s="18"/>
      <c r="W16" s="18"/>
      <c r="X16" s="19"/>
      <c r="Y16" s="9"/>
    </row>
    <row r="17" spans="1:25" ht="15" customHeight="1" x14ac:dyDescent="0.25">
      <c r="A17" s="12"/>
      <c r="B17" s="21"/>
      <c r="C17" s="12"/>
      <c r="D17" s="9"/>
      <c r="E17" s="20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9"/>
      <c r="R17" s="9"/>
      <c r="S17" s="20"/>
      <c r="T17" s="18"/>
      <c r="U17" s="18"/>
      <c r="V17" s="18"/>
      <c r="W17" s="18"/>
      <c r="X17" s="19"/>
      <c r="Y17" s="9"/>
    </row>
    <row r="18" spans="1:25" ht="15" customHeight="1" x14ac:dyDescent="0.25">
      <c r="A18" s="12"/>
      <c r="B18" s="16" t="s">
        <v>8</v>
      </c>
      <c r="C18" s="12"/>
      <c r="D18" s="9"/>
      <c r="E18" s="20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9"/>
      <c r="S18" s="20"/>
      <c r="T18" s="18"/>
      <c r="U18" s="18"/>
      <c r="V18" s="18"/>
      <c r="W18" s="18"/>
      <c r="X18" s="19"/>
      <c r="Y18" s="9"/>
    </row>
    <row r="19" spans="1:25" ht="15" customHeight="1" x14ac:dyDescent="0.25">
      <c r="A19" s="12"/>
      <c r="B19" s="5">
        <f>Pivot_Calculations!C10</f>
        <v>3.9620833333333332</v>
      </c>
      <c r="C19" s="12"/>
      <c r="D19" s="9"/>
      <c r="E19" s="20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  <c r="R19" s="9"/>
      <c r="S19" s="20"/>
      <c r="T19" s="18"/>
      <c r="U19" s="18"/>
      <c r="V19" s="18"/>
      <c r="W19" s="18"/>
      <c r="X19" s="19"/>
      <c r="Y19" s="9"/>
    </row>
    <row r="20" spans="1:25" ht="15" customHeight="1" x14ac:dyDescent="0.25">
      <c r="A20" s="12"/>
      <c r="B20" s="5"/>
      <c r="C20" s="12"/>
      <c r="D20" s="9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9"/>
      <c r="S20" s="22"/>
      <c r="T20" s="23"/>
      <c r="U20" s="23"/>
      <c r="V20" s="23"/>
      <c r="W20" s="23"/>
      <c r="X20" s="24"/>
      <c r="Y20" s="9"/>
    </row>
    <row r="21" spans="1:25" ht="15" customHeight="1" x14ac:dyDescent="0.25">
      <c r="A21" s="12"/>
      <c r="B21" s="21"/>
      <c r="C21" s="12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5" customHeight="1" x14ac:dyDescent="0.25">
      <c r="A22" s="12"/>
      <c r="B22" s="16" t="s">
        <v>9</v>
      </c>
      <c r="C22" s="12"/>
      <c r="D22" s="9"/>
      <c r="E22" s="13" t="s">
        <v>10</v>
      </c>
      <c r="F22" s="14"/>
      <c r="G22" s="14"/>
      <c r="H22" s="14"/>
      <c r="I22" s="14"/>
      <c r="J22" s="15"/>
      <c r="K22" s="9"/>
      <c r="L22" s="13" t="s">
        <v>11</v>
      </c>
      <c r="M22" s="14"/>
      <c r="N22" s="14"/>
      <c r="O22" s="14"/>
      <c r="P22" s="14"/>
      <c r="Q22" s="15"/>
      <c r="R22" s="9"/>
      <c r="S22" s="13" t="s">
        <v>12</v>
      </c>
      <c r="T22" s="14"/>
      <c r="U22" s="14"/>
      <c r="V22" s="14"/>
      <c r="W22" s="14"/>
      <c r="X22" s="15"/>
      <c r="Y22" s="9"/>
    </row>
    <row r="23" spans="1:25" ht="15" customHeight="1" x14ac:dyDescent="0.25">
      <c r="A23" s="12"/>
      <c r="B23" s="4">
        <f>Pivot_Calculations!C11</f>
        <v>2.3424999999999998</v>
      </c>
      <c r="C23" s="12"/>
      <c r="D23" s="9"/>
      <c r="E23" s="17" t="s">
        <v>13</v>
      </c>
      <c r="F23" s="18"/>
      <c r="G23" s="18"/>
      <c r="H23" s="18"/>
      <c r="I23" s="18"/>
      <c r="J23" s="19"/>
      <c r="K23" s="9"/>
      <c r="L23" s="17" t="s">
        <v>14</v>
      </c>
      <c r="M23" s="18"/>
      <c r="N23" s="18"/>
      <c r="O23" s="18"/>
      <c r="P23" s="18"/>
      <c r="Q23" s="19"/>
      <c r="R23" s="9"/>
      <c r="S23" s="17" t="s">
        <v>15</v>
      </c>
      <c r="T23" s="18"/>
      <c r="U23" s="18"/>
      <c r="V23" s="18"/>
      <c r="W23" s="18"/>
      <c r="X23" s="19"/>
      <c r="Y23" s="9"/>
    </row>
    <row r="24" spans="1:25" ht="15" customHeight="1" x14ac:dyDescent="0.25">
      <c r="A24" s="12"/>
      <c r="B24" s="4"/>
      <c r="C24" s="12"/>
      <c r="D24" s="9"/>
      <c r="E24" s="20"/>
      <c r="F24" s="18"/>
      <c r="G24" s="18"/>
      <c r="H24" s="18"/>
      <c r="I24" s="18"/>
      <c r="J24" s="19"/>
      <c r="K24" s="9"/>
      <c r="L24" s="20"/>
      <c r="M24" s="18"/>
      <c r="N24" s="18"/>
      <c r="O24" s="18"/>
      <c r="P24" s="18"/>
      <c r="Q24" s="19"/>
      <c r="R24" s="9"/>
      <c r="S24" s="20"/>
      <c r="T24" s="18"/>
      <c r="U24" s="18"/>
      <c r="V24" s="18"/>
      <c r="W24" s="18"/>
      <c r="X24" s="19"/>
      <c r="Y24" s="9"/>
    </row>
    <row r="25" spans="1:25" ht="15" customHeight="1" x14ac:dyDescent="0.25">
      <c r="A25" s="12"/>
      <c r="B25" s="21"/>
      <c r="C25" s="12"/>
      <c r="D25" s="9"/>
      <c r="E25" s="3" t="s">
        <v>16</v>
      </c>
      <c r="F25" s="3"/>
      <c r="G25" s="25" t="s">
        <v>17</v>
      </c>
      <c r="H25" s="25" t="s">
        <v>18</v>
      </c>
      <c r="I25" s="25" t="s">
        <v>19</v>
      </c>
      <c r="J25" s="26" t="s">
        <v>20</v>
      </c>
      <c r="K25" s="9"/>
      <c r="L25" s="20"/>
      <c r="M25" s="18"/>
      <c r="N25" s="18"/>
      <c r="O25" s="18"/>
      <c r="P25" s="18"/>
      <c r="Q25" s="19"/>
      <c r="R25" s="9"/>
      <c r="S25" s="20"/>
      <c r="T25" s="18"/>
      <c r="U25" s="18"/>
      <c r="V25" s="18"/>
      <c r="W25" s="18"/>
      <c r="X25" s="19"/>
      <c r="Y25" s="9"/>
    </row>
    <row r="26" spans="1:25" ht="15" customHeight="1" x14ac:dyDescent="0.25">
      <c r="A26" s="12"/>
      <c r="B26" s="12"/>
      <c r="C26" s="12"/>
      <c r="D26" s="9"/>
      <c r="E26" s="2" t="str">
        <f>Pivot_Calculations!A42</f>
        <v>App</v>
      </c>
      <c r="F26" s="2"/>
      <c r="G26" s="1">
        <f>Pivot_Calculations!B42</f>
        <v>0.18961825201634841</v>
      </c>
      <c r="H26" s="1">
        <f>Pivot_Calculations!C42</f>
        <v>0.12262322351336576</v>
      </c>
      <c r="I26" s="1">
        <f>Pivot_Calculations!D42</f>
        <v>1.060537752469185E-2</v>
      </c>
      <c r="J26" s="1">
        <f>Pivot_Calculations!E42</f>
        <v>3.0599220547662797E-2</v>
      </c>
      <c r="K26" s="9"/>
      <c r="L26" s="20"/>
      <c r="M26" s="18"/>
      <c r="N26" s="18"/>
      <c r="O26" s="18"/>
      <c r="P26" s="18"/>
      <c r="Q26" s="19"/>
      <c r="R26" s="9"/>
      <c r="S26" s="20"/>
      <c r="T26" s="18"/>
      <c r="U26" s="18"/>
      <c r="V26" s="18"/>
      <c r="W26" s="18"/>
      <c r="X26" s="19"/>
      <c r="Y26" s="9"/>
    </row>
    <row r="27" spans="1:25" ht="15" customHeight="1" x14ac:dyDescent="0.25">
      <c r="A27" s="12"/>
      <c r="B27" s="27" t="s">
        <v>21</v>
      </c>
      <c r="C27" s="12"/>
      <c r="D27" s="9"/>
      <c r="E27" s="2"/>
      <c r="F27" s="2"/>
      <c r="G27" s="1"/>
      <c r="H27" s="1"/>
      <c r="I27" s="1"/>
      <c r="J27" s="1"/>
      <c r="K27" s="9"/>
      <c r="L27" s="20"/>
      <c r="M27" s="18"/>
      <c r="N27" s="18"/>
      <c r="O27" s="18"/>
      <c r="P27" s="18"/>
      <c r="Q27" s="19"/>
      <c r="R27" s="9"/>
      <c r="S27" s="20"/>
      <c r="T27" s="18"/>
      <c r="U27" s="18"/>
      <c r="V27" s="18"/>
      <c r="W27" s="18"/>
      <c r="X27" s="19"/>
      <c r="Y27" s="9"/>
    </row>
    <row r="28" spans="1:25" ht="15" customHeight="1" x14ac:dyDescent="0.25">
      <c r="A28" s="12"/>
      <c r="B28" s="16" t="s">
        <v>22</v>
      </c>
      <c r="C28" s="12"/>
      <c r="D28" s="9"/>
      <c r="E28" s="2" t="str">
        <f>Pivot_Calculations!A43</f>
        <v>Instagram</v>
      </c>
      <c r="F28" s="2"/>
      <c r="G28" s="1">
        <f>Pivot_Calculations!B43</f>
        <v>5.0283982091147303E-2</v>
      </c>
      <c r="H28" s="1">
        <f>Pivot_Calculations!C43</f>
        <v>4.3060781812819873E-2</v>
      </c>
      <c r="I28" s="1">
        <f>Pivot_Calculations!D43</f>
        <v>1.5320025675641944E-3</v>
      </c>
      <c r="J28" s="1">
        <f>Pivot_Calculations!E43</f>
        <v>1.7794988689097006E-2</v>
      </c>
      <c r="K28" s="9"/>
      <c r="L28" s="20"/>
      <c r="M28" s="18"/>
      <c r="N28" s="18"/>
      <c r="O28" s="18"/>
      <c r="P28" s="18"/>
      <c r="Q28" s="19"/>
      <c r="R28" s="9"/>
      <c r="S28" s="20"/>
      <c r="T28" s="18"/>
      <c r="U28" s="18"/>
      <c r="V28" s="18"/>
      <c r="W28" s="18"/>
      <c r="X28" s="19"/>
      <c r="Y28" s="9"/>
    </row>
    <row r="29" spans="1:25" ht="15" customHeight="1" x14ac:dyDescent="0.25">
      <c r="A29" s="12"/>
      <c r="B29" s="28" t="s">
        <v>23</v>
      </c>
      <c r="C29" s="12"/>
      <c r="D29" s="9"/>
      <c r="E29" s="2"/>
      <c r="F29" s="2"/>
      <c r="G29" s="1"/>
      <c r="H29" s="1"/>
      <c r="I29" s="1"/>
      <c r="J29" s="1"/>
      <c r="K29" s="9"/>
      <c r="L29" s="20"/>
      <c r="M29" s="18"/>
      <c r="N29" s="18"/>
      <c r="O29" s="18"/>
      <c r="P29" s="18"/>
      <c r="Q29" s="19"/>
      <c r="R29" s="9"/>
      <c r="S29" s="20"/>
      <c r="T29" s="18"/>
      <c r="U29" s="18"/>
      <c r="V29" s="18"/>
      <c r="W29" s="18"/>
      <c r="X29" s="19"/>
      <c r="Y29" s="9"/>
    </row>
    <row r="30" spans="1:25" ht="15" customHeight="1" x14ac:dyDescent="0.25">
      <c r="A30" s="12"/>
      <c r="B30" s="12"/>
      <c r="C30" s="12"/>
      <c r="D30" s="9"/>
      <c r="E30" s="2" t="str">
        <f>Pivot_Calculations!A44</f>
        <v>Partner App</v>
      </c>
      <c r="F30" s="2"/>
      <c r="G30" s="1">
        <f>Pivot_Calculations!B44</f>
        <v>6.3496059750411282E-2</v>
      </c>
      <c r="H30" s="1">
        <f>Pivot_Calculations!C44</f>
        <v>4.6071629863988765E-2</v>
      </c>
      <c r="I30" s="1">
        <f>Pivot_Calculations!D44</f>
        <v>2.3062470513226254E-3</v>
      </c>
      <c r="J30" s="1">
        <f>Pivot_Calculations!E44</f>
        <v>3.8927934093844277E-3</v>
      </c>
      <c r="K30" s="9"/>
      <c r="L30" s="20"/>
      <c r="M30" s="18"/>
      <c r="N30" s="18"/>
      <c r="O30" s="18"/>
      <c r="P30" s="18"/>
      <c r="Q30" s="19"/>
      <c r="R30" s="9"/>
      <c r="S30" s="20"/>
      <c r="T30" s="18"/>
      <c r="U30" s="18"/>
      <c r="V30" s="18"/>
      <c r="W30" s="18"/>
      <c r="X30" s="19"/>
      <c r="Y30" s="9"/>
    </row>
    <row r="31" spans="1:25" ht="15" customHeight="1" x14ac:dyDescent="0.25">
      <c r="A31" s="12"/>
      <c r="B31" s="16" t="s">
        <v>24</v>
      </c>
      <c r="C31" s="12"/>
      <c r="D31" s="9"/>
      <c r="E31" s="2"/>
      <c r="F31" s="2"/>
      <c r="G31" s="1"/>
      <c r="H31" s="1"/>
      <c r="I31" s="1"/>
      <c r="J31" s="1"/>
      <c r="K31" s="9"/>
      <c r="L31" s="20"/>
      <c r="M31" s="18"/>
      <c r="N31" s="18"/>
      <c r="O31" s="18"/>
      <c r="P31" s="18"/>
      <c r="Q31" s="19"/>
      <c r="R31" s="9"/>
      <c r="S31" s="20"/>
      <c r="T31" s="18"/>
      <c r="U31" s="18"/>
      <c r="V31" s="18"/>
      <c r="W31" s="18"/>
      <c r="X31" s="19"/>
      <c r="Y31" s="9"/>
    </row>
    <row r="32" spans="1:25" ht="15" customHeight="1" x14ac:dyDescent="0.25">
      <c r="A32" s="12"/>
      <c r="B32" s="28" t="s">
        <v>23</v>
      </c>
      <c r="C32" s="12"/>
      <c r="D32" s="9"/>
      <c r="E32" s="2" t="str">
        <f>Pivot_Calculations!A45</f>
        <v>Target.com</v>
      </c>
      <c r="F32" s="2"/>
      <c r="G32" s="1">
        <f>Pivot_Calculations!B45</f>
        <v>9.6337892927149532E-2</v>
      </c>
      <c r="H32" s="1">
        <f>Pivot_Calculations!C45</f>
        <v>6.7920115842382611E-2</v>
      </c>
      <c r="I32" s="1">
        <f>Pivot_Calculations!D45</f>
        <v>5.4979832664581261E-3</v>
      </c>
      <c r="J32" s="1">
        <f>Pivot_Calculations!E45</f>
        <v>1.2933041488102518E-2</v>
      </c>
      <c r="K32" s="9"/>
      <c r="L32" s="20"/>
      <c r="M32" s="18"/>
      <c r="N32" s="18"/>
      <c r="O32" s="18"/>
      <c r="P32" s="18"/>
      <c r="Q32" s="19"/>
      <c r="R32" s="9"/>
      <c r="S32" s="20"/>
      <c r="T32" s="18"/>
      <c r="U32" s="18"/>
      <c r="V32" s="18"/>
      <c r="W32" s="18"/>
      <c r="X32" s="19"/>
      <c r="Y32" s="9"/>
    </row>
    <row r="33" spans="1:25" ht="15" customHeight="1" x14ac:dyDescent="0.25">
      <c r="A33" s="12"/>
      <c r="B33" s="12"/>
      <c r="C33" s="12"/>
      <c r="D33" s="9"/>
      <c r="E33" s="2"/>
      <c r="F33" s="2"/>
      <c r="G33" s="1"/>
      <c r="H33" s="1"/>
      <c r="I33" s="1"/>
      <c r="J33" s="1"/>
      <c r="K33" s="9"/>
      <c r="L33" s="20"/>
      <c r="M33" s="18"/>
      <c r="N33" s="18"/>
      <c r="O33" s="18"/>
      <c r="P33" s="18"/>
      <c r="Q33" s="19"/>
      <c r="R33" s="9"/>
      <c r="S33" s="20"/>
      <c r="T33" s="18"/>
      <c r="U33" s="18"/>
      <c r="V33" s="18"/>
      <c r="W33" s="18"/>
      <c r="X33" s="19"/>
      <c r="Y33" s="9"/>
    </row>
    <row r="34" spans="1:25" ht="15" customHeight="1" x14ac:dyDescent="0.25">
      <c r="A34" s="12"/>
      <c r="B34" s="16" t="s">
        <v>25</v>
      </c>
      <c r="C34" s="12"/>
      <c r="D34" s="9"/>
      <c r="E34" s="2" t="str">
        <f>Pivot_Calculations!A46</f>
        <v>Website</v>
      </c>
      <c r="F34" s="2"/>
      <c r="G34" s="1">
        <f>Pivot_Calculations!B46</f>
        <v>0.12522098709469262</v>
      </c>
      <c r="H34" s="1">
        <f>Pivot_Calculations!C46</f>
        <v>9.1492740283116228E-2</v>
      </c>
      <c r="I34" s="1">
        <f>Pivot_Calculations!D46</f>
        <v>6.3042760790965081E-3</v>
      </c>
      <c r="J34" s="1">
        <f>Pivot_Calculations!E46</f>
        <v>1.2408404181197551E-2</v>
      </c>
      <c r="K34" s="9"/>
      <c r="L34" s="20"/>
      <c r="M34" s="18"/>
      <c r="N34" s="18"/>
      <c r="O34" s="18"/>
      <c r="P34" s="18"/>
      <c r="Q34" s="19"/>
      <c r="R34" s="9"/>
      <c r="S34" s="20"/>
      <c r="T34" s="18"/>
      <c r="U34" s="18"/>
      <c r="V34" s="18"/>
      <c r="W34" s="18"/>
      <c r="X34" s="19"/>
      <c r="Y34" s="9"/>
    </row>
    <row r="35" spans="1:25" ht="15" customHeight="1" x14ac:dyDescent="0.25">
      <c r="A35" s="12"/>
      <c r="B35" s="28" t="s">
        <v>23</v>
      </c>
      <c r="C35" s="12"/>
      <c r="D35" s="9"/>
      <c r="E35" s="2"/>
      <c r="F35" s="2"/>
      <c r="G35" s="1"/>
      <c r="H35" s="1"/>
      <c r="I35" s="1"/>
      <c r="J35" s="1"/>
      <c r="K35" s="9"/>
      <c r="L35" s="20"/>
      <c r="M35" s="18"/>
      <c r="N35" s="18"/>
      <c r="O35" s="18"/>
      <c r="P35" s="18"/>
      <c r="Q35" s="19"/>
      <c r="R35" s="9"/>
      <c r="S35" s="20"/>
      <c r="T35" s="18"/>
      <c r="U35" s="18"/>
      <c r="V35" s="18"/>
      <c r="W35" s="18"/>
      <c r="X35" s="19"/>
      <c r="Y35" s="9"/>
    </row>
    <row r="36" spans="1:25" ht="15" customHeight="1" x14ac:dyDescent="0.25">
      <c r="A36" s="12"/>
      <c r="B36" s="12"/>
      <c r="C36" s="12"/>
      <c r="D36" s="9"/>
      <c r="E36" s="29" t="s">
        <v>26</v>
      </c>
      <c r="F36" s="18"/>
      <c r="G36" s="18"/>
      <c r="H36" s="18"/>
      <c r="I36" s="18"/>
      <c r="J36" s="19"/>
      <c r="K36" s="9"/>
      <c r="L36" s="20"/>
      <c r="M36" s="18"/>
      <c r="N36" s="18"/>
      <c r="O36" s="18"/>
      <c r="P36" s="18"/>
      <c r="Q36" s="19"/>
      <c r="R36" s="9"/>
      <c r="S36" s="20"/>
      <c r="T36" s="18"/>
      <c r="U36" s="18"/>
      <c r="V36" s="18"/>
      <c r="W36" s="18"/>
      <c r="X36" s="19"/>
      <c r="Y36" s="9"/>
    </row>
    <row r="37" spans="1:25" ht="15" customHeight="1" x14ac:dyDescent="0.25">
      <c r="A37" s="12"/>
      <c r="B37" s="16" t="s">
        <v>27</v>
      </c>
      <c r="C37" s="12"/>
      <c r="D37" s="9"/>
      <c r="E37" s="22"/>
      <c r="F37" s="23"/>
      <c r="G37" s="23"/>
      <c r="H37" s="23"/>
      <c r="I37" s="23"/>
      <c r="J37" s="24"/>
      <c r="K37" s="9"/>
      <c r="L37" s="22"/>
      <c r="M37" s="23"/>
      <c r="N37" s="23"/>
      <c r="O37" s="23"/>
      <c r="P37" s="23"/>
      <c r="Q37" s="24"/>
      <c r="R37" s="9"/>
      <c r="S37" s="22"/>
      <c r="T37" s="23"/>
      <c r="U37" s="23"/>
      <c r="V37" s="23"/>
      <c r="W37" s="23"/>
      <c r="X37" s="24"/>
      <c r="Y37" s="9"/>
    </row>
    <row r="38" spans="1:25" ht="15" customHeight="1" x14ac:dyDescent="0.25">
      <c r="A38" s="12"/>
      <c r="B38" s="28" t="s">
        <v>23</v>
      </c>
      <c r="C38" s="1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" customHeight="1" x14ac:dyDescent="0.25">
      <c r="A39" s="12"/>
      <c r="B39" s="12"/>
      <c r="C39" s="12"/>
      <c r="D39" s="9"/>
      <c r="E39" s="13" t="s">
        <v>28</v>
      </c>
      <c r="F39" s="14"/>
      <c r="G39" s="14"/>
      <c r="H39" s="14"/>
      <c r="I39" s="14"/>
      <c r="J39" s="15"/>
      <c r="K39" s="9"/>
      <c r="L39" s="13" t="s">
        <v>29</v>
      </c>
      <c r="M39" s="14"/>
      <c r="N39" s="14"/>
      <c r="O39" s="14"/>
      <c r="P39" s="14"/>
      <c r="Q39" s="15"/>
      <c r="R39" s="9"/>
      <c r="S39" s="13" t="s">
        <v>30</v>
      </c>
      <c r="T39" s="14"/>
      <c r="U39" s="14"/>
      <c r="V39" s="14"/>
      <c r="W39" s="14"/>
      <c r="X39" s="15"/>
      <c r="Y39" s="9"/>
    </row>
    <row r="40" spans="1:25" ht="15" customHeight="1" x14ac:dyDescent="0.25">
      <c r="A40" s="12"/>
      <c r="B40" s="16" t="s">
        <v>31</v>
      </c>
      <c r="C40" s="12"/>
      <c r="D40" s="9"/>
      <c r="E40" s="17" t="s">
        <v>32</v>
      </c>
      <c r="F40" s="18"/>
      <c r="G40" s="18"/>
      <c r="H40" s="18"/>
      <c r="I40" s="18"/>
      <c r="J40" s="19"/>
      <c r="K40" s="9"/>
      <c r="L40" s="17" t="s">
        <v>33</v>
      </c>
      <c r="M40" s="18"/>
      <c r="N40" s="18"/>
      <c r="O40" s="18"/>
      <c r="P40" s="18"/>
      <c r="Q40" s="19"/>
      <c r="R40" s="9"/>
      <c r="S40" s="17" t="s">
        <v>34</v>
      </c>
      <c r="T40" s="18"/>
      <c r="U40" s="18"/>
      <c r="V40" s="18"/>
      <c r="W40" s="18"/>
      <c r="X40" s="19"/>
      <c r="Y40" s="9"/>
    </row>
    <row r="41" spans="1:25" ht="15" customHeight="1" x14ac:dyDescent="0.25">
      <c r="A41" s="12"/>
      <c r="B41" s="28" t="s">
        <v>23</v>
      </c>
      <c r="C41" s="12"/>
      <c r="D41" s="9"/>
      <c r="E41" s="20"/>
      <c r="F41" s="18"/>
      <c r="G41" s="18"/>
      <c r="H41" s="18"/>
      <c r="I41" s="18"/>
      <c r="J41" s="19"/>
      <c r="K41" s="9"/>
      <c r="L41" s="20"/>
      <c r="M41" s="18"/>
      <c r="N41" s="18"/>
      <c r="O41" s="18"/>
      <c r="P41" s="18"/>
      <c r="Q41" s="19"/>
      <c r="R41" s="9"/>
      <c r="S41" s="20"/>
      <c r="T41" s="18"/>
      <c r="U41" s="18"/>
      <c r="V41" s="18"/>
      <c r="W41" s="18"/>
      <c r="X41" s="19"/>
      <c r="Y41" s="9"/>
    </row>
    <row r="42" spans="1:25" ht="15" customHeight="1" x14ac:dyDescent="0.25">
      <c r="A42" s="12"/>
      <c r="B42" s="12"/>
      <c r="C42" s="12"/>
      <c r="D42" s="9"/>
      <c r="E42" s="20"/>
      <c r="F42" s="18"/>
      <c r="G42" s="18"/>
      <c r="H42" s="18"/>
      <c r="I42" s="18"/>
      <c r="J42" s="19"/>
      <c r="K42" s="9"/>
      <c r="L42" s="20"/>
      <c r="M42" s="18"/>
      <c r="N42" s="18"/>
      <c r="O42" s="18"/>
      <c r="P42" s="18"/>
      <c r="Q42" s="19"/>
      <c r="R42" s="9"/>
      <c r="S42" s="20"/>
      <c r="T42" s="18"/>
      <c r="U42" s="18"/>
      <c r="V42" s="18"/>
      <c r="W42" s="18"/>
      <c r="X42" s="19"/>
      <c r="Y42" s="9"/>
    </row>
    <row r="43" spans="1:25" ht="15" customHeight="1" x14ac:dyDescent="0.25">
      <c r="A43" s="12"/>
      <c r="B43" s="12"/>
      <c r="C43" s="12"/>
      <c r="D43" s="9"/>
      <c r="E43" s="20"/>
      <c r="F43" s="18"/>
      <c r="G43" s="18"/>
      <c r="H43" s="18"/>
      <c r="I43" s="18"/>
      <c r="J43" s="19"/>
      <c r="K43" s="9"/>
      <c r="L43" s="20"/>
      <c r="M43" s="18"/>
      <c r="N43" s="18"/>
      <c r="O43" s="18"/>
      <c r="P43" s="18"/>
      <c r="Q43" s="19"/>
      <c r="R43" s="9"/>
      <c r="S43" s="20"/>
      <c r="T43" s="18"/>
      <c r="U43" s="18"/>
      <c r="V43" s="18"/>
      <c r="W43" s="18"/>
      <c r="X43" s="19"/>
      <c r="Y43" s="9"/>
    </row>
    <row r="44" spans="1:25" ht="15" customHeight="1" x14ac:dyDescent="0.25">
      <c r="A44" s="12"/>
      <c r="B44" s="30" t="s">
        <v>35</v>
      </c>
      <c r="C44" s="12"/>
      <c r="D44" s="9"/>
      <c r="E44" s="20"/>
      <c r="F44" s="18"/>
      <c r="G44" s="18"/>
      <c r="H44" s="18"/>
      <c r="I44" s="18"/>
      <c r="J44" s="19"/>
      <c r="K44" s="9"/>
      <c r="L44" s="20"/>
      <c r="M44" s="18"/>
      <c r="N44" s="18"/>
      <c r="O44" s="18"/>
      <c r="P44" s="18"/>
      <c r="Q44" s="19"/>
      <c r="R44" s="9"/>
      <c r="S44" s="20"/>
      <c r="T44" s="18"/>
      <c r="U44" s="18"/>
      <c r="V44" s="18"/>
      <c r="W44" s="18"/>
      <c r="X44" s="19"/>
      <c r="Y44" s="9"/>
    </row>
    <row r="45" spans="1:25" ht="15" customHeight="1" x14ac:dyDescent="0.25">
      <c r="A45" s="12"/>
      <c r="B45" s="12"/>
      <c r="C45" s="12"/>
      <c r="D45" s="9"/>
      <c r="E45" s="20"/>
      <c r="F45" s="18"/>
      <c r="G45" s="18"/>
      <c r="H45" s="18"/>
      <c r="I45" s="18"/>
      <c r="J45" s="19"/>
      <c r="K45" s="9"/>
      <c r="L45" s="20"/>
      <c r="M45" s="18"/>
      <c r="N45" s="18"/>
      <c r="O45" s="18"/>
      <c r="P45" s="18"/>
      <c r="Q45" s="19"/>
      <c r="R45" s="9"/>
      <c r="S45" s="20"/>
      <c r="T45" s="18"/>
      <c r="U45" s="18"/>
      <c r="V45" s="18"/>
      <c r="W45" s="18"/>
      <c r="X45" s="19"/>
      <c r="Y45" s="9"/>
    </row>
    <row r="46" spans="1:25" ht="15" customHeight="1" x14ac:dyDescent="0.25">
      <c r="A46" s="12"/>
      <c r="B46" s="12"/>
      <c r="C46" s="12"/>
      <c r="D46" s="9"/>
      <c r="E46" s="20"/>
      <c r="F46" s="18"/>
      <c r="G46" s="18"/>
      <c r="H46" s="18"/>
      <c r="I46" s="18"/>
      <c r="J46" s="19"/>
      <c r="K46" s="9"/>
      <c r="L46" s="20"/>
      <c r="M46" s="18"/>
      <c r="N46" s="18"/>
      <c r="O46" s="18"/>
      <c r="P46" s="18"/>
      <c r="Q46" s="19"/>
      <c r="R46" s="9"/>
      <c r="S46" s="20"/>
      <c r="T46" s="18"/>
      <c r="U46" s="18"/>
      <c r="V46" s="18"/>
      <c r="W46" s="18"/>
      <c r="X46" s="19"/>
      <c r="Y46" s="9"/>
    </row>
    <row r="47" spans="1:25" ht="15" customHeight="1" x14ac:dyDescent="0.25">
      <c r="A47" s="12"/>
      <c r="B47" s="12"/>
      <c r="C47" s="12"/>
      <c r="D47" s="9"/>
      <c r="E47" s="20"/>
      <c r="F47" s="18"/>
      <c r="G47" s="18"/>
      <c r="H47" s="18"/>
      <c r="I47" s="18"/>
      <c r="J47" s="19"/>
      <c r="K47" s="9"/>
      <c r="L47" s="20"/>
      <c r="M47" s="18"/>
      <c r="N47" s="18"/>
      <c r="O47" s="18"/>
      <c r="P47" s="18"/>
      <c r="Q47" s="19"/>
      <c r="R47" s="9"/>
      <c r="S47" s="20"/>
      <c r="T47" s="18"/>
      <c r="U47" s="18"/>
      <c r="V47" s="18"/>
      <c r="W47" s="18"/>
      <c r="X47" s="19"/>
      <c r="Y47" s="9"/>
    </row>
    <row r="48" spans="1:25" ht="15" customHeight="1" x14ac:dyDescent="0.25">
      <c r="A48" s="12"/>
      <c r="B48" s="12"/>
      <c r="C48" s="12"/>
      <c r="D48" s="9"/>
      <c r="E48" s="20"/>
      <c r="F48" s="18"/>
      <c r="G48" s="18"/>
      <c r="H48" s="18"/>
      <c r="I48" s="18"/>
      <c r="J48" s="19"/>
      <c r="K48" s="9"/>
      <c r="L48" s="20"/>
      <c r="M48" s="18"/>
      <c r="N48" s="18"/>
      <c r="O48" s="18"/>
      <c r="P48" s="18"/>
      <c r="Q48" s="19"/>
      <c r="R48" s="9"/>
      <c r="S48" s="20"/>
      <c r="T48" s="18"/>
      <c r="U48" s="18"/>
      <c r="V48" s="18"/>
      <c r="W48" s="18"/>
      <c r="X48" s="19"/>
      <c r="Y48" s="9"/>
    </row>
    <row r="49" spans="1:25" ht="15" customHeight="1" x14ac:dyDescent="0.25">
      <c r="A49" s="12"/>
      <c r="B49" s="12"/>
      <c r="C49" s="12"/>
      <c r="D49" s="9"/>
      <c r="E49" s="20"/>
      <c r="F49" s="18"/>
      <c r="G49" s="18"/>
      <c r="H49" s="18"/>
      <c r="I49" s="18"/>
      <c r="J49" s="19"/>
      <c r="K49" s="9"/>
      <c r="L49" s="20"/>
      <c r="M49" s="18"/>
      <c r="N49" s="18"/>
      <c r="O49" s="18"/>
      <c r="P49" s="18"/>
      <c r="Q49" s="19"/>
      <c r="R49" s="9"/>
      <c r="S49" s="20"/>
      <c r="T49" s="18"/>
      <c r="U49" s="18"/>
      <c r="V49" s="18"/>
      <c r="W49" s="18"/>
      <c r="X49" s="19"/>
      <c r="Y49" s="9"/>
    </row>
    <row r="50" spans="1:25" ht="15" customHeight="1" x14ac:dyDescent="0.25">
      <c r="A50" s="12"/>
      <c r="B50" s="12"/>
      <c r="C50" s="12"/>
      <c r="D50" s="9"/>
      <c r="E50" s="20"/>
      <c r="F50" s="18"/>
      <c r="G50" s="18"/>
      <c r="H50" s="18"/>
      <c r="I50" s="18"/>
      <c r="J50" s="19"/>
      <c r="K50" s="9"/>
      <c r="L50" s="20"/>
      <c r="M50" s="18"/>
      <c r="N50" s="18"/>
      <c r="O50" s="18"/>
      <c r="P50" s="18"/>
      <c r="Q50" s="19"/>
      <c r="R50" s="9"/>
      <c r="S50" s="20"/>
      <c r="T50" s="18"/>
      <c r="U50" s="18"/>
      <c r="V50" s="18"/>
      <c r="W50" s="18"/>
      <c r="X50" s="19"/>
      <c r="Y50" s="9"/>
    </row>
    <row r="51" spans="1:25" ht="15" customHeight="1" x14ac:dyDescent="0.25">
      <c r="A51" s="12"/>
      <c r="B51" s="12"/>
      <c r="C51" s="12"/>
      <c r="D51" s="9"/>
      <c r="E51" s="20"/>
      <c r="F51" s="18"/>
      <c r="G51" s="18"/>
      <c r="H51" s="18"/>
      <c r="I51" s="18"/>
      <c r="J51" s="19"/>
      <c r="K51" s="9"/>
      <c r="L51" s="20"/>
      <c r="M51" s="18"/>
      <c r="N51" s="18"/>
      <c r="O51" s="18"/>
      <c r="P51" s="18"/>
      <c r="Q51" s="19"/>
      <c r="R51" s="9"/>
      <c r="S51" s="20"/>
      <c r="T51" s="18"/>
      <c r="U51" s="18"/>
      <c r="V51" s="18"/>
      <c r="W51" s="18"/>
      <c r="X51" s="19"/>
      <c r="Y51" s="9"/>
    </row>
    <row r="52" spans="1:25" ht="15" customHeight="1" x14ac:dyDescent="0.25">
      <c r="A52" s="12"/>
      <c r="B52" s="12"/>
      <c r="C52" s="12"/>
      <c r="D52" s="9"/>
      <c r="E52" s="20"/>
      <c r="F52" s="18"/>
      <c r="G52" s="18"/>
      <c r="H52" s="18"/>
      <c r="I52" s="18"/>
      <c r="J52" s="19"/>
      <c r="K52" s="9"/>
      <c r="L52" s="20"/>
      <c r="M52" s="18"/>
      <c r="N52" s="18"/>
      <c r="O52" s="18"/>
      <c r="P52" s="18"/>
      <c r="Q52" s="19"/>
      <c r="R52" s="9"/>
      <c r="S52" s="20"/>
      <c r="T52" s="18"/>
      <c r="U52" s="18"/>
      <c r="V52" s="18"/>
      <c r="W52" s="18"/>
      <c r="X52" s="19"/>
      <c r="Y52" s="9"/>
    </row>
    <row r="53" spans="1:25" ht="15" customHeight="1" x14ac:dyDescent="0.25">
      <c r="A53" s="12"/>
      <c r="B53" s="12"/>
      <c r="C53" s="12"/>
      <c r="D53" s="9"/>
      <c r="E53" s="20"/>
      <c r="F53" s="18"/>
      <c r="G53" s="18"/>
      <c r="H53" s="18"/>
      <c r="I53" s="18"/>
      <c r="J53" s="19"/>
      <c r="K53" s="9"/>
      <c r="L53" s="20"/>
      <c r="M53" s="18"/>
      <c r="N53" s="18"/>
      <c r="O53" s="18"/>
      <c r="P53" s="18"/>
      <c r="Q53" s="19"/>
      <c r="R53" s="9"/>
      <c r="S53" s="20"/>
      <c r="T53" s="18"/>
      <c r="U53" s="18"/>
      <c r="V53" s="18"/>
      <c r="W53" s="18"/>
      <c r="X53" s="19"/>
      <c r="Y53" s="9"/>
    </row>
    <row r="54" spans="1:25" ht="15" customHeight="1" x14ac:dyDescent="0.25">
      <c r="A54" s="12"/>
      <c r="B54" s="12"/>
      <c r="C54" s="12"/>
      <c r="D54" s="9"/>
      <c r="E54" s="20"/>
      <c r="F54" s="18"/>
      <c r="G54" s="18"/>
      <c r="H54" s="18"/>
      <c r="I54" s="18"/>
      <c r="J54" s="19"/>
      <c r="K54" s="9"/>
      <c r="L54" s="20"/>
      <c r="M54" s="18"/>
      <c r="N54" s="18"/>
      <c r="O54" s="18"/>
      <c r="P54" s="18"/>
      <c r="Q54" s="19"/>
      <c r="R54" s="9"/>
      <c r="S54" s="20"/>
      <c r="T54" s="18"/>
      <c r="U54" s="18"/>
      <c r="V54" s="18"/>
      <c r="W54" s="18"/>
      <c r="X54" s="19"/>
      <c r="Y54" s="9"/>
    </row>
    <row r="55" spans="1:25" ht="15" customHeight="1" x14ac:dyDescent="0.25">
      <c r="A55" s="12"/>
      <c r="B55" s="12"/>
      <c r="C55" s="12"/>
      <c r="D55" s="9"/>
      <c r="E55" s="20"/>
      <c r="F55" s="18"/>
      <c r="G55" s="18"/>
      <c r="H55" s="18"/>
      <c r="I55" s="18"/>
      <c r="J55" s="19"/>
      <c r="K55" s="9"/>
      <c r="L55" s="20"/>
      <c r="M55" s="18"/>
      <c r="N55" s="18"/>
      <c r="O55" s="18"/>
      <c r="P55" s="18"/>
      <c r="Q55" s="19"/>
      <c r="R55" s="9"/>
      <c r="S55" s="20"/>
      <c r="T55" s="18"/>
      <c r="U55" s="18"/>
      <c r="V55" s="18"/>
      <c r="W55" s="18"/>
      <c r="X55" s="19"/>
      <c r="Y55" s="9"/>
    </row>
    <row r="56" spans="1:25" ht="15" customHeight="1" x14ac:dyDescent="0.25">
      <c r="A56" s="12"/>
      <c r="B56" s="12"/>
      <c r="C56" s="12"/>
      <c r="D56" s="9"/>
      <c r="E56" s="20"/>
      <c r="F56" s="18"/>
      <c r="G56" s="18"/>
      <c r="H56" s="18"/>
      <c r="I56" s="18"/>
      <c r="J56" s="19"/>
      <c r="K56" s="9"/>
      <c r="L56" s="20"/>
      <c r="M56" s="18"/>
      <c r="N56" s="18"/>
      <c r="O56" s="18"/>
      <c r="P56" s="18"/>
      <c r="Q56" s="19"/>
      <c r="R56" s="9"/>
      <c r="S56" s="20"/>
      <c r="T56" s="18"/>
      <c r="U56" s="18"/>
      <c r="V56" s="18"/>
      <c r="W56" s="18"/>
      <c r="X56" s="19"/>
      <c r="Y56" s="9"/>
    </row>
    <row r="57" spans="1:25" ht="15" customHeight="1" x14ac:dyDescent="0.25">
      <c r="A57" s="12"/>
      <c r="B57" s="12"/>
      <c r="C57" s="12"/>
      <c r="D57" s="9"/>
      <c r="E57" s="20"/>
      <c r="F57" s="18"/>
      <c r="G57" s="18"/>
      <c r="H57" s="18"/>
      <c r="I57" s="18"/>
      <c r="J57" s="19"/>
      <c r="K57" s="9"/>
      <c r="L57" s="20"/>
      <c r="M57" s="18"/>
      <c r="N57" s="18"/>
      <c r="O57" s="18"/>
      <c r="P57" s="18"/>
      <c r="Q57" s="19"/>
      <c r="R57" s="9"/>
      <c r="S57" s="20"/>
      <c r="T57" s="18"/>
      <c r="U57" s="18"/>
      <c r="V57" s="18"/>
      <c r="W57" s="18"/>
      <c r="X57" s="19"/>
      <c r="Y57" s="9"/>
    </row>
    <row r="58" spans="1:25" ht="15" customHeight="1" x14ac:dyDescent="0.25">
      <c r="A58" s="12"/>
      <c r="B58" s="12"/>
      <c r="C58" s="12"/>
      <c r="D58" s="9"/>
      <c r="E58" s="20"/>
      <c r="F58" s="18"/>
      <c r="G58" s="18"/>
      <c r="H58" s="18"/>
      <c r="I58" s="18"/>
      <c r="J58" s="19"/>
      <c r="K58" s="9"/>
      <c r="L58" s="20"/>
      <c r="M58" s="18"/>
      <c r="N58" s="18"/>
      <c r="O58" s="18"/>
      <c r="P58" s="18"/>
      <c r="Q58" s="19"/>
      <c r="R58" s="9"/>
      <c r="S58" s="20"/>
      <c r="T58" s="18"/>
      <c r="U58" s="18"/>
      <c r="V58" s="18"/>
      <c r="W58" s="18"/>
      <c r="X58" s="19"/>
      <c r="Y58" s="9"/>
    </row>
    <row r="59" spans="1:25" ht="15" customHeight="1" x14ac:dyDescent="0.25">
      <c r="A59" s="12"/>
      <c r="B59" s="12"/>
      <c r="C59" s="12"/>
      <c r="D59" s="9"/>
      <c r="E59" s="20"/>
      <c r="F59" s="18"/>
      <c r="G59" s="18"/>
      <c r="H59" s="18"/>
      <c r="I59" s="18"/>
      <c r="J59" s="19"/>
      <c r="K59" s="9"/>
      <c r="L59" s="20"/>
      <c r="M59" s="18"/>
      <c r="N59" s="18"/>
      <c r="O59" s="18"/>
      <c r="P59" s="18"/>
      <c r="Q59" s="19"/>
      <c r="R59" s="9"/>
      <c r="S59" s="20"/>
      <c r="T59" s="18"/>
      <c r="U59" s="18"/>
      <c r="V59" s="18"/>
      <c r="W59" s="18"/>
      <c r="X59" s="19"/>
      <c r="Y59" s="9"/>
    </row>
    <row r="60" spans="1:25" ht="15" customHeight="1" x14ac:dyDescent="0.25">
      <c r="A60" s="12"/>
      <c r="B60" s="12"/>
      <c r="C60" s="12"/>
      <c r="D60" s="9"/>
      <c r="E60" s="22"/>
      <c r="F60" s="23"/>
      <c r="G60" s="23"/>
      <c r="H60" s="23"/>
      <c r="I60" s="23"/>
      <c r="J60" s="24"/>
      <c r="K60" s="9"/>
      <c r="L60" s="22"/>
      <c r="M60" s="23"/>
      <c r="N60" s="23"/>
      <c r="O60" s="23"/>
      <c r="P60" s="23"/>
      <c r="Q60" s="24"/>
      <c r="R60" s="9"/>
      <c r="S60" s="22"/>
      <c r="T60" s="23"/>
      <c r="U60" s="23"/>
      <c r="V60" s="23"/>
      <c r="W60" s="23"/>
      <c r="X60" s="24"/>
      <c r="Y60" s="9"/>
    </row>
    <row r="61" spans="1:25" ht="15" customHeight="1" x14ac:dyDescent="0.25">
      <c r="A61" s="12"/>
      <c r="B61" s="12"/>
      <c r="C61" s="12"/>
      <c r="D61" s="9"/>
      <c r="E61" s="31" t="s">
        <v>36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5" customHeight="1" x14ac:dyDescent="0.25">
      <c r="A62" s="12"/>
      <c r="B62" s="12"/>
      <c r="C62" s="12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</sheetData>
  <mergeCells count="31">
    <mergeCell ref="E34:F35"/>
    <mergeCell ref="G34:G35"/>
    <mergeCell ref="H34:H35"/>
    <mergeCell ref="I34:I35"/>
    <mergeCell ref="J34:J35"/>
    <mergeCell ref="E32:F33"/>
    <mergeCell ref="G32:G33"/>
    <mergeCell ref="H32:H33"/>
    <mergeCell ref="I32:I33"/>
    <mergeCell ref="J32:J33"/>
    <mergeCell ref="E30:F31"/>
    <mergeCell ref="G30:G31"/>
    <mergeCell ref="H30:H31"/>
    <mergeCell ref="I30:I31"/>
    <mergeCell ref="J30:J31"/>
    <mergeCell ref="J26:J27"/>
    <mergeCell ref="E28:F29"/>
    <mergeCell ref="G28:G29"/>
    <mergeCell ref="H28:H29"/>
    <mergeCell ref="I28:I29"/>
    <mergeCell ref="J28:J29"/>
    <mergeCell ref="E25:F25"/>
    <mergeCell ref="E26:F27"/>
    <mergeCell ref="G26:G27"/>
    <mergeCell ref="H26:H27"/>
    <mergeCell ref="I26:I27"/>
    <mergeCell ref="B7:B8"/>
    <mergeCell ref="B11:B12"/>
    <mergeCell ref="B15:B16"/>
    <mergeCell ref="B19:B20"/>
    <mergeCell ref="B23:B24"/>
  </mergeCells>
  <conditionalFormatting sqref="G26:J35">
    <cfRule type="colorScale" priority="2">
      <colorScale>
        <cfvo type="min"/>
        <cfvo type="percentile" val="50"/>
        <cfvo type="max"/>
        <color rgb="FFF8696B"/>
        <color rgb="FFFFFFFF"/>
        <color rgb="FF5B9BD5"/>
      </colorScale>
    </cfRule>
  </conditionalFormatting>
  <dataValidations count="5">
    <dataValidation type="list" showErrorMessage="1" errorTitle="Pick from list" error="Choose a value from the dropdown (or All)." sqref="B29" xr:uid="{00000000-0002-0000-0000-000000000000}">
      <formula1>list_Mode</formula1>
      <formula2>0</formula2>
    </dataValidation>
    <dataValidation type="list" showErrorMessage="1" errorTitle="Pick from list" error="Choose a value from the dropdown (or All)." sqref="B32" xr:uid="{00000000-0002-0000-0000-000001000000}">
      <formula1>list_Gender</formula1>
      <formula2>0</formula2>
    </dataValidation>
    <dataValidation type="list" showErrorMessage="1" errorTitle="Pick from list" error="Choose a value from the dropdown (or All)." sqref="B35" xr:uid="{00000000-0002-0000-0000-000002000000}">
      <formula1>list_Category</formula1>
      <formula2>0</formula2>
    </dataValidation>
    <dataValidation type="list" showErrorMessage="1" errorTitle="Pick from list" error="Choose a value from the dropdown (or All)." sqref="B38" xr:uid="{00000000-0002-0000-0000-000003000000}">
      <formula1>list_Month</formula1>
      <formula2>0</formula2>
    </dataValidation>
    <dataValidation type="list" showErrorMessage="1" errorTitle="Pick from list" error="Choose a value from the dropdown (or All)." sqref="B41" xr:uid="{00000000-0002-0000-0000-000004000000}">
      <formula1>list_County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887E6"/>
  </sheetPr>
  <dimension ref="A1:H214"/>
  <sheetViews>
    <sheetView showGridLines="0" zoomScaleNormal="100" workbookViewId="0">
      <pane ySplit="3" topLeftCell="A47" activePane="bottomLeft" state="frozen"/>
      <selection pane="bottomLeft" activeCell="B47" sqref="B47"/>
    </sheetView>
  </sheetViews>
  <sheetFormatPr defaultColWidth="8.5703125" defaultRowHeight="15" x14ac:dyDescent="0.25"/>
  <cols>
    <col min="1" max="1" width="26" customWidth="1"/>
    <col min="2" max="9" width="15" customWidth="1"/>
  </cols>
  <sheetData>
    <row r="1" spans="1:5" ht="20.25" x14ac:dyDescent="0.3">
      <c r="A1" s="32" t="s">
        <v>37</v>
      </c>
    </row>
    <row r="2" spans="1:5" x14ac:dyDescent="0.25">
      <c r="A2" s="33" t="s">
        <v>38</v>
      </c>
    </row>
    <row r="4" spans="1:5" ht="16.5" x14ac:dyDescent="0.25">
      <c r="A4" s="34" t="s">
        <v>39</v>
      </c>
    </row>
    <row r="5" spans="1:5" x14ac:dyDescent="0.25">
      <c r="A5" s="33" t="s">
        <v>40</v>
      </c>
    </row>
    <row r="6" spans="1:5" ht="26.25" x14ac:dyDescent="0.25">
      <c r="A6" s="35" t="s">
        <v>41</v>
      </c>
      <c r="B6" s="35" t="s">
        <v>42</v>
      </c>
      <c r="C6" s="61" t="s">
        <v>43</v>
      </c>
      <c r="D6" s="66"/>
    </row>
    <row r="7" spans="1:5" x14ac:dyDescent="0.25">
      <c r="A7" s="36" t="s">
        <v>44</v>
      </c>
      <c r="B7" s="37">
        <f>COUNTA(orders[TX ID])</f>
        <v>2400</v>
      </c>
      <c r="C7" s="62">
        <f>COUNTIFS(wk_Flag,1)</f>
        <v>2400</v>
      </c>
      <c r="D7" s="67"/>
    </row>
    <row r="8" spans="1:5" x14ac:dyDescent="0.25">
      <c r="A8" s="36" t="s">
        <v>45</v>
      </c>
      <c r="B8" s="37">
        <f>SUM(orders[Quantity])</f>
        <v>11997</v>
      </c>
      <c r="C8" s="62">
        <f>SUMIFS(orders[Quantity],wk_Flag,1)</f>
        <v>11997</v>
      </c>
      <c r="D8" s="67"/>
    </row>
    <row r="9" spans="1:5" x14ac:dyDescent="0.25">
      <c r="A9" s="36" t="s">
        <v>46</v>
      </c>
      <c r="B9" s="38">
        <f>SUM(orders[Amount])</f>
        <v>649019.80000000144</v>
      </c>
      <c r="C9" s="63">
        <f>SUMIFS(orders[Amount],wk_Flag,1)</f>
        <v>649019.80000000144</v>
      </c>
      <c r="D9" s="67"/>
    </row>
    <row r="10" spans="1:5" x14ac:dyDescent="0.25">
      <c r="A10" s="36" t="s">
        <v>47</v>
      </c>
      <c r="B10" s="39">
        <f>AVERAGE(orders[Rating C])</f>
        <v>3.9620833333333332</v>
      </c>
      <c r="C10" s="64">
        <f>IFERROR(AVERAGEIFS(orders[Rating C],wk_Flag,1),0)</f>
        <v>3.9620833333333332</v>
      </c>
      <c r="D10" s="67"/>
    </row>
    <row r="11" spans="1:5" x14ac:dyDescent="0.25">
      <c r="A11" s="36" t="s">
        <v>48</v>
      </c>
      <c r="B11" s="40">
        <f>AVERAGE(orders[Days to Deliver])</f>
        <v>2.3424999999999998</v>
      </c>
      <c r="C11" s="65">
        <f>IFERROR(AVERAGEIFS(orders[Days to Deliver],wk_Flag,1),0)</f>
        <v>2.3424999999999998</v>
      </c>
      <c r="D11" s="67"/>
    </row>
    <row r="14" spans="1:5" ht="16.5" x14ac:dyDescent="0.25">
      <c r="A14" s="34" t="s">
        <v>49</v>
      </c>
    </row>
    <row r="15" spans="1:5" x14ac:dyDescent="0.25">
      <c r="A15" s="35" t="s">
        <v>50</v>
      </c>
      <c r="B15" s="35" t="s">
        <v>51</v>
      </c>
      <c r="C15" s="35" t="s">
        <v>52</v>
      </c>
      <c r="D15" s="35" t="s">
        <v>53</v>
      </c>
      <c r="E15" s="35" t="s">
        <v>54</v>
      </c>
    </row>
    <row r="16" spans="1:5" x14ac:dyDescent="0.25">
      <c r="A16" s="41">
        <v>1</v>
      </c>
      <c r="B16" s="42" t="str">
        <f>TEXT(_xlfn.MINIFS(orders[Order Date],orders[Weeknum],A16),"d mmm")</f>
        <v>1 Jan</v>
      </c>
      <c r="C16" s="37">
        <f>COUNTIFS(orders[Weeknum],$A16,wk_Flag,1)</f>
        <v>101</v>
      </c>
      <c r="D16" s="37">
        <f>SUMIFS(orders[Quantity],orders[Weeknum],$A16,wk_Flag,1)</f>
        <v>546</v>
      </c>
      <c r="E16" s="43">
        <f>SUMIFS(orders[Amount],orders[Weeknum],$A16,wk_Flag,1)</f>
        <v>32413.300000000003</v>
      </c>
    </row>
    <row r="17" spans="1:5" x14ac:dyDescent="0.25">
      <c r="A17" s="41">
        <v>2</v>
      </c>
      <c r="B17" s="42" t="str">
        <f>TEXT(_xlfn.MINIFS(orders[Order Date],orders[Weeknum],A17),"d mmm")</f>
        <v>5 Jan</v>
      </c>
      <c r="C17" s="37">
        <f>COUNTIFS(orders[Weeknum],$A17,wk_Flag,1)</f>
        <v>155</v>
      </c>
      <c r="D17" s="37">
        <f>SUMIFS(orders[Quantity],orders[Weeknum],$A17,wk_Flag,1)</f>
        <v>905</v>
      </c>
      <c r="E17" s="43">
        <f>SUMIFS(orders[Amount],orders[Weeknum],$A17,wk_Flag,1)</f>
        <v>49562.999999999993</v>
      </c>
    </row>
    <row r="18" spans="1:5" x14ac:dyDescent="0.25">
      <c r="A18" s="41">
        <v>3</v>
      </c>
      <c r="B18" s="42" t="str">
        <f>TEXT(_xlfn.MINIFS(orders[Order Date],orders[Weeknum],A18),"d mmm")</f>
        <v>12 Jan</v>
      </c>
      <c r="C18" s="37">
        <f>COUNTIFS(orders[Weeknum],$A18,wk_Flag,1)</f>
        <v>151</v>
      </c>
      <c r="D18" s="37">
        <f>SUMIFS(orders[Quantity],orders[Weeknum],$A18,wk_Flag,1)</f>
        <v>796</v>
      </c>
      <c r="E18" s="43">
        <f>SUMIFS(orders[Amount],orders[Weeknum],$A18,wk_Flag,1)</f>
        <v>41700.400000000016</v>
      </c>
    </row>
    <row r="19" spans="1:5" x14ac:dyDescent="0.25">
      <c r="A19" s="41">
        <v>4</v>
      </c>
      <c r="B19" s="42" t="str">
        <f>TEXT(_xlfn.MINIFS(orders[Order Date],orders[Weeknum],A19),"d mmm")</f>
        <v>19 Jan</v>
      </c>
      <c r="C19" s="37">
        <f>COUNTIFS(orders[Weeknum],$A19,wk_Flag,1)</f>
        <v>175</v>
      </c>
      <c r="D19" s="37">
        <f>SUMIFS(orders[Quantity],orders[Weeknum],$A19,wk_Flag,1)</f>
        <v>913</v>
      </c>
      <c r="E19" s="43">
        <f>SUMIFS(orders[Amount],orders[Weeknum],$A19,wk_Flag,1)</f>
        <v>46782.599999999984</v>
      </c>
    </row>
    <row r="20" spans="1:5" x14ac:dyDescent="0.25">
      <c r="A20" s="41">
        <v>5</v>
      </c>
      <c r="B20" s="42" t="str">
        <f>TEXT(_xlfn.MINIFS(orders[Order Date],orders[Weeknum],A20),"d mmm")</f>
        <v>26 Jan</v>
      </c>
      <c r="C20" s="37">
        <f>COUNTIFS(orders[Weeknum],$A20,wk_Flag,1)</f>
        <v>162</v>
      </c>
      <c r="D20" s="37">
        <f>SUMIFS(orders[Quantity],orders[Weeknum],$A20,wk_Flag,1)</f>
        <v>844</v>
      </c>
      <c r="E20" s="43">
        <f>SUMIFS(orders[Amount],orders[Weeknum],$A20,wk_Flag,1)</f>
        <v>42676.100000000006</v>
      </c>
    </row>
    <row r="21" spans="1:5" x14ac:dyDescent="0.25">
      <c r="A21" s="41">
        <v>6</v>
      </c>
      <c r="B21" s="42" t="str">
        <f>TEXT(_xlfn.MINIFS(orders[Order Date],orders[Weeknum],A21),"d mmm")</f>
        <v>2 Feb</v>
      </c>
      <c r="C21" s="37">
        <f>COUNTIFS(orders[Weeknum],$A21,wk_Flag,1)</f>
        <v>240</v>
      </c>
      <c r="D21" s="37">
        <f>SUMIFS(orders[Quantity],orders[Weeknum],$A21,wk_Flag,1)</f>
        <v>1202</v>
      </c>
      <c r="E21" s="43">
        <f>SUMIFS(orders[Amount],orders[Weeknum],$A21,wk_Flag,1)</f>
        <v>62910.7</v>
      </c>
    </row>
    <row r="22" spans="1:5" x14ac:dyDescent="0.25">
      <c r="A22" s="41">
        <v>7</v>
      </c>
      <c r="B22" s="42" t="str">
        <f>TEXT(_xlfn.MINIFS(orders[Order Date],orders[Weeknum],A22),"d mmm")</f>
        <v>9 Feb</v>
      </c>
      <c r="C22" s="37">
        <f>COUNTIFS(orders[Weeknum],$A22,wk_Flag,1)</f>
        <v>191</v>
      </c>
      <c r="D22" s="37">
        <f>SUMIFS(orders[Quantity],orders[Weeknum],$A22,wk_Flag,1)</f>
        <v>935</v>
      </c>
      <c r="E22" s="43">
        <f>SUMIFS(orders[Amount],orders[Weeknum],$A22,wk_Flag,1)</f>
        <v>50332.200000000004</v>
      </c>
    </row>
    <row r="23" spans="1:5" x14ac:dyDescent="0.25">
      <c r="A23" s="41">
        <v>8</v>
      </c>
      <c r="B23" s="42" t="str">
        <f>TEXT(_xlfn.MINIFS(orders[Order Date],orders[Weeknum],A23),"d mmm")</f>
        <v>16 Feb</v>
      </c>
      <c r="C23" s="37">
        <f>COUNTIFS(orders[Weeknum],$A23,wk_Flag,1)</f>
        <v>236</v>
      </c>
      <c r="D23" s="37">
        <f>SUMIFS(orders[Quantity],orders[Weeknum],$A23,wk_Flag,1)</f>
        <v>1128</v>
      </c>
      <c r="E23" s="43">
        <f>SUMIFS(orders[Amount],orders[Weeknum],$A23,wk_Flag,1)</f>
        <v>58760.599999999977</v>
      </c>
    </row>
    <row r="24" spans="1:5" x14ac:dyDescent="0.25">
      <c r="A24" s="41">
        <v>9</v>
      </c>
      <c r="B24" s="42" t="str">
        <f>TEXT(_xlfn.MINIFS(orders[Order Date],orders[Weeknum],A24),"d mmm")</f>
        <v>23 Feb</v>
      </c>
      <c r="C24" s="37">
        <f>COUNTIFS(orders[Weeknum],$A24,wk_Flag,1)</f>
        <v>202</v>
      </c>
      <c r="D24" s="37">
        <f>SUMIFS(orders[Quantity],orders[Weeknum],$A24,wk_Flag,1)</f>
        <v>1007</v>
      </c>
      <c r="E24" s="43">
        <f>SUMIFS(orders[Amount],orders[Weeknum],$A24,wk_Flag,1)</f>
        <v>52017.299999999996</v>
      </c>
    </row>
    <row r="25" spans="1:5" x14ac:dyDescent="0.25">
      <c r="A25" s="41">
        <v>10</v>
      </c>
      <c r="B25" s="42" t="str">
        <f>TEXT(_xlfn.MINIFS(orders[Order Date],orders[Weeknum],A25),"d mmm")</f>
        <v>2 Mar</v>
      </c>
      <c r="C25" s="37">
        <f>COUNTIFS(orders[Weeknum],$A25,wk_Flag,1)</f>
        <v>214</v>
      </c>
      <c r="D25" s="37">
        <f>SUMIFS(orders[Quantity],orders[Weeknum],$A25,wk_Flag,1)</f>
        <v>1128</v>
      </c>
      <c r="E25" s="43">
        <f>SUMIFS(orders[Amount],orders[Weeknum],$A25,wk_Flag,1)</f>
        <v>64915.700000000033</v>
      </c>
    </row>
    <row r="26" spans="1:5" x14ac:dyDescent="0.25">
      <c r="A26" s="41">
        <v>11</v>
      </c>
      <c r="B26" s="42" t="str">
        <f>TEXT(_xlfn.MINIFS(orders[Order Date],orders[Weeknum],A26),"d mmm")</f>
        <v>9 Mar</v>
      </c>
      <c r="C26" s="37">
        <f>COUNTIFS(orders[Weeknum],$A26,wk_Flag,1)</f>
        <v>189</v>
      </c>
      <c r="D26" s="37">
        <f>SUMIFS(orders[Quantity],orders[Weeknum],$A26,wk_Flag,1)</f>
        <v>861</v>
      </c>
      <c r="E26" s="43">
        <f>SUMIFS(orders[Amount],orders[Weeknum],$A26,wk_Flag,1)</f>
        <v>45943.80000000001</v>
      </c>
    </row>
    <row r="27" spans="1:5" x14ac:dyDescent="0.25">
      <c r="A27" s="41">
        <v>12</v>
      </c>
      <c r="B27" s="42" t="str">
        <f>TEXT(_xlfn.MINIFS(orders[Order Date],orders[Weeknum],A27),"d mmm")</f>
        <v>16 Mar</v>
      </c>
      <c r="C27" s="37">
        <f>COUNTIFS(orders[Weeknum],$A27,wk_Flag,1)</f>
        <v>200</v>
      </c>
      <c r="D27" s="37">
        <f>SUMIFS(orders[Quantity],orders[Weeknum],$A27,wk_Flag,1)</f>
        <v>944</v>
      </c>
      <c r="E27" s="43">
        <f>SUMIFS(orders[Amount],orders[Weeknum],$A27,wk_Flag,1)</f>
        <v>55077.900000000031</v>
      </c>
    </row>
    <row r="28" spans="1:5" x14ac:dyDescent="0.25">
      <c r="A28" s="41">
        <v>13</v>
      </c>
      <c r="B28" s="42" t="str">
        <f>TEXT(_xlfn.MINIFS(orders[Order Date],orders[Weeknum],A28),"d mmm")</f>
        <v>23 Mar</v>
      </c>
      <c r="C28" s="37">
        <f>COUNTIFS(orders[Weeknum],$A28,wk_Flag,1)</f>
        <v>184</v>
      </c>
      <c r="D28" s="37">
        <f>SUMIFS(orders[Quantity],orders[Weeknum],$A28,wk_Flag,1)</f>
        <v>788</v>
      </c>
      <c r="E28" s="43">
        <f>SUMIFS(orders[Amount],orders[Weeknum],$A28,wk_Flag,1)</f>
        <v>45926.19999999999</v>
      </c>
    </row>
    <row r="31" spans="1:5" ht="16.5" x14ac:dyDescent="0.25">
      <c r="A31" s="34" t="s">
        <v>55</v>
      </c>
    </row>
    <row r="32" spans="1:5" x14ac:dyDescent="0.25">
      <c r="A32" s="33" t="s">
        <v>56</v>
      </c>
    </row>
    <row r="33" spans="1:6" x14ac:dyDescent="0.25">
      <c r="A33" s="35" t="s">
        <v>57</v>
      </c>
      <c r="B33" s="35" t="s">
        <v>17</v>
      </c>
      <c r="C33" s="35" t="s">
        <v>18</v>
      </c>
      <c r="D33" s="35" t="s">
        <v>19</v>
      </c>
      <c r="E33" s="35" t="s">
        <v>20</v>
      </c>
      <c r="F33" s="35" t="s">
        <v>58</v>
      </c>
    </row>
    <row r="34" spans="1:6" x14ac:dyDescent="0.25">
      <c r="A34" s="41" t="s">
        <v>59</v>
      </c>
      <c r="B34" s="43">
        <f>SUMIFS(orders[Amount],orders[Order Mode],$A34,orders[Gender Value],B$33,wk_Flag,1)</f>
        <v>123066.00000000004</v>
      </c>
      <c r="C34" s="43">
        <f>SUMIFS(orders[Amount],orders[Order Mode],$A34,orders[Gender Value],C$33,wk_Flag,1)</f>
        <v>79584.899999999951</v>
      </c>
      <c r="D34" s="43">
        <f>SUMIFS(orders[Amount],orders[Order Mode],$A34,orders[Gender Value],D$33,wk_Flag,1)</f>
        <v>6883.1</v>
      </c>
      <c r="E34" s="43">
        <f>SUMIFS(orders[Amount],orders[Order Mode],$A34,orders[Gender Value],E$33,wk_Flag,1)</f>
        <v>19859.5</v>
      </c>
      <c r="F34" s="43">
        <f>SUM(B34:E34)</f>
        <v>229393.5</v>
      </c>
    </row>
    <row r="35" spans="1:6" x14ac:dyDescent="0.25">
      <c r="A35" s="41" t="s">
        <v>60</v>
      </c>
      <c r="B35" s="43">
        <f>SUMIFS(orders[Amount],orders[Order Mode],$A35,orders[Gender Value],B$33,wk_Flag,1)</f>
        <v>32635.300000000007</v>
      </c>
      <c r="C35" s="43">
        <f>SUMIFS(orders[Amount],orders[Order Mode],$A35,orders[Gender Value],C$33,wk_Flag,1)</f>
        <v>27947.299999999992</v>
      </c>
      <c r="D35" s="43">
        <f>SUMIFS(orders[Amount],orders[Order Mode],$A35,orders[Gender Value],D$33,wk_Flag,1)</f>
        <v>994.3</v>
      </c>
      <c r="E35" s="43">
        <f>SUMIFS(orders[Amount],orders[Order Mode],$A35,orders[Gender Value],E$33,wk_Flag,1)</f>
        <v>11549.300000000001</v>
      </c>
      <c r="F35" s="43">
        <f>SUM(B35:E35)</f>
        <v>73126.2</v>
      </c>
    </row>
    <row r="36" spans="1:6" x14ac:dyDescent="0.25">
      <c r="A36" s="41" t="s">
        <v>61</v>
      </c>
      <c r="B36" s="43">
        <f>SUMIFS(orders[Amount],orders[Order Mode],$A36,orders[Gender Value],B$33,wk_Flag,1)</f>
        <v>41210.199999999983</v>
      </c>
      <c r="C36" s="43">
        <f>SUMIFS(orders[Amount],orders[Order Mode],$A36,orders[Gender Value],C$33,wk_Flag,1)</f>
        <v>29901.400000000016</v>
      </c>
      <c r="D36" s="43">
        <f>SUMIFS(orders[Amount],orders[Order Mode],$A36,orders[Gender Value],D$33,wk_Flag,1)</f>
        <v>1496.8000000000002</v>
      </c>
      <c r="E36" s="43">
        <f>SUMIFS(orders[Amount],orders[Order Mode],$A36,orders[Gender Value],E$33,wk_Flag,1)</f>
        <v>2526.4999999999995</v>
      </c>
      <c r="F36" s="43">
        <f>SUM(B36:E36)</f>
        <v>75134.900000000009</v>
      </c>
    </row>
    <row r="37" spans="1:6" x14ac:dyDescent="0.25">
      <c r="A37" s="41" t="s">
        <v>62</v>
      </c>
      <c r="B37" s="43">
        <f>SUMIFS(orders[Amount],orders[Order Mode],$A37,orders[Gender Value],B$33,wk_Flag,1)</f>
        <v>62525.200000000012</v>
      </c>
      <c r="C37" s="43">
        <f>SUMIFS(orders[Amount],orders[Order Mode],$A37,orders[Gender Value],C$33,wk_Flag,1)</f>
        <v>44081.5</v>
      </c>
      <c r="D37" s="43">
        <f>SUMIFS(orders[Amount],orders[Order Mode],$A37,orders[Gender Value],D$33,wk_Flag,1)</f>
        <v>3568.3</v>
      </c>
      <c r="E37" s="43">
        <f>SUMIFS(orders[Amount],orders[Order Mode],$A37,orders[Gender Value],E$33,wk_Flag,1)</f>
        <v>8393.7999999999993</v>
      </c>
      <c r="F37" s="43">
        <f>SUM(B37:E37)</f>
        <v>118568.80000000002</v>
      </c>
    </row>
    <row r="38" spans="1:6" x14ac:dyDescent="0.25">
      <c r="A38" s="41" t="s">
        <v>63</v>
      </c>
      <c r="B38" s="43">
        <f>SUMIFS(orders[Amount],orders[Order Mode],$A38,orders[Gender Value],B$33,wk_Flag,1)</f>
        <v>81270.899999999994</v>
      </c>
      <c r="C38" s="43">
        <f>SUMIFS(orders[Amount],orders[Order Mode],$A38,orders[Gender Value],C$33,wk_Flag,1)</f>
        <v>59380.600000000042</v>
      </c>
      <c r="D38" s="43">
        <f>SUMIFS(orders[Amount],orders[Order Mode],$A38,orders[Gender Value],D$33,wk_Flag,1)</f>
        <v>4091.6000000000004</v>
      </c>
      <c r="E38" s="43">
        <f>SUMIFS(orders[Amount],orders[Order Mode],$A38,orders[Gender Value],E$33,wk_Flag,1)</f>
        <v>8053.2999999999993</v>
      </c>
      <c r="F38" s="43">
        <f>SUM(B38:E38)</f>
        <v>152796.40000000002</v>
      </c>
    </row>
    <row r="39" spans="1:6" x14ac:dyDescent="0.25">
      <c r="A39" s="36" t="s">
        <v>58</v>
      </c>
      <c r="B39" s="44">
        <f>SUM(B34:B38)</f>
        <v>340707.60000000003</v>
      </c>
      <c r="C39" s="44">
        <f>SUM(C34:C38)</f>
        <v>240895.69999999998</v>
      </c>
      <c r="D39" s="44">
        <f>SUM(D34:D38)</f>
        <v>17034.099999999999</v>
      </c>
      <c r="E39" s="44">
        <f>SUM(E34:E38)</f>
        <v>50382.400000000009</v>
      </c>
      <c r="F39" s="44">
        <f>SUM(F34:F38)</f>
        <v>649019.80000000005</v>
      </c>
    </row>
    <row r="41" spans="1:6" x14ac:dyDescent="0.25">
      <c r="A41" s="35" t="s">
        <v>64</v>
      </c>
      <c r="B41" s="35" t="s">
        <v>17</v>
      </c>
      <c r="C41" s="35" t="s">
        <v>18</v>
      </c>
      <c r="D41" s="35" t="s">
        <v>19</v>
      </c>
      <c r="E41" s="35" t="s">
        <v>20</v>
      </c>
      <c r="F41" s="35" t="s">
        <v>58</v>
      </c>
    </row>
    <row r="42" spans="1:6" x14ac:dyDescent="0.25">
      <c r="A42" s="45" t="str">
        <f>A34</f>
        <v>App</v>
      </c>
      <c r="B42" s="46">
        <f t="shared" ref="B42:F46" si="0">IFERROR(B34/$F$39,0)</f>
        <v>0.18961825201634841</v>
      </c>
      <c r="C42" s="46">
        <f t="shared" si="0"/>
        <v>0.12262322351336576</v>
      </c>
      <c r="D42" s="46">
        <f t="shared" si="0"/>
        <v>1.060537752469185E-2</v>
      </c>
      <c r="E42" s="46">
        <f t="shared" si="0"/>
        <v>3.0599220547662797E-2</v>
      </c>
      <c r="F42" s="46">
        <f t="shared" si="0"/>
        <v>0.35344607360206881</v>
      </c>
    </row>
    <row r="43" spans="1:6" x14ac:dyDescent="0.25">
      <c r="A43" s="45" t="str">
        <f>A35</f>
        <v>Instagram</v>
      </c>
      <c r="B43" s="46">
        <f t="shared" si="0"/>
        <v>5.0283982091147303E-2</v>
      </c>
      <c r="C43" s="46">
        <f t="shared" si="0"/>
        <v>4.3060781812819873E-2</v>
      </c>
      <c r="D43" s="46">
        <f t="shared" si="0"/>
        <v>1.5320025675641944E-3</v>
      </c>
      <c r="E43" s="46">
        <f t="shared" si="0"/>
        <v>1.7794988689097006E-2</v>
      </c>
      <c r="F43" s="46">
        <f t="shared" si="0"/>
        <v>0.11267175516062837</v>
      </c>
    </row>
    <row r="44" spans="1:6" x14ac:dyDescent="0.25">
      <c r="A44" s="45" t="str">
        <f>A36</f>
        <v>Partner App</v>
      </c>
      <c r="B44" s="46">
        <f t="shared" si="0"/>
        <v>6.3496059750411282E-2</v>
      </c>
      <c r="C44" s="46">
        <f t="shared" si="0"/>
        <v>4.6071629863988765E-2</v>
      </c>
      <c r="D44" s="46">
        <f t="shared" si="0"/>
        <v>2.3062470513226254E-3</v>
      </c>
      <c r="E44" s="46">
        <f t="shared" si="0"/>
        <v>3.8927934093844277E-3</v>
      </c>
      <c r="F44" s="46">
        <f t="shared" si="0"/>
        <v>0.11576673007510711</v>
      </c>
    </row>
    <row r="45" spans="1:6" x14ac:dyDescent="0.25">
      <c r="A45" s="45" t="str">
        <f>A37</f>
        <v>Target.com</v>
      </c>
      <c r="B45" s="46">
        <f t="shared" si="0"/>
        <v>9.6337892927149532E-2</v>
      </c>
      <c r="C45" s="46">
        <f t="shared" si="0"/>
        <v>6.7920115842382611E-2</v>
      </c>
      <c r="D45" s="46">
        <f t="shared" si="0"/>
        <v>5.4979832664581261E-3</v>
      </c>
      <c r="E45" s="46">
        <f t="shared" si="0"/>
        <v>1.2933041488102518E-2</v>
      </c>
      <c r="F45" s="46">
        <f t="shared" si="0"/>
        <v>0.1826890335240928</v>
      </c>
    </row>
    <row r="46" spans="1:6" x14ac:dyDescent="0.25">
      <c r="A46" s="45" t="str">
        <f>A38</f>
        <v>Website</v>
      </c>
      <c r="B46" s="46">
        <f t="shared" si="0"/>
        <v>0.12522098709469262</v>
      </c>
      <c r="C46" s="46">
        <f t="shared" si="0"/>
        <v>9.1492740283116228E-2</v>
      </c>
      <c r="D46" s="46">
        <f t="shared" si="0"/>
        <v>6.3042760790965081E-3</v>
      </c>
      <c r="E46" s="46">
        <f t="shared" si="0"/>
        <v>1.2408404181197551E-2</v>
      </c>
      <c r="F46" s="46">
        <f t="shared" si="0"/>
        <v>0.23542640763810288</v>
      </c>
    </row>
    <row r="49" spans="1:8" ht="16.5" x14ac:dyDescent="0.25">
      <c r="A49" s="34" t="s">
        <v>65</v>
      </c>
    </row>
    <row r="50" spans="1:8" x14ac:dyDescent="0.25">
      <c r="A50" s="33" t="s">
        <v>66</v>
      </c>
    </row>
    <row r="51" spans="1:8" x14ac:dyDescent="0.25">
      <c r="A51" s="35" t="s">
        <v>67</v>
      </c>
      <c r="B51" s="35" t="s">
        <v>52</v>
      </c>
    </row>
    <row r="52" spans="1:8" x14ac:dyDescent="0.25">
      <c r="A52" s="41">
        <v>1</v>
      </c>
      <c r="B52" s="37">
        <f>COUNTIFS(orders[Rating C],A52,wk_Flag,1)</f>
        <v>21</v>
      </c>
    </row>
    <row r="53" spans="1:8" x14ac:dyDescent="0.25">
      <c r="A53" s="41">
        <v>2</v>
      </c>
      <c r="B53" s="37">
        <f>COUNTIFS(orders[Rating C],A53,wk_Flag,1)</f>
        <v>127</v>
      </c>
    </row>
    <row r="54" spans="1:8" x14ac:dyDescent="0.25">
      <c r="A54" s="41">
        <v>3</v>
      </c>
      <c r="B54" s="37">
        <f>COUNTIFS(orders[Rating C],A54,wk_Flag,1)</f>
        <v>495</v>
      </c>
    </row>
    <row r="55" spans="1:8" x14ac:dyDescent="0.25">
      <c r="A55" s="41">
        <v>4</v>
      </c>
      <c r="B55" s="37">
        <f>COUNTIFS(orders[Rating C],A55,wk_Flag,1)</f>
        <v>1036</v>
      </c>
    </row>
    <row r="56" spans="1:8" x14ac:dyDescent="0.25">
      <c r="A56" s="41">
        <v>5</v>
      </c>
      <c r="B56" s="37">
        <f>COUNTIFS(orders[Rating C],A56,wk_Flag,1)</f>
        <v>721</v>
      </c>
    </row>
    <row r="57" spans="1:8" x14ac:dyDescent="0.25">
      <c r="A57" s="41" t="s">
        <v>68</v>
      </c>
      <c r="B57" s="37">
        <f>COUNTIFS(wk_RatingGroup,A57,wk_Flag,1)</f>
        <v>0</v>
      </c>
    </row>
    <row r="58" spans="1:8" x14ac:dyDescent="0.25">
      <c r="A58" s="41" t="s">
        <v>69</v>
      </c>
      <c r="B58" s="37">
        <f>COUNTIFS(wk_RatingGroup,A58,wk_Flag,1)</f>
        <v>0</v>
      </c>
    </row>
    <row r="61" spans="1:8" ht="16.5" x14ac:dyDescent="0.25">
      <c r="A61" s="34" t="s">
        <v>70</v>
      </c>
    </row>
    <row r="62" spans="1:8" x14ac:dyDescent="0.25">
      <c r="A62" s="33" t="s">
        <v>71</v>
      </c>
    </row>
    <row r="63" spans="1:8" x14ac:dyDescent="0.25">
      <c r="A63" s="35" t="s">
        <v>72</v>
      </c>
      <c r="B63" s="35" t="s">
        <v>53</v>
      </c>
      <c r="C63" s="35" t="s">
        <v>54</v>
      </c>
      <c r="D63" s="35" t="s">
        <v>17</v>
      </c>
      <c r="E63" s="35" t="s">
        <v>18</v>
      </c>
      <c r="F63" s="35" t="s">
        <v>19</v>
      </c>
      <c r="G63" s="35" t="s">
        <v>20</v>
      </c>
      <c r="H63" s="35" t="s">
        <v>73</v>
      </c>
    </row>
    <row r="64" spans="1:8" x14ac:dyDescent="0.25">
      <c r="A64" s="41" t="s">
        <v>74</v>
      </c>
      <c r="B64" s="37">
        <f>SUMIFS(orders[Quantity],orders[Product],$A64,wk_Flag,1)</f>
        <v>147</v>
      </c>
      <c r="C64" s="43">
        <f>SUMIFS(orders[Amount],orders[Product],$A64,wk_Flag,1)</f>
        <v>4597</v>
      </c>
      <c r="D64" s="43">
        <f>SUMIFS(orders[Amount],orders[Product],$A64,orders[Gender Value],D$63,wk_Flag,1)</f>
        <v>1235.3</v>
      </c>
      <c r="E64" s="43">
        <f>SUMIFS(orders[Amount],orders[Product],$A64,orders[Gender Value],E$63,wk_Flag,1)</f>
        <v>2420.7000000000003</v>
      </c>
      <c r="F64" s="43">
        <f>SUMIFS(orders[Amount],orders[Product],$A64,orders[Gender Value],F$63,wk_Flag,1)</f>
        <v>828.8</v>
      </c>
      <c r="G64" s="43">
        <f>SUMIFS(orders[Amount],orders[Product],$A64,orders[Gender Value],G$63,wk_Flag,1)</f>
        <v>112.2</v>
      </c>
      <c r="H64" s="47">
        <f>RANK(C64,$C$64:$C$83,0)+COUNTIF($C$64:C64,C64)-1</f>
        <v>19</v>
      </c>
    </row>
    <row r="65" spans="1:8" x14ac:dyDescent="0.25">
      <c r="A65" s="41" t="s">
        <v>75</v>
      </c>
      <c r="B65" s="37">
        <f>SUMIFS(orders[Quantity],orders[Product],$A65,wk_Flag,1)</f>
        <v>807</v>
      </c>
      <c r="C65" s="43">
        <f>SUMIFS(orders[Amount],orders[Product],$A65,wk_Flag,1)</f>
        <v>30836.800000000003</v>
      </c>
      <c r="D65" s="43">
        <f>SUMIFS(orders[Amount],orders[Product],$A65,orders[Gender Value],D$63,wk_Flag,1)</f>
        <v>18259.300000000003</v>
      </c>
      <c r="E65" s="43">
        <f>SUMIFS(orders[Amount],orders[Product],$A65,orders[Gender Value],E$63,wk_Flag,1)</f>
        <v>11586.300000000001</v>
      </c>
      <c r="F65" s="43">
        <f>SUMIFS(orders[Amount],orders[Product],$A65,orders[Gender Value],F$63,wk_Flag,1)</f>
        <v>216.79999999999998</v>
      </c>
      <c r="G65" s="43">
        <f>SUMIFS(orders[Amount],orders[Product],$A65,orders[Gender Value],G$63,wk_Flag,1)</f>
        <v>774.4</v>
      </c>
      <c r="H65" s="47">
        <f>RANK(C65,$C$64:$C$83,0)+COUNTIF($C$64:C65,C65)-1</f>
        <v>8</v>
      </c>
    </row>
    <row r="66" spans="1:8" x14ac:dyDescent="0.25">
      <c r="A66" s="41" t="s">
        <v>76</v>
      </c>
      <c r="B66" s="37">
        <f>SUMIFS(orders[Quantity],orders[Product],$A66,wk_Flag,1)</f>
        <v>370</v>
      </c>
      <c r="C66" s="43">
        <f>SUMIFS(orders[Amount],orders[Product],$A66,wk_Flag,1)</f>
        <v>24664.600000000002</v>
      </c>
      <c r="D66" s="43">
        <f>SUMIFS(orders[Amount],orders[Product],$A66,orders[Gender Value],D$63,wk_Flag,1)</f>
        <v>15491.400000000005</v>
      </c>
      <c r="E66" s="43">
        <f>SUMIFS(orders[Amount],orders[Product],$A66,orders[Gender Value],E$63,wk_Flag,1)</f>
        <v>6208.1</v>
      </c>
      <c r="F66" s="43">
        <f>SUMIFS(orders[Amount],orders[Product],$A66,orders[Gender Value],F$63,wk_Flag,1)</f>
        <v>1415.4</v>
      </c>
      <c r="G66" s="43">
        <f>SUMIFS(orders[Amount],orders[Product],$A66,orders[Gender Value],G$63,wk_Flag,1)</f>
        <v>1549.7</v>
      </c>
      <c r="H66" s="47">
        <f>RANK(C66,$C$64:$C$83,0)+COUNTIF($C$64:C66,C66)-1</f>
        <v>10</v>
      </c>
    </row>
    <row r="67" spans="1:8" x14ac:dyDescent="0.25">
      <c r="A67" s="41" t="s">
        <v>77</v>
      </c>
      <c r="B67" s="37">
        <f>SUMIFS(orders[Quantity],orders[Product],$A67,wk_Flag,1)</f>
        <v>437</v>
      </c>
      <c r="C67" s="43">
        <f>SUMIFS(orders[Amount],orders[Product],$A67,wk_Flag,1)</f>
        <v>20170.399999999998</v>
      </c>
      <c r="D67" s="43">
        <f>SUMIFS(orders[Amount],orders[Product],$A67,orders[Gender Value],D$63,wk_Flag,1)</f>
        <v>7255.300000000002</v>
      </c>
      <c r="E67" s="43">
        <f>SUMIFS(orders[Amount],orders[Product],$A67,orders[Gender Value],E$63,wk_Flag,1)</f>
        <v>11228.900000000001</v>
      </c>
      <c r="F67" s="43">
        <f>SUMIFS(orders[Amount],orders[Product],$A67,orders[Gender Value],F$63,wk_Flag,1)</f>
        <v>1310.3</v>
      </c>
      <c r="G67" s="43">
        <f>SUMIFS(orders[Amount],orders[Product],$A67,orders[Gender Value],G$63,wk_Flag,1)</f>
        <v>375.90000000000003</v>
      </c>
      <c r="H67" s="47">
        <f>RANK(C67,$C$64:$C$83,0)+COUNTIF($C$64:C67,C67)-1</f>
        <v>12</v>
      </c>
    </row>
    <row r="68" spans="1:8" x14ac:dyDescent="0.25">
      <c r="A68" s="41" t="s">
        <v>78</v>
      </c>
      <c r="B68" s="37">
        <f>SUMIFS(orders[Quantity],orders[Product],$A68,wk_Flag,1)</f>
        <v>647</v>
      </c>
      <c r="C68" s="43">
        <f>SUMIFS(orders[Amount],orders[Product],$A68,wk_Flag,1)</f>
        <v>22988.6</v>
      </c>
      <c r="D68" s="43">
        <f>SUMIFS(orders[Amount],orders[Product],$A68,orders[Gender Value],D$63,wk_Flag,1)</f>
        <v>15089.999999999995</v>
      </c>
      <c r="E68" s="43">
        <f>SUMIFS(orders[Amount],orders[Product],$A68,orders[Gender Value],E$63,wk_Flag,1)</f>
        <v>6977.3</v>
      </c>
      <c r="F68" s="43">
        <f>SUMIFS(orders[Amount],orders[Product],$A68,orders[Gender Value],F$63,wk_Flag,1)</f>
        <v>537.70000000000005</v>
      </c>
      <c r="G68" s="43">
        <f>SUMIFS(orders[Amount],orders[Product],$A68,orders[Gender Value],G$63,wk_Flag,1)</f>
        <v>383.6</v>
      </c>
      <c r="H68" s="47">
        <f>RANK(C68,$C$64:$C$83,0)+COUNTIF($C$64:C68,C68)-1</f>
        <v>11</v>
      </c>
    </row>
    <row r="69" spans="1:8" x14ac:dyDescent="0.25">
      <c r="A69" s="41" t="s">
        <v>79</v>
      </c>
      <c r="B69" s="37">
        <f>SUMIFS(orders[Quantity],orders[Product],$A69,wk_Flag,1)</f>
        <v>606</v>
      </c>
      <c r="C69" s="43">
        <f>SUMIFS(orders[Amount],orders[Product],$A69,wk_Flag,1)</f>
        <v>35240.5</v>
      </c>
      <c r="D69" s="43">
        <f>SUMIFS(orders[Amount],orders[Product],$A69,orders[Gender Value],D$63,wk_Flag,1)</f>
        <v>15958.099999999999</v>
      </c>
      <c r="E69" s="43">
        <f>SUMIFS(orders[Amount],orders[Product],$A69,orders[Gender Value],E$63,wk_Flag,1)</f>
        <v>17923.5</v>
      </c>
      <c r="F69" s="43">
        <f>SUMIFS(orders[Amount],orders[Product],$A69,orders[Gender Value],F$63,wk_Flag,1)</f>
        <v>894</v>
      </c>
      <c r="G69" s="43">
        <f>SUMIFS(orders[Amount],orders[Product],$A69,orders[Gender Value],G$63,wk_Flag,1)</f>
        <v>464.9</v>
      </c>
      <c r="H69" s="47">
        <f>RANK(C69,$C$64:$C$83,0)+COUNTIF($C$64:C69,C69)-1</f>
        <v>5</v>
      </c>
    </row>
    <row r="70" spans="1:8" x14ac:dyDescent="0.25">
      <c r="A70" s="41" t="s">
        <v>80</v>
      </c>
      <c r="B70" s="37">
        <f>SUMIFS(orders[Quantity],orders[Product],$A70,wk_Flag,1)</f>
        <v>1546</v>
      </c>
      <c r="C70" s="43">
        <f>SUMIFS(orders[Amount],orders[Product],$A70,wk_Flag,1)</f>
        <v>112893.19999999998</v>
      </c>
      <c r="D70" s="43">
        <f>SUMIFS(orders[Amount],orders[Product],$A70,orders[Gender Value],D$63,wk_Flag,1)</f>
        <v>51517.69999999999</v>
      </c>
      <c r="E70" s="43">
        <f>SUMIFS(orders[Amount],orders[Product],$A70,orders[Gender Value],E$63,wk_Flag,1)</f>
        <v>42448.80000000001</v>
      </c>
      <c r="F70" s="43">
        <f>SUMIFS(orders[Amount],orders[Product],$A70,orders[Gender Value],F$63,wk_Flag,1)</f>
        <v>1788.7</v>
      </c>
      <c r="G70" s="43">
        <f>SUMIFS(orders[Amount],orders[Product],$A70,orders[Gender Value],G$63,wk_Flag,1)</f>
        <v>17138</v>
      </c>
      <c r="H70" s="47">
        <f>RANK(C70,$C$64:$C$83,0)+COUNTIF($C$64:C70,C70)-1</f>
        <v>2</v>
      </c>
    </row>
    <row r="71" spans="1:8" x14ac:dyDescent="0.25">
      <c r="A71" s="41" t="s">
        <v>81</v>
      </c>
      <c r="B71" s="37">
        <f>SUMIFS(orders[Quantity],orders[Product],$A71,wk_Flag,1)</f>
        <v>65</v>
      </c>
      <c r="C71" s="43">
        <f>SUMIFS(orders[Amount],orders[Product],$A71,wk_Flag,1)</f>
        <v>1906.4</v>
      </c>
      <c r="D71" s="43">
        <f>SUMIFS(orders[Amount],orders[Product],$A71,orders[Gender Value],D$63,wk_Flag,1)</f>
        <v>426.20000000000005</v>
      </c>
      <c r="E71" s="43">
        <f>SUMIFS(orders[Amount],orders[Product],$A71,orders[Gender Value],E$63,wk_Flag,1)</f>
        <v>1393.3999999999999</v>
      </c>
      <c r="F71" s="43">
        <f>SUMIFS(orders[Amount],orders[Product],$A71,orders[Gender Value],F$63,wk_Flag,1)</f>
        <v>86.8</v>
      </c>
      <c r="G71" s="43">
        <f>SUMIFS(orders[Amount],orders[Product],$A71,orders[Gender Value],G$63,wk_Flag,1)</f>
        <v>0</v>
      </c>
      <c r="H71" s="47">
        <f>RANK(C71,$C$64:$C$83,0)+COUNTIF($C$64:C71,C71)-1</f>
        <v>20</v>
      </c>
    </row>
    <row r="72" spans="1:8" x14ac:dyDescent="0.25">
      <c r="A72" s="41" t="s">
        <v>82</v>
      </c>
      <c r="B72" s="37">
        <f>SUMIFS(orders[Quantity],orders[Product],$A72,wk_Flag,1)</f>
        <v>398</v>
      </c>
      <c r="C72" s="43">
        <f>SUMIFS(orders[Amount],orders[Product],$A72,wk_Flag,1)</f>
        <v>25206.500000000004</v>
      </c>
      <c r="D72" s="43">
        <f>SUMIFS(orders[Amount],orders[Product],$A72,orders[Gender Value],D$63,wk_Flag,1)</f>
        <v>14225.499999999996</v>
      </c>
      <c r="E72" s="43">
        <f>SUMIFS(orders[Amount],orders[Product],$A72,orders[Gender Value],E$63,wk_Flag,1)</f>
        <v>8705.9</v>
      </c>
      <c r="F72" s="43">
        <f>SUMIFS(orders[Amount],orders[Product],$A72,orders[Gender Value],F$63,wk_Flag,1)</f>
        <v>606.79999999999995</v>
      </c>
      <c r="G72" s="43">
        <f>SUMIFS(orders[Amount],orders[Product],$A72,orders[Gender Value],G$63,wk_Flag,1)</f>
        <v>1668.3</v>
      </c>
      <c r="H72" s="47">
        <f>RANK(C72,$C$64:$C$83,0)+COUNTIF($C$64:C72,C72)-1</f>
        <v>9</v>
      </c>
    </row>
    <row r="73" spans="1:8" x14ac:dyDescent="0.25">
      <c r="A73" s="41" t="s">
        <v>83</v>
      </c>
      <c r="B73" s="37">
        <f>SUMIFS(orders[Quantity],orders[Product],$A73,wk_Flag,1)</f>
        <v>258</v>
      </c>
      <c r="C73" s="43">
        <f>SUMIFS(orders[Amount],orders[Product],$A73,wk_Flag,1)</f>
        <v>11025.199999999997</v>
      </c>
      <c r="D73" s="43">
        <f>SUMIFS(orders[Amount],orders[Product],$A73,orders[Gender Value],D$63,wk_Flag,1)</f>
        <v>7367.1</v>
      </c>
      <c r="E73" s="43">
        <f>SUMIFS(orders[Amount],orders[Product],$A73,orders[Gender Value],E$63,wk_Flag,1)</f>
        <v>3362.3000000000006</v>
      </c>
      <c r="F73" s="43">
        <f>SUMIFS(orders[Amount],orders[Product],$A73,orders[Gender Value],F$63,wk_Flag,1)</f>
        <v>295.8</v>
      </c>
      <c r="G73" s="43">
        <f>SUMIFS(orders[Amount],orders[Product],$A73,orders[Gender Value],G$63,wk_Flag,1)</f>
        <v>0</v>
      </c>
      <c r="H73" s="47">
        <f>RANK(C73,$C$64:$C$83,0)+COUNTIF($C$64:C73,C73)-1</f>
        <v>16</v>
      </c>
    </row>
    <row r="74" spans="1:8" x14ac:dyDescent="0.25">
      <c r="A74" s="41" t="s">
        <v>84</v>
      </c>
      <c r="B74" s="37">
        <f>SUMIFS(orders[Quantity],orders[Product],$A74,wk_Flag,1)</f>
        <v>270</v>
      </c>
      <c r="C74" s="43">
        <f>SUMIFS(orders[Amount],orders[Product],$A74,wk_Flag,1)</f>
        <v>11263.6</v>
      </c>
      <c r="D74" s="43">
        <f>SUMIFS(orders[Amount],orders[Product],$A74,orders[Gender Value],D$63,wk_Flag,1)</f>
        <v>4965.8</v>
      </c>
      <c r="E74" s="43">
        <f>SUMIFS(orders[Amount],orders[Product],$A74,orders[Gender Value],E$63,wk_Flag,1)</f>
        <v>4991</v>
      </c>
      <c r="F74" s="43">
        <f>SUMIFS(orders[Amount],orders[Product],$A74,orders[Gender Value],F$63,wk_Flag,1)</f>
        <v>670.8</v>
      </c>
      <c r="G74" s="43">
        <f>SUMIFS(orders[Amount],orders[Product],$A74,orders[Gender Value],G$63,wk_Flag,1)</f>
        <v>636</v>
      </c>
      <c r="H74" s="47">
        <f>RANK(C74,$C$64:$C$83,0)+COUNTIF($C$64:C74,C74)-1</f>
        <v>15</v>
      </c>
    </row>
    <row r="75" spans="1:8" x14ac:dyDescent="0.25">
      <c r="A75" s="41" t="s">
        <v>85</v>
      </c>
      <c r="B75" s="37">
        <f>SUMIFS(orders[Quantity],orders[Product],$A75,wk_Flag,1)</f>
        <v>603</v>
      </c>
      <c r="C75" s="43">
        <f>SUMIFS(orders[Amount],orders[Product],$A75,wk_Flag,1)</f>
        <v>31608.100000000009</v>
      </c>
      <c r="D75" s="43">
        <f>SUMIFS(orders[Amount],orders[Product],$A75,orders[Gender Value],D$63,wk_Flag,1)</f>
        <v>16244.9</v>
      </c>
      <c r="E75" s="43">
        <f>SUMIFS(orders[Amount],orders[Product],$A75,orders[Gender Value],E$63,wk_Flag,1)</f>
        <v>13831.999999999996</v>
      </c>
      <c r="F75" s="43">
        <f>SUMIFS(orders[Amount],orders[Product],$A75,orders[Gender Value],F$63,wk_Flag,1)</f>
        <v>558.1</v>
      </c>
      <c r="G75" s="43">
        <f>SUMIFS(orders[Amount],orders[Product],$A75,orders[Gender Value],G$63,wk_Flag,1)</f>
        <v>973.10000000000014</v>
      </c>
      <c r="H75" s="47">
        <f>RANK(C75,$C$64:$C$83,0)+COUNTIF($C$64:C75,C75)-1</f>
        <v>7</v>
      </c>
    </row>
    <row r="76" spans="1:8" x14ac:dyDescent="0.25">
      <c r="A76" s="41" t="s">
        <v>86</v>
      </c>
      <c r="B76" s="37">
        <f>SUMIFS(orders[Quantity],orders[Product],$A76,wk_Flag,1)</f>
        <v>745</v>
      </c>
      <c r="C76" s="43">
        <f>SUMIFS(orders[Amount],orders[Product],$A76,wk_Flag,1)</f>
        <v>16316.4</v>
      </c>
      <c r="D76" s="43">
        <f>SUMIFS(orders[Amount],orders[Product],$A76,orders[Gender Value],D$63,wk_Flag,1)</f>
        <v>9612.6999999999953</v>
      </c>
      <c r="E76" s="43">
        <f>SUMIFS(orders[Amount],orders[Product],$A76,orders[Gender Value],E$63,wk_Flag,1)</f>
        <v>6373.0999999999985</v>
      </c>
      <c r="F76" s="43">
        <f>SUMIFS(orders[Amount],orders[Product],$A76,orders[Gender Value],F$63,wk_Flag,1)</f>
        <v>0</v>
      </c>
      <c r="G76" s="43">
        <f>SUMIFS(orders[Amount],orders[Product],$A76,orders[Gender Value],G$63,wk_Flag,1)</f>
        <v>330.6</v>
      </c>
      <c r="H76" s="47">
        <f>RANK(C76,$C$64:$C$83,0)+COUNTIF($C$64:C76,C76)-1</f>
        <v>14</v>
      </c>
    </row>
    <row r="77" spans="1:8" x14ac:dyDescent="0.25">
      <c r="A77" s="41" t="s">
        <v>87</v>
      </c>
      <c r="B77" s="37">
        <f>SUMIFS(orders[Quantity],orders[Product],$A77,wk_Flag,1)</f>
        <v>1186</v>
      </c>
      <c r="C77" s="43">
        <f>SUMIFS(orders[Amount],orders[Product],$A77,wk_Flag,1)</f>
        <v>127637.5</v>
      </c>
      <c r="D77" s="43">
        <f>SUMIFS(orders[Amount],orders[Product],$A77,orders[Gender Value],D$63,wk_Flag,1)</f>
        <v>65526.899999999987</v>
      </c>
      <c r="E77" s="43">
        <f>SUMIFS(orders[Amount],orders[Product],$A77,orders[Gender Value],E$63,wk_Flag,1)</f>
        <v>42922.100000000006</v>
      </c>
      <c r="F77" s="43">
        <f>SUMIFS(orders[Amount],orders[Product],$A77,orders[Gender Value],F$63,wk_Flag,1)</f>
        <v>3173</v>
      </c>
      <c r="G77" s="43">
        <f>SUMIFS(orders[Amount],orders[Product],$A77,orders[Gender Value],G$63,wk_Flag,1)</f>
        <v>16015.5</v>
      </c>
      <c r="H77" s="47">
        <f>RANK(C77,$C$64:$C$83,0)+COUNTIF($C$64:C77,C77)-1</f>
        <v>1</v>
      </c>
    </row>
    <row r="78" spans="1:8" x14ac:dyDescent="0.25">
      <c r="A78" s="41" t="s">
        <v>88</v>
      </c>
      <c r="B78" s="37">
        <f>SUMIFS(orders[Quantity],orders[Product],$A78,wk_Flag,1)</f>
        <v>700</v>
      </c>
      <c r="C78" s="43">
        <f>SUMIFS(orders[Amount],orders[Product],$A78,wk_Flag,1)</f>
        <v>32052.80000000001</v>
      </c>
      <c r="D78" s="43">
        <f>SUMIFS(orders[Amount],orders[Product],$A78,orders[Gender Value],D$63,wk_Flag,1)</f>
        <v>20737.599999999999</v>
      </c>
      <c r="E78" s="43">
        <f>SUMIFS(orders[Amount],orders[Product],$A78,orders[Gender Value],E$63,wk_Flag,1)</f>
        <v>8644.9</v>
      </c>
      <c r="F78" s="43">
        <f>SUMIFS(orders[Amount],orders[Product],$A78,orders[Gender Value],F$63,wk_Flag,1)</f>
        <v>656.7</v>
      </c>
      <c r="G78" s="43">
        <f>SUMIFS(orders[Amount],orders[Product],$A78,orders[Gender Value],G$63,wk_Flag,1)</f>
        <v>2013.6000000000001</v>
      </c>
      <c r="H78" s="47">
        <f>RANK(C78,$C$64:$C$83,0)+COUNTIF($C$64:C78,C78)-1</f>
        <v>6</v>
      </c>
    </row>
    <row r="79" spans="1:8" x14ac:dyDescent="0.25">
      <c r="A79" s="41" t="s">
        <v>89</v>
      </c>
      <c r="B79" s="37">
        <f>SUMIFS(orders[Quantity],orders[Product],$A79,wk_Flag,1)</f>
        <v>195</v>
      </c>
      <c r="C79" s="43">
        <f>SUMIFS(orders[Amount],orders[Product],$A79,wk_Flag,1)</f>
        <v>10705.5</v>
      </c>
      <c r="D79" s="43">
        <f>SUMIFS(orders[Amount],orders[Product],$A79,orders[Gender Value],D$63,wk_Flag,1)</f>
        <v>5668.8999999999987</v>
      </c>
      <c r="E79" s="43">
        <f>SUMIFS(orders[Amount],orders[Product],$A79,orders[Gender Value],E$63,wk_Flag,1)</f>
        <v>3198.4</v>
      </c>
      <c r="F79" s="43">
        <f>SUMIFS(orders[Amount],orders[Product],$A79,orders[Gender Value],F$63,wk_Flag,1)</f>
        <v>109.8</v>
      </c>
      <c r="G79" s="43">
        <f>SUMIFS(orders[Amount],orders[Product],$A79,orders[Gender Value],G$63,wk_Flag,1)</f>
        <v>1728.4</v>
      </c>
      <c r="H79" s="47">
        <f>RANK(C79,$C$64:$C$83,0)+COUNTIF($C$64:C79,C79)-1</f>
        <v>17</v>
      </c>
    </row>
    <row r="80" spans="1:8" x14ac:dyDescent="0.25">
      <c r="A80" s="41" t="s">
        <v>90</v>
      </c>
      <c r="B80" s="37">
        <f>SUMIFS(orders[Quantity],orders[Product],$A80,wk_Flag,1)</f>
        <v>1645</v>
      </c>
      <c r="C80" s="43">
        <f>SUMIFS(orders[Amount],orders[Product],$A80,wk_Flag,1)</f>
        <v>49555.900000000023</v>
      </c>
      <c r="D80" s="43">
        <f>SUMIFS(orders[Amount],orders[Product],$A80,orders[Gender Value],D$63,wk_Flag,1)</f>
        <v>23579</v>
      </c>
      <c r="E80" s="43">
        <f>SUMIFS(orders[Amount],orders[Product],$A80,orders[Gender Value],E$63,wk_Flag,1)</f>
        <v>20907.899999999998</v>
      </c>
      <c r="F80" s="43">
        <f>SUMIFS(orders[Amount],orders[Product],$A80,orders[Gender Value],F$63,wk_Flag,1)</f>
        <v>2266.7999999999997</v>
      </c>
      <c r="G80" s="43">
        <f>SUMIFS(orders[Amount],orders[Product],$A80,orders[Gender Value],G$63,wk_Flag,1)</f>
        <v>2802.2</v>
      </c>
      <c r="H80" s="47">
        <f>RANK(C80,$C$64:$C$83,0)+COUNTIF($C$64:C80,C80)-1</f>
        <v>4</v>
      </c>
    </row>
    <row r="81" spans="1:8" x14ac:dyDescent="0.25">
      <c r="A81" s="41" t="s">
        <v>91</v>
      </c>
      <c r="B81" s="37">
        <f>SUMIFS(orders[Quantity],orders[Product],$A81,wk_Flag,1)</f>
        <v>912</v>
      </c>
      <c r="C81" s="43">
        <f>SUMIFS(orders[Amount],orders[Product],$A81,wk_Flag,1)</f>
        <v>57394.000000000022</v>
      </c>
      <c r="D81" s="43">
        <f>SUMIFS(orders[Amount],orders[Product],$A81,orders[Gender Value],D$63,wk_Flag,1)</f>
        <v>36637.9</v>
      </c>
      <c r="E81" s="43">
        <f>SUMIFS(orders[Amount],orders[Product],$A81,orders[Gender Value],E$63,wk_Flag,1)</f>
        <v>18378.100000000006</v>
      </c>
      <c r="F81" s="43">
        <f>SUMIFS(orders[Amount],orders[Product],$A81,orders[Gender Value],F$63,wk_Flag,1)</f>
        <v>1304.5999999999999</v>
      </c>
      <c r="G81" s="43">
        <f>SUMIFS(orders[Amount],orders[Product],$A81,orders[Gender Value],G$63,wk_Flag,1)</f>
        <v>1073.3999999999999</v>
      </c>
      <c r="H81" s="47">
        <f>RANK(C81,$C$64:$C$83,0)+COUNTIF($C$64:C81,C81)-1</f>
        <v>3</v>
      </c>
    </row>
    <row r="82" spans="1:8" x14ac:dyDescent="0.25">
      <c r="A82" s="41" t="s">
        <v>92</v>
      </c>
      <c r="B82" s="37">
        <f>SUMIFS(orders[Quantity],orders[Product],$A82,wk_Flag,1)</f>
        <v>188</v>
      </c>
      <c r="C82" s="43">
        <f>SUMIFS(orders[Amount],orders[Product],$A82,wk_Flag,1)</f>
        <v>6288.5999999999995</v>
      </c>
      <c r="D82" s="43">
        <f>SUMIFS(orders[Amount],orders[Product],$A82,orders[Gender Value],D$63,wk_Flag,1)</f>
        <v>2640.7999999999997</v>
      </c>
      <c r="E82" s="43">
        <f>SUMIFS(orders[Amount],orders[Product],$A82,orders[Gender Value],E$63,wk_Flag,1)</f>
        <v>3242.2</v>
      </c>
      <c r="F82" s="43">
        <f>SUMIFS(orders[Amount],orders[Product],$A82,orders[Gender Value],F$63,wk_Flag,1)</f>
        <v>90.4</v>
      </c>
      <c r="G82" s="43">
        <f>SUMIFS(orders[Amount],orders[Product],$A82,orders[Gender Value],G$63,wk_Flag,1)</f>
        <v>315.20000000000005</v>
      </c>
      <c r="H82" s="47">
        <f>RANK(C82,$C$64:$C$83,0)+COUNTIF($C$64:C82,C82)-1</f>
        <v>18</v>
      </c>
    </row>
    <row r="83" spans="1:8" x14ac:dyDescent="0.25">
      <c r="A83" s="41" t="s">
        <v>93</v>
      </c>
      <c r="B83" s="37">
        <f>SUMIFS(orders[Quantity],orders[Product],$A83,wk_Flag,1)</f>
        <v>272</v>
      </c>
      <c r="C83" s="43">
        <f>SUMIFS(orders[Amount],orders[Product],$A83,wk_Flag,1)</f>
        <v>16668.2</v>
      </c>
      <c r="D83" s="43">
        <f>SUMIFS(orders[Amount],orders[Product],$A83,orders[Gender Value],D$63,wk_Flag,1)</f>
        <v>8267.2000000000007</v>
      </c>
      <c r="E83" s="43">
        <f>SUMIFS(orders[Amount],orders[Product],$A83,orders[Gender Value],E$63,wk_Flag,1)</f>
        <v>6150.8</v>
      </c>
      <c r="F83" s="43">
        <f>SUMIFS(orders[Amount],orders[Product],$A83,orders[Gender Value],F$63,wk_Flag,1)</f>
        <v>222.8</v>
      </c>
      <c r="G83" s="43">
        <f>SUMIFS(orders[Amount],orders[Product],$A83,orders[Gender Value],G$63,wk_Flag,1)</f>
        <v>2027.3999999999999</v>
      </c>
      <c r="H83" s="47">
        <f>RANK(C83,$C$64:$C$83,0)+COUNTIF($C$64:C83,C83)-1</f>
        <v>13</v>
      </c>
    </row>
    <row r="85" spans="1:8" x14ac:dyDescent="0.25">
      <c r="A85" s="35" t="s">
        <v>94</v>
      </c>
      <c r="B85" s="35" t="s">
        <v>95</v>
      </c>
      <c r="C85" s="35" t="s">
        <v>53</v>
      </c>
      <c r="D85" s="35" t="s">
        <v>54</v>
      </c>
      <c r="E85" s="35" t="s">
        <v>17</v>
      </c>
      <c r="F85" s="35" t="s">
        <v>18</v>
      </c>
      <c r="G85" s="35" t="s">
        <v>19</v>
      </c>
      <c r="H85" s="35" t="s">
        <v>20</v>
      </c>
    </row>
    <row r="86" spans="1:8" x14ac:dyDescent="0.25">
      <c r="A86" s="41">
        <v>1</v>
      </c>
      <c r="B86" s="42" t="str">
        <f t="shared" ref="B86:B105" si="1">INDEX($A$64:$A$83,MATCH($A86,$H$64:$H$83,0))</f>
        <v>Sneakers</v>
      </c>
      <c r="C86" s="37">
        <f t="shared" ref="C86:C105" si="2">INDEX($B$64:$B$83,MATCH($A86,$H$64:$H$83,0))</f>
        <v>1186</v>
      </c>
      <c r="D86" s="43">
        <f t="shared" ref="D86:D105" si="3">INDEX($C$64:$C$83,MATCH($A86,$H$64:$H$83,0))</f>
        <v>127637.5</v>
      </c>
      <c r="E86" s="43">
        <f t="shared" ref="E86:H105" si="4">INDEX(D$64:D$83,MATCH($A86,$H$64:$H$83,0))</f>
        <v>65526.899999999987</v>
      </c>
      <c r="F86" s="43">
        <f t="shared" si="4"/>
        <v>42922.100000000006</v>
      </c>
      <c r="G86" s="43">
        <f t="shared" si="4"/>
        <v>3173</v>
      </c>
      <c r="H86" s="43">
        <f t="shared" si="4"/>
        <v>16015.5</v>
      </c>
    </row>
    <row r="87" spans="1:8" x14ac:dyDescent="0.25">
      <c r="A87" s="41">
        <v>2</v>
      </c>
      <c r="B87" s="42" t="str">
        <f t="shared" si="1"/>
        <v>Jeans</v>
      </c>
      <c r="C87" s="37">
        <f t="shared" si="2"/>
        <v>1546</v>
      </c>
      <c r="D87" s="43">
        <f t="shared" si="3"/>
        <v>112893.19999999998</v>
      </c>
      <c r="E87" s="43">
        <f t="shared" si="4"/>
        <v>51517.69999999999</v>
      </c>
      <c r="F87" s="43">
        <f t="shared" si="4"/>
        <v>42448.80000000001</v>
      </c>
      <c r="G87" s="43">
        <f t="shared" si="4"/>
        <v>1788.7</v>
      </c>
      <c r="H87" s="43">
        <f t="shared" si="4"/>
        <v>17138</v>
      </c>
    </row>
    <row r="88" spans="1:8" x14ac:dyDescent="0.25">
      <c r="A88" s="41">
        <v>3</v>
      </c>
      <c r="B88" s="42" t="str">
        <f t="shared" si="1"/>
        <v>Tank Tops</v>
      </c>
      <c r="C88" s="37">
        <f t="shared" si="2"/>
        <v>912</v>
      </c>
      <c r="D88" s="43">
        <f t="shared" si="3"/>
        <v>57394.000000000022</v>
      </c>
      <c r="E88" s="43">
        <f t="shared" si="4"/>
        <v>36637.9</v>
      </c>
      <c r="F88" s="43">
        <f t="shared" si="4"/>
        <v>18378.100000000006</v>
      </c>
      <c r="G88" s="43">
        <f t="shared" si="4"/>
        <v>1304.5999999999999</v>
      </c>
      <c r="H88" s="43">
        <f t="shared" si="4"/>
        <v>1073.3999999999999</v>
      </c>
    </row>
    <row r="89" spans="1:8" x14ac:dyDescent="0.25">
      <c r="A89" s="41">
        <v>4</v>
      </c>
      <c r="B89" s="42" t="str">
        <f t="shared" si="1"/>
        <v>T-Shirts</v>
      </c>
      <c r="C89" s="37">
        <f t="shared" si="2"/>
        <v>1645</v>
      </c>
      <c r="D89" s="43">
        <f t="shared" si="3"/>
        <v>49555.900000000023</v>
      </c>
      <c r="E89" s="43">
        <f t="shared" si="4"/>
        <v>23579</v>
      </c>
      <c r="F89" s="43">
        <f t="shared" si="4"/>
        <v>20907.899999999998</v>
      </c>
      <c r="G89" s="43">
        <f t="shared" si="4"/>
        <v>2266.7999999999997</v>
      </c>
      <c r="H89" s="43">
        <f t="shared" si="4"/>
        <v>2802.2</v>
      </c>
    </row>
    <row r="90" spans="1:8" x14ac:dyDescent="0.25">
      <c r="A90" s="41">
        <v>5</v>
      </c>
      <c r="B90" s="42" t="str">
        <f t="shared" si="1"/>
        <v>Hoodies &amp; Sweatshirts</v>
      </c>
      <c r="C90" s="37">
        <f t="shared" si="2"/>
        <v>606</v>
      </c>
      <c r="D90" s="43">
        <f t="shared" si="3"/>
        <v>35240.5</v>
      </c>
      <c r="E90" s="43">
        <f t="shared" si="4"/>
        <v>15958.099999999999</v>
      </c>
      <c r="F90" s="43">
        <f t="shared" si="4"/>
        <v>17923.5</v>
      </c>
      <c r="G90" s="43">
        <f t="shared" si="4"/>
        <v>894</v>
      </c>
      <c r="H90" s="43">
        <f t="shared" si="4"/>
        <v>464.9</v>
      </c>
    </row>
    <row r="91" spans="1:8" x14ac:dyDescent="0.25">
      <c r="A91" s="41">
        <v>6</v>
      </c>
      <c r="B91" s="42" t="str">
        <f t="shared" si="1"/>
        <v>Sundresses</v>
      </c>
      <c r="C91" s="37">
        <f t="shared" si="2"/>
        <v>700</v>
      </c>
      <c r="D91" s="43">
        <f t="shared" si="3"/>
        <v>32052.80000000001</v>
      </c>
      <c r="E91" s="43">
        <f t="shared" si="4"/>
        <v>20737.599999999999</v>
      </c>
      <c r="F91" s="43">
        <f t="shared" si="4"/>
        <v>8644.9</v>
      </c>
      <c r="G91" s="43">
        <f t="shared" si="4"/>
        <v>656.7</v>
      </c>
      <c r="H91" s="43">
        <f t="shared" si="4"/>
        <v>2013.6000000000001</v>
      </c>
    </row>
    <row r="92" spans="1:8" x14ac:dyDescent="0.25">
      <c r="A92" s="41">
        <v>7</v>
      </c>
      <c r="B92" s="42" t="str">
        <f t="shared" si="1"/>
        <v>Sandals</v>
      </c>
      <c r="C92" s="37">
        <f t="shared" si="2"/>
        <v>603</v>
      </c>
      <c r="D92" s="43">
        <f t="shared" si="3"/>
        <v>31608.100000000009</v>
      </c>
      <c r="E92" s="43">
        <f t="shared" si="4"/>
        <v>16244.9</v>
      </c>
      <c r="F92" s="43">
        <f t="shared" si="4"/>
        <v>13831.999999999996</v>
      </c>
      <c r="G92" s="43">
        <f t="shared" si="4"/>
        <v>558.1</v>
      </c>
      <c r="H92" s="43">
        <f t="shared" si="4"/>
        <v>973.10000000000014</v>
      </c>
    </row>
    <row r="93" spans="1:8" x14ac:dyDescent="0.25">
      <c r="A93" s="41">
        <v>8</v>
      </c>
      <c r="B93" s="42" t="str">
        <f t="shared" si="1"/>
        <v>Bikinis</v>
      </c>
      <c r="C93" s="37">
        <f t="shared" si="2"/>
        <v>807</v>
      </c>
      <c r="D93" s="43">
        <f t="shared" si="3"/>
        <v>30836.800000000003</v>
      </c>
      <c r="E93" s="43">
        <f t="shared" si="4"/>
        <v>18259.300000000003</v>
      </c>
      <c r="F93" s="43">
        <f t="shared" si="4"/>
        <v>11586.300000000001</v>
      </c>
      <c r="G93" s="43">
        <f t="shared" si="4"/>
        <v>216.79999999999998</v>
      </c>
      <c r="H93" s="43">
        <f t="shared" si="4"/>
        <v>774.4</v>
      </c>
    </row>
    <row r="94" spans="1:8" x14ac:dyDescent="0.25">
      <c r="A94" s="41">
        <v>9</v>
      </c>
      <c r="B94" s="42" t="str">
        <f t="shared" si="1"/>
        <v>Leggings</v>
      </c>
      <c r="C94" s="37">
        <f t="shared" si="2"/>
        <v>398</v>
      </c>
      <c r="D94" s="43">
        <f t="shared" si="3"/>
        <v>25206.500000000004</v>
      </c>
      <c r="E94" s="43">
        <f t="shared" si="4"/>
        <v>14225.499999999996</v>
      </c>
      <c r="F94" s="43">
        <f t="shared" si="4"/>
        <v>8705.9</v>
      </c>
      <c r="G94" s="43">
        <f t="shared" si="4"/>
        <v>606.79999999999995</v>
      </c>
      <c r="H94" s="43">
        <f t="shared" si="4"/>
        <v>1668.3</v>
      </c>
    </row>
    <row r="95" spans="1:8" x14ac:dyDescent="0.25">
      <c r="A95" s="41">
        <v>10</v>
      </c>
      <c r="B95" s="42" t="str">
        <f t="shared" si="1"/>
        <v>Casual Dresses</v>
      </c>
      <c r="C95" s="37">
        <f t="shared" si="2"/>
        <v>370</v>
      </c>
      <c r="D95" s="43">
        <f t="shared" si="3"/>
        <v>24664.600000000002</v>
      </c>
      <c r="E95" s="43">
        <f t="shared" si="4"/>
        <v>15491.400000000005</v>
      </c>
      <c r="F95" s="43">
        <f t="shared" si="4"/>
        <v>6208.1</v>
      </c>
      <c r="G95" s="43">
        <f t="shared" si="4"/>
        <v>1415.4</v>
      </c>
      <c r="H95" s="43">
        <f t="shared" si="4"/>
        <v>1549.7</v>
      </c>
    </row>
    <row r="96" spans="1:8" x14ac:dyDescent="0.25">
      <c r="A96" s="41">
        <v>11</v>
      </c>
      <c r="B96" s="42" t="str">
        <f t="shared" si="1"/>
        <v>Graphic Tees</v>
      </c>
      <c r="C96" s="37">
        <f t="shared" si="2"/>
        <v>647</v>
      </c>
      <c r="D96" s="43">
        <f t="shared" si="3"/>
        <v>22988.6</v>
      </c>
      <c r="E96" s="43">
        <f t="shared" si="4"/>
        <v>15089.999999999995</v>
      </c>
      <c r="F96" s="43">
        <f t="shared" si="4"/>
        <v>6977.3</v>
      </c>
      <c r="G96" s="43">
        <f t="shared" si="4"/>
        <v>537.70000000000005</v>
      </c>
      <c r="H96" s="43">
        <f t="shared" si="4"/>
        <v>383.6</v>
      </c>
    </row>
    <row r="97" spans="1:8" x14ac:dyDescent="0.25">
      <c r="A97" s="41">
        <v>12</v>
      </c>
      <c r="B97" s="42" t="str">
        <f t="shared" si="1"/>
        <v>Crop Tops</v>
      </c>
      <c r="C97" s="37">
        <f t="shared" si="2"/>
        <v>437</v>
      </c>
      <c r="D97" s="43">
        <f t="shared" si="3"/>
        <v>20170.399999999998</v>
      </c>
      <c r="E97" s="43">
        <f t="shared" si="4"/>
        <v>7255.300000000002</v>
      </c>
      <c r="F97" s="43">
        <f t="shared" si="4"/>
        <v>11228.900000000001</v>
      </c>
      <c r="G97" s="43">
        <f t="shared" si="4"/>
        <v>1310.3</v>
      </c>
      <c r="H97" s="43">
        <f t="shared" si="4"/>
        <v>375.90000000000003</v>
      </c>
    </row>
    <row r="98" spans="1:8" x14ac:dyDescent="0.25">
      <c r="A98" s="41">
        <v>13</v>
      </c>
      <c r="B98" s="42" t="str">
        <f t="shared" si="1"/>
        <v>Workout Tops</v>
      </c>
      <c r="C98" s="37">
        <f t="shared" si="2"/>
        <v>272</v>
      </c>
      <c r="D98" s="43">
        <f t="shared" si="3"/>
        <v>16668.2</v>
      </c>
      <c r="E98" s="43">
        <f t="shared" si="4"/>
        <v>8267.2000000000007</v>
      </c>
      <c r="F98" s="43">
        <f t="shared" si="4"/>
        <v>6150.8</v>
      </c>
      <c r="G98" s="43">
        <f t="shared" si="4"/>
        <v>222.8</v>
      </c>
      <c r="H98" s="43">
        <f t="shared" si="4"/>
        <v>2027.3999999999999</v>
      </c>
    </row>
    <row r="99" spans="1:8" x14ac:dyDescent="0.25">
      <c r="A99" s="41">
        <v>14</v>
      </c>
      <c r="B99" s="42" t="str">
        <f t="shared" si="1"/>
        <v>Shorts</v>
      </c>
      <c r="C99" s="37">
        <f t="shared" si="2"/>
        <v>745</v>
      </c>
      <c r="D99" s="43">
        <f t="shared" si="3"/>
        <v>16316.4</v>
      </c>
      <c r="E99" s="43">
        <f t="shared" si="4"/>
        <v>9612.6999999999953</v>
      </c>
      <c r="F99" s="43">
        <f t="shared" si="4"/>
        <v>6373.0999999999985</v>
      </c>
      <c r="G99" s="43">
        <f t="shared" si="4"/>
        <v>0</v>
      </c>
      <c r="H99" s="43">
        <f t="shared" si="4"/>
        <v>330.6</v>
      </c>
    </row>
    <row r="100" spans="1:8" x14ac:dyDescent="0.25">
      <c r="A100" s="41">
        <v>15</v>
      </c>
      <c r="B100" s="42" t="str">
        <f t="shared" si="1"/>
        <v>Pajama Sets</v>
      </c>
      <c r="C100" s="37">
        <f t="shared" si="2"/>
        <v>270</v>
      </c>
      <c r="D100" s="43">
        <f t="shared" si="3"/>
        <v>11263.6</v>
      </c>
      <c r="E100" s="43">
        <f t="shared" si="4"/>
        <v>4965.8</v>
      </c>
      <c r="F100" s="43">
        <f t="shared" si="4"/>
        <v>4991</v>
      </c>
      <c r="G100" s="43">
        <f t="shared" si="4"/>
        <v>670.8</v>
      </c>
      <c r="H100" s="43">
        <f t="shared" si="4"/>
        <v>636</v>
      </c>
    </row>
    <row r="101" spans="1:8" x14ac:dyDescent="0.25">
      <c r="A101" s="41">
        <v>16</v>
      </c>
      <c r="B101" s="42" t="str">
        <f t="shared" si="1"/>
        <v>Maxi Dresses</v>
      </c>
      <c r="C101" s="37">
        <f t="shared" si="2"/>
        <v>258</v>
      </c>
      <c r="D101" s="43">
        <f t="shared" si="3"/>
        <v>11025.199999999997</v>
      </c>
      <c r="E101" s="43">
        <f t="shared" si="4"/>
        <v>7367.1</v>
      </c>
      <c r="F101" s="43">
        <f t="shared" si="4"/>
        <v>3362.3000000000006</v>
      </c>
      <c r="G101" s="43">
        <f t="shared" si="4"/>
        <v>295.8</v>
      </c>
      <c r="H101" s="43">
        <f t="shared" si="4"/>
        <v>0</v>
      </c>
    </row>
    <row r="102" spans="1:8" x14ac:dyDescent="0.25">
      <c r="A102" s="41">
        <v>17</v>
      </c>
      <c r="B102" s="42" t="str">
        <f t="shared" si="1"/>
        <v>Sunglasses</v>
      </c>
      <c r="C102" s="37">
        <f t="shared" si="2"/>
        <v>195</v>
      </c>
      <c r="D102" s="43">
        <f t="shared" si="3"/>
        <v>10705.5</v>
      </c>
      <c r="E102" s="43">
        <f t="shared" si="4"/>
        <v>5668.8999999999987</v>
      </c>
      <c r="F102" s="43">
        <f t="shared" si="4"/>
        <v>3198.4</v>
      </c>
      <c r="G102" s="43">
        <f t="shared" si="4"/>
        <v>109.8</v>
      </c>
      <c r="H102" s="43">
        <f t="shared" si="4"/>
        <v>1728.4</v>
      </c>
    </row>
    <row r="103" spans="1:8" x14ac:dyDescent="0.25">
      <c r="A103" s="41">
        <v>18</v>
      </c>
      <c r="B103" s="42" t="str">
        <f t="shared" si="1"/>
        <v>Tote Bags</v>
      </c>
      <c r="C103" s="37">
        <f t="shared" si="2"/>
        <v>188</v>
      </c>
      <c r="D103" s="43">
        <f t="shared" si="3"/>
        <v>6288.5999999999995</v>
      </c>
      <c r="E103" s="43">
        <f t="shared" si="4"/>
        <v>2640.7999999999997</v>
      </c>
      <c r="F103" s="43">
        <f t="shared" si="4"/>
        <v>3242.2</v>
      </c>
      <c r="G103" s="43">
        <f t="shared" si="4"/>
        <v>90.4</v>
      </c>
      <c r="H103" s="43">
        <f t="shared" si="4"/>
        <v>315.20000000000005</v>
      </c>
    </row>
    <row r="104" spans="1:8" x14ac:dyDescent="0.25">
      <c r="A104" s="41">
        <v>19</v>
      </c>
      <c r="B104" s="42" t="str">
        <f t="shared" si="1"/>
        <v>Baseball Caps</v>
      </c>
      <c r="C104" s="37">
        <f t="shared" si="2"/>
        <v>147</v>
      </c>
      <c r="D104" s="43">
        <f t="shared" si="3"/>
        <v>4597</v>
      </c>
      <c r="E104" s="43">
        <f t="shared" si="4"/>
        <v>1235.3</v>
      </c>
      <c r="F104" s="43">
        <f t="shared" si="4"/>
        <v>2420.7000000000003</v>
      </c>
      <c r="G104" s="43">
        <f t="shared" si="4"/>
        <v>828.8</v>
      </c>
      <c r="H104" s="43">
        <f t="shared" si="4"/>
        <v>112.2</v>
      </c>
    </row>
    <row r="105" spans="1:8" x14ac:dyDescent="0.25">
      <c r="A105" s="41">
        <v>20</v>
      </c>
      <c r="B105" s="42" t="str">
        <f t="shared" si="1"/>
        <v>Jewelry</v>
      </c>
      <c r="C105" s="37">
        <f t="shared" si="2"/>
        <v>65</v>
      </c>
      <c r="D105" s="43">
        <f t="shared" si="3"/>
        <v>1906.4</v>
      </c>
      <c r="E105" s="43">
        <f t="shared" si="4"/>
        <v>426.20000000000005</v>
      </c>
      <c r="F105" s="43">
        <f t="shared" si="4"/>
        <v>1393.3999999999999</v>
      </c>
      <c r="G105" s="43">
        <f t="shared" si="4"/>
        <v>86.8</v>
      </c>
      <c r="H105" s="43">
        <f t="shared" si="4"/>
        <v>0</v>
      </c>
    </row>
    <row r="108" spans="1:8" ht="16.5" x14ac:dyDescent="0.25">
      <c r="A108" s="34" t="s">
        <v>96</v>
      </c>
    </row>
    <row r="109" spans="1:8" x14ac:dyDescent="0.25">
      <c r="A109" s="33" t="s">
        <v>97</v>
      </c>
    </row>
    <row r="110" spans="1:8" x14ac:dyDescent="0.25">
      <c r="A110" s="35" t="s">
        <v>24</v>
      </c>
      <c r="B110" s="35" t="s">
        <v>52</v>
      </c>
      <c r="C110" s="35" t="s">
        <v>98</v>
      </c>
      <c r="D110" s="35" t="s">
        <v>57</v>
      </c>
      <c r="E110" s="35" t="s">
        <v>99</v>
      </c>
    </row>
    <row r="111" spans="1:8" x14ac:dyDescent="0.25">
      <c r="A111" s="41" t="s">
        <v>17</v>
      </c>
      <c r="B111" s="37">
        <f>COUNTIFS(orders[Gender Value],A111,wk_Flag,1)</f>
        <v>1231</v>
      </c>
      <c r="C111" s="46">
        <f>IFERROR(B111/SUM($B$111:$B$114),0)</f>
        <v>0.51291666666666669</v>
      </c>
      <c r="D111" s="43">
        <f>SUMIFS(orders[Amount],orders[Gender Value],A111,wk_Flag,1)</f>
        <v>340707.60000000009</v>
      </c>
      <c r="E111" s="46">
        <f>IFERROR(D111/SUM($D$111:$D$114),0)</f>
        <v>0.52495717387974927</v>
      </c>
    </row>
    <row r="112" spans="1:8" x14ac:dyDescent="0.25">
      <c r="A112" s="41" t="s">
        <v>18</v>
      </c>
      <c r="B112" s="37">
        <f>COUNTIFS(orders[Gender Value],A112,wk_Flag,1)</f>
        <v>959</v>
      </c>
      <c r="C112" s="46">
        <f>IFERROR(B112/SUM($B$111:$B$114),0)</f>
        <v>0.39958333333333335</v>
      </c>
      <c r="D112" s="43">
        <f>SUMIFS(orders[Amount],orders[Gender Value],A112,wk_Flag,1)</f>
        <v>240895.6999999999</v>
      </c>
      <c r="E112" s="46">
        <f>IFERROR(D112/SUM($D$111:$D$114),0)</f>
        <v>0.37116849131567309</v>
      </c>
    </row>
    <row r="113" spans="1:5" x14ac:dyDescent="0.25">
      <c r="A113" s="41" t="s">
        <v>19</v>
      </c>
      <c r="B113" s="37">
        <f>COUNTIFS(orders[Gender Value],A113,wk_Flag,1)</f>
        <v>75</v>
      </c>
      <c r="C113" s="46">
        <f>IFERROR(B113/SUM($B$111:$B$114),0)</f>
        <v>3.125E-2</v>
      </c>
      <c r="D113" s="43">
        <f>SUMIFS(orders[Amount],orders[Gender Value],A113,wk_Flag,1)</f>
        <v>17034.099999999995</v>
      </c>
      <c r="E113" s="46">
        <f>IFERROR(D113/SUM($D$111:$D$114),0)</f>
        <v>2.6245886489133296E-2</v>
      </c>
    </row>
    <row r="114" spans="1:5" x14ac:dyDescent="0.25">
      <c r="A114" s="41" t="s">
        <v>20</v>
      </c>
      <c r="B114" s="37">
        <f>COUNTIFS(orders[Gender Value],A114,wk_Flag,1)</f>
        <v>135</v>
      </c>
      <c r="C114" s="46">
        <f>IFERROR(B114/SUM($B$111:$B$114),0)</f>
        <v>5.6250000000000001E-2</v>
      </c>
      <c r="D114" s="43">
        <f>SUMIFS(orders[Amount],orders[Gender Value],A114,wk_Flag,1)</f>
        <v>50382.400000000001</v>
      </c>
      <c r="E114" s="46">
        <f>IFERROR(D114/SUM($D$111:$D$114),0)</f>
        <v>7.7628448315444298E-2</v>
      </c>
    </row>
    <row r="117" spans="1:5" ht="16.5" x14ac:dyDescent="0.25">
      <c r="A117" s="34" t="s">
        <v>100</v>
      </c>
    </row>
    <row r="118" spans="1:5" x14ac:dyDescent="0.25">
      <c r="A118" s="33" t="s">
        <v>101</v>
      </c>
    </row>
    <row r="119" spans="1:5" x14ac:dyDescent="0.25">
      <c r="A119" s="35" t="s">
        <v>102</v>
      </c>
      <c r="B119" s="35" t="s">
        <v>53</v>
      </c>
      <c r="C119" s="35" t="s">
        <v>54</v>
      </c>
    </row>
    <row r="120" spans="1:5" x14ac:dyDescent="0.25">
      <c r="A120" s="41" t="s">
        <v>103</v>
      </c>
      <c r="B120" s="37">
        <f>SUMIFS(orders[Quantity],orders[State],A120,wk_Flag,1)</f>
        <v>11997</v>
      </c>
      <c r="C120" s="43">
        <f>SUMIFS(orders[Amount],orders[State],A120,wk_Flag,1)</f>
        <v>649019.80000000144</v>
      </c>
    </row>
    <row r="122" spans="1:5" x14ac:dyDescent="0.25">
      <c r="A122" s="35" t="s">
        <v>104</v>
      </c>
      <c r="B122" s="35" t="s">
        <v>53</v>
      </c>
      <c r="C122" s="35" t="s">
        <v>54</v>
      </c>
      <c r="D122" s="35" t="s">
        <v>105</v>
      </c>
    </row>
    <row r="123" spans="1:5" x14ac:dyDescent="0.25">
      <c r="A123" s="41" t="s">
        <v>106</v>
      </c>
      <c r="B123" s="37">
        <f>SUMIFS(orders[Quantity],orders[County],$A123,wk_Flag,1)</f>
        <v>579</v>
      </c>
      <c r="C123" s="43">
        <f>SUMIFS(orders[Amount],orders[County],$A123,wk_Flag,1)</f>
        <v>31884.999999999996</v>
      </c>
      <c r="D123" s="47">
        <f>RANK(B123,$B$123:$B$180,0)+COUNTIF($B$123:B123,B123)-1</f>
        <v>5</v>
      </c>
    </row>
    <row r="124" spans="1:5" x14ac:dyDescent="0.25">
      <c r="A124" s="41" t="s">
        <v>107</v>
      </c>
      <c r="B124" s="37">
        <f>SUMIFS(orders[Quantity],orders[County],$A124,wk_Flag,1)</f>
        <v>1</v>
      </c>
      <c r="C124" s="43">
        <f>SUMIFS(orders[Amount],orders[County],$A124,wk_Flag,1)</f>
        <v>10.9</v>
      </c>
      <c r="D124" s="47">
        <f>RANK(B124,$B$123:$B$180,0)+COUNTIF($B$123:B124,B124)-1</f>
        <v>57</v>
      </c>
    </row>
    <row r="125" spans="1:5" x14ac:dyDescent="0.25">
      <c r="A125" s="41" t="s">
        <v>108</v>
      </c>
      <c r="B125" s="37">
        <f>SUMIFS(orders[Quantity],orders[County],$A125,wk_Flag,1)</f>
        <v>9</v>
      </c>
      <c r="C125" s="43">
        <f>SUMIFS(orders[Amount],orders[County],$A125,wk_Flag,1)</f>
        <v>800.3</v>
      </c>
      <c r="D125" s="47">
        <f>RANK(B125,$B$123:$B$180,0)+COUNTIF($B$123:B125,B125)-1</f>
        <v>43</v>
      </c>
    </row>
    <row r="126" spans="1:5" x14ac:dyDescent="0.25">
      <c r="A126" s="41" t="s">
        <v>109</v>
      </c>
      <c r="B126" s="37">
        <f>SUMIFS(orders[Quantity],orders[County],$A126,wk_Flag,1)</f>
        <v>35</v>
      </c>
      <c r="C126" s="43">
        <f>SUMIFS(orders[Amount],orders[County],$A126,wk_Flag,1)</f>
        <v>1062.5999999999999</v>
      </c>
      <c r="D126" s="47">
        <f>RANK(B126,$B$123:$B$180,0)+COUNTIF($B$123:B126,B126)-1</f>
        <v>31</v>
      </c>
    </row>
    <row r="127" spans="1:5" x14ac:dyDescent="0.25">
      <c r="A127" s="41" t="s">
        <v>110</v>
      </c>
      <c r="B127" s="37">
        <f>SUMIFS(orders[Quantity],orders[County],$A127,wk_Flag,1)</f>
        <v>12</v>
      </c>
      <c r="C127" s="43">
        <f>SUMIFS(orders[Amount],orders[County],$A127,wk_Flag,1)</f>
        <v>326.2</v>
      </c>
      <c r="D127" s="47">
        <f>RANK(B127,$B$123:$B$180,0)+COUNTIF($B$123:B127,B127)-1</f>
        <v>42</v>
      </c>
    </row>
    <row r="128" spans="1:5" x14ac:dyDescent="0.25">
      <c r="A128" s="41" t="s">
        <v>111</v>
      </c>
      <c r="B128" s="37">
        <f>SUMIFS(orders[Quantity],orders[County],$A128,wk_Flag,1)</f>
        <v>4</v>
      </c>
      <c r="C128" s="43">
        <f>SUMIFS(orders[Amount],orders[County],$A128,wk_Flag,1)</f>
        <v>167.5</v>
      </c>
      <c r="D128" s="47">
        <f>RANK(B128,$B$123:$B$180,0)+COUNTIF($B$123:B128,B128)-1</f>
        <v>52</v>
      </c>
    </row>
    <row r="129" spans="1:4" x14ac:dyDescent="0.25">
      <c r="A129" s="41" t="s">
        <v>112</v>
      </c>
      <c r="B129" s="37">
        <f>SUMIFS(orders[Quantity],orders[County],$A129,wk_Flag,1)</f>
        <v>341</v>
      </c>
      <c r="C129" s="43">
        <f>SUMIFS(orders[Amount],orders[County],$A129,wk_Flag,1)</f>
        <v>16168.7</v>
      </c>
      <c r="D129" s="47">
        <f>RANK(B129,$B$123:$B$180,0)+COUNTIF($B$123:B129,B129)-1</f>
        <v>8</v>
      </c>
    </row>
    <row r="130" spans="1:4" x14ac:dyDescent="0.25">
      <c r="A130" s="41" t="s">
        <v>113</v>
      </c>
      <c r="B130" s="37">
        <f>SUMIFS(orders[Quantity],orders[County],$A130,wk_Flag,1)</f>
        <v>13</v>
      </c>
      <c r="C130" s="43">
        <f>SUMIFS(orders[Amount],orders[County],$A130,wk_Flag,1)</f>
        <v>322.39999999999998</v>
      </c>
      <c r="D130" s="47">
        <f>RANK(B130,$B$123:$B$180,0)+COUNTIF($B$123:B130,B130)-1</f>
        <v>40</v>
      </c>
    </row>
    <row r="131" spans="1:4" x14ac:dyDescent="0.25">
      <c r="A131" s="41" t="s">
        <v>114</v>
      </c>
      <c r="B131" s="37">
        <f>SUMIFS(orders[Quantity],orders[County],$A131,wk_Flag,1)</f>
        <v>31</v>
      </c>
      <c r="C131" s="43">
        <f>SUMIFS(orders[Amount],orders[County],$A131,wk_Flag,1)</f>
        <v>2092.8000000000002</v>
      </c>
      <c r="D131" s="47">
        <f>RANK(B131,$B$123:$B$180,0)+COUNTIF($B$123:B131,B131)-1</f>
        <v>32</v>
      </c>
    </row>
    <row r="132" spans="1:4" x14ac:dyDescent="0.25">
      <c r="A132" s="41" t="s">
        <v>115</v>
      </c>
      <c r="B132" s="37">
        <f>SUMIFS(orders[Quantity],orders[County],$A132,wk_Flag,1)</f>
        <v>279</v>
      </c>
      <c r="C132" s="43">
        <f>SUMIFS(orders[Amount],orders[County],$A132,wk_Flag,1)</f>
        <v>12662.500000000002</v>
      </c>
      <c r="D132" s="47">
        <f>RANK(B132,$B$123:$B$180,0)+COUNTIF($B$123:B132,B132)-1</f>
        <v>11</v>
      </c>
    </row>
    <row r="133" spans="1:4" x14ac:dyDescent="0.25">
      <c r="A133" s="41" t="s">
        <v>116</v>
      </c>
      <c r="B133" s="37">
        <f>SUMIFS(orders[Quantity],orders[County],$A133,wk_Flag,1)</f>
        <v>9</v>
      </c>
      <c r="C133" s="43">
        <f>SUMIFS(orders[Amount],orders[County],$A133,wk_Flag,1)</f>
        <v>343.2</v>
      </c>
      <c r="D133" s="47">
        <f>RANK(B133,$B$123:$B$180,0)+COUNTIF($B$123:B133,B133)-1</f>
        <v>44</v>
      </c>
    </row>
    <row r="134" spans="1:4" x14ac:dyDescent="0.25">
      <c r="A134" s="41" t="s">
        <v>117</v>
      </c>
      <c r="B134" s="37">
        <f>SUMIFS(orders[Quantity],orders[County],$A134,wk_Flag,1)</f>
        <v>49</v>
      </c>
      <c r="C134" s="43">
        <f>SUMIFS(orders[Amount],orders[County],$A134,wk_Flag,1)</f>
        <v>2188.3000000000002</v>
      </c>
      <c r="D134" s="47">
        <f>RANK(B134,$B$123:$B$180,0)+COUNTIF($B$123:B134,B134)-1</f>
        <v>26</v>
      </c>
    </row>
    <row r="135" spans="1:4" x14ac:dyDescent="0.25">
      <c r="A135" s="41" t="s">
        <v>118</v>
      </c>
      <c r="B135" s="37">
        <f>SUMIFS(orders[Quantity],orders[County],$A135,wk_Flag,1)</f>
        <v>59</v>
      </c>
      <c r="C135" s="43">
        <f>SUMIFS(orders[Amount],orders[County],$A135,wk_Flag,1)</f>
        <v>2661.6</v>
      </c>
      <c r="D135" s="47">
        <f>RANK(B135,$B$123:$B$180,0)+COUNTIF($B$123:B135,B135)-1</f>
        <v>23</v>
      </c>
    </row>
    <row r="136" spans="1:4" x14ac:dyDescent="0.25">
      <c r="A136" s="41" t="s">
        <v>119</v>
      </c>
      <c r="B136" s="37">
        <f>SUMIFS(orders[Quantity],orders[County],$A136,wk_Flag,1)</f>
        <v>8</v>
      </c>
      <c r="C136" s="43">
        <f>SUMIFS(orders[Amount],orders[County],$A136,wk_Flag,1)</f>
        <v>887.5</v>
      </c>
      <c r="D136" s="47">
        <f>RANK(B136,$B$123:$B$180,0)+COUNTIF($B$123:B136,B136)-1</f>
        <v>46</v>
      </c>
    </row>
    <row r="137" spans="1:4" x14ac:dyDescent="0.25">
      <c r="A137" s="41" t="s">
        <v>120</v>
      </c>
      <c r="B137" s="37">
        <f>SUMIFS(orders[Quantity],orders[County],$A137,wk_Flag,1)</f>
        <v>222</v>
      </c>
      <c r="C137" s="43">
        <f>SUMIFS(orders[Amount],orders[County],$A137,wk_Flag,1)</f>
        <v>11354.199999999993</v>
      </c>
      <c r="D137" s="47">
        <f>RANK(B137,$B$123:$B$180,0)+COUNTIF($B$123:B137,B137)-1</f>
        <v>12</v>
      </c>
    </row>
    <row r="138" spans="1:4" x14ac:dyDescent="0.25">
      <c r="A138" s="41" t="s">
        <v>121</v>
      </c>
      <c r="B138" s="37">
        <f>SUMIFS(orders[Quantity],orders[County],$A138,wk_Flag,1)</f>
        <v>36</v>
      </c>
      <c r="C138" s="43">
        <f>SUMIFS(orders[Amount],orders[County],$A138,wk_Flag,1)</f>
        <v>1558.4</v>
      </c>
      <c r="D138" s="47">
        <f>RANK(B138,$B$123:$B$180,0)+COUNTIF($B$123:B138,B138)-1</f>
        <v>30</v>
      </c>
    </row>
    <row r="139" spans="1:4" x14ac:dyDescent="0.25">
      <c r="A139" s="41" t="s">
        <v>122</v>
      </c>
      <c r="B139" s="37">
        <f>SUMIFS(orders[Quantity],orders[County],$A139,wk_Flag,1)</f>
        <v>30</v>
      </c>
      <c r="C139" s="43">
        <f>SUMIFS(orders[Amount],orders[County],$A139,wk_Flag,1)</f>
        <v>2223.9</v>
      </c>
      <c r="D139" s="47">
        <f>RANK(B139,$B$123:$B$180,0)+COUNTIF($B$123:B139,B139)-1</f>
        <v>34</v>
      </c>
    </row>
    <row r="140" spans="1:4" x14ac:dyDescent="0.25">
      <c r="A140" s="41" t="s">
        <v>123</v>
      </c>
      <c r="B140" s="37">
        <f>SUMIFS(orders[Quantity],orders[County],$A140,wk_Flag,1)</f>
        <v>1</v>
      </c>
      <c r="C140" s="43">
        <f>SUMIFS(orders[Amount],orders[County],$A140,wk_Flag,1)</f>
        <v>26.2</v>
      </c>
      <c r="D140" s="47">
        <f>RANK(B140,$B$123:$B$180,0)+COUNTIF($B$123:B140,B140)-1</f>
        <v>58</v>
      </c>
    </row>
    <row r="141" spans="1:4" x14ac:dyDescent="0.25">
      <c r="A141" s="41" t="s">
        <v>124</v>
      </c>
      <c r="B141" s="37">
        <f>SUMIFS(orders[Quantity],orders[County],$A141,wk_Flag,1)</f>
        <v>3991</v>
      </c>
      <c r="C141" s="43">
        <f>SUMIFS(orders[Amount],orders[County],$A141,wk_Flag,1)</f>
        <v>215551.19999999981</v>
      </c>
      <c r="D141" s="47">
        <f>RANK(B141,$B$123:$B$180,0)+COUNTIF($B$123:B141,B141)-1</f>
        <v>1</v>
      </c>
    </row>
    <row r="142" spans="1:4" x14ac:dyDescent="0.25">
      <c r="A142" s="41" t="s">
        <v>125</v>
      </c>
      <c r="B142" s="37">
        <f>SUMIFS(orders[Quantity],orders[County],$A142,wk_Flag,1)</f>
        <v>45</v>
      </c>
      <c r="C142" s="43">
        <f>SUMIFS(orders[Amount],orders[County],$A142,wk_Flag,1)</f>
        <v>2687.4</v>
      </c>
      <c r="D142" s="47">
        <f>RANK(B142,$B$123:$B$180,0)+COUNTIF($B$123:B142,B142)-1</f>
        <v>27</v>
      </c>
    </row>
    <row r="143" spans="1:4" x14ac:dyDescent="0.25">
      <c r="A143" s="41" t="s">
        <v>126</v>
      </c>
      <c r="B143" s="37">
        <f>SUMIFS(orders[Quantity],orders[County],$A143,wk_Flag,1)</f>
        <v>39</v>
      </c>
      <c r="C143" s="43">
        <f>SUMIFS(orders[Amount],orders[County],$A143,wk_Flag,1)</f>
        <v>1463.3000000000002</v>
      </c>
      <c r="D143" s="47">
        <f>RANK(B143,$B$123:$B$180,0)+COUNTIF($B$123:B143,B143)-1</f>
        <v>28</v>
      </c>
    </row>
    <row r="144" spans="1:4" x14ac:dyDescent="0.25">
      <c r="A144" s="41" t="s">
        <v>127</v>
      </c>
      <c r="B144" s="37">
        <f>SUMIFS(orders[Quantity],orders[County],$A144,wk_Flag,1)</f>
        <v>6</v>
      </c>
      <c r="C144" s="43">
        <f>SUMIFS(orders[Amount],orders[County],$A144,wk_Flag,1)</f>
        <v>445.79999999999995</v>
      </c>
      <c r="D144" s="47">
        <f>RANK(B144,$B$123:$B$180,0)+COUNTIF($B$123:B144,B144)-1</f>
        <v>48</v>
      </c>
    </row>
    <row r="145" spans="1:4" x14ac:dyDescent="0.25">
      <c r="A145" s="41" t="s">
        <v>128</v>
      </c>
      <c r="B145" s="37">
        <f>SUMIFS(orders[Quantity],orders[County],$A145,wk_Flag,1)</f>
        <v>9</v>
      </c>
      <c r="C145" s="43">
        <f>SUMIFS(orders[Amount],orders[County],$A145,wk_Flag,1)</f>
        <v>273.59999999999997</v>
      </c>
      <c r="D145" s="47">
        <f>RANK(B145,$B$123:$B$180,0)+COUNTIF($B$123:B145,B145)-1</f>
        <v>45</v>
      </c>
    </row>
    <row r="146" spans="1:4" x14ac:dyDescent="0.25">
      <c r="A146" s="41" t="s">
        <v>129</v>
      </c>
      <c r="B146" s="37">
        <f>SUMIFS(orders[Quantity],orders[County],$A146,wk_Flag,1)</f>
        <v>60</v>
      </c>
      <c r="C146" s="43">
        <f>SUMIFS(orders[Amount],orders[County],$A146,wk_Flag,1)</f>
        <v>2690.4</v>
      </c>
      <c r="D146" s="47">
        <f>RANK(B146,$B$123:$B$180,0)+COUNTIF($B$123:B146,B146)-1</f>
        <v>22</v>
      </c>
    </row>
    <row r="147" spans="1:4" x14ac:dyDescent="0.25">
      <c r="A147" s="41" t="s">
        <v>130</v>
      </c>
      <c r="B147" s="37">
        <f>SUMIFS(orders[Quantity],orders[County],$A147,wk_Flag,1)</f>
        <v>2</v>
      </c>
      <c r="C147" s="43">
        <f>SUMIFS(orders[Amount],orders[County],$A147,wk_Flag,1)</f>
        <v>28.4</v>
      </c>
      <c r="D147" s="47">
        <f>RANK(B147,$B$123:$B$180,0)+COUNTIF($B$123:B147,B147)-1</f>
        <v>55</v>
      </c>
    </row>
    <row r="148" spans="1:4" x14ac:dyDescent="0.25">
      <c r="A148" s="41" t="s">
        <v>131</v>
      </c>
      <c r="B148" s="37">
        <f>SUMIFS(orders[Quantity],orders[County],$A148,wk_Flag,1)</f>
        <v>4</v>
      </c>
      <c r="C148" s="43">
        <f>SUMIFS(orders[Amount],orders[County],$A148,wk_Flag,1)</f>
        <v>204.8</v>
      </c>
      <c r="D148" s="47">
        <f>RANK(B148,$B$123:$B$180,0)+COUNTIF($B$123:B148,B148)-1</f>
        <v>53</v>
      </c>
    </row>
    <row r="149" spans="1:4" x14ac:dyDescent="0.25">
      <c r="A149" s="41" t="s">
        <v>132</v>
      </c>
      <c r="B149" s="37">
        <f>SUMIFS(orders[Quantity],orders[County],$A149,wk_Flag,1)</f>
        <v>31</v>
      </c>
      <c r="C149" s="43">
        <f>SUMIFS(orders[Amount],orders[County],$A149,wk_Flag,1)</f>
        <v>1607.8999999999999</v>
      </c>
      <c r="D149" s="47">
        <f>RANK(B149,$B$123:$B$180,0)+COUNTIF($B$123:B149,B149)-1</f>
        <v>33</v>
      </c>
    </row>
    <row r="150" spans="1:4" x14ac:dyDescent="0.25">
      <c r="A150" s="41" t="s">
        <v>133</v>
      </c>
      <c r="B150" s="37">
        <f>SUMIFS(orders[Quantity],orders[County],$A150,wk_Flag,1)</f>
        <v>88</v>
      </c>
      <c r="C150" s="43">
        <f>SUMIFS(orders[Amount],orders[County],$A150,wk_Flag,1)</f>
        <v>6444.9</v>
      </c>
      <c r="D150" s="47">
        <f>RANK(B150,$B$123:$B$180,0)+COUNTIF($B$123:B150,B150)-1</f>
        <v>21</v>
      </c>
    </row>
    <row r="151" spans="1:4" x14ac:dyDescent="0.25">
      <c r="A151" s="41" t="s">
        <v>134</v>
      </c>
      <c r="B151" s="37">
        <f>SUMIFS(orders[Quantity],orders[County],$A151,wk_Flag,1)</f>
        <v>25</v>
      </c>
      <c r="C151" s="43">
        <f>SUMIFS(orders[Amount],orders[County],$A151,wk_Flag,1)</f>
        <v>1809.3000000000002</v>
      </c>
      <c r="D151" s="47">
        <f>RANK(B151,$B$123:$B$180,0)+COUNTIF($B$123:B151,B151)-1</f>
        <v>36</v>
      </c>
    </row>
    <row r="152" spans="1:4" x14ac:dyDescent="0.25">
      <c r="A152" s="41" t="s">
        <v>135</v>
      </c>
      <c r="B152" s="37">
        <f>SUMIFS(orders[Quantity],orders[County],$A152,wk_Flag,1)</f>
        <v>178</v>
      </c>
      <c r="C152" s="43">
        <f>SUMIFS(orders[Amount],orders[County],$A152,wk_Flag,1)</f>
        <v>9680.399999999996</v>
      </c>
      <c r="D152" s="47">
        <f>RANK(B152,$B$123:$B$180,0)+COUNTIF($B$123:B152,B152)-1</f>
        <v>15</v>
      </c>
    </row>
    <row r="153" spans="1:4" x14ac:dyDescent="0.25">
      <c r="A153" s="41" t="s">
        <v>136</v>
      </c>
      <c r="B153" s="37">
        <f>SUMIFS(orders[Quantity],orders[County],$A153,wk_Flag,1)</f>
        <v>141</v>
      </c>
      <c r="C153" s="43">
        <f>SUMIFS(orders[Amount],orders[County],$A153,wk_Flag,1)</f>
        <v>9414.7999999999993</v>
      </c>
      <c r="D153" s="47">
        <f>RANK(B153,$B$123:$B$180,0)+COUNTIF($B$123:B153,B153)-1</f>
        <v>17</v>
      </c>
    </row>
    <row r="154" spans="1:4" x14ac:dyDescent="0.25">
      <c r="A154" s="41" t="s">
        <v>137</v>
      </c>
      <c r="B154" s="37">
        <f>SUMIFS(orders[Quantity],orders[County],$A154,wk_Flag,1)</f>
        <v>6</v>
      </c>
      <c r="C154" s="43">
        <f>SUMIFS(orders[Amount],orders[County],$A154,wk_Flag,1)</f>
        <v>206.1</v>
      </c>
      <c r="D154" s="47">
        <f>RANK(B154,$B$123:$B$180,0)+COUNTIF($B$123:B154,B154)-1</f>
        <v>49</v>
      </c>
    </row>
    <row r="155" spans="1:4" x14ac:dyDescent="0.25">
      <c r="A155" s="41" t="s">
        <v>138</v>
      </c>
      <c r="B155" s="37">
        <f>SUMIFS(orders[Quantity],orders[County],$A155,wk_Flag,1)</f>
        <v>178</v>
      </c>
      <c r="C155" s="43">
        <f>SUMIFS(orders[Amount],orders[County],$A155,wk_Flag,1)</f>
        <v>7691.3000000000011</v>
      </c>
      <c r="D155" s="47">
        <f>RANK(B155,$B$123:$B$180,0)+COUNTIF($B$123:B155,B155)-1</f>
        <v>16</v>
      </c>
    </row>
    <row r="156" spans="1:4" x14ac:dyDescent="0.25">
      <c r="A156" s="41" t="s">
        <v>139</v>
      </c>
      <c r="B156" s="37">
        <f>SUMIFS(orders[Quantity],orders[County],$A156,wk_Flag,1)</f>
        <v>699</v>
      </c>
      <c r="C156" s="43">
        <f>SUMIFS(orders[Amount],orders[County],$A156,wk_Flag,1)</f>
        <v>37784.900000000016</v>
      </c>
      <c r="D156" s="47">
        <f>RANK(B156,$B$123:$B$180,0)+COUNTIF($B$123:B156,B156)-1</f>
        <v>4</v>
      </c>
    </row>
    <row r="157" spans="1:4" x14ac:dyDescent="0.25">
      <c r="A157" s="41" t="s">
        <v>140</v>
      </c>
      <c r="B157" s="37">
        <f>SUMIFS(orders[Quantity],orders[County],$A157,wk_Flag,1)</f>
        <v>23</v>
      </c>
      <c r="C157" s="43">
        <f>SUMIFS(orders[Amount],orders[County],$A157,wk_Flag,1)</f>
        <v>1129.7</v>
      </c>
      <c r="D157" s="47">
        <f>RANK(B157,$B$123:$B$180,0)+COUNTIF($B$123:B157,B157)-1</f>
        <v>37</v>
      </c>
    </row>
    <row r="158" spans="1:4" x14ac:dyDescent="0.25">
      <c r="A158" s="41" t="s">
        <v>141</v>
      </c>
      <c r="B158" s="37">
        <f>SUMIFS(orders[Quantity],orders[County],$A158,wk_Flag,1)</f>
        <v>356</v>
      </c>
      <c r="C158" s="43">
        <f>SUMIFS(orders[Amount],orders[County],$A158,wk_Flag,1)</f>
        <v>20988.9</v>
      </c>
      <c r="D158" s="47">
        <f>RANK(B158,$B$123:$B$180,0)+COUNTIF($B$123:B158,B158)-1</f>
        <v>7</v>
      </c>
    </row>
    <row r="159" spans="1:4" x14ac:dyDescent="0.25">
      <c r="A159" s="41" t="s">
        <v>142</v>
      </c>
      <c r="B159" s="37">
        <f>SUMIFS(orders[Quantity],orders[County],$A159,wk_Flag,1)</f>
        <v>1768</v>
      </c>
      <c r="C159" s="43">
        <f>SUMIFS(orders[Amount],orders[County],$A159,wk_Flag,1)</f>
        <v>98367.099999999977</v>
      </c>
      <c r="D159" s="47">
        <f>RANK(B159,$B$123:$B$180,0)+COUNTIF($B$123:B159,B159)-1</f>
        <v>2</v>
      </c>
    </row>
    <row r="160" spans="1:4" x14ac:dyDescent="0.25">
      <c r="A160" s="41" t="s">
        <v>143</v>
      </c>
      <c r="B160" s="37">
        <f>SUMIFS(orders[Quantity],orders[County],$A160,wk_Flag,1)</f>
        <v>307</v>
      </c>
      <c r="C160" s="43">
        <f>SUMIFS(orders[Amount],orders[County],$A160,wk_Flag,1)</f>
        <v>21911.9</v>
      </c>
      <c r="D160" s="47">
        <f>RANK(B160,$B$123:$B$180,0)+COUNTIF($B$123:B160,B160)-1</f>
        <v>9</v>
      </c>
    </row>
    <row r="161" spans="1:4" x14ac:dyDescent="0.25">
      <c r="A161" s="41" t="s">
        <v>144</v>
      </c>
      <c r="B161" s="37">
        <f>SUMIFS(orders[Quantity],orders[County],$A161,wk_Flag,1)</f>
        <v>117</v>
      </c>
      <c r="C161" s="43">
        <f>SUMIFS(orders[Amount],orders[County],$A161,wk_Flag,1)</f>
        <v>5441.2</v>
      </c>
      <c r="D161" s="47">
        <f>RANK(B161,$B$123:$B$180,0)+COUNTIF($B$123:B161,B161)-1</f>
        <v>18</v>
      </c>
    </row>
    <row r="162" spans="1:4" x14ac:dyDescent="0.25">
      <c r="A162" s="41" t="s">
        <v>145</v>
      </c>
      <c r="B162" s="37">
        <f>SUMIFS(orders[Quantity],orders[County],$A162,wk_Flag,1)</f>
        <v>13</v>
      </c>
      <c r="C162" s="43">
        <f>SUMIFS(orders[Amount],orders[County],$A162,wk_Flag,1)</f>
        <v>392.8</v>
      </c>
      <c r="D162" s="47">
        <f>RANK(B162,$B$123:$B$180,0)+COUNTIF($B$123:B162,B162)-1</f>
        <v>41</v>
      </c>
    </row>
    <row r="163" spans="1:4" x14ac:dyDescent="0.25">
      <c r="A163" s="41" t="s">
        <v>146</v>
      </c>
      <c r="B163" s="37">
        <f>SUMIFS(orders[Quantity],orders[County],$A163,wk_Flag,1)</f>
        <v>364</v>
      </c>
      <c r="C163" s="43">
        <f>SUMIFS(orders[Amount],orders[County],$A163,wk_Flag,1)</f>
        <v>16172.000000000005</v>
      </c>
      <c r="D163" s="47">
        <f>RANK(B163,$B$123:$B$180,0)+COUNTIF($B$123:B163,B163)-1</f>
        <v>6</v>
      </c>
    </row>
    <row r="164" spans="1:4" x14ac:dyDescent="0.25">
      <c r="A164" s="41" t="s">
        <v>147</v>
      </c>
      <c r="B164" s="37">
        <f>SUMIFS(orders[Quantity],orders[County],$A164,wk_Flag,1)</f>
        <v>95</v>
      </c>
      <c r="C164" s="43">
        <f>SUMIFS(orders[Amount],orders[County],$A164,wk_Flag,1)</f>
        <v>4334.9999999999991</v>
      </c>
      <c r="D164" s="47">
        <f>RANK(B164,$B$123:$B$180,0)+COUNTIF($B$123:B164,B164)-1</f>
        <v>19</v>
      </c>
    </row>
    <row r="165" spans="1:4" x14ac:dyDescent="0.25">
      <c r="A165" s="41" t="s">
        <v>148</v>
      </c>
      <c r="B165" s="37">
        <f>SUMIFS(orders[Quantity],orders[County],$A165,wk_Flag,1)</f>
        <v>737</v>
      </c>
      <c r="C165" s="43">
        <f>SUMIFS(orders[Amount],orders[County],$A165,wk_Flag,1)</f>
        <v>37449.000000000007</v>
      </c>
      <c r="D165" s="47">
        <f>RANK(B165,$B$123:$B$180,0)+COUNTIF($B$123:B165,B165)-1</f>
        <v>3</v>
      </c>
    </row>
    <row r="166" spans="1:4" x14ac:dyDescent="0.25">
      <c r="A166" s="41" t="s">
        <v>149</v>
      </c>
      <c r="B166" s="37">
        <f>SUMIFS(orders[Quantity],orders[County],$A166,wk_Flag,1)</f>
        <v>39</v>
      </c>
      <c r="C166" s="43">
        <f>SUMIFS(orders[Amount],orders[County],$A166,wk_Flag,1)</f>
        <v>2447.5</v>
      </c>
      <c r="D166" s="47">
        <f>RANK(B166,$B$123:$B$180,0)+COUNTIF($B$123:B166,B166)-1</f>
        <v>29</v>
      </c>
    </row>
    <row r="167" spans="1:4" x14ac:dyDescent="0.25">
      <c r="A167" s="41" t="s">
        <v>150</v>
      </c>
      <c r="B167" s="37">
        <f>SUMIFS(orders[Quantity],orders[County],$A167,wk_Flag,1)</f>
        <v>56</v>
      </c>
      <c r="C167" s="43">
        <f>SUMIFS(orders[Amount],orders[County],$A167,wk_Flag,1)</f>
        <v>3391.1</v>
      </c>
      <c r="D167" s="47">
        <f>RANK(B167,$B$123:$B$180,0)+COUNTIF($B$123:B167,B167)-1</f>
        <v>24</v>
      </c>
    </row>
    <row r="168" spans="1:4" x14ac:dyDescent="0.25">
      <c r="A168" s="41" t="s">
        <v>151</v>
      </c>
      <c r="B168" s="37">
        <f>SUMIFS(orders[Quantity],orders[County],$A168,wk_Flag,1)</f>
        <v>2</v>
      </c>
      <c r="C168" s="43">
        <f>SUMIFS(orders[Amount],orders[County],$A168,wk_Flag,1)</f>
        <v>30.8</v>
      </c>
      <c r="D168" s="47">
        <f>RANK(B168,$B$123:$B$180,0)+COUNTIF($B$123:B168,B168)-1</f>
        <v>56</v>
      </c>
    </row>
    <row r="169" spans="1:4" x14ac:dyDescent="0.25">
      <c r="A169" s="41" t="s">
        <v>152</v>
      </c>
      <c r="B169" s="37">
        <f>SUMIFS(orders[Quantity],orders[County],$A169,wk_Flag,1)</f>
        <v>8</v>
      </c>
      <c r="C169" s="43">
        <f>SUMIFS(orders[Amount],orders[County],$A169,wk_Flag,1)</f>
        <v>332.3</v>
      </c>
      <c r="D169" s="47">
        <f>RANK(B169,$B$123:$B$180,0)+COUNTIF($B$123:B169,B169)-1</f>
        <v>47</v>
      </c>
    </row>
    <row r="170" spans="1:4" x14ac:dyDescent="0.25">
      <c r="A170" s="41" t="s">
        <v>153</v>
      </c>
      <c r="B170" s="37">
        <f>SUMIFS(orders[Quantity],orders[County],$A170,wk_Flag,1)</f>
        <v>52</v>
      </c>
      <c r="C170" s="43">
        <f>SUMIFS(orders[Amount],orders[County],$A170,wk_Flag,1)</f>
        <v>3175.9999999999995</v>
      </c>
      <c r="D170" s="47">
        <f>RANK(B170,$B$123:$B$180,0)+COUNTIF($B$123:B170,B170)-1</f>
        <v>25</v>
      </c>
    </row>
    <row r="171" spans="1:4" x14ac:dyDescent="0.25">
      <c r="A171" s="41" t="s">
        <v>154</v>
      </c>
      <c r="B171" s="37">
        <f>SUMIFS(orders[Quantity],orders[County],$A171,wk_Flag,1)</f>
        <v>295</v>
      </c>
      <c r="C171" s="43">
        <f>SUMIFS(orders[Amount],orders[County],$A171,wk_Flag,1)</f>
        <v>20939.600000000002</v>
      </c>
      <c r="D171" s="47">
        <f>RANK(B171,$B$123:$B$180,0)+COUNTIF($B$123:B171,B171)-1</f>
        <v>10</v>
      </c>
    </row>
    <row r="172" spans="1:4" x14ac:dyDescent="0.25">
      <c r="A172" s="41" t="s">
        <v>155</v>
      </c>
      <c r="B172" s="37">
        <f>SUMIFS(orders[Quantity],orders[County],$A172,wk_Flag,1)</f>
        <v>195</v>
      </c>
      <c r="C172" s="43">
        <f>SUMIFS(orders[Amount],orders[County],$A172,wk_Flag,1)</f>
        <v>10185.899999999996</v>
      </c>
      <c r="D172" s="47">
        <f>RANK(B172,$B$123:$B$180,0)+COUNTIF($B$123:B172,B172)-1</f>
        <v>13</v>
      </c>
    </row>
    <row r="173" spans="1:4" x14ac:dyDescent="0.25">
      <c r="A173" s="41" t="s">
        <v>156</v>
      </c>
      <c r="B173" s="37">
        <f>SUMIFS(orders[Quantity],orders[County],$A173,wk_Flag,1)</f>
        <v>20</v>
      </c>
      <c r="C173" s="43">
        <f>SUMIFS(orders[Amount],orders[County],$A173,wk_Flag,1)</f>
        <v>958.69999999999993</v>
      </c>
      <c r="D173" s="47">
        <f>RANK(B173,$B$123:$B$180,0)+COUNTIF($B$123:B173,B173)-1</f>
        <v>38</v>
      </c>
    </row>
    <row r="174" spans="1:4" x14ac:dyDescent="0.25">
      <c r="A174" s="41" t="s">
        <v>157</v>
      </c>
      <c r="B174" s="37">
        <f>SUMIFS(orders[Quantity],orders[County],$A174,wk_Flag,1)</f>
        <v>6</v>
      </c>
      <c r="C174" s="43">
        <f>SUMIFS(orders[Amount],orders[County],$A174,wk_Flag,1)</f>
        <v>323</v>
      </c>
      <c r="D174" s="47">
        <f>RANK(B174,$B$123:$B$180,0)+COUNTIF($B$123:B174,B174)-1</f>
        <v>50</v>
      </c>
    </row>
    <row r="175" spans="1:4" x14ac:dyDescent="0.25">
      <c r="A175" s="41" t="s">
        <v>158</v>
      </c>
      <c r="B175" s="37">
        <f>SUMIFS(orders[Quantity],orders[County],$A175,wk_Flag,1)</f>
        <v>5</v>
      </c>
      <c r="C175" s="43">
        <f>SUMIFS(orders[Amount],orders[County],$A175,wk_Flag,1)</f>
        <v>167.7</v>
      </c>
      <c r="D175" s="47">
        <f>RANK(B175,$B$123:$B$180,0)+COUNTIF($B$123:B175,B175)-1</f>
        <v>51</v>
      </c>
    </row>
    <row r="176" spans="1:4" x14ac:dyDescent="0.25">
      <c r="A176" s="41" t="s">
        <v>159</v>
      </c>
      <c r="B176" s="37">
        <f>SUMIFS(orders[Quantity],orders[County],$A176,wk_Flag,1)</f>
        <v>94</v>
      </c>
      <c r="C176" s="43">
        <f>SUMIFS(orders[Amount],orders[County],$A176,wk_Flag,1)</f>
        <v>3978.5</v>
      </c>
      <c r="D176" s="47">
        <f>RANK(B176,$B$123:$B$180,0)+COUNTIF($B$123:B176,B176)-1</f>
        <v>20</v>
      </c>
    </row>
    <row r="177" spans="1:4" x14ac:dyDescent="0.25">
      <c r="A177" s="41" t="s">
        <v>160</v>
      </c>
      <c r="B177" s="37">
        <f>SUMIFS(orders[Quantity],orders[County],$A177,wk_Flag,1)</f>
        <v>28</v>
      </c>
      <c r="C177" s="43">
        <f>SUMIFS(orders[Amount],orders[County],$A177,wk_Flag,1)</f>
        <v>1405</v>
      </c>
      <c r="D177" s="47">
        <f>RANK(B177,$B$123:$B$180,0)+COUNTIF($B$123:B177,B177)-1</f>
        <v>35</v>
      </c>
    </row>
    <row r="178" spans="1:4" x14ac:dyDescent="0.25">
      <c r="A178" s="41" t="s">
        <v>161</v>
      </c>
      <c r="B178" s="37">
        <f>SUMIFS(orders[Quantity],orders[County],$A178,wk_Flag,1)</f>
        <v>179</v>
      </c>
      <c r="C178" s="43">
        <f>SUMIFS(orders[Amount],orders[County],$A178,wk_Flag,1)</f>
        <v>9869.0999999999985</v>
      </c>
      <c r="D178" s="47">
        <f>RANK(B178,$B$123:$B$180,0)+COUNTIF($B$123:B178,B178)-1</f>
        <v>14</v>
      </c>
    </row>
    <row r="179" spans="1:4" x14ac:dyDescent="0.25">
      <c r="A179" s="41" t="s">
        <v>162</v>
      </c>
      <c r="B179" s="37">
        <f>SUMIFS(orders[Quantity],orders[County],$A179,wk_Flag,1)</f>
        <v>15</v>
      </c>
      <c r="C179" s="43">
        <f>SUMIFS(orders[Amount],orders[County],$A179,wk_Flag,1)</f>
        <v>615.29999999999995</v>
      </c>
      <c r="D179" s="47">
        <f>RANK(B179,$B$123:$B$180,0)+COUNTIF($B$123:B179,B179)-1</f>
        <v>39</v>
      </c>
    </row>
    <row r="180" spans="1:4" x14ac:dyDescent="0.25">
      <c r="A180" s="41" t="s">
        <v>163</v>
      </c>
      <c r="B180" s="37">
        <f>SUMIFS(orders[Quantity],orders[County],$A180,wk_Flag,1)</f>
        <v>3</v>
      </c>
      <c r="C180" s="43">
        <f>SUMIFS(orders[Amount],orders[County],$A180,wk_Flag,1)</f>
        <v>285</v>
      </c>
      <c r="D180" s="47">
        <f>RANK(B180,$B$123:$B$180,0)+COUNTIF($B$123:B180,B180)-1</f>
        <v>54</v>
      </c>
    </row>
    <row r="182" spans="1:4" x14ac:dyDescent="0.25">
      <c r="A182" s="35" t="s">
        <v>94</v>
      </c>
      <c r="B182" s="35" t="s">
        <v>164</v>
      </c>
      <c r="C182" s="35" t="s">
        <v>53</v>
      </c>
      <c r="D182" s="35" t="s">
        <v>54</v>
      </c>
    </row>
    <row r="183" spans="1:4" x14ac:dyDescent="0.25">
      <c r="A183" s="41">
        <v>1</v>
      </c>
      <c r="B183" s="42" t="str">
        <f t="shared" ref="B183:B192" si="5">IF(C183=0,"-",INDEX($A$123:$A$180,MATCH($A183,$D$123:$D$180,0)))</f>
        <v>Los Angeles County</v>
      </c>
      <c r="C183" s="37">
        <f t="shared" ref="C183:C192" si="6">INDEX($B$123:$B$180,MATCH($A183,$D$123:$D$180,0))</f>
        <v>3991</v>
      </c>
      <c r="D183" s="43">
        <f t="shared" ref="D183:D192" si="7">INDEX($C$123:$C$180,MATCH($A183,$D$123:$D$180,0))</f>
        <v>215551.19999999981</v>
      </c>
    </row>
    <row r="184" spans="1:4" x14ac:dyDescent="0.25">
      <c r="A184" s="41">
        <v>2</v>
      </c>
      <c r="B184" s="42" t="str">
        <f t="shared" si="5"/>
        <v>San Diego County</v>
      </c>
      <c r="C184" s="37">
        <f t="shared" si="6"/>
        <v>1768</v>
      </c>
      <c r="D184" s="43">
        <f t="shared" si="7"/>
        <v>98367.099999999977</v>
      </c>
    </row>
    <row r="185" spans="1:4" x14ac:dyDescent="0.25">
      <c r="A185" s="41">
        <v>3</v>
      </c>
      <c r="B185" s="42" t="str">
        <f t="shared" si="5"/>
        <v>Santa Clara County</v>
      </c>
      <c r="C185" s="37">
        <f t="shared" si="6"/>
        <v>737</v>
      </c>
      <c r="D185" s="43">
        <f t="shared" si="7"/>
        <v>37449.000000000007</v>
      </c>
    </row>
    <row r="186" spans="1:4" x14ac:dyDescent="0.25">
      <c r="A186" s="41">
        <v>4</v>
      </c>
      <c r="B186" s="42" t="str">
        <f t="shared" si="5"/>
        <v>Sacramento County</v>
      </c>
      <c r="C186" s="37">
        <f t="shared" si="6"/>
        <v>699</v>
      </c>
      <c r="D186" s="43">
        <f t="shared" si="7"/>
        <v>37784.900000000016</v>
      </c>
    </row>
    <row r="187" spans="1:4" x14ac:dyDescent="0.25">
      <c r="A187" s="41">
        <v>5</v>
      </c>
      <c r="B187" s="42" t="str">
        <f t="shared" si="5"/>
        <v>Alameda County</v>
      </c>
      <c r="C187" s="37">
        <f t="shared" si="6"/>
        <v>579</v>
      </c>
      <c r="D187" s="43">
        <f t="shared" si="7"/>
        <v>31884.999999999996</v>
      </c>
    </row>
    <row r="188" spans="1:4" x14ac:dyDescent="0.25">
      <c r="A188" s="41">
        <v>6</v>
      </c>
      <c r="B188" s="42" t="str">
        <f t="shared" si="5"/>
        <v>San Mateo County</v>
      </c>
      <c r="C188" s="37">
        <f t="shared" si="6"/>
        <v>364</v>
      </c>
      <c r="D188" s="43">
        <f t="shared" si="7"/>
        <v>16172.000000000005</v>
      </c>
    </row>
    <row r="189" spans="1:4" x14ac:dyDescent="0.25">
      <c r="A189" s="41">
        <v>7</v>
      </c>
      <c r="B189" s="42" t="str">
        <f t="shared" si="5"/>
        <v>San Bernardino County</v>
      </c>
      <c r="C189" s="37">
        <f t="shared" si="6"/>
        <v>356</v>
      </c>
      <c r="D189" s="43">
        <f t="shared" si="7"/>
        <v>20988.9</v>
      </c>
    </row>
    <row r="190" spans="1:4" x14ac:dyDescent="0.25">
      <c r="A190" s="41">
        <v>8</v>
      </c>
      <c r="B190" s="42" t="str">
        <f t="shared" si="5"/>
        <v>Contra Costa County</v>
      </c>
      <c r="C190" s="37">
        <f t="shared" si="6"/>
        <v>341</v>
      </c>
      <c r="D190" s="43">
        <f t="shared" si="7"/>
        <v>16168.7</v>
      </c>
    </row>
    <row r="191" spans="1:4" x14ac:dyDescent="0.25">
      <c r="A191" s="41">
        <v>9</v>
      </c>
      <c r="B191" s="42" t="str">
        <f t="shared" si="5"/>
        <v>San Francisco</v>
      </c>
      <c r="C191" s="37">
        <f t="shared" si="6"/>
        <v>307</v>
      </c>
      <c r="D191" s="43">
        <f t="shared" si="7"/>
        <v>21911.9</v>
      </c>
    </row>
    <row r="192" spans="1:4" x14ac:dyDescent="0.25">
      <c r="A192" s="41">
        <v>10</v>
      </c>
      <c r="B192" s="42" t="str">
        <f t="shared" si="5"/>
        <v>Sonoma County</v>
      </c>
      <c r="C192" s="37">
        <f t="shared" si="6"/>
        <v>295</v>
      </c>
      <c r="D192" s="43">
        <f t="shared" si="7"/>
        <v>20939.600000000002</v>
      </c>
    </row>
    <row r="195" spans="1:3" ht="16.5" x14ac:dyDescent="0.25">
      <c r="A195" s="34" t="s">
        <v>165</v>
      </c>
    </row>
    <row r="196" spans="1:3" x14ac:dyDescent="0.25">
      <c r="A196" s="33" t="s">
        <v>166</v>
      </c>
    </row>
    <row r="197" spans="1:3" x14ac:dyDescent="0.25">
      <c r="A197" s="35" t="s">
        <v>167</v>
      </c>
      <c r="B197" s="35" t="s">
        <v>168</v>
      </c>
      <c r="C197" s="35" t="s">
        <v>52</v>
      </c>
    </row>
    <row r="198" spans="1:3" x14ac:dyDescent="0.25">
      <c r="A198" s="48" t="s">
        <v>169</v>
      </c>
      <c r="B198" s="49">
        <v>0</v>
      </c>
      <c r="C198" s="37">
        <f>COUNTIFS(orders[Days to Deliver],B198,wk_Flag,1)</f>
        <v>175</v>
      </c>
    </row>
    <row r="199" spans="1:3" x14ac:dyDescent="0.25">
      <c r="A199" s="48" t="s">
        <v>170</v>
      </c>
      <c r="B199" s="49">
        <v>1</v>
      </c>
      <c r="C199" s="37">
        <f>COUNTIFS(orders[Days to Deliver],B199,wk_Flag,1)</f>
        <v>888</v>
      </c>
    </row>
    <row r="200" spans="1:3" x14ac:dyDescent="0.25">
      <c r="A200" s="48" t="s">
        <v>171</v>
      </c>
      <c r="B200" s="49">
        <v>2</v>
      </c>
      <c r="C200" s="37">
        <f>COUNTIFS(orders[Days to Deliver],B200,wk_Flag,1)</f>
        <v>538</v>
      </c>
    </row>
    <row r="201" spans="1:3" x14ac:dyDescent="0.25">
      <c r="A201" s="48" t="s">
        <v>172</v>
      </c>
      <c r="B201" s="49">
        <v>3</v>
      </c>
      <c r="C201" s="37">
        <f>COUNTIFS(orders[Days to Deliver],B201,wk_Flag,1)</f>
        <v>344</v>
      </c>
    </row>
    <row r="202" spans="1:3" x14ac:dyDescent="0.25">
      <c r="A202" s="48" t="s">
        <v>173</v>
      </c>
      <c r="B202" s="49">
        <v>4</v>
      </c>
      <c r="C202" s="37">
        <f>COUNTIFS(orders[Days to Deliver],B202,wk_Flag,1)</f>
        <v>200</v>
      </c>
    </row>
    <row r="203" spans="1:3" x14ac:dyDescent="0.25">
      <c r="A203" s="48" t="s">
        <v>174</v>
      </c>
      <c r="B203" s="49">
        <v>5</v>
      </c>
      <c r="C203" s="37">
        <f>COUNTIFS(orders[Days to Deliver],B203,wk_Flag,1)</f>
        <v>94</v>
      </c>
    </row>
    <row r="204" spans="1:3" x14ac:dyDescent="0.25">
      <c r="A204" s="48" t="s">
        <v>175</v>
      </c>
      <c r="B204" s="49">
        <v>6</v>
      </c>
      <c r="C204" s="37">
        <f>COUNTIFS(orders[Days to Deliver],B204,wk_Flag,1)</f>
        <v>51</v>
      </c>
    </row>
    <row r="205" spans="1:3" x14ac:dyDescent="0.25">
      <c r="A205" s="48" t="s">
        <v>176</v>
      </c>
      <c r="B205" s="49">
        <v>7</v>
      </c>
      <c r="C205" s="37">
        <f>COUNTIFS(orders[Days to Deliver],B205,wk_Flag,1)</f>
        <v>32</v>
      </c>
    </row>
    <row r="206" spans="1:3" x14ac:dyDescent="0.25">
      <c r="A206" s="48" t="s">
        <v>177</v>
      </c>
      <c r="B206" s="49" t="s">
        <v>178</v>
      </c>
      <c r="C206" s="37">
        <f>COUNTIFS(orders[Days to Deliver],B206,wk_Flag,1)</f>
        <v>78</v>
      </c>
    </row>
    <row r="209" spans="1:6" ht="16.5" x14ac:dyDescent="0.25">
      <c r="A209" s="34" t="s">
        <v>179</v>
      </c>
    </row>
    <row r="210" spans="1:6" x14ac:dyDescent="0.25">
      <c r="A210" s="33" t="s">
        <v>180</v>
      </c>
    </row>
    <row r="211" spans="1:6" x14ac:dyDescent="0.25">
      <c r="A211" s="35" t="s">
        <v>27</v>
      </c>
      <c r="B211" s="35" t="s">
        <v>59</v>
      </c>
      <c r="C211" s="35" t="s">
        <v>60</v>
      </c>
      <c r="D211" s="35" t="s">
        <v>61</v>
      </c>
      <c r="E211" s="35" t="s">
        <v>62</v>
      </c>
      <c r="F211" s="35" t="s">
        <v>63</v>
      </c>
    </row>
    <row r="212" spans="1:6" x14ac:dyDescent="0.25">
      <c r="A212" s="41" t="s">
        <v>181</v>
      </c>
      <c r="B212" s="43">
        <f>SUMIFS(orders[Amount],wk_Month,$A212,orders[Order Mode],B$211,wk_Flag,1)</f>
        <v>69760.599999999962</v>
      </c>
      <c r="C212" s="43">
        <f>SUMIFS(orders[Amount],wk_Month,$A212,orders[Order Mode],C$211,wk_Flag,1)</f>
        <v>25929.200000000004</v>
      </c>
      <c r="D212" s="43">
        <f>SUMIFS(orders[Amount],wk_Month,$A212,orders[Order Mode],D$211,wk_Flag,1)</f>
        <v>20115.900000000005</v>
      </c>
      <c r="E212" s="43">
        <f>SUMIFS(orders[Amount],wk_Month,$A212,orders[Order Mode],E$211,wk_Flag,1)</f>
        <v>40546.300000000025</v>
      </c>
      <c r="F212" s="43">
        <f>SUMIFS(orders[Amount],wk_Month,$A212,orders[Order Mode],F$211,wk_Flag,1)</f>
        <v>50006.799999999974</v>
      </c>
    </row>
    <row r="213" spans="1:6" x14ac:dyDescent="0.25">
      <c r="A213" s="41" t="s">
        <v>182</v>
      </c>
      <c r="B213" s="43">
        <f>SUMIFS(orders[Amount],wk_Month,$A213,orders[Order Mode],B$211,wk_Flag,1)</f>
        <v>85734.999999999956</v>
      </c>
      <c r="C213" s="43">
        <f>SUMIFS(orders[Amount],wk_Month,$A213,orders[Order Mode],C$211,wk_Flag,1)</f>
        <v>20087.899999999998</v>
      </c>
      <c r="D213" s="43">
        <f>SUMIFS(orders[Amount],wk_Month,$A213,orders[Order Mode],D$211,wk_Flag,1)</f>
        <v>26201.999999999989</v>
      </c>
      <c r="E213" s="43">
        <f>SUMIFS(orders[Amount],wk_Month,$A213,orders[Order Mode],E$211,wk_Flag,1)</f>
        <v>43079.8</v>
      </c>
      <c r="F213" s="43">
        <f>SUMIFS(orders[Amount],wk_Month,$A213,orders[Order Mode],F$211,wk_Flag,1)</f>
        <v>52117.099999999984</v>
      </c>
    </row>
    <row r="214" spans="1:6" x14ac:dyDescent="0.25">
      <c r="A214" s="41" t="s">
        <v>183</v>
      </c>
      <c r="B214" s="43">
        <f>SUMIFS(orders[Amount],wk_Month,$A214,orders[Order Mode],B$211,wk_Flag,1)</f>
        <v>73897.900000000023</v>
      </c>
      <c r="C214" s="43">
        <f>SUMIFS(orders[Amount],wk_Month,$A214,orders[Order Mode],C$211,wk_Flag,1)</f>
        <v>27109.1</v>
      </c>
      <c r="D214" s="43">
        <f>SUMIFS(orders[Amount],wk_Month,$A214,orders[Order Mode],D$211,wk_Flag,1)</f>
        <v>28817.000000000004</v>
      </c>
      <c r="E214" s="43">
        <f>SUMIFS(orders[Amount],wk_Month,$A214,orders[Order Mode],E$211,wk_Flag,1)</f>
        <v>34942.700000000004</v>
      </c>
      <c r="F214" s="43">
        <f>SUMIFS(orders[Amount],wk_Month,$A214,orders[Order Mode],F$211,wk_Flag,1)</f>
        <v>50672.499999999993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8E2B"/>
  </sheetPr>
  <dimension ref="A1:R2401"/>
  <sheetViews>
    <sheetView topLeftCell="L1" zoomScaleNormal="100" workbookViewId="0">
      <pane ySplit="1" topLeftCell="A2" activePane="bottomLeft" state="frozen"/>
      <selection pane="bottomLeft" activeCell="K10" sqref="K10:R12"/>
    </sheetView>
  </sheetViews>
  <sheetFormatPr defaultColWidth="8.5703125" defaultRowHeight="15" x14ac:dyDescent="0.25"/>
  <cols>
    <col min="1" max="2" width="11" customWidth="1"/>
    <col min="3" max="3" width="9" customWidth="1"/>
    <col min="4" max="4" width="10" customWidth="1"/>
    <col min="5" max="5" width="11" customWidth="1"/>
    <col min="6" max="7" width="13" customWidth="1"/>
    <col min="8" max="8" width="12" customWidth="1"/>
    <col min="9" max="9" width="10" customWidth="1"/>
    <col min="11" max="11" width="58" customWidth="1"/>
    <col min="12" max="12" width="14" customWidth="1"/>
    <col min="13" max="13" width="3" customWidth="1"/>
    <col min="14" max="18" width="22" customWidth="1"/>
  </cols>
  <sheetData>
    <row r="1" spans="1:18" ht="26.25" x14ac:dyDescent="0.25">
      <c r="A1" s="50" t="s">
        <v>184</v>
      </c>
      <c r="B1" s="50" t="s">
        <v>185</v>
      </c>
      <c r="C1" s="50" t="s">
        <v>27</v>
      </c>
      <c r="D1" s="50" t="s">
        <v>24</v>
      </c>
      <c r="E1" s="50" t="s">
        <v>186</v>
      </c>
      <c r="F1" s="50" t="s">
        <v>187</v>
      </c>
      <c r="G1" s="50" t="s">
        <v>188</v>
      </c>
      <c r="H1" s="50" t="s">
        <v>189</v>
      </c>
      <c r="I1" s="50" t="s">
        <v>190</v>
      </c>
      <c r="K1" s="51" t="s">
        <v>191</v>
      </c>
      <c r="N1" s="27" t="s">
        <v>192</v>
      </c>
      <c r="O1" s="27" t="s">
        <v>193</v>
      </c>
      <c r="P1" s="27" t="s">
        <v>194</v>
      </c>
      <c r="Q1" s="27" t="s">
        <v>195</v>
      </c>
      <c r="R1" s="27" t="s">
        <v>196</v>
      </c>
    </row>
    <row r="2" spans="1:18" x14ac:dyDescent="0.25">
      <c r="A2" s="52" t="str">
        <f>Data!A2</f>
        <v>TX500001</v>
      </c>
      <c r="B2" s="52">
        <f>MONTH(Data!F2)</f>
        <v>1</v>
      </c>
      <c r="C2" s="52" t="str">
        <f>TEXT(Data!F2,"mmm")</f>
        <v>Jan</v>
      </c>
      <c r="D2" s="52" t="str">
        <f>Data!O2</f>
        <v>Unknown</v>
      </c>
      <c r="E2" s="52">
        <f>Data!G2-Data!F2</f>
        <v>5</v>
      </c>
      <c r="F2" s="52">
        <f>IF(Data!J2&lt;=5,Data!J2,IF(Data!J2&lt;=10,"6 TO 10","More than 10"))</f>
        <v>4</v>
      </c>
      <c r="G2" s="52">
        <f t="shared" ref="G2:G65" si="0">IF(E2&gt;=8,"8+",E2)</f>
        <v>5</v>
      </c>
      <c r="H2" s="52">
        <f>ROUND(Data!C2*Data!D2-Data!E2,2)</f>
        <v>0</v>
      </c>
      <c r="I2" s="52">
        <f>IF(AND(OR(Sel_Mode="All",Data!I2=Sel_Mode),OR(Sel_Gender="All",D2=Sel_Gender),OR(Sel_Category="All",Data!B2=Sel_Category),OR(Sel_Month="All",C2=Sel_Month),OR(Sel_County="All",Data!L2=Sel_County)),1,0)</f>
        <v>1</v>
      </c>
      <c r="K2" s="53" t="s">
        <v>197</v>
      </c>
      <c r="N2" s="54" t="s">
        <v>23</v>
      </c>
      <c r="O2" s="54" t="s">
        <v>23</v>
      </c>
      <c r="P2" s="54" t="s">
        <v>23</v>
      </c>
      <c r="Q2" s="54" t="s">
        <v>23</v>
      </c>
      <c r="R2" s="54" t="s">
        <v>23</v>
      </c>
    </row>
    <row r="3" spans="1:18" x14ac:dyDescent="0.25">
      <c r="A3" s="52" t="str">
        <f>Data!A3</f>
        <v>TX500002</v>
      </c>
      <c r="B3" s="52">
        <f>MONTH(Data!F3)</f>
        <v>1</v>
      </c>
      <c r="C3" s="52" t="str">
        <f>TEXT(Data!F3,"mmm")</f>
        <v>Jan</v>
      </c>
      <c r="D3" s="52" t="str">
        <f>Data!O3</f>
        <v>Male</v>
      </c>
      <c r="E3" s="52">
        <f>Data!G3-Data!F3</f>
        <v>2</v>
      </c>
      <c r="F3" s="52">
        <f>IF(Data!J3&lt;=5,Data!J3,IF(Data!J3&lt;=10,"6 TO 10","More than 10"))</f>
        <v>4</v>
      </c>
      <c r="G3" s="52">
        <f t="shared" si="0"/>
        <v>2</v>
      </c>
      <c r="H3" s="52">
        <f>ROUND(Data!C3*Data!D3-Data!E3,2)</f>
        <v>0</v>
      </c>
      <c r="I3" s="52">
        <f>IF(AND(OR(Sel_Mode="All",Data!I3=Sel_Mode),OR(Sel_Gender="All",D3=Sel_Gender),OR(Sel_Category="All",Data!B3=Sel_Category),OR(Sel_Month="All",C3=Sel_Month),OR(Sel_County="All",Data!L3=Sel_County)),1,0)</f>
        <v>1</v>
      </c>
      <c r="K3" s="53" t="s">
        <v>198</v>
      </c>
      <c r="N3" s="54" t="s">
        <v>59</v>
      </c>
      <c r="O3" s="54" t="s">
        <v>17</v>
      </c>
      <c r="P3" s="54" t="s">
        <v>74</v>
      </c>
      <c r="Q3" s="54" t="s">
        <v>181</v>
      </c>
      <c r="R3" s="54" t="s">
        <v>106</v>
      </c>
    </row>
    <row r="4" spans="1:18" x14ac:dyDescent="0.25">
      <c r="A4" s="52" t="str">
        <f>Data!A4</f>
        <v>TX500003</v>
      </c>
      <c r="B4" s="52">
        <f>MONTH(Data!F4)</f>
        <v>1</v>
      </c>
      <c r="C4" s="52" t="str">
        <f>TEXT(Data!F4,"mmm")</f>
        <v>Jan</v>
      </c>
      <c r="D4" s="52" t="str">
        <f>Data!O4</f>
        <v>Female</v>
      </c>
      <c r="E4" s="52">
        <f>Data!G4-Data!F4</f>
        <v>3</v>
      </c>
      <c r="F4" s="52">
        <f>IF(Data!J4&lt;=5,Data!J4,IF(Data!J4&lt;=10,"6 TO 10","More than 10"))</f>
        <v>3</v>
      </c>
      <c r="G4" s="52">
        <f t="shared" si="0"/>
        <v>3</v>
      </c>
      <c r="H4" s="52">
        <f>ROUND(Data!C4*Data!D4-Data!E4,2)</f>
        <v>0</v>
      </c>
      <c r="I4" s="52">
        <f>IF(AND(OR(Sel_Mode="All",Data!I4=Sel_Mode),OR(Sel_Gender="All",D4=Sel_Gender),OR(Sel_Category="All",Data!B4=Sel_Category),OR(Sel_Month="All",C4=Sel_Month),OR(Sel_County="All",Data!L4=Sel_County)),1,0)</f>
        <v>1</v>
      </c>
      <c r="K4" s="53" t="s">
        <v>199</v>
      </c>
      <c r="N4" s="54" t="s">
        <v>60</v>
      </c>
      <c r="O4" s="54" t="s">
        <v>18</v>
      </c>
      <c r="P4" s="54" t="s">
        <v>75</v>
      </c>
      <c r="Q4" s="54" t="s">
        <v>182</v>
      </c>
      <c r="R4" s="54" t="s">
        <v>107</v>
      </c>
    </row>
    <row r="5" spans="1:18" x14ac:dyDescent="0.25">
      <c r="A5" s="52" t="str">
        <f>Data!A5</f>
        <v>TX500004</v>
      </c>
      <c r="B5" s="52">
        <f>MONTH(Data!F5)</f>
        <v>1</v>
      </c>
      <c r="C5" s="52" t="str">
        <f>TEXT(Data!F5,"mmm")</f>
        <v>Jan</v>
      </c>
      <c r="D5" s="52" t="str">
        <f>Data!O5</f>
        <v>Female</v>
      </c>
      <c r="E5" s="52">
        <f>Data!G5-Data!F5</f>
        <v>1</v>
      </c>
      <c r="F5" s="52">
        <f>IF(Data!J5&lt;=5,Data!J5,IF(Data!J5&lt;=10,"6 TO 10","More than 10"))</f>
        <v>4</v>
      </c>
      <c r="G5" s="52">
        <f t="shared" si="0"/>
        <v>1</v>
      </c>
      <c r="H5" s="52">
        <f>ROUND(Data!C5*Data!D5-Data!E5,2)</f>
        <v>0</v>
      </c>
      <c r="I5" s="52">
        <f>IF(AND(OR(Sel_Mode="All",Data!I5=Sel_Mode),OR(Sel_Gender="All",D5=Sel_Gender),OR(Sel_Category="All",Data!B5=Sel_Category),OR(Sel_Month="All",C5=Sel_Month),OR(Sel_County="All",Data!L5=Sel_County)),1,0)</f>
        <v>1</v>
      </c>
      <c r="K5" s="53" t="s">
        <v>200</v>
      </c>
      <c r="N5" s="54" t="s">
        <v>61</v>
      </c>
      <c r="O5" s="54" t="s">
        <v>19</v>
      </c>
      <c r="P5" s="54" t="s">
        <v>76</v>
      </c>
      <c r="Q5" s="54" t="s">
        <v>183</v>
      </c>
      <c r="R5" s="54" t="s">
        <v>108</v>
      </c>
    </row>
    <row r="6" spans="1:18" x14ac:dyDescent="0.25">
      <c r="A6" s="52" t="str">
        <f>Data!A6</f>
        <v>TX500005</v>
      </c>
      <c r="B6" s="52">
        <f>MONTH(Data!F6)</f>
        <v>1</v>
      </c>
      <c r="C6" s="52" t="str">
        <f>TEXT(Data!F6,"mmm")</f>
        <v>Jan</v>
      </c>
      <c r="D6" s="52" t="str">
        <f>Data!O6</f>
        <v>Female</v>
      </c>
      <c r="E6" s="52">
        <f>Data!G6-Data!F6</f>
        <v>3</v>
      </c>
      <c r="F6" s="52">
        <f>IF(Data!J6&lt;=5,Data!J6,IF(Data!J6&lt;=10,"6 TO 10","More than 10"))</f>
        <v>5</v>
      </c>
      <c r="G6" s="52">
        <f t="shared" si="0"/>
        <v>3</v>
      </c>
      <c r="H6" s="52">
        <f>ROUND(Data!C6*Data!D6-Data!E6,2)</f>
        <v>0</v>
      </c>
      <c r="I6" s="52">
        <f>IF(AND(OR(Sel_Mode="All",Data!I6=Sel_Mode),OR(Sel_Gender="All",D6=Sel_Gender),OR(Sel_Category="All",Data!B6=Sel_Category),OR(Sel_Month="All",C6=Sel_Month),OR(Sel_County="All",Data!L6=Sel_County)),1,0)</f>
        <v>1</v>
      </c>
      <c r="K6" s="53" t="s">
        <v>201</v>
      </c>
      <c r="N6" s="54" t="s">
        <v>62</v>
      </c>
      <c r="O6" s="54" t="s">
        <v>20</v>
      </c>
      <c r="P6" s="54" t="s">
        <v>77</v>
      </c>
      <c r="R6" s="54" t="s">
        <v>109</v>
      </c>
    </row>
    <row r="7" spans="1:18" x14ac:dyDescent="0.25">
      <c r="A7" s="52" t="str">
        <f>Data!A7</f>
        <v>TX500006</v>
      </c>
      <c r="B7" s="52">
        <f>MONTH(Data!F7)</f>
        <v>1</v>
      </c>
      <c r="C7" s="52" t="str">
        <f>TEXT(Data!F7,"mmm")</f>
        <v>Jan</v>
      </c>
      <c r="D7" s="52" t="str">
        <f>Data!O7</f>
        <v>Male</v>
      </c>
      <c r="E7" s="52">
        <f>Data!G7-Data!F7</f>
        <v>3</v>
      </c>
      <c r="F7" s="52">
        <f>IF(Data!J7&lt;=5,Data!J7,IF(Data!J7&lt;=10,"6 TO 10","More than 10"))</f>
        <v>4</v>
      </c>
      <c r="G7" s="52">
        <f t="shared" si="0"/>
        <v>3</v>
      </c>
      <c r="H7" s="52">
        <f>ROUND(Data!C7*Data!D7-Data!E7,2)</f>
        <v>0</v>
      </c>
      <c r="I7" s="52">
        <f>IF(AND(OR(Sel_Mode="All",Data!I7=Sel_Mode),OR(Sel_Gender="All",D7=Sel_Gender),OR(Sel_Category="All",Data!B7=Sel_Category),OR(Sel_Month="All",C7=Sel_Month),OR(Sel_County="All",Data!L7=Sel_County)),1,0)</f>
        <v>1</v>
      </c>
      <c r="K7" s="53" t="s">
        <v>202</v>
      </c>
      <c r="N7" s="54" t="s">
        <v>63</v>
      </c>
      <c r="P7" s="54" t="s">
        <v>78</v>
      </c>
      <c r="R7" s="54" t="s">
        <v>110</v>
      </c>
    </row>
    <row r="8" spans="1:18" x14ac:dyDescent="0.25">
      <c r="A8" s="52" t="str">
        <f>Data!A8</f>
        <v>TX500007</v>
      </c>
      <c r="B8" s="52">
        <f>MONTH(Data!F8)</f>
        <v>1</v>
      </c>
      <c r="C8" s="52" t="str">
        <f>TEXT(Data!F8,"mmm")</f>
        <v>Jan</v>
      </c>
      <c r="D8" s="52" t="str">
        <f>Data!O8</f>
        <v>Female</v>
      </c>
      <c r="E8" s="52">
        <f>Data!G8-Data!F8</f>
        <v>1</v>
      </c>
      <c r="F8" s="52">
        <f>IF(Data!J8&lt;=5,Data!J8,IF(Data!J8&lt;=10,"6 TO 10","More than 10"))</f>
        <v>4</v>
      </c>
      <c r="G8" s="52">
        <f t="shared" si="0"/>
        <v>1</v>
      </c>
      <c r="H8" s="52">
        <f>ROUND(Data!C8*Data!D8-Data!E8,2)</f>
        <v>0</v>
      </c>
      <c r="I8" s="52">
        <f>IF(AND(OR(Sel_Mode="All",Data!I8=Sel_Mode),OR(Sel_Gender="All",D8=Sel_Gender),OR(Sel_Category="All",Data!B8=Sel_Category),OR(Sel_Month="All",C8=Sel_Month),OR(Sel_County="All",Data!L8=Sel_County)),1,0)</f>
        <v>1</v>
      </c>
      <c r="K8" s="53" t="s">
        <v>203</v>
      </c>
      <c r="P8" s="54" t="s">
        <v>79</v>
      </c>
      <c r="R8" s="54" t="s">
        <v>111</v>
      </c>
    </row>
    <row r="9" spans="1:18" x14ac:dyDescent="0.25">
      <c r="A9" s="52" t="str">
        <f>Data!A9</f>
        <v>TX500008</v>
      </c>
      <c r="B9" s="52">
        <f>MONTH(Data!F9)</f>
        <v>1</v>
      </c>
      <c r="C9" s="52" t="str">
        <f>TEXT(Data!F9,"mmm")</f>
        <v>Jan</v>
      </c>
      <c r="D9" s="52" t="str">
        <f>Data!O9</f>
        <v>Male</v>
      </c>
      <c r="E9" s="52">
        <f>Data!G9-Data!F9</f>
        <v>1</v>
      </c>
      <c r="F9" s="52">
        <f>IF(Data!J9&lt;=5,Data!J9,IF(Data!J9&lt;=10,"6 TO 10","More than 10"))</f>
        <v>5</v>
      </c>
      <c r="G9" s="52">
        <f t="shared" si="0"/>
        <v>1</v>
      </c>
      <c r="H9" s="52">
        <f>ROUND(Data!C9*Data!D9-Data!E9,2)</f>
        <v>0</v>
      </c>
      <c r="I9" s="52">
        <f>IF(AND(OR(Sel_Mode="All",Data!I9=Sel_Mode),OR(Sel_Gender="All",D9=Sel_Gender),OR(Sel_Category="All",Data!B9=Sel_Category),OR(Sel_Month="All",C9=Sel_Month),OR(Sel_County="All",Data!L9=Sel_County)),1,0)</f>
        <v>1</v>
      </c>
      <c r="K9" s="53" t="s">
        <v>204</v>
      </c>
      <c r="P9" s="54" t="s">
        <v>80</v>
      </c>
      <c r="R9" s="54" t="s">
        <v>112</v>
      </c>
    </row>
    <row r="10" spans="1:18" x14ac:dyDescent="0.25">
      <c r="A10" s="52" t="str">
        <f>Data!A10</f>
        <v>TX500009</v>
      </c>
      <c r="B10" s="52">
        <f>MONTH(Data!F10)</f>
        <v>1</v>
      </c>
      <c r="C10" s="52" t="str">
        <f>TEXT(Data!F10,"mmm")</f>
        <v>Jan</v>
      </c>
      <c r="D10" s="52" t="str">
        <f>Data!O10</f>
        <v>Female</v>
      </c>
      <c r="E10" s="52">
        <f>Data!G10-Data!F10</f>
        <v>1</v>
      </c>
      <c r="F10" s="52">
        <f>IF(Data!J10&lt;=5,Data!J10,IF(Data!J10&lt;=10,"6 TO 10","More than 10"))</f>
        <v>4</v>
      </c>
      <c r="G10" s="52">
        <f t="shared" si="0"/>
        <v>1</v>
      </c>
      <c r="H10" s="52">
        <f>ROUND(Data!C10*Data!D10-Data!E10,2)</f>
        <v>0</v>
      </c>
      <c r="I10" s="52">
        <f>IF(AND(OR(Sel_Mode="All",Data!I10=Sel_Mode),OR(Sel_Gender="All",D10=Sel_Gender),OR(Sel_Category="All",Data!B10=Sel_Category),OR(Sel_Month="All",C10=Sel_Month),OR(Sel_County="All",Data!L10=Sel_County)),1,0)</f>
        <v>1</v>
      </c>
      <c r="K10" s="53" t="s">
        <v>205</v>
      </c>
      <c r="P10" s="54" t="s">
        <v>81</v>
      </c>
      <c r="R10" s="54" t="s">
        <v>113</v>
      </c>
    </row>
    <row r="11" spans="1:18" x14ac:dyDescent="0.25">
      <c r="A11" s="52" t="str">
        <f>Data!A11</f>
        <v>TX500010</v>
      </c>
      <c r="B11" s="52">
        <f>MONTH(Data!F11)</f>
        <v>1</v>
      </c>
      <c r="C11" s="52" t="str">
        <f>TEXT(Data!F11,"mmm")</f>
        <v>Jan</v>
      </c>
      <c r="D11" s="52" t="str">
        <f>Data!O11</f>
        <v>Male</v>
      </c>
      <c r="E11" s="52">
        <f>Data!G11-Data!F11</f>
        <v>3</v>
      </c>
      <c r="F11" s="52">
        <f>IF(Data!J11&lt;=5,Data!J11,IF(Data!J11&lt;=10,"6 TO 10","More than 10"))</f>
        <v>3</v>
      </c>
      <c r="G11" s="52">
        <f t="shared" si="0"/>
        <v>3</v>
      </c>
      <c r="H11" s="52">
        <f>ROUND(Data!C11*Data!D11-Data!E11,2)</f>
        <v>0</v>
      </c>
      <c r="I11" s="52">
        <f>IF(AND(OR(Sel_Mode="All",Data!I11=Sel_Mode),OR(Sel_Gender="All",D11=Sel_Gender),OR(Sel_Category="All",Data!B11=Sel_Category),OR(Sel_Month="All",C11=Sel_Month),OR(Sel_County="All",Data!L11=Sel_County)),1,0)</f>
        <v>1</v>
      </c>
      <c r="K11" s="53" t="s">
        <v>206</v>
      </c>
      <c r="P11" s="54" t="s">
        <v>82</v>
      </c>
      <c r="R11" s="54" t="s">
        <v>114</v>
      </c>
    </row>
    <row r="12" spans="1:18" x14ac:dyDescent="0.25">
      <c r="A12" s="52" t="str">
        <f>Data!A12</f>
        <v>TX500011</v>
      </c>
      <c r="B12" s="52">
        <f>MONTH(Data!F12)</f>
        <v>1</v>
      </c>
      <c r="C12" s="52" t="str">
        <f>TEXT(Data!F12,"mmm")</f>
        <v>Jan</v>
      </c>
      <c r="D12" s="52" t="str">
        <f>Data!O12</f>
        <v>Female</v>
      </c>
      <c r="E12" s="52">
        <f>Data!G12-Data!F12</f>
        <v>6</v>
      </c>
      <c r="F12" s="52">
        <f>IF(Data!J12&lt;=5,Data!J12,IF(Data!J12&lt;=10,"6 TO 10","More than 10"))</f>
        <v>4</v>
      </c>
      <c r="G12" s="52">
        <f t="shared" si="0"/>
        <v>6</v>
      </c>
      <c r="H12" s="52">
        <f>ROUND(Data!C12*Data!D12-Data!E12,2)</f>
        <v>0</v>
      </c>
      <c r="I12" s="52">
        <f>IF(AND(OR(Sel_Mode="All",Data!I12=Sel_Mode),OR(Sel_Gender="All",D12=Sel_Gender),OR(Sel_Category="All",Data!B12=Sel_Category),OR(Sel_Month="All",C12=Sel_Month),OR(Sel_County="All",Data!L12=Sel_County)),1,0)</f>
        <v>1</v>
      </c>
      <c r="P12" s="54" t="s">
        <v>83</v>
      </c>
      <c r="R12" s="54" t="s">
        <v>115</v>
      </c>
    </row>
    <row r="13" spans="1:18" x14ac:dyDescent="0.25">
      <c r="A13" s="52" t="str">
        <f>Data!A13</f>
        <v>TX500012</v>
      </c>
      <c r="B13" s="52">
        <f>MONTH(Data!F13)</f>
        <v>1</v>
      </c>
      <c r="C13" s="52" t="str">
        <f>TEXT(Data!F13,"mmm")</f>
        <v>Jan</v>
      </c>
      <c r="D13" s="52" t="str">
        <f>Data!O13</f>
        <v>Female</v>
      </c>
      <c r="E13" s="52">
        <f>Data!G13-Data!F13</f>
        <v>2</v>
      </c>
      <c r="F13" s="52">
        <f>IF(Data!J13&lt;=5,Data!J13,IF(Data!J13&lt;=10,"6 TO 10","More than 10"))</f>
        <v>3</v>
      </c>
      <c r="G13" s="52">
        <f t="shared" si="0"/>
        <v>2</v>
      </c>
      <c r="H13" s="52">
        <f>ROUND(Data!C13*Data!D13-Data!E13,2)</f>
        <v>0</v>
      </c>
      <c r="I13" s="52">
        <f>IF(AND(OR(Sel_Mode="All",Data!I13=Sel_Mode),OR(Sel_Gender="All",D13=Sel_Gender),OR(Sel_Category="All",Data!B13=Sel_Category),OR(Sel_Month="All",C13=Sel_Month),OR(Sel_County="All",Data!L13=Sel_County)),1,0)</f>
        <v>1</v>
      </c>
      <c r="K13" s="51" t="s">
        <v>207</v>
      </c>
      <c r="L13" s="51" t="s">
        <v>208</v>
      </c>
      <c r="P13" s="54" t="s">
        <v>84</v>
      </c>
      <c r="R13" s="54" t="s">
        <v>116</v>
      </c>
    </row>
    <row r="14" spans="1:18" x14ac:dyDescent="0.25">
      <c r="A14" s="52" t="str">
        <f>Data!A14</f>
        <v>TX500013</v>
      </c>
      <c r="B14" s="52">
        <f>MONTH(Data!F14)</f>
        <v>1</v>
      </c>
      <c r="C14" s="52" t="str">
        <f>TEXT(Data!F14,"mmm")</f>
        <v>Jan</v>
      </c>
      <c r="D14" s="52" t="str">
        <f>Data!O14</f>
        <v>Female</v>
      </c>
      <c r="E14" s="52">
        <f>Data!G14-Data!F14</f>
        <v>4</v>
      </c>
      <c r="F14" s="52">
        <f>IF(Data!J14&lt;=5,Data!J14,IF(Data!J14&lt;=10,"6 TO 10","More than 10"))</f>
        <v>4</v>
      </c>
      <c r="G14" s="52">
        <f t="shared" si="0"/>
        <v>4</v>
      </c>
      <c r="H14" s="52">
        <f>ROUND(Data!C14*Data!D14-Data!E14,2)</f>
        <v>0</v>
      </c>
      <c r="I14" s="52">
        <f>IF(AND(OR(Sel_Mode="All",Data!I14=Sel_Mode),OR(Sel_Gender="All",D14=Sel_Gender),OR(Sel_Category="All",Data!B14=Sel_Category),OR(Sel_Month="All",C14=Sel_Month),OR(Sel_County="All",Data!L14=Sel_County)),1,0)</f>
        <v>1</v>
      </c>
      <c r="K14" s="55" t="s">
        <v>209</v>
      </c>
      <c r="L14" s="56">
        <f>ROWS(orders[TX ID])</f>
        <v>2400</v>
      </c>
      <c r="P14" s="54" t="s">
        <v>85</v>
      </c>
      <c r="R14" s="54" t="s">
        <v>117</v>
      </c>
    </row>
    <row r="15" spans="1:18" x14ac:dyDescent="0.25">
      <c r="A15" s="52" t="str">
        <f>Data!A15</f>
        <v>TX500014</v>
      </c>
      <c r="B15" s="52">
        <f>MONTH(Data!F15)</f>
        <v>1</v>
      </c>
      <c r="C15" s="52" t="str">
        <f>TEXT(Data!F15,"mmm")</f>
        <v>Jan</v>
      </c>
      <c r="D15" s="52" t="str">
        <f>Data!O15</f>
        <v>Male</v>
      </c>
      <c r="E15" s="52">
        <f>Data!G15-Data!F15</f>
        <v>7</v>
      </c>
      <c r="F15" s="52">
        <f>IF(Data!J15&lt;=5,Data!J15,IF(Data!J15&lt;=10,"6 TO 10","More than 10"))</f>
        <v>4</v>
      </c>
      <c r="G15" s="52">
        <f t="shared" si="0"/>
        <v>7</v>
      </c>
      <c r="H15" s="52">
        <f>ROUND(Data!C15*Data!D15-Data!E15,2)</f>
        <v>0</v>
      </c>
      <c r="I15" s="52">
        <f>IF(AND(OR(Sel_Mode="All",Data!I15=Sel_Mode),OR(Sel_Gender="All",D15=Sel_Gender),OR(Sel_Category="All",Data!B15=Sel_Category),OR(Sel_Month="All",C15=Sel_Month),OR(Sel_County="All",Data!L15=Sel_County)),1,0)</f>
        <v>1</v>
      </c>
      <c r="K15" s="55" t="s">
        <v>210</v>
      </c>
      <c r="L15" s="56">
        <f>COUNTBLANK(orders[Customer Gender])</f>
        <v>135</v>
      </c>
      <c r="P15" s="54" t="s">
        <v>86</v>
      </c>
      <c r="R15" s="54" t="s">
        <v>118</v>
      </c>
    </row>
    <row r="16" spans="1:18" x14ac:dyDescent="0.25">
      <c r="A16" s="52" t="str">
        <f>Data!A16</f>
        <v>TX500015</v>
      </c>
      <c r="B16" s="52">
        <f>MONTH(Data!F16)</f>
        <v>1</v>
      </c>
      <c r="C16" s="52" t="str">
        <f>TEXT(Data!F16,"mmm")</f>
        <v>Jan</v>
      </c>
      <c r="D16" s="52" t="str">
        <f>Data!O16</f>
        <v>Male</v>
      </c>
      <c r="E16" s="52">
        <f>Data!G16-Data!F16</f>
        <v>3</v>
      </c>
      <c r="F16" s="52">
        <f>IF(Data!J16&lt;=5,Data!J16,IF(Data!J16&lt;=10,"6 TO 10","More than 10"))</f>
        <v>4</v>
      </c>
      <c r="G16" s="52">
        <f t="shared" si="0"/>
        <v>3</v>
      </c>
      <c r="H16" s="52">
        <f>ROUND(Data!C16*Data!D16-Data!E16,2)</f>
        <v>0</v>
      </c>
      <c r="I16" s="52">
        <f>IF(AND(OR(Sel_Mode="All",Data!I16=Sel_Mode),OR(Sel_Gender="All",D16=Sel_Gender),OR(Sel_Category="All",Data!B16=Sel_Category),OR(Sel_Month="All",C16=Sel_Month),OR(Sel_County="All",Data!L16=Sel_County)),1,0)</f>
        <v>1</v>
      </c>
      <c r="K16" s="55" t="s">
        <v>211</v>
      </c>
      <c r="L16" s="56">
        <f>SUMPRODUCT(--(COUNTIF(orders[TX ID],orders[TX ID])&gt;1))</f>
        <v>0</v>
      </c>
      <c r="P16" s="54" t="s">
        <v>87</v>
      </c>
      <c r="R16" s="54" t="s">
        <v>119</v>
      </c>
    </row>
    <row r="17" spans="1:18" x14ac:dyDescent="0.25">
      <c r="A17" s="52" t="str">
        <f>Data!A17</f>
        <v>TX500016</v>
      </c>
      <c r="B17" s="52">
        <f>MONTH(Data!F17)</f>
        <v>1</v>
      </c>
      <c r="C17" s="52" t="str">
        <f>TEXT(Data!F17,"mmm")</f>
        <v>Jan</v>
      </c>
      <c r="D17" s="52" t="str">
        <f>Data!O17</f>
        <v>Male</v>
      </c>
      <c r="E17" s="52">
        <f>Data!G17-Data!F17</f>
        <v>1</v>
      </c>
      <c r="F17" s="52">
        <f>IF(Data!J17&lt;=5,Data!J17,IF(Data!J17&lt;=10,"6 TO 10","More than 10"))</f>
        <v>5</v>
      </c>
      <c r="G17" s="52">
        <f t="shared" si="0"/>
        <v>1</v>
      </c>
      <c r="H17" s="52">
        <f>ROUND(Data!C17*Data!D17-Data!E17,2)</f>
        <v>0</v>
      </c>
      <c r="I17" s="52">
        <f>IF(AND(OR(Sel_Mode="All",Data!I17=Sel_Mode),OR(Sel_Gender="All",D17=Sel_Gender),OR(Sel_Category="All",Data!B17=Sel_Category),OR(Sel_Month="All",C17=Sel_Month),OR(Sel_County="All",Data!L17=Sel_County)),1,0)</f>
        <v>1</v>
      </c>
      <c r="K17" s="55" t="s">
        <v>212</v>
      </c>
      <c r="L17" s="56">
        <f>COUNTIF($E$2:$E$2401,"&lt;0")</f>
        <v>0</v>
      </c>
      <c r="P17" s="54" t="s">
        <v>88</v>
      </c>
      <c r="R17" s="54" t="s">
        <v>120</v>
      </c>
    </row>
    <row r="18" spans="1:18" x14ac:dyDescent="0.25">
      <c r="A18" s="52" t="str">
        <f>Data!A18</f>
        <v>TX500017</v>
      </c>
      <c r="B18" s="52">
        <f>MONTH(Data!F18)</f>
        <v>1</v>
      </c>
      <c r="C18" s="52" t="str">
        <f>TEXT(Data!F18,"mmm")</f>
        <v>Jan</v>
      </c>
      <c r="D18" s="52" t="str">
        <f>Data!O18</f>
        <v>Female</v>
      </c>
      <c r="E18" s="52">
        <f>Data!G18-Data!F18</f>
        <v>1</v>
      </c>
      <c r="F18" s="52">
        <f>IF(Data!J18&lt;=5,Data!J18,IF(Data!J18&lt;=10,"6 TO 10","More than 10"))</f>
        <v>3</v>
      </c>
      <c r="G18" s="52">
        <f t="shared" si="0"/>
        <v>1</v>
      </c>
      <c r="H18" s="52">
        <f>ROUND(Data!C18*Data!D18-Data!E18,2)</f>
        <v>0</v>
      </c>
      <c r="I18" s="52">
        <f>IF(AND(OR(Sel_Mode="All",Data!I18=Sel_Mode),OR(Sel_Gender="All",D18=Sel_Gender),OR(Sel_Category="All",Data!B18=Sel_Category),OR(Sel_Month="All",C18=Sel_Month),OR(Sel_County="All",Data!L18=Sel_County)),1,0)</f>
        <v>1</v>
      </c>
      <c r="K18" s="55" t="s">
        <v>213</v>
      </c>
      <c r="L18" s="56">
        <f>COUNTIF($H$2:$H$2401,"&lt;&gt;0")</f>
        <v>0</v>
      </c>
      <c r="P18" s="54" t="s">
        <v>89</v>
      </c>
      <c r="R18" s="54" t="s">
        <v>121</v>
      </c>
    </row>
    <row r="19" spans="1:18" x14ac:dyDescent="0.25">
      <c r="A19" s="52" t="str">
        <f>Data!A19</f>
        <v>TX500018</v>
      </c>
      <c r="B19" s="52">
        <f>MONTH(Data!F19)</f>
        <v>1</v>
      </c>
      <c r="C19" s="52" t="str">
        <f>TEXT(Data!F19,"mmm")</f>
        <v>Jan</v>
      </c>
      <c r="D19" s="52" t="str">
        <f>Data!O19</f>
        <v>Female</v>
      </c>
      <c r="E19" s="52">
        <f>Data!G19-Data!F19</f>
        <v>3</v>
      </c>
      <c r="F19" s="52">
        <f>IF(Data!J19&lt;=5,Data!J19,IF(Data!J19&lt;=10,"6 TO 10","More than 10"))</f>
        <v>4</v>
      </c>
      <c r="G19" s="52">
        <f t="shared" si="0"/>
        <v>3</v>
      </c>
      <c r="H19" s="52">
        <f>ROUND(Data!C19*Data!D19-Data!E19,2)</f>
        <v>0</v>
      </c>
      <c r="I19" s="52">
        <f>IF(AND(OR(Sel_Mode="All",Data!I19=Sel_Mode),OR(Sel_Gender="All",D19=Sel_Gender),OR(Sel_Category="All",Data!B19=Sel_Category),OR(Sel_Month="All",C19=Sel_Month),OR(Sel_County="All",Data!L19=Sel_County)),1,0)</f>
        <v>1</v>
      </c>
      <c r="K19" s="55" t="s">
        <v>214</v>
      </c>
      <c r="L19" s="56">
        <f>COUNTIF(orders[Rating C],"&lt;1")+COUNTIF(orders[Rating C],"&gt;5")</f>
        <v>0</v>
      </c>
      <c r="P19" s="54" t="s">
        <v>90</v>
      </c>
      <c r="R19" s="54" t="s">
        <v>122</v>
      </c>
    </row>
    <row r="20" spans="1:18" x14ac:dyDescent="0.25">
      <c r="A20" s="52" t="str">
        <f>Data!A20</f>
        <v>TX500019</v>
      </c>
      <c r="B20" s="52">
        <f>MONTH(Data!F20)</f>
        <v>1</v>
      </c>
      <c r="C20" s="52" t="str">
        <f>TEXT(Data!F20,"mmm")</f>
        <v>Jan</v>
      </c>
      <c r="D20" s="52" t="str">
        <f>Data!O20</f>
        <v>Female</v>
      </c>
      <c r="E20" s="52">
        <f>Data!G20-Data!F20</f>
        <v>3</v>
      </c>
      <c r="F20" s="52">
        <f>IF(Data!J20&lt;=5,Data!J20,IF(Data!J20&lt;=10,"6 TO 10","More than 10"))</f>
        <v>1</v>
      </c>
      <c r="G20" s="52">
        <f t="shared" si="0"/>
        <v>3</v>
      </c>
      <c r="H20" s="52">
        <f>ROUND(Data!C20*Data!D20-Data!E20,2)</f>
        <v>0</v>
      </c>
      <c r="I20" s="52">
        <f>IF(AND(OR(Sel_Mode="All",Data!I20=Sel_Mode),OR(Sel_Gender="All",D20=Sel_Gender),OR(Sel_Category="All",Data!B20=Sel_Category),OR(Sel_Month="All",C20=Sel_Month),OR(Sel_County="All",Data!L20=Sel_County)),1,0)</f>
        <v>1</v>
      </c>
      <c r="K20" s="55" t="s">
        <v>215</v>
      </c>
      <c r="L20" s="56">
        <f>SUMPRODUCT(--($E$2:$E$2401&lt;&gt;orders[Days to Deliver]))</f>
        <v>0</v>
      </c>
      <c r="P20" s="54" t="s">
        <v>91</v>
      </c>
      <c r="R20" s="54" t="s">
        <v>123</v>
      </c>
    </row>
    <row r="21" spans="1:18" x14ac:dyDescent="0.25">
      <c r="A21" s="52" t="str">
        <f>Data!A21</f>
        <v>TX500020</v>
      </c>
      <c r="B21" s="52">
        <f>MONTH(Data!F21)</f>
        <v>1</v>
      </c>
      <c r="C21" s="52" t="str">
        <f>TEXT(Data!F21,"mmm")</f>
        <v>Jan</v>
      </c>
      <c r="D21" s="52" t="str">
        <f>Data!O21</f>
        <v>Female</v>
      </c>
      <c r="E21" s="52">
        <f>Data!G21-Data!F21</f>
        <v>1</v>
      </c>
      <c r="F21" s="52">
        <f>IF(Data!J21&lt;=5,Data!J21,IF(Data!J21&lt;=10,"6 TO 10","More than 10"))</f>
        <v>5</v>
      </c>
      <c r="G21" s="52">
        <f t="shared" si="0"/>
        <v>1</v>
      </c>
      <c r="H21" s="52">
        <f>ROUND(Data!C21*Data!D21-Data!E21,2)</f>
        <v>0</v>
      </c>
      <c r="I21" s="52">
        <f>IF(AND(OR(Sel_Mode="All",Data!I21=Sel_Mode),OR(Sel_Gender="All",D21=Sel_Gender),OR(Sel_Category="All",Data!B21=Sel_Category),OR(Sel_Month="All",C21=Sel_Month),OR(Sel_County="All",Data!L21=Sel_County)),1,0)</f>
        <v>1</v>
      </c>
      <c r="P21" s="54" t="s">
        <v>92</v>
      </c>
      <c r="R21" s="54" t="s">
        <v>124</v>
      </c>
    </row>
    <row r="22" spans="1:18" x14ac:dyDescent="0.25">
      <c r="A22" s="52" t="str">
        <f>Data!A22</f>
        <v>TX500021</v>
      </c>
      <c r="B22" s="52">
        <f>MONTH(Data!F22)</f>
        <v>1</v>
      </c>
      <c r="C22" s="52" t="str">
        <f>TEXT(Data!F22,"mmm")</f>
        <v>Jan</v>
      </c>
      <c r="D22" s="52" t="str">
        <f>Data!O22</f>
        <v>Female</v>
      </c>
      <c r="E22" s="52">
        <f>Data!G22-Data!F22</f>
        <v>3</v>
      </c>
      <c r="F22" s="52">
        <f>IF(Data!J22&lt;=5,Data!J22,IF(Data!J22&lt;=10,"6 TO 10","More than 10"))</f>
        <v>4</v>
      </c>
      <c r="G22" s="52">
        <f t="shared" si="0"/>
        <v>3</v>
      </c>
      <c r="H22" s="52">
        <f>ROUND(Data!C22*Data!D22-Data!E22,2)</f>
        <v>0</v>
      </c>
      <c r="I22" s="52">
        <f>IF(AND(OR(Sel_Mode="All",Data!I22=Sel_Mode),OR(Sel_Gender="All",D22=Sel_Gender),OR(Sel_Category="All",Data!B22=Sel_Category),OR(Sel_Month="All",C22=Sel_Month),OR(Sel_County="All",Data!L22=Sel_County)),1,0)</f>
        <v>1</v>
      </c>
      <c r="P22" s="54" t="s">
        <v>93</v>
      </c>
      <c r="R22" s="54" t="s">
        <v>125</v>
      </c>
    </row>
    <row r="23" spans="1:18" x14ac:dyDescent="0.25">
      <c r="A23" s="52" t="str">
        <f>Data!A23</f>
        <v>TX500022</v>
      </c>
      <c r="B23" s="52">
        <f>MONTH(Data!F23)</f>
        <v>1</v>
      </c>
      <c r="C23" s="52" t="str">
        <f>TEXT(Data!F23,"mmm")</f>
        <v>Jan</v>
      </c>
      <c r="D23" s="52" t="str">
        <f>Data!O23</f>
        <v>Female</v>
      </c>
      <c r="E23" s="52">
        <f>Data!G23-Data!F23</f>
        <v>1</v>
      </c>
      <c r="F23" s="52">
        <f>IF(Data!J23&lt;=5,Data!J23,IF(Data!J23&lt;=10,"6 TO 10","More than 10"))</f>
        <v>3</v>
      </c>
      <c r="G23" s="52">
        <f t="shared" si="0"/>
        <v>1</v>
      </c>
      <c r="H23" s="52">
        <f>ROUND(Data!C23*Data!D23-Data!E23,2)</f>
        <v>0</v>
      </c>
      <c r="I23" s="52">
        <f>IF(AND(OR(Sel_Mode="All",Data!I23=Sel_Mode),OR(Sel_Gender="All",D23=Sel_Gender),OR(Sel_Category="All",Data!B23=Sel_Category),OR(Sel_Month="All",C23=Sel_Month),OR(Sel_County="All",Data!L23=Sel_County)),1,0)</f>
        <v>1</v>
      </c>
      <c r="R23" s="54" t="s">
        <v>126</v>
      </c>
    </row>
    <row r="24" spans="1:18" x14ac:dyDescent="0.25">
      <c r="A24" s="52" t="str">
        <f>Data!A24</f>
        <v>TX500023</v>
      </c>
      <c r="B24" s="52">
        <f>MONTH(Data!F24)</f>
        <v>1</v>
      </c>
      <c r="C24" s="52" t="str">
        <f>TEXT(Data!F24,"mmm")</f>
        <v>Jan</v>
      </c>
      <c r="D24" s="52" t="str">
        <f>Data!O24</f>
        <v>Male</v>
      </c>
      <c r="E24" s="52">
        <f>Data!G24-Data!F24</f>
        <v>1</v>
      </c>
      <c r="F24" s="52">
        <f>IF(Data!J24&lt;=5,Data!J24,IF(Data!J24&lt;=10,"6 TO 10","More than 10"))</f>
        <v>5</v>
      </c>
      <c r="G24" s="52">
        <f t="shared" si="0"/>
        <v>1</v>
      </c>
      <c r="H24" s="52">
        <f>ROUND(Data!C24*Data!D24-Data!E24,2)</f>
        <v>0</v>
      </c>
      <c r="I24" s="52">
        <f>IF(AND(OR(Sel_Mode="All",Data!I24=Sel_Mode),OR(Sel_Gender="All",D24=Sel_Gender),OR(Sel_Category="All",Data!B24=Sel_Category),OR(Sel_Month="All",C24=Sel_Month),OR(Sel_County="All",Data!L24=Sel_County)),1,0)</f>
        <v>1</v>
      </c>
      <c r="R24" s="54" t="s">
        <v>127</v>
      </c>
    </row>
    <row r="25" spans="1:18" x14ac:dyDescent="0.25">
      <c r="A25" s="52" t="str">
        <f>Data!A25</f>
        <v>TX500024</v>
      </c>
      <c r="B25" s="52">
        <f>MONTH(Data!F25)</f>
        <v>1</v>
      </c>
      <c r="C25" s="52" t="str">
        <f>TEXT(Data!F25,"mmm")</f>
        <v>Jan</v>
      </c>
      <c r="D25" s="52" t="str">
        <f>Data!O25</f>
        <v>Female</v>
      </c>
      <c r="E25" s="52">
        <f>Data!G25-Data!F25</f>
        <v>1</v>
      </c>
      <c r="F25" s="52">
        <f>IF(Data!J25&lt;=5,Data!J25,IF(Data!J25&lt;=10,"6 TO 10","More than 10"))</f>
        <v>4</v>
      </c>
      <c r="G25" s="52">
        <f t="shared" si="0"/>
        <v>1</v>
      </c>
      <c r="H25" s="52">
        <f>ROUND(Data!C25*Data!D25-Data!E25,2)</f>
        <v>0</v>
      </c>
      <c r="I25" s="52">
        <f>IF(AND(OR(Sel_Mode="All",Data!I25=Sel_Mode),OR(Sel_Gender="All",D25=Sel_Gender),OR(Sel_Category="All",Data!B25=Sel_Category),OR(Sel_Month="All",C25=Sel_Month),OR(Sel_County="All",Data!L25=Sel_County)),1,0)</f>
        <v>1</v>
      </c>
      <c r="R25" s="54" t="s">
        <v>128</v>
      </c>
    </row>
    <row r="26" spans="1:18" x14ac:dyDescent="0.25">
      <c r="A26" s="52" t="str">
        <f>Data!A26</f>
        <v>TX500025</v>
      </c>
      <c r="B26" s="52">
        <f>MONTH(Data!F26)</f>
        <v>1</v>
      </c>
      <c r="C26" s="52" t="str">
        <f>TEXT(Data!F26,"mmm")</f>
        <v>Jan</v>
      </c>
      <c r="D26" s="52" t="str">
        <f>Data!O26</f>
        <v>Female</v>
      </c>
      <c r="E26" s="52">
        <f>Data!G26-Data!F26</f>
        <v>1</v>
      </c>
      <c r="F26" s="52">
        <f>IF(Data!J26&lt;=5,Data!J26,IF(Data!J26&lt;=10,"6 TO 10","More than 10"))</f>
        <v>4</v>
      </c>
      <c r="G26" s="52">
        <f t="shared" si="0"/>
        <v>1</v>
      </c>
      <c r="H26" s="52">
        <f>ROUND(Data!C26*Data!D26-Data!E26,2)</f>
        <v>0</v>
      </c>
      <c r="I26" s="52">
        <f>IF(AND(OR(Sel_Mode="All",Data!I26=Sel_Mode),OR(Sel_Gender="All",D26=Sel_Gender),OR(Sel_Category="All",Data!B26=Sel_Category),OR(Sel_Month="All",C26=Sel_Month),OR(Sel_County="All",Data!L26=Sel_County)),1,0)</f>
        <v>1</v>
      </c>
      <c r="R26" s="54" t="s">
        <v>129</v>
      </c>
    </row>
    <row r="27" spans="1:18" x14ac:dyDescent="0.25">
      <c r="A27" s="52" t="str">
        <f>Data!A27</f>
        <v>TX500026</v>
      </c>
      <c r="B27" s="52">
        <f>MONTH(Data!F27)</f>
        <v>1</v>
      </c>
      <c r="C27" s="52" t="str">
        <f>TEXT(Data!F27,"mmm")</f>
        <v>Jan</v>
      </c>
      <c r="D27" s="52" t="str">
        <f>Data!O27</f>
        <v>Female</v>
      </c>
      <c r="E27" s="52">
        <f>Data!G27-Data!F27</f>
        <v>1</v>
      </c>
      <c r="F27" s="52">
        <f>IF(Data!J27&lt;=5,Data!J27,IF(Data!J27&lt;=10,"6 TO 10","More than 10"))</f>
        <v>4</v>
      </c>
      <c r="G27" s="52">
        <f t="shared" si="0"/>
        <v>1</v>
      </c>
      <c r="H27" s="52">
        <f>ROUND(Data!C27*Data!D27-Data!E27,2)</f>
        <v>0</v>
      </c>
      <c r="I27" s="52">
        <f>IF(AND(OR(Sel_Mode="All",Data!I27=Sel_Mode),OR(Sel_Gender="All",D27=Sel_Gender),OR(Sel_Category="All",Data!B27=Sel_Category),OR(Sel_Month="All",C27=Sel_Month),OR(Sel_County="All",Data!L27=Sel_County)),1,0)</f>
        <v>1</v>
      </c>
      <c r="R27" s="54" t="s">
        <v>130</v>
      </c>
    </row>
    <row r="28" spans="1:18" x14ac:dyDescent="0.25">
      <c r="A28" s="52" t="str">
        <f>Data!A28</f>
        <v>TX500027</v>
      </c>
      <c r="B28" s="52">
        <f>MONTH(Data!F28)</f>
        <v>1</v>
      </c>
      <c r="C28" s="52" t="str">
        <f>TEXT(Data!F28,"mmm")</f>
        <v>Jan</v>
      </c>
      <c r="D28" s="52" t="str">
        <f>Data!O28</f>
        <v>Male</v>
      </c>
      <c r="E28" s="52">
        <f>Data!G28-Data!F28</f>
        <v>3</v>
      </c>
      <c r="F28" s="52">
        <f>IF(Data!J28&lt;=5,Data!J28,IF(Data!J28&lt;=10,"6 TO 10","More than 10"))</f>
        <v>4</v>
      </c>
      <c r="G28" s="52">
        <f t="shared" si="0"/>
        <v>3</v>
      </c>
      <c r="H28" s="52">
        <f>ROUND(Data!C28*Data!D28-Data!E28,2)</f>
        <v>0</v>
      </c>
      <c r="I28" s="52">
        <f>IF(AND(OR(Sel_Mode="All",Data!I28=Sel_Mode),OR(Sel_Gender="All",D28=Sel_Gender),OR(Sel_Category="All",Data!B28=Sel_Category),OR(Sel_Month="All",C28=Sel_Month),OR(Sel_County="All",Data!L28=Sel_County)),1,0)</f>
        <v>1</v>
      </c>
      <c r="R28" s="54" t="s">
        <v>131</v>
      </c>
    </row>
    <row r="29" spans="1:18" x14ac:dyDescent="0.25">
      <c r="A29" s="52" t="str">
        <f>Data!A29</f>
        <v>TX500028</v>
      </c>
      <c r="B29" s="52">
        <f>MONTH(Data!F29)</f>
        <v>1</v>
      </c>
      <c r="C29" s="52" t="str">
        <f>TEXT(Data!F29,"mmm")</f>
        <v>Jan</v>
      </c>
      <c r="D29" s="52" t="str">
        <f>Data!O29</f>
        <v>Unknown</v>
      </c>
      <c r="E29" s="52">
        <f>Data!G29-Data!F29</f>
        <v>2</v>
      </c>
      <c r="F29" s="52">
        <f>IF(Data!J29&lt;=5,Data!J29,IF(Data!J29&lt;=10,"6 TO 10","More than 10"))</f>
        <v>5</v>
      </c>
      <c r="G29" s="52">
        <f t="shared" si="0"/>
        <v>2</v>
      </c>
      <c r="H29" s="52">
        <f>ROUND(Data!C29*Data!D29-Data!E29,2)</f>
        <v>0</v>
      </c>
      <c r="I29" s="52">
        <f>IF(AND(OR(Sel_Mode="All",Data!I29=Sel_Mode),OR(Sel_Gender="All",D29=Sel_Gender),OR(Sel_Category="All",Data!B29=Sel_Category),OR(Sel_Month="All",C29=Sel_Month),OR(Sel_County="All",Data!L29=Sel_County)),1,0)</f>
        <v>1</v>
      </c>
      <c r="R29" s="54" t="s">
        <v>132</v>
      </c>
    </row>
    <row r="30" spans="1:18" x14ac:dyDescent="0.25">
      <c r="A30" s="52" t="str">
        <f>Data!A30</f>
        <v>TX500029</v>
      </c>
      <c r="B30" s="52">
        <f>MONTH(Data!F30)</f>
        <v>1</v>
      </c>
      <c r="C30" s="52" t="str">
        <f>TEXT(Data!F30,"mmm")</f>
        <v>Jan</v>
      </c>
      <c r="D30" s="52" t="str">
        <f>Data!O30</f>
        <v>Unknown</v>
      </c>
      <c r="E30" s="52">
        <f>Data!G30-Data!F30</f>
        <v>6</v>
      </c>
      <c r="F30" s="52">
        <f>IF(Data!J30&lt;=5,Data!J30,IF(Data!J30&lt;=10,"6 TO 10","More than 10"))</f>
        <v>5</v>
      </c>
      <c r="G30" s="52">
        <f t="shared" si="0"/>
        <v>6</v>
      </c>
      <c r="H30" s="52">
        <f>ROUND(Data!C30*Data!D30-Data!E30,2)</f>
        <v>0</v>
      </c>
      <c r="I30" s="52">
        <f>IF(AND(OR(Sel_Mode="All",Data!I30=Sel_Mode),OR(Sel_Gender="All",D30=Sel_Gender),OR(Sel_Category="All",Data!B30=Sel_Category),OR(Sel_Month="All",C30=Sel_Month),OR(Sel_County="All",Data!L30=Sel_County)),1,0)</f>
        <v>1</v>
      </c>
      <c r="R30" s="54" t="s">
        <v>133</v>
      </c>
    </row>
    <row r="31" spans="1:18" x14ac:dyDescent="0.25">
      <c r="A31" s="52" t="str">
        <f>Data!A31</f>
        <v>TX500030</v>
      </c>
      <c r="B31" s="52">
        <f>MONTH(Data!F31)</f>
        <v>1</v>
      </c>
      <c r="C31" s="52" t="str">
        <f>TEXT(Data!F31,"mmm")</f>
        <v>Jan</v>
      </c>
      <c r="D31" s="52" t="str">
        <f>Data!O31</f>
        <v>Female</v>
      </c>
      <c r="E31" s="52">
        <f>Data!G31-Data!F31</f>
        <v>4</v>
      </c>
      <c r="F31" s="52">
        <f>IF(Data!J31&lt;=5,Data!J31,IF(Data!J31&lt;=10,"6 TO 10","More than 10"))</f>
        <v>4</v>
      </c>
      <c r="G31" s="52">
        <f t="shared" si="0"/>
        <v>4</v>
      </c>
      <c r="H31" s="52">
        <f>ROUND(Data!C31*Data!D31-Data!E31,2)</f>
        <v>0</v>
      </c>
      <c r="I31" s="52">
        <f>IF(AND(OR(Sel_Mode="All",Data!I31=Sel_Mode),OR(Sel_Gender="All",D31=Sel_Gender),OR(Sel_Category="All",Data!B31=Sel_Category),OR(Sel_Month="All",C31=Sel_Month),OR(Sel_County="All",Data!L31=Sel_County)),1,0)</f>
        <v>1</v>
      </c>
      <c r="R31" s="54" t="s">
        <v>134</v>
      </c>
    </row>
    <row r="32" spans="1:18" x14ac:dyDescent="0.25">
      <c r="A32" s="52" t="str">
        <f>Data!A32</f>
        <v>TX500031</v>
      </c>
      <c r="B32" s="52">
        <f>MONTH(Data!F32)</f>
        <v>1</v>
      </c>
      <c r="C32" s="52" t="str">
        <f>TEXT(Data!F32,"mmm")</f>
        <v>Jan</v>
      </c>
      <c r="D32" s="52" t="str">
        <f>Data!O32</f>
        <v>Male</v>
      </c>
      <c r="E32" s="52">
        <f>Data!G32-Data!F32</f>
        <v>4</v>
      </c>
      <c r="F32" s="52">
        <f>IF(Data!J32&lt;=5,Data!J32,IF(Data!J32&lt;=10,"6 TO 10","More than 10"))</f>
        <v>5</v>
      </c>
      <c r="G32" s="52">
        <f t="shared" si="0"/>
        <v>4</v>
      </c>
      <c r="H32" s="52">
        <f>ROUND(Data!C32*Data!D32-Data!E32,2)</f>
        <v>0</v>
      </c>
      <c r="I32" s="52">
        <f>IF(AND(OR(Sel_Mode="All",Data!I32=Sel_Mode),OR(Sel_Gender="All",D32=Sel_Gender),OR(Sel_Category="All",Data!B32=Sel_Category),OR(Sel_Month="All",C32=Sel_Month),OR(Sel_County="All",Data!L32=Sel_County)),1,0)</f>
        <v>1</v>
      </c>
      <c r="R32" s="54" t="s">
        <v>135</v>
      </c>
    </row>
    <row r="33" spans="1:18" x14ac:dyDescent="0.25">
      <c r="A33" s="52" t="str">
        <f>Data!A33</f>
        <v>TX500032</v>
      </c>
      <c r="B33" s="52">
        <f>MONTH(Data!F33)</f>
        <v>1</v>
      </c>
      <c r="C33" s="52" t="str">
        <f>TEXT(Data!F33,"mmm")</f>
        <v>Jan</v>
      </c>
      <c r="D33" s="52" t="str">
        <f>Data!O33</f>
        <v>Male</v>
      </c>
      <c r="E33" s="52">
        <f>Data!G33-Data!F33</f>
        <v>3</v>
      </c>
      <c r="F33" s="52">
        <f>IF(Data!J33&lt;=5,Data!J33,IF(Data!J33&lt;=10,"6 TO 10","More than 10"))</f>
        <v>4</v>
      </c>
      <c r="G33" s="52">
        <f t="shared" si="0"/>
        <v>3</v>
      </c>
      <c r="H33" s="52">
        <f>ROUND(Data!C33*Data!D33-Data!E33,2)</f>
        <v>0</v>
      </c>
      <c r="I33" s="52">
        <f>IF(AND(OR(Sel_Mode="All",Data!I33=Sel_Mode),OR(Sel_Gender="All",D33=Sel_Gender),OR(Sel_Category="All",Data!B33=Sel_Category),OR(Sel_Month="All",C33=Sel_Month),OR(Sel_County="All",Data!L33=Sel_County)),1,0)</f>
        <v>1</v>
      </c>
      <c r="R33" s="54" t="s">
        <v>136</v>
      </c>
    </row>
    <row r="34" spans="1:18" x14ac:dyDescent="0.25">
      <c r="A34" s="52" t="str">
        <f>Data!A34</f>
        <v>TX500033</v>
      </c>
      <c r="B34" s="52">
        <f>MONTH(Data!F34)</f>
        <v>1</v>
      </c>
      <c r="C34" s="52" t="str">
        <f>TEXT(Data!F34,"mmm")</f>
        <v>Jan</v>
      </c>
      <c r="D34" s="52" t="str">
        <f>Data!O34</f>
        <v>Male</v>
      </c>
      <c r="E34" s="52">
        <f>Data!G34-Data!F34</f>
        <v>1</v>
      </c>
      <c r="F34" s="52">
        <f>IF(Data!J34&lt;=5,Data!J34,IF(Data!J34&lt;=10,"6 TO 10","More than 10"))</f>
        <v>4</v>
      </c>
      <c r="G34" s="52">
        <f t="shared" si="0"/>
        <v>1</v>
      </c>
      <c r="H34" s="52">
        <f>ROUND(Data!C34*Data!D34-Data!E34,2)</f>
        <v>0</v>
      </c>
      <c r="I34" s="52">
        <f>IF(AND(OR(Sel_Mode="All",Data!I34=Sel_Mode),OR(Sel_Gender="All",D34=Sel_Gender),OR(Sel_Category="All",Data!B34=Sel_Category),OR(Sel_Month="All",C34=Sel_Month),OR(Sel_County="All",Data!L34=Sel_County)),1,0)</f>
        <v>1</v>
      </c>
      <c r="R34" s="54" t="s">
        <v>137</v>
      </c>
    </row>
    <row r="35" spans="1:18" x14ac:dyDescent="0.25">
      <c r="A35" s="52" t="str">
        <f>Data!A35</f>
        <v>TX500034</v>
      </c>
      <c r="B35" s="52">
        <f>MONTH(Data!F35)</f>
        <v>1</v>
      </c>
      <c r="C35" s="52" t="str">
        <f>TEXT(Data!F35,"mmm")</f>
        <v>Jan</v>
      </c>
      <c r="D35" s="52" t="str">
        <f>Data!O35</f>
        <v>Other</v>
      </c>
      <c r="E35" s="52">
        <f>Data!G35-Data!F35</f>
        <v>2</v>
      </c>
      <c r="F35" s="52">
        <f>IF(Data!J35&lt;=5,Data!J35,IF(Data!J35&lt;=10,"6 TO 10","More than 10"))</f>
        <v>5</v>
      </c>
      <c r="G35" s="52">
        <f t="shared" si="0"/>
        <v>2</v>
      </c>
      <c r="H35" s="52">
        <f>ROUND(Data!C35*Data!D35-Data!E35,2)</f>
        <v>0</v>
      </c>
      <c r="I35" s="52">
        <f>IF(AND(OR(Sel_Mode="All",Data!I35=Sel_Mode),OR(Sel_Gender="All",D35=Sel_Gender),OR(Sel_Category="All",Data!B35=Sel_Category),OR(Sel_Month="All",C35=Sel_Month),OR(Sel_County="All",Data!L35=Sel_County)),1,0)</f>
        <v>1</v>
      </c>
      <c r="R35" s="54" t="s">
        <v>138</v>
      </c>
    </row>
    <row r="36" spans="1:18" x14ac:dyDescent="0.25">
      <c r="A36" s="52" t="str">
        <f>Data!A36</f>
        <v>TX500035</v>
      </c>
      <c r="B36" s="52">
        <f>MONTH(Data!F36)</f>
        <v>1</v>
      </c>
      <c r="C36" s="52" t="str">
        <f>TEXT(Data!F36,"mmm")</f>
        <v>Jan</v>
      </c>
      <c r="D36" s="52" t="str">
        <f>Data!O36</f>
        <v>Male</v>
      </c>
      <c r="E36" s="52">
        <f>Data!G36-Data!F36</f>
        <v>3</v>
      </c>
      <c r="F36" s="52">
        <f>IF(Data!J36&lt;=5,Data!J36,IF(Data!J36&lt;=10,"6 TO 10","More than 10"))</f>
        <v>5</v>
      </c>
      <c r="G36" s="52">
        <f t="shared" si="0"/>
        <v>3</v>
      </c>
      <c r="H36" s="52">
        <f>ROUND(Data!C36*Data!D36-Data!E36,2)</f>
        <v>0</v>
      </c>
      <c r="I36" s="52">
        <f>IF(AND(OR(Sel_Mode="All",Data!I36=Sel_Mode),OR(Sel_Gender="All",D36=Sel_Gender),OR(Sel_Category="All",Data!B36=Sel_Category),OR(Sel_Month="All",C36=Sel_Month),OR(Sel_County="All",Data!L36=Sel_County)),1,0)</f>
        <v>1</v>
      </c>
      <c r="R36" s="54" t="s">
        <v>139</v>
      </c>
    </row>
    <row r="37" spans="1:18" x14ac:dyDescent="0.25">
      <c r="A37" s="52" t="str">
        <f>Data!A37</f>
        <v>TX500036</v>
      </c>
      <c r="B37" s="52">
        <f>MONTH(Data!F37)</f>
        <v>1</v>
      </c>
      <c r="C37" s="52" t="str">
        <f>TEXT(Data!F37,"mmm")</f>
        <v>Jan</v>
      </c>
      <c r="D37" s="52" t="str">
        <f>Data!O37</f>
        <v>Male</v>
      </c>
      <c r="E37" s="52">
        <f>Data!G37-Data!F37</f>
        <v>1</v>
      </c>
      <c r="F37" s="52">
        <f>IF(Data!J37&lt;=5,Data!J37,IF(Data!J37&lt;=10,"6 TO 10","More than 10"))</f>
        <v>5</v>
      </c>
      <c r="G37" s="52">
        <f t="shared" si="0"/>
        <v>1</v>
      </c>
      <c r="H37" s="52">
        <f>ROUND(Data!C37*Data!D37-Data!E37,2)</f>
        <v>0</v>
      </c>
      <c r="I37" s="52">
        <f>IF(AND(OR(Sel_Mode="All",Data!I37=Sel_Mode),OR(Sel_Gender="All",D37=Sel_Gender),OR(Sel_Category="All",Data!B37=Sel_Category),OR(Sel_Month="All",C37=Sel_Month),OR(Sel_County="All",Data!L37=Sel_County)),1,0)</f>
        <v>1</v>
      </c>
      <c r="R37" s="54" t="s">
        <v>140</v>
      </c>
    </row>
    <row r="38" spans="1:18" x14ac:dyDescent="0.25">
      <c r="A38" s="52" t="str">
        <f>Data!A38</f>
        <v>TX500037</v>
      </c>
      <c r="B38" s="52">
        <f>MONTH(Data!F38)</f>
        <v>1</v>
      </c>
      <c r="C38" s="52" t="str">
        <f>TEXT(Data!F38,"mmm")</f>
        <v>Jan</v>
      </c>
      <c r="D38" s="52" t="str">
        <f>Data!O38</f>
        <v>Male</v>
      </c>
      <c r="E38" s="52">
        <f>Data!G38-Data!F38</f>
        <v>4</v>
      </c>
      <c r="F38" s="52">
        <f>IF(Data!J38&lt;=5,Data!J38,IF(Data!J38&lt;=10,"6 TO 10","More than 10"))</f>
        <v>3</v>
      </c>
      <c r="G38" s="52">
        <f t="shared" si="0"/>
        <v>4</v>
      </c>
      <c r="H38" s="52">
        <f>ROUND(Data!C38*Data!D38-Data!E38,2)</f>
        <v>0</v>
      </c>
      <c r="I38" s="52">
        <f>IF(AND(OR(Sel_Mode="All",Data!I38=Sel_Mode),OR(Sel_Gender="All",D38=Sel_Gender),OR(Sel_Category="All",Data!B38=Sel_Category),OR(Sel_Month="All",C38=Sel_Month),OR(Sel_County="All",Data!L38=Sel_County)),1,0)</f>
        <v>1</v>
      </c>
      <c r="R38" s="54" t="s">
        <v>141</v>
      </c>
    </row>
    <row r="39" spans="1:18" x14ac:dyDescent="0.25">
      <c r="A39" s="52" t="str">
        <f>Data!A39</f>
        <v>TX500038</v>
      </c>
      <c r="B39" s="52">
        <f>MONTH(Data!F39)</f>
        <v>1</v>
      </c>
      <c r="C39" s="52" t="str">
        <f>TEXT(Data!F39,"mmm")</f>
        <v>Jan</v>
      </c>
      <c r="D39" s="52" t="str">
        <f>Data!O39</f>
        <v>Male</v>
      </c>
      <c r="E39" s="52">
        <f>Data!G39-Data!F39</f>
        <v>6</v>
      </c>
      <c r="F39" s="52">
        <f>IF(Data!J39&lt;=5,Data!J39,IF(Data!J39&lt;=10,"6 TO 10","More than 10"))</f>
        <v>5</v>
      </c>
      <c r="G39" s="52">
        <f t="shared" si="0"/>
        <v>6</v>
      </c>
      <c r="H39" s="52">
        <f>ROUND(Data!C39*Data!D39-Data!E39,2)</f>
        <v>0</v>
      </c>
      <c r="I39" s="52">
        <f>IF(AND(OR(Sel_Mode="All",Data!I39=Sel_Mode),OR(Sel_Gender="All",D39=Sel_Gender),OR(Sel_Category="All",Data!B39=Sel_Category),OR(Sel_Month="All",C39=Sel_Month),OR(Sel_County="All",Data!L39=Sel_County)),1,0)</f>
        <v>1</v>
      </c>
      <c r="R39" s="54" t="s">
        <v>142</v>
      </c>
    </row>
    <row r="40" spans="1:18" x14ac:dyDescent="0.25">
      <c r="A40" s="52" t="str">
        <f>Data!A40</f>
        <v>TX500039</v>
      </c>
      <c r="B40" s="52">
        <f>MONTH(Data!F40)</f>
        <v>1</v>
      </c>
      <c r="C40" s="52" t="str">
        <f>TEXT(Data!F40,"mmm")</f>
        <v>Jan</v>
      </c>
      <c r="D40" s="52" t="str">
        <f>Data!O40</f>
        <v>Male</v>
      </c>
      <c r="E40" s="52">
        <f>Data!G40-Data!F40</f>
        <v>1</v>
      </c>
      <c r="F40" s="52">
        <f>IF(Data!J40&lt;=5,Data!J40,IF(Data!J40&lt;=10,"6 TO 10","More than 10"))</f>
        <v>4</v>
      </c>
      <c r="G40" s="52">
        <f t="shared" si="0"/>
        <v>1</v>
      </c>
      <c r="H40" s="52">
        <f>ROUND(Data!C40*Data!D40-Data!E40,2)</f>
        <v>0</v>
      </c>
      <c r="I40" s="52">
        <f>IF(AND(OR(Sel_Mode="All",Data!I40=Sel_Mode),OR(Sel_Gender="All",D40=Sel_Gender),OR(Sel_Category="All",Data!B40=Sel_Category),OR(Sel_Month="All",C40=Sel_Month),OR(Sel_County="All",Data!L40=Sel_County)),1,0)</f>
        <v>1</v>
      </c>
      <c r="R40" s="54" t="s">
        <v>143</v>
      </c>
    </row>
    <row r="41" spans="1:18" x14ac:dyDescent="0.25">
      <c r="A41" s="52" t="str">
        <f>Data!A41</f>
        <v>TX500040</v>
      </c>
      <c r="B41" s="52">
        <f>MONTH(Data!F41)</f>
        <v>1</v>
      </c>
      <c r="C41" s="52" t="str">
        <f>TEXT(Data!F41,"mmm")</f>
        <v>Jan</v>
      </c>
      <c r="D41" s="52" t="str">
        <f>Data!O41</f>
        <v>Female</v>
      </c>
      <c r="E41" s="52">
        <f>Data!G41-Data!F41</f>
        <v>1</v>
      </c>
      <c r="F41" s="52">
        <f>IF(Data!J41&lt;=5,Data!J41,IF(Data!J41&lt;=10,"6 TO 10","More than 10"))</f>
        <v>3</v>
      </c>
      <c r="G41" s="52">
        <f t="shared" si="0"/>
        <v>1</v>
      </c>
      <c r="H41" s="52">
        <f>ROUND(Data!C41*Data!D41-Data!E41,2)</f>
        <v>0</v>
      </c>
      <c r="I41" s="52">
        <f>IF(AND(OR(Sel_Mode="All",Data!I41=Sel_Mode),OR(Sel_Gender="All",D41=Sel_Gender),OR(Sel_Category="All",Data!B41=Sel_Category),OR(Sel_Month="All",C41=Sel_Month),OR(Sel_County="All",Data!L41=Sel_County)),1,0)</f>
        <v>1</v>
      </c>
      <c r="R41" s="54" t="s">
        <v>144</v>
      </c>
    </row>
    <row r="42" spans="1:18" x14ac:dyDescent="0.25">
      <c r="A42" s="52" t="str">
        <f>Data!A42</f>
        <v>TX500041</v>
      </c>
      <c r="B42" s="52">
        <f>MONTH(Data!F42)</f>
        <v>1</v>
      </c>
      <c r="C42" s="52" t="str">
        <f>TEXT(Data!F42,"mmm")</f>
        <v>Jan</v>
      </c>
      <c r="D42" s="52" t="str">
        <f>Data!O42</f>
        <v>Female</v>
      </c>
      <c r="E42" s="52">
        <f>Data!G42-Data!F42</f>
        <v>1</v>
      </c>
      <c r="F42" s="52">
        <f>IF(Data!J42&lt;=5,Data!J42,IF(Data!J42&lt;=10,"6 TO 10","More than 10"))</f>
        <v>5</v>
      </c>
      <c r="G42" s="52">
        <f t="shared" si="0"/>
        <v>1</v>
      </c>
      <c r="H42" s="52">
        <f>ROUND(Data!C42*Data!D42-Data!E42,2)</f>
        <v>0</v>
      </c>
      <c r="I42" s="52">
        <f>IF(AND(OR(Sel_Mode="All",Data!I42=Sel_Mode),OR(Sel_Gender="All",D42=Sel_Gender),OR(Sel_Category="All",Data!B42=Sel_Category),OR(Sel_Month="All",C42=Sel_Month),OR(Sel_County="All",Data!L42=Sel_County)),1,0)</f>
        <v>1</v>
      </c>
      <c r="R42" s="54" t="s">
        <v>145</v>
      </c>
    </row>
    <row r="43" spans="1:18" x14ac:dyDescent="0.25">
      <c r="A43" s="52" t="str">
        <f>Data!A43</f>
        <v>TX500042</v>
      </c>
      <c r="B43" s="52">
        <f>MONTH(Data!F43)</f>
        <v>1</v>
      </c>
      <c r="C43" s="52" t="str">
        <f>TEXT(Data!F43,"mmm")</f>
        <v>Jan</v>
      </c>
      <c r="D43" s="52" t="str">
        <f>Data!O43</f>
        <v>Male</v>
      </c>
      <c r="E43" s="52">
        <f>Data!G43-Data!F43</f>
        <v>1</v>
      </c>
      <c r="F43" s="52">
        <f>IF(Data!J43&lt;=5,Data!J43,IF(Data!J43&lt;=10,"6 TO 10","More than 10"))</f>
        <v>5</v>
      </c>
      <c r="G43" s="52">
        <f t="shared" si="0"/>
        <v>1</v>
      </c>
      <c r="H43" s="52">
        <f>ROUND(Data!C43*Data!D43-Data!E43,2)</f>
        <v>0</v>
      </c>
      <c r="I43" s="52">
        <f>IF(AND(OR(Sel_Mode="All",Data!I43=Sel_Mode),OR(Sel_Gender="All",D43=Sel_Gender),OR(Sel_Category="All",Data!B43=Sel_Category),OR(Sel_Month="All",C43=Sel_Month),OR(Sel_County="All",Data!L43=Sel_County)),1,0)</f>
        <v>1</v>
      </c>
      <c r="R43" s="54" t="s">
        <v>146</v>
      </c>
    </row>
    <row r="44" spans="1:18" x14ac:dyDescent="0.25">
      <c r="A44" s="52" t="str">
        <f>Data!A44</f>
        <v>TX500043</v>
      </c>
      <c r="B44" s="52">
        <f>MONTH(Data!F44)</f>
        <v>1</v>
      </c>
      <c r="C44" s="52" t="str">
        <f>TEXT(Data!F44,"mmm")</f>
        <v>Jan</v>
      </c>
      <c r="D44" s="52" t="str">
        <f>Data!O44</f>
        <v>Male</v>
      </c>
      <c r="E44" s="52">
        <f>Data!G44-Data!F44</f>
        <v>2</v>
      </c>
      <c r="F44" s="52">
        <f>IF(Data!J44&lt;=5,Data!J44,IF(Data!J44&lt;=10,"6 TO 10","More than 10"))</f>
        <v>3</v>
      </c>
      <c r="G44" s="52">
        <f t="shared" si="0"/>
        <v>2</v>
      </c>
      <c r="H44" s="52">
        <f>ROUND(Data!C44*Data!D44-Data!E44,2)</f>
        <v>0</v>
      </c>
      <c r="I44" s="52">
        <f>IF(AND(OR(Sel_Mode="All",Data!I44=Sel_Mode),OR(Sel_Gender="All",D44=Sel_Gender),OR(Sel_Category="All",Data!B44=Sel_Category),OR(Sel_Month="All",C44=Sel_Month),OR(Sel_County="All",Data!L44=Sel_County)),1,0)</f>
        <v>1</v>
      </c>
      <c r="R44" s="54" t="s">
        <v>147</v>
      </c>
    </row>
    <row r="45" spans="1:18" x14ac:dyDescent="0.25">
      <c r="A45" s="52" t="str">
        <f>Data!A45</f>
        <v>TX500044</v>
      </c>
      <c r="B45" s="52">
        <f>MONTH(Data!F45)</f>
        <v>1</v>
      </c>
      <c r="C45" s="52" t="str">
        <f>TEXT(Data!F45,"mmm")</f>
        <v>Jan</v>
      </c>
      <c r="D45" s="52" t="str">
        <f>Data!O45</f>
        <v>Female</v>
      </c>
      <c r="E45" s="52">
        <f>Data!G45-Data!F45</f>
        <v>0</v>
      </c>
      <c r="F45" s="52">
        <f>IF(Data!J45&lt;=5,Data!J45,IF(Data!J45&lt;=10,"6 TO 10","More than 10"))</f>
        <v>3</v>
      </c>
      <c r="G45" s="52">
        <f t="shared" si="0"/>
        <v>0</v>
      </c>
      <c r="H45" s="52">
        <f>ROUND(Data!C45*Data!D45-Data!E45,2)</f>
        <v>0</v>
      </c>
      <c r="I45" s="52">
        <f>IF(AND(OR(Sel_Mode="All",Data!I45=Sel_Mode),OR(Sel_Gender="All",D45=Sel_Gender),OR(Sel_Category="All",Data!B45=Sel_Category),OR(Sel_Month="All",C45=Sel_Month),OR(Sel_County="All",Data!L45=Sel_County)),1,0)</f>
        <v>1</v>
      </c>
      <c r="R45" s="54" t="s">
        <v>148</v>
      </c>
    </row>
    <row r="46" spans="1:18" x14ac:dyDescent="0.25">
      <c r="A46" s="52" t="str">
        <f>Data!A46</f>
        <v>TX500045</v>
      </c>
      <c r="B46" s="52">
        <f>MONTH(Data!F46)</f>
        <v>1</v>
      </c>
      <c r="C46" s="52" t="str">
        <f>TEXT(Data!F46,"mmm")</f>
        <v>Jan</v>
      </c>
      <c r="D46" s="52" t="str">
        <f>Data!O46</f>
        <v>Female</v>
      </c>
      <c r="E46" s="52">
        <f>Data!G46-Data!F46</f>
        <v>1</v>
      </c>
      <c r="F46" s="52">
        <f>IF(Data!J46&lt;=5,Data!J46,IF(Data!J46&lt;=10,"6 TO 10","More than 10"))</f>
        <v>5</v>
      </c>
      <c r="G46" s="52">
        <f t="shared" si="0"/>
        <v>1</v>
      </c>
      <c r="H46" s="52">
        <f>ROUND(Data!C46*Data!D46-Data!E46,2)</f>
        <v>0</v>
      </c>
      <c r="I46" s="52">
        <f>IF(AND(OR(Sel_Mode="All",Data!I46=Sel_Mode),OR(Sel_Gender="All",D46=Sel_Gender),OR(Sel_Category="All",Data!B46=Sel_Category),OR(Sel_Month="All",C46=Sel_Month),OR(Sel_County="All",Data!L46=Sel_County)),1,0)</f>
        <v>1</v>
      </c>
      <c r="R46" s="54" t="s">
        <v>149</v>
      </c>
    </row>
    <row r="47" spans="1:18" x14ac:dyDescent="0.25">
      <c r="A47" s="52" t="str">
        <f>Data!A47</f>
        <v>TX500046</v>
      </c>
      <c r="B47" s="52">
        <f>MONTH(Data!F47)</f>
        <v>1</v>
      </c>
      <c r="C47" s="52" t="str">
        <f>TEXT(Data!F47,"mmm")</f>
        <v>Jan</v>
      </c>
      <c r="D47" s="52" t="str">
        <f>Data!O47</f>
        <v>Female</v>
      </c>
      <c r="E47" s="52">
        <f>Data!G47-Data!F47</f>
        <v>1</v>
      </c>
      <c r="F47" s="52">
        <f>IF(Data!J47&lt;=5,Data!J47,IF(Data!J47&lt;=10,"6 TO 10","More than 10"))</f>
        <v>4</v>
      </c>
      <c r="G47" s="52">
        <f t="shared" si="0"/>
        <v>1</v>
      </c>
      <c r="H47" s="52">
        <f>ROUND(Data!C47*Data!D47-Data!E47,2)</f>
        <v>0</v>
      </c>
      <c r="I47" s="52">
        <f>IF(AND(OR(Sel_Mode="All",Data!I47=Sel_Mode),OR(Sel_Gender="All",D47=Sel_Gender),OR(Sel_Category="All",Data!B47=Sel_Category),OR(Sel_Month="All",C47=Sel_Month),OR(Sel_County="All",Data!L47=Sel_County)),1,0)</f>
        <v>1</v>
      </c>
      <c r="R47" s="54" t="s">
        <v>150</v>
      </c>
    </row>
    <row r="48" spans="1:18" x14ac:dyDescent="0.25">
      <c r="A48" s="52" t="str">
        <f>Data!A48</f>
        <v>TX500047</v>
      </c>
      <c r="B48" s="52">
        <f>MONTH(Data!F48)</f>
        <v>1</v>
      </c>
      <c r="C48" s="52" t="str">
        <f>TEXT(Data!F48,"mmm")</f>
        <v>Jan</v>
      </c>
      <c r="D48" s="52" t="str">
        <f>Data!O48</f>
        <v>Male</v>
      </c>
      <c r="E48" s="52">
        <f>Data!G48-Data!F48</f>
        <v>1</v>
      </c>
      <c r="F48" s="52">
        <f>IF(Data!J48&lt;=5,Data!J48,IF(Data!J48&lt;=10,"6 TO 10","More than 10"))</f>
        <v>3</v>
      </c>
      <c r="G48" s="52">
        <f t="shared" si="0"/>
        <v>1</v>
      </c>
      <c r="H48" s="52">
        <f>ROUND(Data!C48*Data!D48-Data!E48,2)</f>
        <v>0</v>
      </c>
      <c r="I48" s="52">
        <f>IF(AND(OR(Sel_Mode="All",Data!I48=Sel_Mode),OR(Sel_Gender="All",D48=Sel_Gender),OR(Sel_Category="All",Data!B48=Sel_Category),OR(Sel_Month="All",C48=Sel_Month),OR(Sel_County="All",Data!L48=Sel_County)),1,0)</f>
        <v>1</v>
      </c>
      <c r="R48" s="54" t="s">
        <v>151</v>
      </c>
    </row>
    <row r="49" spans="1:18" x14ac:dyDescent="0.25">
      <c r="A49" s="52" t="str">
        <f>Data!A49</f>
        <v>TX500048</v>
      </c>
      <c r="B49" s="52">
        <f>MONTH(Data!F49)</f>
        <v>1</v>
      </c>
      <c r="C49" s="52" t="str">
        <f>TEXT(Data!F49,"mmm")</f>
        <v>Jan</v>
      </c>
      <c r="D49" s="52" t="str">
        <f>Data!O49</f>
        <v>Female</v>
      </c>
      <c r="E49" s="52">
        <f>Data!G49-Data!F49</f>
        <v>2</v>
      </c>
      <c r="F49" s="52">
        <f>IF(Data!J49&lt;=5,Data!J49,IF(Data!J49&lt;=10,"6 TO 10","More than 10"))</f>
        <v>4</v>
      </c>
      <c r="G49" s="52">
        <f t="shared" si="0"/>
        <v>2</v>
      </c>
      <c r="H49" s="52">
        <f>ROUND(Data!C49*Data!D49-Data!E49,2)</f>
        <v>0</v>
      </c>
      <c r="I49" s="52">
        <f>IF(AND(OR(Sel_Mode="All",Data!I49=Sel_Mode),OR(Sel_Gender="All",D49=Sel_Gender),OR(Sel_Category="All",Data!B49=Sel_Category),OR(Sel_Month="All",C49=Sel_Month),OR(Sel_County="All",Data!L49=Sel_County)),1,0)</f>
        <v>1</v>
      </c>
      <c r="R49" s="54" t="s">
        <v>152</v>
      </c>
    </row>
    <row r="50" spans="1:18" x14ac:dyDescent="0.25">
      <c r="A50" s="52" t="str">
        <f>Data!A50</f>
        <v>TX500049</v>
      </c>
      <c r="B50" s="52">
        <f>MONTH(Data!F50)</f>
        <v>1</v>
      </c>
      <c r="C50" s="52" t="str">
        <f>TEXT(Data!F50,"mmm")</f>
        <v>Jan</v>
      </c>
      <c r="D50" s="52" t="str">
        <f>Data!O50</f>
        <v>Female</v>
      </c>
      <c r="E50" s="52">
        <f>Data!G50-Data!F50</f>
        <v>9</v>
      </c>
      <c r="F50" s="52">
        <f>IF(Data!J50&lt;=5,Data!J50,IF(Data!J50&lt;=10,"6 TO 10","More than 10"))</f>
        <v>5</v>
      </c>
      <c r="G50" s="52" t="str">
        <f t="shared" si="0"/>
        <v>8+</v>
      </c>
      <c r="H50" s="52">
        <f>ROUND(Data!C50*Data!D50-Data!E50,2)</f>
        <v>0</v>
      </c>
      <c r="I50" s="52">
        <f>IF(AND(OR(Sel_Mode="All",Data!I50=Sel_Mode),OR(Sel_Gender="All",D50=Sel_Gender),OR(Sel_Category="All",Data!B50=Sel_Category),OR(Sel_Month="All",C50=Sel_Month),OR(Sel_County="All",Data!L50=Sel_County)),1,0)</f>
        <v>1</v>
      </c>
      <c r="R50" s="54" t="s">
        <v>153</v>
      </c>
    </row>
    <row r="51" spans="1:18" x14ac:dyDescent="0.25">
      <c r="A51" s="52" t="str">
        <f>Data!A51</f>
        <v>TX500050</v>
      </c>
      <c r="B51" s="52">
        <f>MONTH(Data!F51)</f>
        <v>1</v>
      </c>
      <c r="C51" s="52" t="str">
        <f>TEXT(Data!F51,"mmm")</f>
        <v>Jan</v>
      </c>
      <c r="D51" s="52" t="str">
        <f>Data!O51</f>
        <v>Female</v>
      </c>
      <c r="E51" s="52">
        <f>Data!G51-Data!F51</f>
        <v>2</v>
      </c>
      <c r="F51" s="52">
        <f>IF(Data!J51&lt;=5,Data!J51,IF(Data!J51&lt;=10,"6 TO 10","More than 10"))</f>
        <v>4</v>
      </c>
      <c r="G51" s="52">
        <f t="shared" si="0"/>
        <v>2</v>
      </c>
      <c r="H51" s="52">
        <f>ROUND(Data!C51*Data!D51-Data!E51,2)</f>
        <v>0</v>
      </c>
      <c r="I51" s="52">
        <f>IF(AND(OR(Sel_Mode="All",Data!I51=Sel_Mode),OR(Sel_Gender="All",D51=Sel_Gender),OR(Sel_Category="All",Data!B51=Sel_Category),OR(Sel_Month="All",C51=Sel_Month),OR(Sel_County="All",Data!L51=Sel_County)),1,0)</f>
        <v>1</v>
      </c>
      <c r="R51" s="54" t="s">
        <v>154</v>
      </c>
    </row>
    <row r="52" spans="1:18" x14ac:dyDescent="0.25">
      <c r="A52" s="52" t="str">
        <f>Data!A52</f>
        <v>TX500051</v>
      </c>
      <c r="B52" s="52">
        <f>MONTH(Data!F52)</f>
        <v>1</v>
      </c>
      <c r="C52" s="52" t="str">
        <f>TEXT(Data!F52,"mmm")</f>
        <v>Jan</v>
      </c>
      <c r="D52" s="52" t="str">
        <f>Data!O52</f>
        <v>Male</v>
      </c>
      <c r="E52" s="52">
        <f>Data!G52-Data!F52</f>
        <v>1</v>
      </c>
      <c r="F52" s="52">
        <f>IF(Data!J52&lt;=5,Data!J52,IF(Data!J52&lt;=10,"6 TO 10","More than 10"))</f>
        <v>5</v>
      </c>
      <c r="G52" s="52">
        <f t="shared" si="0"/>
        <v>1</v>
      </c>
      <c r="H52" s="52">
        <f>ROUND(Data!C52*Data!D52-Data!E52,2)</f>
        <v>0</v>
      </c>
      <c r="I52" s="52">
        <f>IF(AND(OR(Sel_Mode="All",Data!I52=Sel_Mode),OR(Sel_Gender="All",D52=Sel_Gender),OR(Sel_Category="All",Data!B52=Sel_Category),OR(Sel_Month="All",C52=Sel_Month),OR(Sel_County="All",Data!L52=Sel_County)),1,0)</f>
        <v>1</v>
      </c>
      <c r="R52" s="54" t="s">
        <v>155</v>
      </c>
    </row>
    <row r="53" spans="1:18" x14ac:dyDescent="0.25">
      <c r="A53" s="52" t="str">
        <f>Data!A53</f>
        <v>TX500052</v>
      </c>
      <c r="B53" s="52">
        <f>MONTH(Data!F53)</f>
        <v>1</v>
      </c>
      <c r="C53" s="52" t="str">
        <f>TEXT(Data!F53,"mmm")</f>
        <v>Jan</v>
      </c>
      <c r="D53" s="52" t="str">
        <f>Data!O53</f>
        <v>Female</v>
      </c>
      <c r="E53" s="52">
        <f>Data!G53-Data!F53</f>
        <v>3</v>
      </c>
      <c r="F53" s="52">
        <f>IF(Data!J53&lt;=5,Data!J53,IF(Data!J53&lt;=10,"6 TO 10","More than 10"))</f>
        <v>4</v>
      </c>
      <c r="G53" s="52">
        <f t="shared" si="0"/>
        <v>3</v>
      </c>
      <c r="H53" s="52">
        <f>ROUND(Data!C53*Data!D53-Data!E53,2)</f>
        <v>0</v>
      </c>
      <c r="I53" s="52">
        <f>IF(AND(OR(Sel_Mode="All",Data!I53=Sel_Mode),OR(Sel_Gender="All",D53=Sel_Gender),OR(Sel_Category="All",Data!B53=Sel_Category),OR(Sel_Month="All",C53=Sel_Month),OR(Sel_County="All",Data!L53=Sel_County)),1,0)</f>
        <v>1</v>
      </c>
      <c r="R53" s="54" t="s">
        <v>156</v>
      </c>
    </row>
    <row r="54" spans="1:18" x14ac:dyDescent="0.25">
      <c r="A54" s="52" t="str">
        <f>Data!A54</f>
        <v>TX500053</v>
      </c>
      <c r="B54" s="52">
        <f>MONTH(Data!F54)</f>
        <v>1</v>
      </c>
      <c r="C54" s="52" t="str">
        <f>TEXT(Data!F54,"mmm")</f>
        <v>Jan</v>
      </c>
      <c r="D54" s="52" t="str">
        <f>Data!O54</f>
        <v>Male</v>
      </c>
      <c r="E54" s="52">
        <f>Data!G54-Data!F54</f>
        <v>2</v>
      </c>
      <c r="F54" s="52">
        <f>IF(Data!J54&lt;=5,Data!J54,IF(Data!J54&lt;=10,"6 TO 10","More than 10"))</f>
        <v>5</v>
      </c>
      <c r="G54" s="52">
        <f t="shared" si="0"/>
        <v>2</v>
      </c>
      <c r="H54" s="52">
        <f>ROUND(Data!C54*Data!D54-Data!E54,2)</f>
        <v>0</v>
      </c>
      <c r="I54" s="52">
        <f>IF(AND(OR(Sel_Mode="All",Data!I54=Sel_Mode),OR(Sel_Gender="All",D54=Sel_Gender),OR(Sel_Category="All",Data!B54=Sel_Category),OR(Sel_Month="All",C54=Sel_Month),OR(Sel_County="All",Data!L54=Sel_County)),1,0)</f>
        <v>1</v>
      </c>
      <c r="R54" s="54" t="s">
        <v>157</v>
      </c>
    </row>
    <row r="55" spans="1:18" x14ac:dyDescent="0.25">
      <c r="A55" s="52" t="str">
        <f>Data!A55</f>
        <v>TX500054</v>
      </c>
      <c r="B55" s="52">
        <f>MONTH(Data!F55)</f>
        <v>1</v>
      </c>
      <c r="C55" s="52" t="str">
        <f>TEXT(Data!F55,"mmm")</f>
        <v>Jan</v>
      </c>
      <c r="D55" s="52" t="str">
        <f>Data!O55</f>
        <v>Female</v>
      </c>
      <c r="E55" s="52">
        <f>Data!G55-Data!F55</f>
        <v>1</v>
      </c>
      <c r="F55" s="52">
        <f>IF(Data!J55&lt;=5,Data!J55,IF(Data!J55&lt;=10,"6 TO 10","More than 10"))</f>
        <v>5</v>
      </c>
      <c r="G55" s="52">
        <f t="shared" si="0"/>
        <v>1</v>
      </c>
      <c r="H55" s="52">
        <f>ROUND(Data!C55*Data!D55-Data!E55,2)</f>
        <v>0</v>
      </c>
      <c r="I55" s="52">
        <f>IF(AND(OR(Sel_Mode="All",Data!I55=Sel_Mode),OR(Sel_Gender="All",D55=Sel_Gender),OR(Sel_Category="All",Data!B55=Sel_Category),OR(Sel_Month="All",C55=Sel_Month),OR(Sel_County="All",Data!L55=Sel_County)),1,0)</f>
        <v>1</v>
      </c>
      <c r="R55" s="54" t="s">
        <v>158</v>
      </c>
    </row>
    <row r="56" spans="1:18" x14ac:dyDescent="0.25">
      <c r="A56" s="52" t="str">
        <f>Data!A56</f>
        <v>TX500055</v>
      </c>
      <c r="B56" s="52">
        <f>MONTH(Data!F56)</f>
        <v>1</v>
      </c>
      <c r="C56" s="52" t="str">
        <f>TEXT(Data!F56,"mmm")</f>
        <v>Jan</v>
      </c>
      <c r="D56" s="52" t="str">
        <f>Data!O56</f>
        <v>Male</v>
      </c>
      <c r="E56" s="52">
        <f>Data!G56-Data!F56</f>
        <v>3</v>
      </c>
      <c r="F56" s="52">
        <f>IF(Data!J56&lt;=5,Data!J56,IF(Data!J56&lt;=10,"6 TO 10","More than 10"))</f>
        <v>5</v>
      </c>
      <c r="G56" s="52">
        <f t="shared" si="0"/>
        <v>3</v>
      </c>
      <c r="H56" s="52">
        <f>ROUND(Data!C56*Data!D56-Data!E56,2)</f>
        <v>0</v>
      </c>
      <c r="I56" s="52">
        <f>IF(AND(OR(Sel_Mode="All",Data!I56=Sel_Mode),OR(Sel_Gender="All",D56=Sel_Gender),OR(Sel_Category="All",Data!B56=Sel_Category),OR(Sel_Month="All",C56=Sel_Month),OR(Sel_County="All",Data!L56=Sel_County)),1,0)</f>
        <v>1</v>
      </c>
      <c r="R56" s="54" t="s">
        <v>159</v>
      </c>
    </row>
    <row r="57" spans="1:18" x14ac:dyDescent="0.25">
      <c r="A57" s="52" t="str">
        <f>Data!A57</f>
        <v>TX500056</v>
      </c>
      <c r="B57" s="52">
        <f>MONTH(Data!F57)</f>
        <v>1</v>
      </c>
      <c r="C57" s="52" t="str">
        <f>TEXT(Data!F57,"mmm")</f>
        <v>Jan</v>
      </c>
      <c r="D57" s="52" t="str">
        <f>Data!O57</f>
        <v>Male</v>
      </c>
      <c r="E57" s="52">
        <f>Data!G57-Data!F57</f>
        <v>1</v>
      </c>
      <c r="F57" s="52">
        <f>IF(Data!J57&lt;=5,Data!J57,IF(Data!J57&lt;=10,"6 TO 10","More than 10"))</f>
        <v>4</v>
      </c>
      <c r="G57" s="52">
        <f t="shared" si="0"/>
        <v>1</v>
      </c>
      <c r="H57" s="52">
        <f>ROUND(Data!C57*Data!D57-Data!E57,2)</f>
        <v>0</v>
      </c>
      <c r="I57" s="52">
        <f>IF(AND(OR(Sel_Mode="All",Data!I57=Sel_Mode),OR(Sel_Gender="All",D57=Sel_Gender),OR(Sel_Category="All",Data!B57=Sel_Category),OR(Sel_Month="All",C57=Sel_Month),OR(Sel_County="All",Data!L57=Sel_County)),1,0)</f>
        <v>1</v>
      </c>
      <c r="R57" s="54" t="s">
        <v>160</v>
      </c>
    </row>
    <row r="58" spans="1:18" x14ac:dyDescent="0.25">
      <c r="A58" s="52" t="str">
        <f>Data!A58</f>
        <v>TX500057</v>
      </c>
      <c r="B58" s="52">
        <f>MONTH(Data!F58)</f>
        <v>1</v>
      </c>
      <c r="C58" s="52" t="str">
        <f>TEXT(Data!F58,"mmm")</f>
        <v>Jan</v>
      </c>
      <c r="D58" s="52" t="str">
        <f>Data!O58</f>
        <v>Female</v>
      </c>
      <c r="E58" s="52">
        <f>Data!G58-Data!F58</f>
        <v>1</v>
      </c>
      <c r="F58" s="52">
        <f>IF(Data!J58&lt;=5,Data!J58,IF(Data!J58&lt;=10,"6 TO 10","More than 10"))</f>
        <v>4</v>
      </c>
      <c r="G58" s="52">
        <f t="shared" si="0"/>
        <v>1</v>
      </c>
      <c r="H58" s="52">
        <f>ROUND(Data!C58*Data!D58-Data!E58,2)</f>
        <v>0</v>
      </c>
      <c r="I58" s="52">
        <f>IF(AND(OR(Sel_Mode="All",Data!I58=Sel_Mode),OR(Sel_Gender="All",D58=Sel_Gender),OR(Sel_Category="All",Data!B58=Sel_Category),OR(Sel_Month="All",C58=Sel_Month),OR(Sel_County="All",Data!L58=Sel_County)),1,0)</f>
        <v>1</v>
      </c>
      <c r="R58" s="54" t="s">
        <v>161</v>
      </c>
    </row>
    <row r="59" spans="1:18" x14ac:dyDescent="0.25">
      <c r="A59" s="52" t="str">
        <f>Data!A59</f>
        <v>TX500058</v>
      </c>
      <c r="B59" s="52">
        <f>MONTH(Data!F59)</f>
        <v>1</v>
      </c>
      <c r="C59" s="52" t="str">
        <f>TEXT(Data!F59,"mmm")</f>
        <v>Jan</v>
      </c>
      <c r="D59" s="52" t="str">
        <f>Data!O59</f>
        <v>Female</v>
      </c>
      <c r="E59" s="52">
        <f>Data!G59-Data!F59</f>
        <v>8</v>
      </c>
      <c r="F59" s="52">
        <f>IF(Data!J59&lt;=5,Data!J59,IF(Data!J59&lt;=10,"6 TO 10","More than 10"))</f>
        <v>5</v>
      </c>
      <c r="G59" s="52" t="str">
        <f t="shared" si="0"/>
        <v>8+</v>
      </c>
      <c r="H59" s="52">
        <f>ROUND(Data!C59*Data!D59-Data!E59,2)</f>
        <v>0</v>
      </c>
      <c r="I59" s="52">
        <f>IF(AND(OR(Sel_Mode="All",Data!I59=Sel_Mode),OR(Sel_Gender="All",D59=Sel_Gender),OR(Sel_Category="All",Data!B59=Sel_Category),OR(Sel_Month="All",C59=Sel_Month),OR(Sel_County="All",Data!L59=Sel_County)),1,0)</f>
        <v>1</v>
      </c>
      <c r="R59" s="54" t="s">
        <v>162</v>
      </c>
    </row>
    <row r="60" spans="1:18" x14ac:dyDescent="0.25">
      <c r="A60" s="52" t="str">
        <f>Data!A60</f>
        <v>TX500059</v>
      </c>
      <c r="B60" s="52">
        <f>MONTH(Data!F60)</f>
        <v>1</v>
      </c>
      <c r="C60" s="52" t="str">
        <f>TEXT(Data!F60,"mmm")</f>
        <v>Jan</v>
      </c>
      <c r="D60" s="52" t="str">
        <f>Data!O60</f>
        <v>Male</v>
      </c>
      <c r="E60" s="52">
        <f>Data!G60-Data!F60</f>
        <v>1</v>
      </c>
      <c r="F60" s="52">
        <f>IF(Data!J60&lt;=5,Data!J60,IF(Data!J60&lt;=10,"6 TO 10","More than 10"))</f>
        <v>5</v>
      </c>
      <c r="G60" s="52">
        <f t="shared" si="0"/>
        <v>1</v>
      </c>
      <c r="H60" s="52">
        <f>ROUND(Data!C60*Data!D60-Data!E60,2)</f>
        <v>0</v>
      </c>
      <c r="I60" s="52">
        <f>IF(AND(OR(Sel_Mode="All",Data!I60=Sel_Mode),OR(Sel_Gender="All",D60=Sel_Gender),OR(Sel_Category="All",Data!B60=Sel_Category),OR(Sel_Month="All",C60=Sel_Month),OR(Sel_County="All",Data!L60=Sel_County)),1,0)</f>
        <v>1</v>
      </c>
      <c r="R60" s="54" t="s">
        <v>163</v>
      </c>
    </row>
    <row r="61" spans="1:18" x14ac:dyDescent="0.25">
      <c r="A61" s="52" t="str">
        <f>Data!A61</f>
        <v>TX500060</v>
      </c>
      <c r="B61" s="52">
        <f>MONTH(Data!F61)</f>
        <v>1</v>
      </c>
      <c r="C61" s="52" t="str">
        <f>TEXT(Data!F61,"mmm")</f>
        <v>Jan</v>
      </c>
      <c r="D61" s="52" t="str">
        <f>Data!O61</f>
        <v>Female</v>
      </c>
      <c r="E61" s="52">
        <f>Data!G61-Data!F61</f>
        <v>3</v>
      </c>
      <c r="F61" s="52">
        <f>IF(Data!J61&lt;=5,Data!J61,IF(Data!J61&lt;=10,"6 TO 10","More than 10"))</f>
        <v>5</v>
      </c>
      <c r="G61" s="52">
        <f t="shared" si="0"/>
        <v>3</v>
      </c>
      <c r="H61" s="52">
        <f>ROUND(Data!C61*Data!D61-Data!E61,2)</f>
        <v>0</v>
      </c>
      <c r="I61" s="52">
        <f>IF(AND(OR(Sel_Mode="All",Data!I61=Sel_Mode),OR(Sel_Gender="All",D61=Sel_Gender),OR(Sel_Category="All",Data!B61=Sel_Category),OR(Sel_Month="All",C61=Sel_Month),OR(Sel_County="All",Data!L61=Sel_County)),1,0)</f>
        <v>1</v>
      </c>
    </row>
    <row r="62" spans="1:18" x14ac:dyDescent="0.25">
      <c r="A62" s="52" t="str">
        <f>Data!A62</f>
        <v>TX500061</v>
      </c>
      <c r="B62" s="52">
        <f>MONTH(Data!F62)</f>
        <v>1</v>
      </c>
      <c r="C62" s="52" t="str">
        <f>TEXT(Data!F62,"mmm")</f>
        <v>Jan</v>
      </c>
      <c r="D62" s="52" t="str">
        <f>Data!O62</f>
        <v>Female</v>
      </c>
      <c r="E62" s="52">
        <f>Data!G62-Data!F62</f>
        <v>2</v>
      </c>
      <c r="F62" s="52">
        <f>IF(Data!J62&lt;=5,Data!J62,IF(Data!J62&lt;=10,"6 TO 10","More than 10"))</f>
        <v>3</v>
      </c>
      <c r="G62" s="52">
        <f t="shared" si="0"/>
        <v>2</v>
      </c>
      <c r="H62" s="52">
        <f>ROUND(Data!C62*Data!D62-Data!E62,2)</f>
        <v>0</v>
      </c>
      <c r="I62" s="52">
        <f>IF(AND(OR(Sel_Mode="All",Data!I62=Sel_Mode),OR(Sel_Gender="All",D62=Sel_Gender),OR(Sel_Category="All",Data!B62=Sel_Category),OR(Sel_Month="All",C62=Sel_Month),OR(Sel_County="All",Data!L62=Sel_County)),1,0)</f>
        <v>1</v>
      </c>
      <c r="N62" s="33" t="s">
        <v>216</v>
      </c>
    </row>
    <row r="63" spans="1:18" x14ac:dyDescent="0.25">
      <c r="A63" s="52" t="str">
        <f>Data!A63</f>
        <v>TX500062</v>
      </c>
      <c r="B63" s="52">
        <f>MONTH(Data!F63)</f>
        <v>1</v>
      </c>
      <c r="C63" s="52" t="str">
        <f>TEXT(Data!F63,"mmm")</f>
        <v>Jan</v>
      </c>
      <c r="D63" s="52" t="str">
        <f>Data!O63</f>
        <v>Female</v>
      </c>
      <c r="E63" s="52">
        <f>Data!G63-Data!F63</f>
        <v>1</v>
      </c>
      <c r="F63" s="52">
        <f>IF(Data!J63&lt;=5,Data!J63,IF(Data!J63&lt;=10,"6 TO 10","More than 10"))</f>
        <v>4</v>
      </c>
      <c r="G63" s="52">
        <f t="shared" si="0"/>
        <v>1</v>
      </c>
      <c r="H63" s="52">
        <f>ROUND(Data!C63*Data!D63-Data!E63,2)</f>
        <v>0</v>
      </c>
      <c r="I63" s="52">
        <f>IF(AND(OR(Sel_Mode="All",Data!I63=Sel_Mode),OR(Sel_Gender="All",D63=Sel_Gender),OR(Sel_Category="All",Data!B63=Sel_Category),OR(Sel_Month="All",C63=Sel_Month),OR(Sel_County="All",Data!L63=Sel_County)),1,0)</f>
        <v>1</v>
      </c>
    </row>
    <row r="64" spans="1:18" x14ac:dyDescent="0.25">
      <c r="A64" s="52" t="str">
        <f>Data!A64</f>
        <v>TX500063</v>
      </c>
      <c r="B64" s="52">
        <f>MONTH(Data!F64)</f>
        <v>1</v>
      </c>
      <c r="C64" s="52" t="str">
        <f>TEXT(Data!F64,"mmm")</f>
        <v>Jan</v>
      </c>
      <c r="D64" s="52" t="str">
        <f>Data!O64</f>
        <v>Female</v>
      </c>
      <c r="E64" s="52">
        <f>Data!G64-Data!F64</f>
        <v>5</v>
      </c>
      <c r="F64" s="52">
        <f>IF(Data!J64&lt;=5,Data!J64,IF(Data!J64&lt;=10,"6 TO 10","More than 10"))</f>
        <v>4</v>
      </c>
      <c r="G64" s="52">
        <f t="shared" si="0"/>
        <v>5</v>
      </c>
      <c r="H64" s="52">
        <f>ROUND(Data!C64*Data!D64-Data!E64,2)</f>
        <v>0</v>
      </c>
      <c r="I64" s="52">
        <f>IF(AND(OR(Sel_Mode="All",Data!I64=Sel_Mode),OR(Sel_Gender="All",D64=Sel_Gender),OR(Sel_Category="All",Data!B64=Sel_Category),OR(Sel_Month="All",C64=Sel_Month),OR(Sel_County="All",Data!L64=Sel_County)),1,0)</f>
        <v>1</v>
      </c>
    </row>
    <row r="65" spans="1:9" x14ac:dyDescent="0.25">
      <c r="A65" s="52" t="str">
        <f>Data!A65</f>
        <v>TX500064</v>
      </c>
      <c r="B65" s="52">
        <f>MONTH(Data!F65)</f>
        <v>1</v>
      </c>
      <c r="C65" s="52" t="str">
        <f>TEXT(Data!F65,"mmm")</f>
        <v>Jan</v>
      </c>
      <c r="D65" s="52" t="str">
        <f>Data!O65</f>
        <v>Male</v>
      </c>
      <c r="E65" s="52">
        <f>Data!G65-Data!F65</f>
        <v>1</v>
      </c>
      <c r="F65" s="52">
        <f>IF(Data!J65&lt;=5,Data!J65,IF(Data!J65&lt;=10,"6 TO 10","More than 10"))</f>
        <v>2</v>
      </c>
      <c r="G65" s="52">
        <f t="shared" si="0"/>
        <v>1</v>
      </c>
      <c r="H65" s="52">
        <f>ROUND(Data!C65*Data!D65-Data!E65,2)</f>
        <v>0</v>
      </c>
      <c r="I65" s="52">
        <f>IF(AND(OR(Sel_Mode="All",Data!I65=Sel_Mode),OR(Sel_Gender="All",D65=Sel_Gender),OR(Sel_Category="All",Data!B65=Sel_Category),OR(Sel_Month="All",C65=Sel_Month),OR(Sel_County="All",Data!L65=Sel_County)),1,0)</f>
        <v>1</v>
      </c>
    </row>
    <row r="66" spans="1:9" x14ac:dyDescent="0.25">
      <c r="A66" s="52" t="str">
        <f>Data!A66</f>
        <v>TX500065</v>
      </c>
      <c r="B66" s="52">
        <f>MONTH(Data!F66)</f>
        <v>1</v>
      </c>
      <c r="C66" s="52" t="str">
        <f>TEXT(Data!F66,"mmm")</f>
        <v>Jan</v>
      </c>
      <c r="D66" s="52" t="str">
        <f>Data!O66</f>
        <v>Female</v>
      </c>
      <c r="E66" s="52">
        <f>Data!G66-Data!F66</f>
        <v>3</v>
      </c>
      <c r="F66" s="52">
        <f>IF(Data!J66&lt;=5,Data!J66,IF(Data!J66&lt;=10,"6 TO 10","More than 10"))</f>
        <v>4</v>
      </c>
      <c r="G66" s="52">
        <f t="shared" ref="G66:G129" si="1">IF(E66&gt;=8,"8+",E66)</f>
        <v>3</v>
      </c>
      <c r="H66" s="52">
        <f>ROUND(Data!C66*Data!D66-Data!E66,2)</f>
        <v>0</v>
      </c>
      <c r="I66" s="52">
        <f>IF(AND(OR(Sel_Mode="All",Data!I66=Sel_Mode),OR(Sel_Gender="All",D66=Sel_Gender),OR(Sel_Category="All",Data!B66=Sel_Category),OR(Sel_Month="All",C66=Sel_Month),OR(Sel_County="All",Data!L66=Sel_County)),1,0)</f>
        <v>1</v>
      </c>
    </row>
    <row r="67" spans="1:9" x14ac:dyDescent="0.25">
      <c r="A67" s="52" t="str">
        <f>Data!A67</f>
        <v>TX500066</v>
      </c>
      <c r="B67" s="52">
        <f>MONTH(Data!F67)</f>
        <v>1</v>
      </c>
      <c r="C67" s="52" t="str">
        <f>TEXT(Data!F67,"mmm")</f>
        <v>Jan</v>
      </c>
      <c r="D67" s="52" t="str">
        <f>Data!O67</f>
        <v>Female</v>
      </c>
      <c r="E67" s="52">
        <f>Data!G67-Data!F67</f>
        <v>1</v>
      </c>
      <c r="F67" s="52">
        <f>IF(Data!J67&lt;=5,Data!J67,IF(Data!J67&lt;=10,"6 TO 10","More than 10"))</f>
        <v>4</v>
      </c>
      <c r="G67" s="52">
        <f t="shared" si="1"/>
        <v>1</v>
      </c>
      <c r="H67" s="52">
        <f>ROUND(Data!C67*Data!D67-Data!E67,2)</f>
        <v>0</v>
      </c>
      <c r="I67" s="52">
        <f>IF(AND(OR(Sel_Mode="All",Data!I67=Sel_Mode),OR(Sel_Gender="All",D67=Sel_Gender),OR(Sel_Category="All",Data!B67=Sel_Category),OR(Sel_Month="All",C67=Sel_Month),OR(Sel_County="All",Data!L67=Sel_County)),1,0)</f>
        <v>1</v>
      </c>
    </row>
    <row r="68" spans="1:9" x14ac:dyDescent="0.25">
      <c r="A68" s="52" t="str">
        <f>Data!A68</f>
        <v>TX500067</v>
      </c>
      <c r="B68" s="52">
        <f>MONTH(Data!F68)</f>
        <v>1</v>
      </c>
      <c r="C68" s="52" t="str">
        <f>TEXT(Data!F68,"mmm")</f>
        <v>Jan</v>
      </c>
      <c r="D68" s="52" t="str">
        <f>Data!O68</f>
        <v>Male</v>
      </c>
      <c r="E68" s="52">
        <f>Data!G68-Data!F68</f>
        <v>1</v>
      </c>
      <c r="F68" s="52">
        <f>IF(Data!J68&lt;=5,Data!J68,IF(Data!J68&lt;=10,"6 TO 10","More than 10"))</f>
        <v>4</v>
      </c>
      <c r="G68" s="52">
        <f t="shared" si="1"/>
        <v>1</v>
      </c>
      <c r="H68" s="52">
        <f>ROUND(Data!C68*Data!D68-Data!E68,2)</f>
        <v>0</v>
      </c>
      <c r="I68" s="52">
        <f>IF(AND(OR(Sel_Mode="All",Data!I68=Sel_Mode),OR(Sel_Gender="All",D68=Sel_Gender),OR(Sel_Category="All",Data!B68=Sel_Category),OR(Sel_Month="All",C68=Sel_Month),OR(Sel_County="All",Data!L68=Sel_County)),1,0)</f>
        <v>1</v>
      </c>
    </row>
    <row r="69" spans="1:9" x14ac:dyDescent="0.25">
      <c r="A69" s="52" t="str">
        <f>Data!A69</f>
        <v>TX500068</v>
      </c>
      <c r="B69" s="52">
        <f>MONTH(Data!F69)</f>
        <v>1</v>
      </c>
      <c r="C69" s="52" t="str">
        <f>TEXT(Data!F69,"mmm")</f>
        <v>Jan</v>
      </c>
      <c r="D69" s="52" t="str">
        <f>Data!O69</f>
        <v>Female</v>
      </c>
      <c r="E69" s="52">
        <f>Data!G69-Data!F69</f>
        <v>1</v>
      </c>
      <c r="F69" s="52">
        <f>IF(Data!J69&lt;=5,Data!J69,IF(Data!J69&lt;=10,"6 TO 10","More than 10"))</f>
        <v>5</v>
      </c>
      <c r="G69" s="52">
        <f t="shared" si="1"/>
        <v>1</v>
      </c>
      <c r="H69" s="52">
        <f>ROUND(Data!C69*Data!D69-Data!E69,2)</f>
        <v>0</v>
      </c>
      <c r="I69" s="52">
        <f>IF(AND(OR(Sel_Mode="All",Data!I69=Sel_Mode),OR(Sel_Gender="All",D69=Sel_Gender),OR(Sel_Category="All",Data!B69=Sel_Category),OR(Sel_Month="All",C69=Sel_Month),OR(Sel_County="All",Data!L69=Sel_County)),1,0)</f>
        <v>1</v>
      </c>
    </row>
    <row r="70" spans="1:9" x14ac:dyDescent="0.25">
      <c r="A70" s="52" t="str">
        <f>Data!A70</f>
        <v>TX500069</v>
      </c>
      <c r="B70" s="52">
        <f>MONTH(Data!F70)</f>
        <v>1</v>
      </c>
      <c r="C70" s="52" t="str">
        <f>TEXT(Data!F70,"mmm")</f>
        <v>Jan</v>
      </c>
      <c r="D70" s="52" t="str">
        <f>Data!O70</f>
        <v>Female</v>
      </c>
      <c r="E70" s="52">
        <f>Data!G70-Data!F70</f>
        <v>2</v>
      </c>
      <c r="F70" s="52">
        <f>IF(Data!J70&lt;=5,Data!J70,IF(Data!J70&lt;=10,"6 TO 10","More than 10"))</f>
        <v>3</v>
      </c>
      <c r="G70" s="52">
        <f t="shared" si="1"/>
        <v>2</v>
      </c>
      <c r="H70" s="52">
        <f>ROUND(Data!C70*Data!D70-Data!E70,2)</f>
        <v>0</v>
      </c>
      <c r="I70" s="52">
        <f>IF(AND(OR(Sel_Mode="All",Data!I70=Sel_Mode),OR(Sel_Gender="All",D70=Sel_Gender),OR(Sel_Category="All",Data!B70=Sel_Category),OR(Sel_Month="All",C70=Sel_Month),OR(Sel_County="All",Data!L70=Sel_County)),1,0)</f>
        <v>1</v>
      </c>
    </row>
    <row r="71" spans="1:9" x14ac:dyDescent="0.25">
      <c r="A71" s="52" t="str">
        <f>Data!A71</f>
        <v>TX500070</v>
      </c>
      <c r="B71" s="52">
        <f>MONTH(Data!F71)</f>
        <v>1</v>
      </c>
      <c r="C71" s="52" t="str">
        <f>TEXT(Data!F71,"mmm")</f>
        <v>Jan</v>
      </c>
      <c r="D71" s="52" t="str">
        <f>Data!O71</f>
        <v>Male</v>
      </c>
      <c r="E71" s="52">
        <f>Data!G71-Data!F71</f>
        <v>2</v>
      </c>
      <c r="F71" s="52">
        <f>IF(Data!J71&lt;=5,Data!J71,IF(Data!J71&lt;=10,"6 TO 10","More than 10"))</f>
        <v>4</v>
      </c>
      <c r="G71" s="52">
        <f t="shared" si="1"/>
        <v>2</v>
      </c>
      <c r="H71" s="52">
        <f>ROUND(Data!C71*Data!D71-Data!E71,2)</f>
        <v>0</v>
      </c>
      <c r="I71" s="52">
        <f>IF(AND(OR(Sel_Mode="All",Data!I71=Sel_Mode),OR(Sel_Gender="All",D71=Sel_Gender),OR(Sel_Category="All",Data!B71=Sel_Category),OR(Sel_Month="All",C71=Sel_Month),OR(Sel_County="All",Data!L71=Sel_County)),1,0)</f>
        <v>1</v>
      </c>
    </row>
    <row r="72" spans="1:9" x14ac:dyDescent="0.25">
      <c r="A72" s="52" t="str">
        <f>Data!A72</f>
        <v>TX500071</v>
      </c>
      <c r="B72" s="52">
        <f>MONTH(Data!F72)</f>
        <v>1</v>
      </c>
      <c r="C72" s="52" t="str">
        <f>TEXT(Data!F72,"mmm")</f>
        <v>Jan</v>
      </c>
      <c r="D72" s="52" t="str">
        <f>Data!O72</f>
        <v>Male</v>
      </c>
      <c r="E72" s="52">
        <f>Data!G72-Data!F72</f>
        <v>3</v>
      </c>
      <c r="F72" s="52">
        <f>IF(Data!J72&lt;=5,Data!J72,IF(Data!J72&lt;=10,"6 TO 10","More than 10"))</f>
        <v>5</v>
      </c>
      <c r="G72" s="52">
        <f t="shared" si="1"/>
        <v>3</v>
      </c>
      <c r="H72" s="52">
        <f>ROUND(Data!C72*Data!D72-Data!E72,2)</f>
        <v>0</v>
      </c>
      <c r="I72" s="52">
        <f>IF(AND(OR(Sel_Mode="All",Data!I72=Sel_Mode),OR(Sel_Gender="All",D72=Sel_Gender),OR(Sel_Category="All",Data!B72=Sel_Category),OR(Sel_Month="All",C72=Sel_Month),OR(Sel_County="All",Data!L72=Sel_County)),1,0)</f>
        <v>1</v>
      </c>
    </row>
    <row r="73" spans="1:9" x14ac:dyDescent="0.25">
      <c r="A73" s="52" t="str">
        <f>Data!A73</f>
        <v>TX500072</v>
      </c>
      <c r="B73" s="52">
        <f>MONTH(Data!F73)</f>
        <v>1</v>
      </c>
      <c r="C73" s="52" t="str">
        <f>TEXT(Data!F73,"mmm")</f>
        <v>Jan</v>
      </c>
      <c r="D73" s="52" t="str">
        <f>Data!O73</f>
        <v>Female</v>
      </c>
      <c r="E73" s="52">
        <f>Data!G73-Data!F73</f>
        <v>3</v>
      </c>
      <c r="F73" s="52">
        <f>IF(Data!J73&lt;=5,Data!J73,IF(Data!J73&lt;=10,"6 TO 10","More than 10"))</f>
        <v>5</v>
      </c>
      <c r="G73" s="52">
        <f t="shared" si="1"/>
        <v>3</v>
      </c>
      <c r="H73" s="52">
        <f>ROUND(Data!C73*Data!D73-Data!E73,2)</f>
        <v>0</v>
      </c>
      <c r="I73" s="52">
        <f>IF(AND(OR(Sel_Mode="All",Data!I73=Sel_Mode),OR(Sel_Gender="All",D73=Sel_Gender),OR(Sel_Category="All",Data!B73=Sel_Category),OR(Sel_Month="All",C73=Sel_Month),OR(Sel_County="All",Data!L73=Sel_County)),1,0)</f>
        <v>1</v>
      </c>
    </row>
    <row r="74" spans="1:9" x14ac:dyDescent="0.25">
      <c r="A74" s="52" t="str">
        <f>Data!A74</f>
        <v>TX500073</v>
      </c>
      <c r="B74" s="52">
        <f>MONTH(Data!F74)</f>
        <v>1</v>
      </c>
      <c r="C74" s="52" t="str">
        <f>TEXT(Data!F74,"mmm")</f>
        <v>Jan</v>
      </c>
      <c r="D74" s="52" t="str">
        <f>Data!O74</f>
        <v>Female</v>
      </c>
      <c r="E74" s="52">
        <f>Data!G74-Data!F74</f>
        <v>3</v>
      </c>
      <c r="F74" s="52">
        <f>IF(Data!J74&lt;=5,Data!J74,IF(Data!J74&lt;=10,"6 TO 10","More than 10"))</f>
        <v>5</v>
      </c>
      <c r="G74" s="52">
        <f t="shared" si="1"/>
        <v>3</v>
      </c>
      <c r="H74" s="52">
        <f>ROUND(Data!C74*Data!D74-Data!E74,2)</f>
        <v>0</v>
      </c>
      <c r="I74" s="52">
        <f>IF(AND(OR(Sel_Mode="All",Data!I74=Sel_Mode),OR(Sel_Gender="All",D74=Sel_Gender),OR(Sel_Category="All",Data!B74=Sel_Category),OR(Sel_Month="All",C74=Sel_Month),OR(Sel_County="All",Data!L74=Sel_County)),1,0)</f>
        <v>1</v>
      </c>
    </row>
    <row r="75" spans="1:9" x14ac:dyDescent="0.25">
      <c r="A75" s="52" t="str">
        <f>Data!A75</f>
        <v>TX500074</v>
      </c>
      <c r="B75" s="52">
        <f>MONTH(Data!F75)</f>
        <v>1</v>
      </c>
      <c r="C75" s="52" t="str">
        <f>TEXT(Data!F75,"mmm")</f>
        <v>Jan</v>
      </c>
      <c r="D75" s="52" t="str">
        <f>Data!O75</f>
        <v>Female</v>
      </c>
      <c r="E75" s="52">
        <f>Data!G75-Data!F75</f>
        <v>1</v>
      </c>
      <c r="F75" s="52">
        <f>IF(Data!J75&lt;=5,Data!J75,IF(Data!J75&lt;=10,"6 TO 10","More than 10"))</f>
        <v>5</v>
      </c>
      <c r="G75" s="52">
        <f t="shared" si="1"/>
        <v>1</v>
      </c>
      <c r="H75" s="52">
        <f>ROUND(Data!C75*Data!D75-Data!E75,2)</f>
        <v>0</v>
      </c>
      <c r="I75" s="52">
        <f>IF(AND(OR(Sel_Mode="All",Data!I75=Sel_Mode),OR(Sel_Gender="All",D75=Sel_Gender),OR(Sel_Category="All",Data!B75=Sel_Category),OR(Sel_Month="All",C75=Sel_Month),OR(Sel_County="All",Data!L75=Sel_County)),1,0)</f>
        <v>1</v>
      </c>
    </row>
    <row r="76" spans="1:9" x14ac:dyDescent="0.25">
      <c r="A76" s="52" t="str">
        <f>Data!A76</f>
        <v>TX500075</v>
      </c>
      <c r="B76" s="52">
        <f>MONTH(Data!F76)</f>
        <v>1</v>
      </c>
      <c r="C76" s="52" t="str">
        <f>TEXT(Data!F76,"mmm")</f>
        <v>Jan</v>
      </c>
      <c r="D76" s="52" t="str">
        <f>Data!O76</f>
        <v>Male</v>
      </c>
      <c r="E76" s="52">
        <f>Data!G76-Data!F76</f>
        <v>3</v>
      </c>
      <c r="F76" s="52">
        <f>IF(Data!J76&lt;=5,Data!J76,IF(Data!J76&lt;=10,"6 TO 10","More than 10"))</f>
        <v>4</v>
      </c>
      <c r="G76" s="52">
        <f t="shared" si="1"/>
        <v>3</v>
      </c>
      <c r="H76" s="52">
        <f>ROUND(Data!C76*Data!D76-Data!E76,2)</f>
        <v>0</v>
      </c>
      <c r="I76" s="52">
        <f>IF(AND(OR(Sel_Mode="All",Data!I76=Sel_Mode),OR(Sel_Gender="All",D76=Sel_Gender),OR(Sel_Category="All",Data!B76=Sel_Category),OR(Sel_Month="All",C76=Sel_Month),OR(Sel_County="All",Data!L76=Sel_County)),1,0)</f>
        <v>1</v>
      </c>
    </row>
    <row r="77" spans="1:9" x14ac:dyDescent="0.25">
      <c r="A77" s="52" t="str">
        <f>Data!A77</f>
        <v>TX500076</v>
      </c>
      <c r="B77" s="52">
        <f>MONTH(Data!F77)</f>
        <v>1</v>
      </c>
      <c r="C77" s="52" t="str">
        <f>TEXT(Data!F77,"mmm")</f>
        <v>Jan</v>
      </c>
      <c r="D77" s="52" t="str">
        <f>Data!O77</f>
        <v>Other</v>
      </c>
      <c r="E77" s="52">
        <f>Data!G77-Data!F77</f>
        <v>1</v>
      </c>
      <c r="F77" s="52">
        <f>IF(Data!J77&lt;=5,Data!J77,IF(Data!J77&lt;=10,"6 TO 10","More than 10"))</f>
        <v>3</v>
      </c>
      <c r="G77" s="52">
        <f t="shared" si="1"/>
        <v>1</v>
      </c>
      <c r="H77" s="52">
        <f>ROUND(Data!C77*Data!D77-Data!E77,2)</f>
        <v>0</v>
      </c>
      <c r="I77" s="52">
        <f>IF(AND(OR(Sel_Mode="All",Data!I77=Sel_Mode),OR(Sel_Gender="All",D77=Sel_Gender),OR(Sel_Category="All",Data!B77=Sel_Category),OR(Sel_Month="All",C77=Sel_Month),OR(Sel_County="All",Data!L77=Sel_County)),1,0)</f>
        <v>1</v>
      </c>
    </row>
    <row r="78" spans="1:9" x14ac:dyDescent="0.25">
      <c r="A78" s="52" t="str">
        <f>Data!A78</f>
        <v>TX500077</v>
      </c>
      <c r="B78" s="52">
        <f>MONTH(Data!F78)</f>
        <v>1</v>
      </c>
      <c r="C78" s="52" t="str">
        <f>TEXT(Data!F78,"mmm")</f>
        <v>Jan</v>
      </c>
      <c r="D78" s="52" t="str">
        <f>Data!O78</f>
        <v>Female</v>
      </c>
      <c r="E78" s="52">
        <f>Data!G78-Data!F78</f>
        <v>1</v>
      </c>
      <c r="F78" s="52">
        <f>IF(Data!J78&lt;=5,Data!J78,IF(Data!J78&lt;=10,"6 TO 10","More than 10"))</f>
        <v>3</v>
      </c>
      <c r="G78" s="52">
        <f t="shared" si="1"/>
        <v>1</v>
      </c>
      <c r="H78" s="52">
        <f>ROUND(Data!C78*Data!D78-Data!E78,2)</f>
        <v>0</v>
      </c>
      <c r="I78" s="52">
        <f>IF(AND(OR(Sel_Mode="All",Data!I78=Sel_Mode),OR(Sel_Gender="All",D78=Sel_Gender),OR(Sel_Category="All",Data!B78=Sel_Category),OR(Sel_Month="All",C78=Sel_Month),OR(Sel_County="All",Data!L78=Sel_County)),1,0)</f>
        <v>1</v>
      </c>
    </row>
    <row r="79" spans="1:9" x14ac:dyDescent="0.25">
      <c r="A79" s="52" t="str">
        <f>Data!A79</f>
        <v>TX500078</v>
      </c>
      <c r="B79" s="52">
        <f>MONTH(Data!F79)</f>
        <v>1</v>
      </c>
      <c r="C79" s="52" t="str">
        <f>TEXT(Data!F79,"mmm")</f>
        <v>Jan</v>
      </c>
      <c r="D79" s="52" t="str">
        <f>Data!O79</f>
        <v>Male</v>
      </c>
      <c r="E79" s="52">
        <f>Data!G79-Data!F79</f>
        <v>2</v>
      </c>
      <c r="F79" s="52">
        <f>IF(Data!J79&lt;=5,Data!J79,IF(Data!J79&lt;=10,"6 TO 10","More than 10"))</f>
        <v>4</v>
      </c>
      <c r="G79" s="52">
        <f t="shared" si="1"/>
        <v>2</v>
      </c>
      <c r="H79" s="52">
        <f>ROUND(Data!C79*Data!D79-Data!E79,2)</f>
        <v>0</v>
      </c>
      <c r="I79" s="52">
        <f>IF(AND(OR(Sel_Mode="All",Data!I79=Sel_Mode),OR(Sel_Gender="All",D79=Sel_Gender),OR(Sel_Category="All",Data!B79=Sel_Category),OR(Sel_Month="All",C79=Sel_Month),OR(Sel_County="All",Data!L79=Sel_County)),1,0)</f>
        <v>1</v>
      </c>
    </row>
    <row r="80" spans="1:9" x14ac:dyDescent="0.25">
      <c r="A80" s="52" t="str">
        <f>Data!A80</f>
        <v>TX500079</v>
      </c>
      <c r="B80" s="52">
        <f>MONTH(Data!F80)</f>
        <v>1</v>
      </c>
      <c r="C80" s="52" t="str">
        <f>TEXT(Data!F80,"mmm")</f>
        <v>Jan</v>
      </c>
      <c r="D80" s="52" t="str">
        <f>Data!O80</f>
        <v>Female</v>
      </c>
      <c r="E80" s="52">
        <f>Data!G80-Data!F80</f>
        <v>4</v>
      </c>
      <c r="F80" s="52">
        <f>IF(Data!J80&lt;=5,Data!J80,IF(Data!J80&lt;=10,"6 TO 10","More than 10"))</f>
        <v>3</v>
      </c>
      <c r="G80" s="52">
        <f t="shared" si="1"/>
        <v>4</v>
      </c>
      <c r="H80" s="52">
        <f>ROUND(Data!C80*Data!D80-Data!E80,2)</f>
        <v>0</v>
      </c>
      <c r="I80" s="52">
        <f>IF(AND(OR(Sel_Mode="All",Data!I80=Sel_Mode),OR(Sel_Gender="All",D80=Sel_Gender),OR(Sel_Category="All",Data!B80=Sel_Category),OR(Sel_Month="All",C80=Sel_Month),OR(Sel_County="All",Data!L80=Sel_County)),1,0)</f>
        <v>1</v>
      </c>
    </row>
    <row r="81" spans="1:9" x14ac:dyDescent="0.25">
      <c r="A81" s="52" t="str">
        <f>Data!A81</f>
        <v>TX500080</v>
      </c>
      <c r="B81" s="52">
        <f>MONTH(Data!F81)</f>
        <v>1</v>
      </c>
      <c r="C81" s="52" t="str">
        <f>TEXT(Data!F81,"mmm")</f>
        <v>Jan</v>
      </c>
      <c r="D81" s="52" t="str">
        <f>Data!O81</f>
        <v>Female</v>
      </c>
      <c r="E81" s="52">
        <f>Data!G81-Data!F81</f>
        <v>6</v>
      </c>
      <c r="F81" s="52">
        <f>IF(Data!J81&lt;=5,Data!J81,IF(Data!J81&lt;=10,"6 TO 10","More than 10"))</f>
        <v>3</v>
      </c>
      <c r="G81" s="52">
        <f t="shared" si="1"/>
        <v>6</v>
      </c>
      <c r="H81" s="52">
        <f>ROUND(Data!C81*Data!D81-Data!E81,2)</f>
        <v>0</v>
      </c>
      <c r="I81" s="52">
        <f>IF(AND(OR(Sel_Mode="All",Data!I81=Sel_Mode),OR(Sel_Gender="All",D81=Sel_Gender),OR(Sel_Category="All",Data!B81=Sel_Category),OR(Sel_Month="All",C81=Sel_Month),OR(Sel_County="All",Data!L81=Sel_County)),1,0)</f>
        <v>1</v>
      </c>
    </row>
    <row r="82" spans="1:9" x14ac:dyDescent="0.25">
      <c r="A82" s="52" t="str">
        <f>Data!A82</f>
        <v>TX500081</v>
      </c>
      <c r="B82" s="52">
        <f>MONTH(Data!F82)</f>
        <v>1</v>
      </c>
      <c r="C82" s="52" t="str">
        <f>TEXT(Data!F82,"mmm")</f>
        <v>Jan</v>
      </c>
      <c r="D82" s="52" t="str">
        <f>Data!O82</f>
        <v>Male</v>
      </c>
      <c r="E82" s="52">
        <f>Data!G82-Data!F82</f>
        <v>3</v>
      </c>
      <c r="F82" s="52">
        <f>IF(Data!J82&lt;=5,Data!J82,IF(Data!J82&lt;=10,"6 TO 10","More than 10"))</f>
        <v>3</v>
      </c>
      <c r="G82" s="52">
        <f t="shared" si="1"/>
        <v>3</v>
      </c>
      <c r="H82" s="52">
        <f>ROUND(Data!C82*Data!D82-Data!E82,2)</f>
        <v>0</v>
      </c>
      <c r="I82" s="52">
        <f>IF(AND(OR(Sel_Mode="All",Data!I82=Sel_Mode),OR(Sel_Gender="All",D82=Sel_Gender),OR(Sel_Category="All",Data!B82=Sel_Category),OR(Sel_Month="All",C82=Sel_Month),OR(Sel_County="All",Data!L82=Sel_County)),1,0)</f>
        <v>1</v>
      </c>
    </row>
    <row r="83" spans="1:9" x14ac:dyDescent="0.25">
      <c r="A83" s="52" t="str">
        <f>Data!A83</f>
        <v>TX500082</v>
      </c>
      <c r="B83" s="52">
        <f>MONTH(Data!F83)</f>
        <v>1</v>
      </c>
      <c r="C83" s="52" t="str">
        <f>TEXT(Data!F83,"mmm")</f>
        <v>Jan</v>
      </c>
      <c r="D83" s="52" t="str">
        <f>Data!O83</f>
        <v>Female</v>
      </c>
      <c r="E83" s="52">
        <f>Data!G83-Data!F83</f>
        <v>2</v>
      </c>
      <c r="F83" s="52">
        <f>IF(Data!J83&lt;=5,Data!J83,IF(Data!J83&lt;=10,"6 TO 10","More than 10"))</f>
        <v>4</v>
      </c>
      <c r="G83" s="52">
        <f t="shared" si="1"/>
        <v>2</v>
      </c>
      <c r="H83" s="52">
        <f>ROUND(Data!C83*Data!D83-Data!E83,2)</f>
        <v>0</v>
      </c>
      <c r="I83" s="52">
        <f>IF(AND(OR(Sel_Mode="All",Data!I83=Sel_Mode),OR(Sel_Gender="All",D83=Sel_Gender),OR(Sel_Category="All",Data!B83=Sel_Category),OR(Sel_Month="All",C83=Sel_Month),OR(Sel_County="All",Data!L83=Sel_County)),1,0)</f>
        <v>1</v>
      </c>
    </row>
    <row r="84" spans="1:9" x14ac:dyDescent="0.25">
      <c r="A84" s="52" t="str">
        <f>Data!A84</f>
        <v>TX500083</v>
      </c>
      <c r="B84" s="52">
        <f>MONTH(Data!F84)</f>
        <v>1</v>
      </c>
      <c r="C84" s="52" t="str">
        <f>TEXT(Data!F84,"mmm")</f>
        <v>Jan</v>
      </c>
      <c r="D84" s="52" t="str">
        <f>Data!O84</f>
        <v>Male</v>
      </c>
      <c r="E84" s="52">
        <f>Data!G84-Data!F84</f>
        <v>0</v>
      </c>
      <c r="F84" s="52">
        <f>IF(Data!J84&lt;=5,Data!J84,IF(Data!J84&lt;=10,"6 TO 10","More than 10"))</f>
        <v>3</v>
      </c>
      <c r="G84" s="52">
        <f t="shared" si="1"/>
        <v>0</v>
      </c>
      <c r="H84" s="52">
        <f>ROUND(Data!C84*Data!D84-Data!E84,2)</f>
        <v>0</v>
      </c>
      <c r="I84" s="52">
        <f>IF(AND(OR(Sel_Mode="All",Data!I84=Sel_Mode),OR(Sel_Gender="All",D84=Sel_Gender),OR(Sel_Category="All",Data!B84=Sel_Category),OR(Sel_Month="All",C84=Sel_Month),OR(Sel_County="All",Data!L84=Sel_County)),1,0)</f>
        <v>1</v>
      </c>
    </row>
    <row r="85" spans="1:9" x14ac:dyDescent="0.25">
      <c r="A85" s="52" t="str">
        <f>Data!A85</f>
        <v>TX500084</v>
      </c>
      <c r="B85" s="52">
        <f>MONTH(Data!F85)</f>
        <v>1</v>
      </c>
      <c r="C85" s="52" t="str">
        <f>TEXT(Data!F85,"mmm")</f>
        <v>Jan</v>
      </c>
      <c r="D85" s="52" t="str">
        <f>Data!O85</f>
        <v>Female</v>
      </c>
      <c r="E85" s="52">
        <f>Data!G85-Data!F85</f>
        <v>6</v>
      </c>
      <c r="F85" s="52">
        <f>IF(Data!J85&lt;=5,Data!J85,IF(Data!J85&lt;=10,"6 TO 10","More than 10"))</f>
        <v>4</v>
      </c>
      <c r="G85" s="52">
        <f t="shared" si="1"/>
        <v>6</v>
      </c>
      <c r="H85" s="52">
        <f>ROUND(Data!C85*Data!D85-Data!E85,2)</f>
        <v>0</v>
      </c>
      <c r="I85" s="52">
        <f>IF(AND(OR(Sel_Mode="All",Data!I85=Sel_Mode),OR(Sel_Gender="All",D85=Sel_Gender),OR(Sel_Category="All",Data!B85=Sel_Category),OR(Sel_Month="All",C85=Sel_Month),OR(Sel_County="All",Data!L85=Sel_County)),1,0)</f>
        <v>1</v>
      </c>
    </row>
    <row r="86" spans="1:9" x14ac:dyDescent="0.25">
      <c r="A86" s="52" t="str">
        <f>Data!A86</f>
        <v>TX500085</v>
      </c>
      <c r="B86" s="52">
        <f>MONTH(Data!F86)</f>
        <v>1</v>
      </c>
      <c r="C86" s="52" t="str">
        <f>TEXT(Data!F86,"mmm")</f>
        <v>Jan</v>
      </c>
      <c r="D86" s="52" t="str">
        <f>Data!O86</f>
        <v>Male</v>
      </c>
      <c r="E86" s="52">
        <f>Data!G86-Data!F86</f>
        <v>1</v>
      </c>
      <c r="F86" s="52">
        <f>IF(Data!J86&lt;=5,Data!J86,IF(Data!J86&lt;=10,"6 TO 10","More than 10"))</f>
        <v>2</v>
      </c>
      <c r="G86" s="52">
        <f t="shared" si="1"/>
        <v>1</v>
      </c>
      <c r="H86" s="52">
        <f>ROUND(Data!C86*Data!D86-Data!E86,2)</f>
        <v>0</v>
      </c>
      <c r="I86" s="52">
        <f>IF(AND(OR(Sel_Mode="All",Data!I86=Sel_Mode),OR(Sel_Gender="All",D86=Sel_Gender),OR(Sel_Category="All",Data!B86=Sel_Category),OR(Sel_Month="All",C86=Sel_Month),OR(Sel_County="All",Data!L86=Sel_County)),1,0)</f>
        <v>1</v>
      </c>
    </row>
    <row r="87" spans="1:9" x14ac:dyDescent="0.25">
      <c r="A87" s="52" t="str">
        <f>Data!A87</f>
        <v>TX500086</v>
      </c>
      <c r="B87" s="52">
        <f>MONTH(Data!F87)</f>
        <v>1</v>
      </c>
      <c r="C87" s="52" t="str">
        <f>TEXT(Data!F87,"mmm")</f>
        <v>Jan</v>
      </c>
      <c r="D87" s="52" t="str">
        <f>Data!O87</f>
        <v>Male</v>
      </c>
      <c r="E87" s="52">
        <f>Data!G87-Data!F87</f>
        <v>6</v>
      </c>
      <c r="F87" s="52">
        <f>IF(Data!J87&lt;=5,Data!J87,IF(Data!J87&lt;=10,"6 TO 10","More than 10"))</f>
        <v>5</v>
      </c>
      <c r="G87" s="52">
        <f t="shared" si="1"/>
        <v>6</v>
      </c>
      <c r="H87" s="52">
        <f>ROUND(Data!C87*Data!D87-Data!E87,2)</f>
        <v>0</v>
      </c>
      <c r="I87" s="52">
        <f>IF(AND(OR(Sel_Mode="All",Data!I87=Sel_Mode),OR(Sel_Gender="All",D87=Sel_Gender),OR(Sel_Category="All",Data!B87=Sel_Category),OR(Sel_Month="All",C87=Sel_Month),OR(Sel_County="All",Data!L87=Sel_County)),1,0)</f>
        <v>1</v>
      </c>
    </row>
    <row r="88" spans="1:9" x14ac:dyDescent="0.25">
      <c r="A88" s="52" t="str">
        <f>Data!A88</f>
        <v>TX500087</v>
      </c>
      <c r="B88" s="52">
        <f>MONTH(Data!F88)</f>
        <v>1</v>
      </c>
      <c r="C88" s="52" t="str">
        <f>TEXT(Data!F88,"mmm")</f>
        <v>Jan</v>
      </c>
      <c r="D88" s="52" t="str">
        <f>Data!O88</f>
        <v>Female</v>
      </c>
      <c r="E88" s="52">
        <f>Data!G88-Data!F88</f>
        <v>1</v>
      </c>
      <c r="F88" s="52">
        <f>IF(Data!J88&lt;=5,Data!J88,IF(Data!J88&lt;=10,"6 TO 10","More than 10"))</f>
        <v>5</v>
      </c>
      <c r="G88" s="52">
        <f t="shared" si="1"/>
        <v>1</v>
      </c>
      <c r="H88" s="52">
        <f>ROUND(Data!C88*Data!D88-Data!E88,2)</f>
        <v>0</v>
      </c>
      <c r="I88" s="52">
        <f>IF(AND(OR(Sel_Mode="All",Data!I88=Sel_Mode),OR(Sel_Gender="All",D88=Sel_Gender),OR(Sel_Category="All",Data!B88=Sel_Category),OR(Sel_Month="All",C88=Sel_Month),OR(Sel_County="All",Data!L88=Sel_County)),1,0)</f>
        <v>1</v>
      </c>
    </row>
    <row r="89" spans="1:9" x14ac:dyDescent="0.25">
      <c r="A89" s="52" t="str">
        <f>Data!A89</f>
        <v>TX500088</v>
      </c>
      <c r="B89" s="52">
        <f>MONTH(Data!F89)</f>
        <v>1</v>
      </c>
      <c r="C89" s="52" t="str">
        <f>TEXT(Data!F89,"mmm")</f>
        <v>Jan</v>
      </c>
      <c r="D89" s="52" t="str">
        <f>Data!O89</f>
        <v>Male</v>
      </c>
      <c r="E89" s="52">
        <f>Data!G89-Data!F89</f>
        <v>4</v>
      </c>
      <c r="F89" s="52">
        <f>IF(Data!J89&lt;=5,Data!J89,IF(Data!J89&lt;=10,"6 TO 10","More than 10"))</f>
        <v>5</v>
      </c>
      <c r="G89" s="52">
        <f t="shared" si="1"/>
        <v>4</v>
      </c>
      <c r="H89" s="52">
        <f>ROUND(Data!C89*Data!D89-Data!E89,2)</f>
        <v>0</v>
      </c>
      <c r="I89" s="52">
        <f>IF(AND(OR(Sel_Mode="All",Data!I89=Sel_Mode),OR(Sel_Gender="All",D89=Sel_Gender),OR(Sel_Category="All",Data!B89=Sel_Category),OR(Sel_Month="All",C89=Sel_Month),OR(Sel_County="All",Data!L89=Sel_County)),1,0)</f>
        <v>1</v>
      </c>
    </row>
    <row r="90" spans="1:9" x14ac:dyDescent="0.25">
      <c r="A90" s="52" t="str">
        <f>Data!A90</f>
        <v>TX500089</v>
      </c>
      <c r="B90" s="52">
        <f>MONTH(Data!F90)</f>
        <v>1</v>
      </c>
      <c r="C90" s="52" t="str">
        <f>TEXT(Data!F90,"mmm")</f>
        <v>Jan</v>
      </c>
      <c r="D90" s="52" t="str">
        <f>Data!O90</f>
        <v>Male</v>
      </c>
      <c r="E90" s="52">
        <f>Data!G90-Data!F90</f>
        <v>4</v>
      </c>
      <c r="F90" s="52">
        <f>IF(Data!J90&lt;=5,Data!J90,IF(Data!J90&lt;=10,"6 TO 10","More than 10"))</f>
        <v>5</v>
      </c>
      <c r="G90" s="52">
        <f t="shared" si="1"/>
        <v>4</v>
      </c>
      <c r="H90" s="52">
        <f>ROUND(Data!C90*Data!D90-Data!E90,2)</f>
        <v>0</v>
      </c>
      <c r="I90" s="52">
        <f>IF(AND(OR(Sel_Mode="All",Data!I90=Sel_Mode),OR(Sel_Gender="All",D90=Sel_Gender),OR(Sel_Category="All",Data!B90=Sel_Category),OR(Sel_Month="All",C90=Sel_Month),OR(Sel_County="All",Data!L90=Sel_County)),1,0)</f>
        <v>1</v>
      </c>
    </row>
    <row r="91" spans="1:9" x14ac:dyDescent="0.25">
      <c r="A91" s="52" t="str">
        <f>Data!A91</f>
        <v>TX500090</v>
      </c>
      <c r="B91" s="52">
        <f>MONTH(Data!F91)</f>
        <v>1</v>
      </c>
      <c r="C91" s="52" t="str">
        <f>TEXT(Data!F91,"mmm")</f>
        <v>Jan</v>
      </c>
      <c r="D91" s="52" t="str">
        <f>Data!O91</f>
        <v>Female</v>
      </c>
      <c r="E91" s="52">
        <f>Data!G91-Data!F91</f>
        <v>3</v>
      </c>
      <c r="F91" s="52">
        <f>IF(Data!J91&lt;=5,Data!J91,IF(Data!J91&lt;=10,"6 TO 10","More than 10"))</f>
        <v>4</v>
      </c>
      <c r="G91" s="52">
        <f t="shared" si="1"/>
        <v>3</v>
      </c>
      <c r="H91" s="52">
        <f>ROUND(Data!C91*Data!D91-Data!E91,2)</f>
        <v>0</v>
      </c>
      <c r="I91" s="52">
        <f>IF(AND(OR(Sel_Mode="All",Data!I91=Sel_Mode),OR(Sel_Gender="All",D91=Sel_Gender),OR(Sel_Category="All",Data!B91=Sel_Category),OR(Sel_Month="All",C91=Sel_Month),OR(Sel_County="All",Data!L91=Sel_County)),1,0)</f>
        <v>1</v>
      </c>
    </row>
    <row r="92" spans="1:9" x14ac:dyDescent="0.25">
      <c r="A92" s="52" t="str">
        <f>Data!A92</f>
        <v>TX500091</v>
      </c>
      <c r="B92" s="52">
        <f>MONTH(Data!F92)</f>
        <v>1</v>
      </c>
      <c r="C92" s="52" t="str">
        <f>TEXT(Data!F92,"mmm")</f>
        <v>Jan</v>
      </c>
      <c r="D92" s="52" t="str">
        <f>Data!O92</f>
        <v>Unknown</v>
      </c>
      <c r="E92" s="52">
        <f>Data!G92-Data!F92</f>
        <v>3</v>
      </c>
      <c r="F92" s="52">
        <f>IF(Data!J92&lt;=5,Data!J92,IF(Data!J92&lt;=10,"6 TO 10","More than 10"))</f>
        <v>5</v>
      </c>
      <c r="G92" s="52">
        <f t="shared" si="1"/>
        <v>3</v>
      </c>
      <c r="H92" s="52">
        <f>ROUND(Data!C92*Data!D92-Data!E92,2)</f>
        <v>0</v>
      </c>
      <c r="I92" s="52">
        <f>IF(AND(OR(Sel_Mode="All",Data!I92=Sel_Mode),OR(Sel_Gender="All",D92=Sel_Gender),OR(Sel_Category="All",Data!B92=Sel_Category),OR(Sel_Month="All",C92=Sel_Month),OR(Sel_County="All",Data!L92=Sel_County)),1,0)</f>
        <v>1</v>
      </c>
    </row>
    <row r="93" spans="1:9" x14ac:dyDescent="0.25">
      <c r="A93" s="52" t="str">
        <f>Data!A93</f>
        <v>TX500092</v>
      </c>
      <c r="B93" s="52">
        <f>MONTH(Data!F93)</f>
        <v>1</v>
      </c>
      <c r="C93" s="52" t="str">
        <f>TEXT(Data!F93,"mmm")</f>
        <v>Jan</v>
      </c>
      <c r="D93" s="52" t="str">
        <f>Data!O93</f>
        <v>Female</v>
      </c>
      <c r="E93" s="52">
        <f>Data!G93-Data!F93</f>
        <v>2</v>
      </c>
      <c r="F93" s="52">
        <f>IF(Data!J93&lt;=5,Data!J93,IF(Data!J93&lt;=10,"6 TO 10","More than 10"))</f>
        <v>3</v>
      </c>
      <c r="G93" s="52">
        <f t="shared" si="1"/>
        <v>2</v>
      </c>
      <c r="H93" s="52">
        <f>ROUND(Data!C93*Data!D93-Data!E93,2)</f>
        <v>0</v>
      </c>
      <c r="I93" s="52">
        <f>IF(AND(OR(Sel_Mode="All",Data!I93=Sel_Mode),OR(Sel_Gender="All",D93=Sel_Gender),OR(Sel_Category="All",Data!B93=Sel_Category),OR(Sel_Month="All",C93=Sel_Month),OR(Sel_County="All",Data!L93=Sel_County)),1,0)</f>
        <v>1</v>
      </c>
    </row>
    <row r="94" spans="1:9" x14ac:dyDescent="0.25">
      <c r="A94" s="52" t="str">
        <f>Data!A94</f>
        <v>TX500093</v>
      </c>
      <c r="B94" s="52">
        <f>MONTH(Data!F94)</f>
        <v>1</v>
      </c>
      <c r="C94" s="52" t="str">
        <f>TEXT(Data!F94,"mmm")</f>
        <v>Jan</v>
      </c>
      <c r="D94" s="52" t="str">
        <f>Data!O94</f>
        <v>Male</v>
      </c>
      <c r="E94" s="52">
        <f>Data!G94-Data!F94</f>
        <v>2</v>
      </c>
      <c r="F94" s="52">
        <f>IF(Data!J94&lt;=5,Data!J94,IF(Data!J94&lt;=10,"6 TO 10","More than 10"))</f>
        <v>5</v>
      </c>
      <c r="G94" s="52">
        <f t="shared" si="1"/>
        <v>2</v>
      </c>
      <c r="H94" s="52">
        <f>ROUND(Data!C94*Data!D94-Data!E94,2)</f>
        <v>0</v>
      </c>
      <c r="I94" s="52">
        <f>IF(AND(OR(Sel_Mode="All",Data!I94=Sel_Mode),OR(Sel_Gender="All",D94=Sel_Gender),OR(Sel_Category="All",Data!B94=Sel_Category),OR(Sel_Month="All",C94=Sel_Month),OR(Sel_County="All",Data!L94=Sel_County)),1,0)</f>
        <v>1</v>
      </c>
    </row>
    <row r="95" spans="1:9" x14ac:dyDescent="0.25">
      <c r="A95" s="52" t="str">
        <f>Data!A95</f>
        <v>TX500094</v>
      </c>
      <c r="B95" s="52">
        <f>MONTH(Data!F95)</f>
        <v>1</v>
      </c>
      <c r="C95" s="52" t="str">
        <f>TEXT(Data!F95,"mmm")</f>
        <v>Jan</v>
      </c>
      <c r="D95" s="52" t="str">
        <f>Data!O95</f>
        <v>Unknown</v>
      </c>
      <c r="E95" s="52">
        <f>Data!G95-Data!F95</f>
        <v>1</v>
      </c>
      <c r="F95" s="52">
        <f>IF(Data!J95&lt;=5,Data!J95,IF(Data!J95&lt;=10,"6 TO 10","More than 10"))</f>
        <v>3</v>
      </c>
      <c r="G95" s="52">
        <f t="shared" si="1"/>
        <v>1</v>
      </c>
      <c r="H95" s="52">
        <f>ROUND(Data!C95*Data!D95-Data!E95,2)</f>
        <v>0</v>
      </c>
      <c r="I95" s="52">
        <f>IF(AND(OR(Sel_Mode="All",Data!I95=Sel_Mode),OR(Sel_Gender="All",D95=Sel_Gender),OR(Sel_Category="All",Data!B95=Sel_Category),OR(Sel_Month="All",C95=Sel_Month),OR(Sel_County="All",Data!L95=Sel_County)),1,0)</f>
        <v>1</v>
      </c>
    </row>
    <row r="96" spans="1:9" x14ac:dyDescent="0.25">
      <c r="A96" s="52" t="str">
        <f>Data!A96</f>
        <v>TX500095</v>
      </c>
      <c r="B96" s="52">
        <f>MONTH(Data!F96)</f>
        <v>1</v>
      </c>
      <c r="C96" s="52" t="str">
        <f>TEXT(Data!F96,"mmm")</f>
        <v>Jan</v>
      </c>
      <c r="D96" s="52" t="str">
        <f>Data!O96</f>
        <v>Female</v>
      </c>
      <c r="E96" s="52">
        <f>Data!G96-Data!F96</f>
        <v>1</v>
      </c>
      <c r="F96" s="52">
        <f>IF(Data!J96&lt;=5,Data!J96,IF(Data!J96&lt;=10,"6 TO 10","More than 10"))</f>
        <v>5</v>
      </c>
      <c r="G96" s="52">
        <f t="shared" si="1"/>
        <v>1</v>
      </c>
      <c r="H96" s="52">
        <f>ROUND(Data!C96*Data!D96-Data!E96,2)</f>
        <v>0</v>
      </c>
      <c r="I96" s="52">
        <f>IF(AND(OR(Sel_Mode="All",Data!I96=Sel_Mode),OR(Sel_Gender="All",D96=Sel_Gender),OR(Sel_Category="All",Data!B96=Sel_Category),OR(Sel_Month="All",C96=Sel_Month),OR(Sel_County="All",Data!L96=Sel_County)),1,0)</f>
        <v>1</v>
      </c>
    </row>
    <row r="97" spans="1:9" x14ac:dyDescent="0.25">
      <c r="A97" s="52" t="str">
        <f>Data!A97</f>
        <v>TX500096</v>
      </c>
      <c r="B97" s="52">
        <f>MONTH(Data!F97)</f>
        <v>1</v>
      </c>
      <c r="C97" s="52" t="str">
        <f>TEXT(Data!F97,"mmm")</f>
        <v>Jan</v>
      </c>
      <c r="D97" s="52" t="str">
        <f>Data!O97</f>
        <v>Female</v>
      </c>
      <c r="E97" s="52">
        <f>Data!G97-Data!F97</f>
        <v>1</v>
      </c>
      <c r="F97" s="52">
        <f>IF(Data!J97&lt;=5,Data!J97,IF(Data!J97&lt;=10,"6 TO 10","More than 10"))</f>
        <v>4</v>
      </c>
      <c r="G97" s="52">
        <f t="shared" si="1"/>
        <v>1</v>
      </c>
      <c r="H97" s="52">
        <f>ROUND(Data!C97*Data!D97-Data!E97,2)</f>
        <v>0</v>
      </c>
      <c r="I97" s="52">
        <f>IF(AND(OR(Sel_Mode="All",Data!I97=Sel_Mode),OR(Sel_Gender="All",D97=Sel_Gender),OR(Sel_Category="All",Data!B97=Sel_Category),OR(Sel_Month="All",C97=Sel_Month),OR(Sel_County="All",Data!L97=Sel_County)),1,0)</f>
        <v>1</v>
      </c>
    </row>
    <row r="98" spans="1:9" x14ac:dyDescent="0.25">
      <c r="A98" s="52" t="str">
        <f>Data!A98</f>
        <v>TX500097</v>
      </c>
      <c r="B98" s="52">
        <f>MONTH(Data!F98)</f>
        <v>1</v>
      </c>
      <c r="C98" s="52" t="str">
        <f>TEXT(Data!F98,"mmm")</f>
        <v>Jan</v>
      </c>
      <c r="D98" s="52" t="str">
        <f>Data!O98</f>
        <v>Male</v>
      </c>
      <c r="E98" s="52">
        <f>Data!G98-Data!F98</f>
        <v>7</v>
      </c>
      <c r="F98" s="52">
        <f>IF(Data!J98&lt;=5,Data!J98,IF(Data!J98&lt;=10,"6 TO 10","More than 10"))</f>
        <v>4</v>
      </c>
      <c r="G98" s="52">
        <f t="shared" si="1"/>
        <v>7</v>
      </c>
      <c r="H98" s="52">
        <f>ROUND(Data!C98*Data!D98-Data!E98,2)</f>
        <v>0</v>
      </c>
      <c r="I98" s="52">
        <f>IF(AND(OR(Sel_Mode="All",Data!I98=Sel_Mode),OR(Sel_Gender="All",D98=Sel_Gender),OR(Sel_Category="All",Data!B98=Sel_Category),OR(Sel_Month="All",C98=Sel_Month),OR(Sel_County="All",Data!L98=Sel_County)),1,0)</f>
        <v>1</v>
      </c>
    </row>
    <row r="99" spans="1:9" x14ac:dyDescent="0.25">
      <c r="A99" s="52" t="str">
        <f>Data!A99</f>
        <v>TX500098</v>
      </c>
      <c r="B99" s="52">
        <f>MONTH(Data!F99)</f>
        <v>1</v>
      </c>
      <c r="C99" s="52" t="str">
        <f>TEXT(Data!F99,"mmm")</f>
        <v>Jan</v>
      </c>
      <c r="D99" s="52" t="str">
        <f>Data!O99</f>
        <v>Male</v>
      </c>
      <c r="E99" s="52">
        <f>Data!G99-Data!F99</f>
        <v>2</v>
      </c>
      <c r="F99" s="52">
        <f>IF(Data!J99&lt;=5,Data!J99,IF(Data!J99&lt;=10,"6 TO 10","More than 10"))</f>
        <v>4</v>
      </c>
      <c r="G99" s="52">
        <f t="shared" si="1"/>
        <v>2</v>
      </c>
      <c r="H99" s="52">
        <f>ROUND(Data!C99*Data!D99-Data!E99,2)</f>
        <v>0</v>
      </c>
      <c r="I99" s="52">
        <f>IF(AND(OR(Sel_Mode="All",Data!I99=Sel_Mode),OR(Sel_Gender="All",D99=Sel_Gender),OR(Sel_Category="All",Data!B99=Sel_Category),OR(Sel_Month="All",C99=Sel_Month),OR(Sel_County="All",Data!L99=Sel_County)),1,0)</f>
        <v>1</v>
      </c>
    </row>
    <row r="100" spans="1:9" x14ac:dyDescent="0.25">
      <c r="A100" s="52" t="str">
        <f>Data!A100</f>
        <v>TX500099</v>
      </c>
      <c r="B100" s="52">
        <f>MONTH(Data!F100)</f>
        <v>1</v>
      </c>
      <c r="C100" s="52" t="str">
        <f>TEXT(Data!F100,"mmm")</f>
        <v>Jan</v>
      </c>
      <c r="D100" s="52" t="str">
        <f>Data!O100</f>
        <v>Male</v>
      </c>
      <c r="E100" s="52">
        <f>Data!G100-Data!F100</f>
        <v>3</v>
      </c>
      <c r="F100" s="52">
        <f>IF(Data!J100&lt;=5,Data!J100,IF(Data!J100&lt;=10,"6 TO 10","More than 10"))</f>
        <v>5</v>
      </c>
      <c r="G100" s="52">
        <f t="shared" si="1"/>
        <v>3</v>
      </c>
      <c r="H100" s="52">
        <f>ROUND(Data!C100*Data!D100-Data!E100,2)</f>
        <v>0</v>
      </c>
      <c r="I100" s="52">
        <f>IF(AND(OR(Sel_Mode="All",Data!I100=Sel_Mode),OR(Sel_Gender="All",D100=Sel_Gender),OR(Sel_Category="All",Data!B100=Sel_Category),OR(Sel_Month="All",C100=Sel_Month),OR(Sel_County="All",Data!L100=Sel_County)),1,0)</f>
        <v>1</v>
      </c>
    </row>
    <row r="101" spans="1:9" x14ac:dyDescent="0.25">
      <c r="A101" s="52" t="str">
        <f>Data!A101</f>
        <v>TX500100</v>
      </c>
      <c r="B101" s="52">
        <f>MONTH(Data!F101)</f>
        <v>1</v>
      </c>
      <c r="C101" s="52" t="str">
        <f>TEXT(Data!F101,"mmm")</f>
        <v>Jan</v>
      </c>
      <c r="D101" s="52" t="str">
        <f>Data!O101</f>
        <v>Female</v>
      </c>
      <c r="E101" s="52">
        <f>Data!G101-Data!F101</f>
        <v>13</v>
      </c>
      <c r="F101" s="52">
        <f>IF(Data!J101&lt;=5,Data!J101,IF(Data!J101&lt;=10,"6 TO 10","More than 10"))</f>
        <v>5</v>
      </c>
      <c r="G101" s="52" t="str">
        <f t="shared" si="1"/>
        <v>8+</v>
      </c>
      <c r="H101" s="52">
        <f>ROUND(Data!C101*Data!D101-Data!E101,2)</f>
        <v>0</v>
      </c>
      <c r="I101" s="52">
        <f>IF(AND(OR(Sel_Mode="All",Data!I101=Sel_Mode),OR(Sel_Gender="All",D101=Sel_Gender),OR(Sel_Category="All",Data!B101=Sel_Category),OR(Sel_Month="All",C101=Sel_Month),OR(Sel_County="All",Data!L101=Sel_County)),1,0)</f>
        <v>1</v>
      </c>
    </row>
    <row r="102" spans="1:9" x14ac:dyDescent="0.25">
      <c r="A102" s="52" t="str">
        <f>Data!A102</f>
        <v>TX500101</v>
      </c>
      <c r="B102" s="52">
        <f>MONTH(Data!F102)</f>
        <v>1</v>
      </c>
      <c r="C102" s="52" t="str">
        <f>TEXT(Data!F102,"mmm")</f>
        <v>Jan</v>
      </c>
      <c r="D102" s="52" t="str">
        <f>Data!O102</f>
        <v>Male</v>
      </c>
      <c r="E102" s="52">
        <f>Data!G102-Data!F102</f>
        <v>4</v>
      </c>
      <c r="F102" s="52">
        <f>IF(Data!J102&lt;=5,Data!J102,IF(Data!J102&lt;=10,"6 TO 10","More than 10"))</f>
        <v>5</v>
      </c>
      <c r="G102" s="52">
        <f t="shared" si="1"/>
        <v>4</v>
      </c>
      <c r="H102" s="52">
        <f>ROUND(Data!C102*Data!D102-Data!E102,2)</f>
        <v>0</v>
      </c>
      <c r="I102" s="52">
        <f>IF(AND(OR(Sel_Mode="All",Data!I102=Sel_Mode),OR(Sel_Gender="All",D102=Sel_Gender),OR(Sel_Category="All",Data!B102=Sel_Category),OR(Sel_Month="All",C102=Sel_Month),OR(Sel_County="All",Data!L102=Sel_County)),1,0)</f>
        <v>1</v>
      </c>
    </row>
    <row r="103" spans="1:9" x14ac:dyDescent="0.25">
      <c r="A103" s="52" t="str">
        <f>Data!A103</f>
        <v>TX500102</v>
      </c>
      <c r="B103" s="52">
        <f>MONTH(Data!F103)</f>
        <v>1</v>
      </c>
      <c r="C103" s="52" t="str">
        <f>TEXT(Data!F103,"mmm")</f>
        <v>Jan</v>
      </c>
      <c r="D103" s="52" t="str">
        <f>Data!O103</f>
        <v>Male</v>
      </c>
      <c r="E103" s="52">
        <f>Data!G103-Data!F103</f>
        <v>1</v>
      </c>
      <c r="F103" s="52">
        <f>IF(Data!J103&lt;=5,Data!J103,IF(Data!J103&lt;=10,"6 TO 10","More than 10"))</f>
        <v>5</v>
      </c>
      <c r="G103" s="52">
        <f t="shared" si="1"/>
        <v>1</v>
      </c>
      <c r="H103" s="52">
        <f>ROUND(Data!C103*Data!D103-Data!E103,2)</f>
        <v>0</v>
      </c>
      <c r="I103" s="52">
        <f>IF(AND(OR(Sel_Mode="All",Data!I103=Sel_Mode),OR(Sel_Gender="All",D103=Sel_Gender),OR(Sel_Category="All",Data!B103=Sel_Category),OR(Sel_Month="All",C103=Sel_Month),OR(Sel_County="All",Data!L103=Sel_County)),1,0)</f>
        <v>1</v>
      </c>
    </row>
    <row r="104" spans="1:9" x14ac:dyDescent="0.25">
      <c r="A104" s="52" t="str">
        <f>Data!A104</f>
        <v>TX500103</v>
      </c>
      <c r="B104" s="52">
        <f>MONTH(Data!F104)</f>
        <v>1</v>
      </c>
      <c r="C104" s="52" t="str">
        <f>TEXT(Data!F104,"mmm")</f>
        <v>Jan</v>
      </c>
      <c r="D104" s="52" t="str">
        <f>Data!O104</f>
        <v>Female</v>
      </c>
      <c r="E104" s="52">
        <f>Data!G104-Data!F104</f>
        <v>3</v>
      </c>
      <c r="F104" s="52">
        <f>IF(Data!J104&lt;=5,Data!J104,IF(Data!J104&lt;=10,"6 TO 10","More than 10"))</f>
        <v>4</v>
      </c>
      <c r="G104" s="52">
        <f t="shared" si="1"/>
        <v>3</v>
      </c>
      <c r="H104" s="52">
        <f>ROUND(Data!C104*Data!D104-Data!E104,2)</f>
        <v>0</v>
      </c>
      <c r="I104" s="52">
        <f>IF(AND(OR(Sel_Mode="All",Data!I104=Sel_Mode),OR(Sel_Gender="All",D104=Sel_Gender),OR(Sel_Category="All",Data!B104=Sel_Category),OR(Sel_Month="All",C104=Sel_Month),OR(Sel_County="All",Data!L104=Sel_County)),1,0)</f>
        <v>1</v>
      </c>
    </row>
    <row r="105" spans="1:9" x14ac:dyDescent="0.25">
      <c r="A105" s="52" t="str">
        <f>Data!A105</f>
        <v>TX500104</v>
      </c>
      <c r="B105" s="52">
        <f>MONTH(Data!F105)</f>
        <v>1</v>
      </c>
      <c r="C105" s="52" t="str">
        <f>TEXT(Data!F105,"mmm")</f>
        <v>Jan</v>
      </c>
      <c r="D105" s="52" t="str">
        <f>Data!O105</f>
        <v>Male</v>
      </c>
      <c r="E105" s="52">
        <f>Data!G105-Data!F105</f>
        <v>0</v>
      </c>
      <c r="F105" s="52">
        <f>IF(Data!J105&lt;=5,Data!J105,IF(Data!J105&lt;=10,"6 TO 10","More than 10"))</f>
        <v>2</v>
      </c>
      <c r="G105" s="52">
        <f t="shared" si="1"/>
        <v>0</v>
      </c>
      <c r="H105" s="52">
        <f>ROUND(Data!C105*Data!D105-Data!E105,2)</f>
        <v>0</v>
      </c>
      <c r="I105" s="52">
        <f>IF(AND(OR(Sel_Mode="All",Data!I105=Sel_Mode),OR(Sel_Gender="All",D105=Sel_Gender),OR(Sel_Category="All",Data!B105=Sel_Category),OR(Sel_Month="All",C105=Sel_Month),OR(Sel_County="All",Data!L105=Sel_County)),1,0)</f>
        <v>1</v>
      </c>
    </row>
    <row r="106" spans="1:9" x14ac:dyDescent="0.25">
      <c r="A106" s="52" t="str">
        <f>Data!A106</f>
        <v>TX500105</v>
      </c>
      <c r="B106" s="52">
        <f>MONTH(Data!F106)</f>
        <v>1</v>
      </c>
      <c r="C106" s="52" t="str">
        <f>TEXT(Data!F106,"mmm")</f>
        <v>Jan</v>
      </c>
      <c r="D106" s="52" t="str">
        <f>Data!O106</f>
        <v>Female</v>
      </c>
      <c r="E106" s="52">
        <f>Data!G106-Data!F106</f>
        <v>5</v>
      </c>
      <c r="F106" s="52">
        <f>IF(Data!J106&lt;=5,Data!J106,IF(Data!J106&lt;=10,"6 TO 10","More than 10"))</f>
        <v>5</v>
      </c>
      <c r="G106" s="52">
        <f t="shared" si="1"/>
        <v>5</v>
      </c>
      <c r="H106" s="52">
        <f>ROUND(Data!C106*Data!D106-Data!E106,2)</f>
        <v>0</v>
      </c>
      <c r="I106" s="52">
        <f>IF(AND(OR(Sel_Mode="All",Data!I106=Sel_Mode),OR(Sel_Gender="All",D106=Sel_Gender),OR(Sel_Category="All",Data!B106=Sel_Category),OR(Sel_Month="All",C106=Sel_Month),OR(Sel_County="All",Data!L106=Sel_County)),1,0)</f>
        <v>1</v>
      </c>
    </row>
    <row r="107" spans="1:9" x14ac:dyDescent="0.25">
      <c r="A107" s="52" t="str">
        <f>Data!A107</f>
        <v>TX500106</v>
      </c>
      <c r="B107" s="52">
        <f>MONTH(Data!F107)</f>
        <v>1</v>
      </c>
      <c r="C107" s="52" t="str">
        <f>TEXT(Data!F107,"mmm")</f>
        <v>Jan</v>
      </c>
      <c r="D107" s="52" t="str">
        <f>Data!O107</f>
        <v>Female</v>
      </c>
      <c r="E107" s="52">
        <f>Data!G107-Data!F107</f>
        <v>2</v>
      </c>
      <c r="F107" s="52">
        <f>IF(Data!J107&lt;=5,Data!J107,IF(Data!J107&lt;=10,"6 TO 10","More than 10"))</f>
        <v>3</v>
      </c>
      <c r="G107" s="52">
        <f t="shared" si="1"/>
        <v>2</v>
      </c>
      <c r="H107" s="52">
        <f>ROUND(Data!C107*Data!D107-Data!E107,2)</f>
        <v>0</v>
      </c>
      <c r="I107" s="52">
        <f>IF(AND(OR(Sel_Mode="All",Data!I107=Sel_Mode),OR(Sel_Gender="All",D107=Sel_Gender),OR(Sel_Category="All",Data!B107=Sel_Category),OR(Sel_Month="All",C107=Sel_Month),OR(Sel_County="All",Data!L107=Sel_County)),1,0)</f>
        <v>1</v>
      </c>
    </row>
    <row r="108" spans="1:9" x14ac:dyDescent="0.25">
      <c r="A108" s="52" t="str">
        <f>Data!A108</f>
        <v>TX500107</v>
      </c>
      <c r="B108" s="52">
        <f>MONTH(Data!F108)</f>
        <v>1</v>
      </c>
      <c r="C108" s="52" t="str">
        <f>TEXT(Data!F108,"mmm")</f>
        <v>Jan</v>
      </c>
      <c r="D108" s="52" t="str">
        <f>Data!O108</f>
        <v>Female</v>
      </c>
      <c r="E108" s="52">
        <f>Data!G108-Data!F108</f>
        <v>0</v>
      </c>
      <c r="F108" s="52">
        <f>IF(Data!J108&lt;=5,Data!J108,IF(Data!J108&lt;=10,"6 TO 10","More than 10"))</f>
        <v>5</v>
      </c>
      <c r="G108" s="52">
        <f t="shared" si="1"/>
        <v>0</v>
      </c>
      <c r="H108" s="52">
        <f>ROUND(Data!C108*Data!D108-Data!E108,2)</f>
        <v>0</v>
      </c>
      <c r="I108" s="52">
        <f>IF(AND(OR(Sel_Mode="All",Data!I108=Sel_Mode),OR(Sel_Gender="All",D108=Sel_Gender),OR(Sel_Category="All",Data!B108=Sel_Category),OR(Sel_Month="All",C108=Sel_Month),OR(Sel_County="All",Data!L108=Sel_County)),1,0)</f>
        <v>1</v>
      </c>
    </row>
    <row r="109" spans="1:9" x14ac:dyDescent="0.25">
      <c r="A109" s="52" t="str">
        <f>Data!A109</f>
        <v>TX500108</v>
      </c>
      <c r="B109" s="52">
        <f>MONTH(Data!F109)</f>
        <v>1</v>
      </c>
      <c r="C109" s="52" t="str">
        <f>TEXT(Data!F109,"mmm")</f>
        <v>Jan</v>
      </c>
      <c r="D109" s="52" t="str">
        <f>Data!O109</f>
        <v>Male</v>
      </c>
      <c r="E109" s="52">
        <f>Data!G109-Data!F109</f>
        <v>1</v>
      </c>
      <c r="F109" s="52">
        <f>IF(Data!J109&lt;=5,Data!J109,IF(Data!J109&lt;=10,"6 TO 10","More than 10"))</f>
        <v>3</v>
      </c>
      <c r="G109" s="52">
        <f t="shared" si="1"/>
        <v>1</v>
      </c>
      <c r="H109" s="52">
        <f>ROUND(Data!C109*Data!D109-Data!E109,2)</f>
        <v>0</v>
      </c>
      <c r="I109" s="52">
        <f>IF(AND(OR(Sel_Mode="All",Data!I109=Sel_Mode),OR(Sel_Gender="All",D109=Sel_Gender),OR(Sel_Category="All",Data!B109=Sel_Category),OR(Sel_Month="All",C109=Sel_Month),OR(Sel_County="All",Data!L109=Sel_County)),1,0)</f>
        <v>1</v>
      </c>
    </row>
    <row r="110" spans="1:9" x14ac:dyDescent="0.25">
      <c r="A110" s="52" t="str">
        <f>Data!A110</f>
        <v>TX500109</v>
      </c>
      <c r="B110" s="52">
        <f>MONTH(Data!F110)</f>
        <v>1</v>
      </c>
      <c r="C110" s="52" t="str">
        <f>TEXT(Data!F110,"mmm")</f>
        <v>Jan</v>
      </c>
      <c r="D110" s="52" t="str">
        <f>Data!O110</f>
        <v>Male</v>
      </c>
      <c r="E110" s="52">
        <f>Data!G110-Data!F110</f>
        <v>2</v>
      </c>
      <c r="F110" s="52">
        <f>IF(Data!J110&lt;=5,Data!J110,IF(Data!J110&lt;=10,"6 TO 10","More than 10"))</f>
        <v>4</v>
      </c>
      <c r="G110" s="52">
        <f t="shared" si="1"/>
        <v>2</v>
      </c>
      <c r="H110" s="52">
        <f>ROUND(Data!C110*Data!D110-Data!E110,2)</f>
        <v>0</v>
      </c>
      <c r="I110" s="52">
        <f>IF(AND(OR(Sel_Mode="All",Data!I110=Sel_Mode),OR(Sel_Gender="All",D110=Sel_Gender),OR(Sel_Category="All",Data!B110=Sel_Category),OR(Sel_Month="All",C110=Sel_Month),OR(Sel_County="All",Data!L110=Sel_County)),1,0)</f>
        <v>1</v>
      </c>
    </row>
    <row r="111" spans="1:9" x14ac:dyDescent="0.25">
      <c r="A111" s="52" t="str">
        <f>Data!A111</f>
        <v>TX500110</v>
      </c>
      <c r="B111" s="52">
        <f>MONTH(Data!F111)</f>
        <v>1</v>
      </c>
      <c r="C111" s="52" t="str">
        <f>TEXT(Data!F111,"mmm")</f>
        <v>Jan</v>
      </c>
      <c r="D111" s="52" t="str">
        <f>Data!O111</f>
        <v>Female</v>
      </c>
      <c r="E111" s="52">
        <f>Data!G111-Data!F111</f>
        <v>1</v>
      </c>
      <c r="F111" s="52">
        <f>IF(Data!J111&lt;=5,Data!J111,IF(Data!J111&lt;=10,"6 TO 10","More than 10"))</f>
        <v>2</v>
      </c>
      <c r="G111" s="52">
        <f t="shared" si="1"/>
        <v>1</v>
      </c>
      <c r="H111" s="52">
        <f>ROUND(Data!C111*Data!D111-Data!E111,2)</f>
        <v>0</v>
      </c>
      <c r="I111" s="52">
        <f>IF(AND(OR(Sel_Mode="All",Data!I111=Sel_Mode),OR(Sel_Gender="All",D111=Sel_Gender),OR(Sel_Category="All",Data!B111=Sel_Category),OR(Sel_Month="All",C111=Sel_Month),OR(Sel_County="All",Data!L111=Sel_County)),1,0)</f>
        <v>1</v>
      </c>
    </row>
    <row r="112" spans="1:9" x14ac:dyDescent="0.25">
      <c r="A112" s="52" t="str">
        <f>Data!A112</f>
        <v>TX500111</v>
      </c>
      <c r="B112" s="52">
        <f>MONTH(Data!F112)</f>
        <v>1</v>
      </c>
      <c r="C112" s="52" t="str">
        <f>TEXT(Data!F112,"mmm")</f>
        <v>Jan</v>
      </c>
      <c r="D112" s="52" t="str">
        <f>Data!O112</f>
        <v>Male</v>
      </c>
      <c r="E112" s="52">
        <f>Data!G112-Data!F112</f>
        <v>2</v>
      </c>
      <c r="F112" s="52">
        <f>IF(Data!J112&lt;=5,Data!J112,IF(Data!J112&lt;=10,"6 TO 10","More than 10"))</f>
        <v>5</v>
      </c>
      <c r="G112" s="52">
        <f t="shared" si="1"/>
        <v>2</v>
      </c>
      <c r="H112" s="52">
        <f>ROUND(Data!C112*Data!D112-Data!E112,2)</f>
        <v>0</v>
      </c>
      <c r="I112" s="52">
        <f>IF(AND(OR(Sel_Mode="All",Data!I112=Sel_Mode),OR(Sel_Gender="All",D112=Sel_Gender),OR(Sel_Category="All",Data!B112=Sel_Category),OR(Sel_Month="All",C112=Sel_Month),OR(Sel_County="All",Data!L112=Sel_County)),1,0)</f>
        <v>1</v>
      </c>
    </row>
    <row r="113" spans="1:9" x14ac:dyDescent="0.25">
      <c r="A113" s="52" t="str">
        <f>Data!A113</f>
        <v>TX500112</v>
      </c>
      <c r="B113" s="52">
        <f>MONTH(Data!F113)</f>
        <v>1</v>
      </c>
      <c r="C113" s="52" t="str">
        <f>TEXT(Data!F113,"mmm")</f>
        <v>Jan</v>
      </c>
      <c r="D113" s="52" t="str">
        <f>Data!O113</f>
        <v>Female</v>
      </c>
      <c r="E113" s="52">
        <f>Data!G113-Data!F113</f>
        <v>2</v>
      </c>
      <c r="F113" s="52">
        <f>IF(Data!J113&lt;=5,Data!J113,IF(Data!J113&lt;=10,"6 TO 10","More than 10"))</f>
        <v>4</v>
      </c>
      <c r="G113" s="52">
        <f t="shared" si="1"/>
        <v>2</v>
      </c>
      <c r="H113" s="52">
        <f>ROUND(Data!C113*Data!D113-Data!E113,2)</f>
        <v>0</v>
      </c>
      <c r="I113" s="52">
        <f>IF(AND(OR(Sel_Mode="All",Data!I113=Sel_Mode),OR(Sel_Gender="All",D113=Sel_Gender),OR(Sel_Category="All",Data!B113=Sel_Category),OR(Sel_Month="All",C113=Sel_Month),OR(Sel_County="All",Data!L113=Sel_County)),1,0)</f>
        <v>1</v>
      </c>
    </row>
    <row r="114" spans="1:9" x14ac:dyDescent="0.25">
      <c r="A114" s="52" t="str">
        <f>Data!A114</f>
        <v>TX500113</v>
      </c>
      <c r="B114" s="52">
        <f>MONTH(Data!F114)</f>
        <v>1</v>
      </c>
      <c r="C114" s="52" t="str">
        <f>TEXT(Data!F114,"mmm")</f>
        <v>Jan</v>
      </c>
      <c r="D114" s="52" t="str">
        <f>Data!O114</f>
        <v>Male</v>
      </c>
      <c r="E114" s="52">
        <f>Data!G114-Data!F114</f>
        <v>1</v>
      </c>
      <c r="F114" s="52">
        <f>IF(Data!J114&lt;=5,Data!J114,IF(Data!J114&lt;=10,"6 TO 10","More than 10"))</f>
        <v>4</v>
      </c>
      <c r="G114" s="52">
        <f t="shared" si="1"/>
        <v>1</v>
      </c>
      <c r="H114" s="52">
        <f>ROUND(Data!C114*Data!D114-Data!E114,2)</f>
        <v>0</v>
      </c>
      <c r="I114" s="52">
        <f>IF(AND(OR(Sel_Mode="All",Data!I114=Sel_Mode),OR(Sel_Gender="All",D114=Sel_Gender),OR(Sel_Category="All",Data!B114=Sel_Category),OR(Sel_Month="All",C114=Sel_Month),OR(Sel_County="All",Data!L114=Sel_County)),1,0)</f>
        <v>1</v>
      </c>
    </row>
    <row r="115" spans="1:9" x14ac:dyDescent="0.25">
      <c r="A115" s="52" t="str">
        <f>Data!A115</f>
        <v>TX500114</v>
      </c>
      <c r="B115" s="52">
        <f>MONTH(Data!F115)</f>
        <v>1</v>
      </c>
      <c r="C115" s="52" t="str">
        <f>TEXT(Data!F115,"mmm")</f>
        <v>Jan</v>
      </c>
      <c r="D115" s="52" t="str">
        <f>Data!O115</f>
        <v>Male</v>
      </c>
      <c r="E115" s="52">
        <f>Data!G115-Data!F115</f>
        <v>1</v>
      </c>
      <c r="F115" s="52">
        <f>IF(Data!J115&lt;=5,Data!J115,IF(Data!J115&lt;=10,"6 TO 10","More than 10"))</f>
        <v>3</v>
      </c>
      <c r="G115" s="52">
        <f t="shared" si="1"/>
        <v>1</v>
      </c>
      <c r="H115" s="52">
        <f>ROUND(Data!C115*Data!D115-Data!E115,2)</f>
        <v>0</v>
      </c>
      <c r="I115" s="52">
        <f>IF(AND(OR(Sel_Mode="All",Data!I115=Sel_Mode),OR(Sel_Gender="All",D115=Sel_Gender),OR(Sel_Category="All",Data!B115=Sel_Category),OR(Sel_Month="All",C115=Sel_Month),OR(Sel_County="All",Data!L115=Sel_County)),1,0)</f>
        <v>1</v>
      </c>
    </row>
    <row r="116" spans="1:9" x14ac:dyDescent="0.25">
      <c r="A116" s="52" t="str">
        <f>Data!A116</f>
        <v>TX500115</v>
      </c>
      <c r="B116" s="52">
        <f>MONTH(Data!F116)</f>
        <v>1</v>
      </c>
      <c r="C116" s="52" t="str">
        <f>TEXT(Data!F116,"mmm")</f>
        <v>Jan</v>
      </c>
      <c r="D116" s="52" t="str">
        <f>Data!O116</f>
        <v>Male</v>
      </c>
      <c r="E116" s="52">
        <f>Data!G116-Data!F116</f>
        <v>3</v>
      </c>
      <c r="F116" s="52">
        <f>IF(Data!J116&lt;=5,Data!J116,IF(Data!J116&lt;=10,"6 TO 10","More than 10"))</f>
        <v>4</v>
      </c>
      <c r="G116" s="52">
        <f t="shared" si="1"/>
        <v>3</v>
      </c>
      <c r="H116" s="52">
        <f>ROUND(Data!C116*Data!D116-Data!E116,2)</f>
        <v>0</v>
      </c>
      <c r="I116" s="52">
        <f>IF(AND(OR(Sel_Mode="All",Data!I116=Sel_Mode),OR(Sel_Gender="All",D116=Sel_Gender),OR(Sel_Category="All",Data!B116=Sel_Category),OR(Sel_Month="All",C116=Sel_Month),OR(Sel_County="All",Data!L116=Sel_County)),1,0)</f>
        <v>1</v>
      </c>
    </row>
    <row r="117" spans="1:9" x14ac:dyDescent="0.25">
      <c r="A117" s="52" t="str">
        <f>Data!A117</f>
        <v>TX500116</v>
      </c>
      <c r="B117" s="52">
        <f>MONTH(Data!F117)</f>
        <v>1</v>
      </c>
      <c r="C117" s="52" t="str">
        <f>TEXT(Data!F117,"mmm")</f>
        <v>Jan</v>
      </c>
      <c r="D117" s="52" t="str">
        <f>Data!O117</f>
        <v>Female</v>
      </c>
      <c r="E117" s="52">
        <f>Data!G117-Data!F117</f>
        <v>1</v>
      </c>
      <c r="F117" s="52">
        <f>IF(Data!J117&lt;=5,Data!J117,IF(Data!J117&lt;=10,"6 TO 10","More than 10"))</f>
        <v>3</v>
      </c>
      <c r="G117" s="52">
        <f t="shared" si="1"/>
        <v>1</v>
      </c>
      <c r="H117" s="52">
        <f>ROUND(Data!C117*Data!D117-Data!E117,2)</f>
        <v>0</v>
      </c>
      <c r="I117" s="52">
        <f>IF(AND(OR(Sel_Mode="All",Data!I117=Sel_Mode),OR(Sel_Gender="All",D117=Sel_Gender),OR(Sel_Category="All",Data!B117=Sel_Category),OR(Sel_Month="All",C117=Sel_Month),OR(Sel_County="All",Data!L117=Sel_County)),1,0)</f>
        <v>1</v>
      </c>
    </row>
    <row r="118" spans="1:9" x14ac:dyDescent="0.25">
      <c r="A118" s="52" t="str">
        <f>Data!A118</f>
        <v>TX500117</v>
      </c>
      <c r="B118" s="52">
        <f>MONTH(Data!F118)</f>
        <v>1</v>
      </c>
      <c r="C118" s="52" t="str">
        <f>TEXT(Data!F118,"mmm")</f>
        <v>Jan</v>
      </c>
      <c r="D118" s="52" t="str">
        <f>Data!O118</f>
        <v>Female</v>
      </c>
      <c r="E118" s="52">
        <f>Data!G118-Data!F118</f>
        <v>1</v>
      </c>
      <c r="F118" s="52">
        <f>IF(Data!J118&lt;=5,Data!J118,IF(Data!J118&lt;=10,"6 TO 10","More than 10"))</f>
        <v>4</v>
      </c>
      <c r="G118" s="52">
        <f t="shared" si="1"/>
        <v>1</v>
      </c>
      <c r="H118" s="52">
        <f>ROUND(Data!C118*Data!D118-Data!E118,2)</f>
        <v>0</v>
      </c>
      <c r="I118" s="52">
        <f>IF(AND(OR(Sel_Mode="All",Data!I118=Sel_Mode),OR(Sel_Gender="All",D118=Sel_Gender),OR(Sel_Category="All",Data!B118=Sel_Category),OR(Sel_Month="All",C118=Sel_Month),OR(Sel_County="All",Data!L118=Sel_County)),1,0)</f>
        <v>1</v>
      </c>
    </row>
    <row r="119" spans="1:9" x14ac:dyDescent="0.25">
      <c r="A119" s="52" t="str">
        <f>Data!A119</f>
        <v>TX500118</v>
      </c>
      <c r="B119" s="52">
        <f>MONTH(Data!F119)</f>
        <v>1</v>
      </c>
      <c r="C119" s="52" t="str">
        <f>TEXT(Data!F119,"mmm")</f>
        <v>Jan</v>
      </c>
      <c r="D119" s="52" t="str">
        <f>Data!O119</f>
        <v>Female</v>
      </c>
      <c r="E119" s="52">
        <f>Data!G119-Data!F119</f>
        <v>2</v>
      </c>
      <c r="F119" s="52">
        <f>IF(Data!J119&lt;=5,Data!J119,IF(Data!J119&lt;=10,"6 TO 10","More than 10"))</f>
        <v>4</v>
      </c>
      <c r="G119" s="52">
        <f t="shared" si="1"/>
        <v>2</v>
      </c>
      <c r="H119" s="52">
        <f>ROUND(Data!C119*Data!D119-Data!E119,2)</f>
        <v>0</v>
      </c>
      <c r="I119" s="52">
        <f>IF(AND(OR(Sel_Mode="All",Data!I119=Sel_Mode),OR(Sel_Gender="All",D119=Sel_Gender),OR(Sel_Category="All",Data!B119=Sel_Category),OR(Sel_Month="All",C119=Sel_Month),OR(Sel_County="All",Data!L119=Sel_County)),1,0)</f>
        <v>1</v>
      </c>
    </row>
    <row r="120" spans="1:9" x14ac:dyDescent="0.25">
      <c r="A120" s="52" t="str">
        <f>Data!A120</f>
        <v>TX500119</v>
      </c>
      <c r="B120" s="52">
        <f>MONTH(Data!F120)</f>
        <v>1</v>
      </c>
      <c r="C120" s="52" t="str">
        <f>TEXT(Data!F120,"mmm")</f>
        <v>Jan</v>
      </c>
      <c r="D120" s="52" t="str">
        <f>Data!O120</f>
        <v>Male</v>
      </c>
      <c r="E120" s="52">
        <f>Data!G120-Data!F120</f>
        <v>1</v>
      </c>
      <c r="F120" s="52">
        <f>IF(Data!J120&lt;=5,Data!J120,IF(Data!J120&lt;=10,"6 TO 10","More than 10"))</f>
        <v>4</v>
      </c>
      <c r="G120" s="52">
        <f t="shared" si="1"/>
        <v>1</v>
      </c>
      <c r="H120" s="52">
        <f>ROUND(Data!C120*Data!D120-Data!E120,2)</f>
        <v>0</v>
      </c>
      <c r="I120" s="52">
        <f>IF(AND(OR(Sel_Mode="All",Data!I120=Sel_Mode),OR(Sel_Gender="All",D120=Sel_Gender),OR(Sel_Category="All",Data!B120=Sel_Category),OR(Sel_Month="All",C120=Sel_Month),OR(Sel_County="All",Data!L120=Sel_County)),1,0)</f>
        <v>1</v>
      </c>
    </row>
    <row r="121" spans="1:9" x14ac:dyDescent="0.25">
      <c r="A121" s="52" t="str">
        <f>Data!A121</f>
        <v>TX500120</v>
      </c>
      <c r="B121" s="52">
        <f>MONTH(Data!F121)</f>
        <v>1</v>
      </c>
      <c r="C121" s="52" t="str">
        <f>TEXT(Data!F121,"mmm")</f>
        <v>Jan</v>
      </c>
      <c r="D121" s="52" t="str">
        <f>Data!O121</f>
        <v>Female</v>
      </c>
      <c r="E121" s="52">
        <f>Data!G121-Data!F121</f>
        <v>1</v>
      </c>
      <c r="F121" s="52">
        <f>IF(Data!J121&lt;=5,Data!J121,IF(Data!J121&lt;=10,"6 TO 10","More than 10"))</f>
        <v>3</v>
      </c>
      <c r="G121" s="52">
        <f t="shared" si="1"/>
        <v>1</v>
      </c>
      <c r="H121" s="52">
        <f>ROUND(Data!C121*Data!D121-Data!E121,2)</f>
        <v>0</v>
      </c>
      <c r="I121" s="52">
        <f>IF(AND(OR(Sel_Mode="All",Data!I121=Sel_Mode),OR(Sel_Gender="All",D121=Sel_Gender),OR(Sel_Category="All",Data!B121=Sel_Category),OR(Sel_Month="All",C121=Sel_Month),OR(Sel_County="All",Data!L121=Sel_County)),1,0)</f>
        <v>1</v>
      </c>
    </row>
    <row r="122" spans="1:9" x14ac:dyDescent="0.25">
      <c r="A122" s="52" t="str">
        <f>Data!A122</f>
        <v>TX500121</v>
      </c>
      <c r="B122" s="52">
        <f>MONTH(Data!F122)</f>
        <v>1</v>
      </c>
      <c r="C122" s="52" t="str">
        <f>TEXT(Data!F122,"mmm")</f>
        <v>Jan</v>
      </c>
      <c r="D122" s="52" t="str">
        <f>Data!O122</f>
        <v>Unknown</v>
      </c>
      <c r="E122" s="52">
        <f>Data!G122-Data!F122</f>
        <v>4</v>
      </c>
      <c r="F122" s="52">
        <f>IF(Data!J122&lt;=5,Data!J122,IF(Data!J122&lt;=10,"6 TO 10","More than 10"))</f>
        <v>5</v>
      </c>
      <c r="G122" s="52">
        <f t="shared" si="1"/>
        <v>4</v>
      </c>
      <c r="H122" s="52">
        <f>ROUND(Data!C122*Data!D122-Data!E122,2)</f>
        <v>0</v>
      </c>
      <c r="I122" s="52">
        <f>IF(AND(OR(Sel_Mode="All",Data!I122=Sel_Mode),OR(Sel_Gender="All",D122=Sel_Gender),OR(Sel_Category="All",Data!B122=Sel_Category),OR(Sel_Month="All",C122=Sel_Month),OR(Sel_County="All",Data!L122=Sel_County)),1,0)</f>
        <v>1</v>
      </c>
    </row>
    <row r="123" spans="1:9" x14ac:dyDescent="0.25">
      <c r="A123" s="52" t="str">
        <f>Data!A123</f>
        <v>TX500122</v>
      </c>
      <c r="B123" s="52">
        <f>MONTH(Data!F123)</f>
        <v>1</v>
      </c>
      <c r="C123" s="52" t="str">
        <f>TEXT(Data!F123,"mmm")</f>
        <v>Jan</v>
      </c>
      <c r="D123" s="52" t="str">
        <f>Data!O123</f>
        <v>Male</v>
      </c>
      <c r="E123" s="52">
        <f>Data!G123-Data!F123</f>
        <v>1</v>
      </c>
      <c r="F123" s="52">
        <f>IF(Data!J123&lt;=5,Data!J123,IF(Data!J123&lt;=10,"6 TO 10","More than 10"))</f>
        <v>4</v>
      </c>
      <c r="G123" s="52">
        <f t="shared" si="1"/>
        <v>1</v>
      </c>
      <c r="H123" s="52">
        <f>ROUND(Data!C123*Data!D123-Data!E123,2)</f>
        <v>0</v>
      </c>
      <c r="I123" s="52">
        <f>IF(AND(OR(Sel_Mode="All",Data!I123=Sel_Mode),OR(Sel_Gender="All",D123=Sel_Gender),OR(Sel_Category="All",Data!B123=Sel_Category),OR(Sel_Month="All",C123=Sel_Month),OR(Sel_County="All",Data!L123=Sel_County)),1,0)</f>
        <v>1</v>
      </c>
    </row>
    <row r="124" spans="1:9" x14ac:dyDescent="0.25">
      <c r="A124" s="52" t="str">
        <f>Data!A124</f>
        <v>TX500123</v>
      </c>
      <c r="B124" s="52">
        <f>MONTH(Data!F124)</f>
        <v>1</v>
      </c>
      <c r="C124" s="52" t="str">
        <f>TEXT(Data!F124,"mmm")</f>
        <v>Jan</v>
      </c>
      <c r="D124" s="52" t="str">
        <f>Data!O124</f>
        <v>Female</v>
      </c>
      <c r="E124" s="52">
        <f>Data!G124-Data!F124</f>
        <v>1</v>
      </c>
      <c r="F124" s="52">
        <f>IF(Data!J124&lt;=5,Data!J124,IF(Data!J124&lt;=10,"6 TO 10","More than 10"))</f>
        <v>4</v>
      </c>
      <c r="G124" s="52">
        <f t="shared" si="1"/>
        <v>1</v>
      </c>
      <c r="H124" s="52">
        <f>ROUND(Data!C124*Data!D124-Data!E124,2)</f>
        <v>0</v>
      </c>
      <c r="I124" s="52">
        <f>IF(AND(OR(Sel_Mode="All",Data!I124=Sel_Mode),OR(Sel_Gender="All",D124=Sel_Gender),OR(Sel_Category="All",Data!B124=Sel_Category),OR(Sel_Month="All",C124=Sel_Month),OR(Sel_County="All",Data!L124=Sel_County)),1,0)</f>
        <v>1</v>
      </c>
    </row>
    <row r="125" spans="1:9" x14ac:dyDescent="0.25">
      <c r="A125" s="52" t="str">
        <f>Data!A125</f>
        <v>TX500124</v>
      </c>
      <c r="B125" s="52">
        <f>MONTH(Data!F125)</f>
        <v>1</v>
      </c>
      <c r="C125" s="52" t="str">
        <f>TEXT(Data!F125,"mmm")</f>
        <v>Jan</v>
      </c>
      <c r="D125" s="52" t="str">
        <f>Data!O125</f>
        <v>Female</v>
      </c>
      <c r="E125" s="52">
        <f>Data!G125-Data!F125</f>
        <v>1</v>
      </c>
      <c r="F125" s="52">
        <f>IF(Data!J125&lt;=5,Data!J125,IF(Data!J125&lt;=10,"6 TO 10","More than 10"))</f>
        <v>4</v>
      </c>
      <c r="G125" s="52">
        <f t="shared" si="1"/>
        <v>1</v>
      </c>
      <c r="H125" s="52">
        <f>ROUND(Data!C125*Data!D125-Data!E125,2)</f>
        <v>0</v>
      </c>
      <c r="I125" s="52">
        <f>IF(AND(OR(Sel_Mode="All",Data!I125=Sel_Mode),OR(Sel_Gender="All",D125=Sel_Gender),OR(Sel_Category="All",Data!B125=Sel_Category),OR(Sel_Month="All",C125=Sel_Month),OR(Sel_County="All",Data!L125=Sel_County)),1,0)</f>
        <v>1</v>
      </c>
    </row>
    <row r="126" spans="1:9" x14ac:dyDescent="0.25">
      <c r="A126" s="52" t="str">
        <f>Data!A126</f>
        <v>TX500125</v>
      </c>
      <c r="B126" s="52">
        <f>MONTH(Data!F126)</f>
        <v>1</v>
      </c>
      <c r="C126" s="52" t="str">
        <f>TEXT(Data!F126,"mmm")</f>
        <v>Jan</v>
      </c>
      <c r="D126" s="52" t="str">
        <f>Data!O126</f>
        <v>Male</v>
      </c>
      <c r="E126" s="52">
        <f>Data!G126-Data!F126</f>
        <v>2</v>
      </c>
      <c r="F126" s="52">
        <f>IF(Data!J126&lt;=5,Data!J126,IF(Data!J126&lt;=10,"6 TO 10","More than 10"))</f>
        <v>2</v>
      </c>
      <c r="G126" s="52">
        <f t="shared" si="1"/>
        <v>2</v>
      </c>
      <c r="H126" s="52">
        <f>ROUND(Data!C126*Data!D126-Data!E126,2)</f>
        <v>0</v>
      </c>
      <c r="I126" s="52">
        <f>IF(AND(OR(Sel_Mode="All",Data!I126=Sel_Mode),OR(Sel_Gender="All",D126=Sel_Gender),OR(Sel_Category="All",Data!B126=Sel_Category),OR(Sel_Month="All",C126=Sel_Month),OR(Sel_County="All",Data!L126=Sel_County)),1,0)</f>
        <v>1</v>
      </c>
    </row>
    <row r="127" spans="1:9" x14ac:dyDescent="0.25">
      <c r="A127" s="52" t="str">
        <f>Data!A127</f>
        <v>TX500126</v>
      </c>
      <c r="B127" s="52">
        <f>MONTH(Data!F127)</f>
        <v>1</v>
      </c>
      <c r="C127" s="52" t="str">
        <f>TEXT(Data!F127,"mmm")</f>
        <v>Jan</v>
      </c>
      <c r="D127" s="52" t="str">
        <f>Data!O127</f>
        <v>Male</v>
      </c>
      <c r="E127" s="52">
        <f>Data!G127-Data!F127</f>
        <v>2</v>
      </c>
      <c r="F127" s="52">
        <f>IF(Data!J127&lt;=5,Data!J127,IF(Data!J127&lt;=10,"6 TO 10","More than 10"))</f>
        <v>3</v>
      </c>
      <c r="G127" s="52">
        <f t="shared" si="1"/>
        <v>2</v>
      </c>
      <c r="H127" s="52">
        <f>ROUND(Data!C127*Data!D127-Data!E127,2)</f>
        <v>0</v>
      </c>
      <c r="I127" s="52">
        <f>IF(AND(OR(Sel_Mode="All",Data!I127=Sel_Mode),OR(Sel_Gender="All",D127=Sel_Gender),OR(Sel_Category="All",Data!B127=Sel_Category),OR(Sel_Month="All",C127=Sel_Month),OR(Sel_County="All",Data!L127=Sel_County)),1,0)</f>
        <v>1</v>
      </c>
    </row>
    <row r="128" spans="1:9" x14ac:dyDescent="0.25">
      <c r="A128" s="52" t="str">
        <f>Data!A128</f>
        <v>TX500127</v>
      </c>
      <c r="B128" s="52">
        <f>MONTH(Data!F128)</f>
        <v>1</v>
      </c>
      <c r="C128" s="52" t="str">
        <f>TEXT(Data!F128,"mmm")</f>
        <v>Jan</v>
      </c>
      <c r="D128" s="52" t="str">
        <f>Data!O128</f>
        <v>Female</v>
      </c>
      <c r="E128" s="52">
        <f>Data!G128-Data!F128</f>
        <v>1</v>
      </c>
      <c r="F128" s="52">
        <f>IF(Data!J128&lt;=5,Data!J128,IF(Data!J128&lt;=10,"6 TO 10","More than 10"))</f>
        <v>3</v>
      </c>
      <c r="G128" s="52">
        <f t="shared" si="1"/>
        <v>1</v>
      </c>
      <c r="H128" s="52">
        <f>ROUND(Data!C128*Data!D128-Data!E128,2)</f>
        <v>0</v>
      </c>
      <c r="I128" s="52">
        <f>IF(AND(OR(Sel_Mode="All",Data!I128=Sel_Mode),OR(Sel_Gender="All",D128=Sel_Gender),OR(Sel_Category="All",Data!B128=Sel_Category),OR(Sel_Month="All",C128=Sel_Month),OR(Sel_County="All",Data!L128=Sel_County)),1,0)</f>
        <v>1</v>
      </c>
    </row>
    <row r="129" spans="1:9" x14ac:dyDescent="0.25">
      <c r="A129" s="52" t="str">
        <f>Data!A129</f>
        <v>TX500128</v>
      </c>
      <c r="B129" s="52">
        <f>MONTH(Data!F129)</f>
        <v>1</v>
      </c>
      <c r="C129" s="52" t="str">
        <f>TEXT(Data!F129,"mmm")</f>
        <v>Jan</v>
      </c>
      <c r="D129" s="52" t="str">
        <f>Data!O129</f>
        <v>Male</v>
      </c>
      <c r="E129" s="52">
        <f>Data!G129-Data!F129</f>
        <v>2</v>
      </c>
      <c r="F129" s="52">
        <f>IF(Data!J129&lt;=5,Data!J129,IF(Data!J129&lt;=10,"6 TO 10","More than 10"))</f>
        <v>5</v>
      </c>
      <c r="G129" s="52">
        <f t="shared" si="1"/>
        <v>2</v>
      </c>
      <c r="H129" s="52">
        <f>ROUND(Data!C129*Data!D129-Data!E129,2)</f>
        <v>0</v>
      </c>
      <c r="I129" s="52">
        <f>IF(AND(OR(Sel_Mode="All",Data!I129=Sel_Mode),OR(Sel_Gender="All",D129=Sel_Gender),OR(Sel_Category="All",Data!B129=Sel_Category),OR(Sel_Month="All",C129=Sel_Month),OR(Sel_County="All",Data!L129=Sel_County)),1,0)</f>
        <v>1</v>
      </c>
    </row>
    <row r="130" spans="1:9" x14ac:dyDescent="0.25">
      <c r="A130" s="52" t="str">
        <f>Data!A130</f>
        <v>TX500129</v>
      </c>
      <c r="B130" s="52">
        <f>MONTH(Data!F130)</f>
        <v>1</v>
      </c>
      <c r="C130" s="52" t="str">
        <f>TEXT(Data!F130,"mmm")</f>
        <v>Jan</v>
      </c>
      <c r="D130" s="52" t="str">
        <f>Data!O130</f>
        <v>Male</v>
      </c>
      <c r="E130" s="52">
        <f>Data!G130-Data!F130</f>
        <v>4</v>
      </c>
      <c r="F130" s="52">
        <f>IF(Data!J130&lt;=5,Data!J130,IF(Data!J130&lt;=10,"6 TO 10","More than 10"))</f>
        <v>4</v>
      </c>
      <c r="G130" s="52">
        <f t="shared" ref="G130:G193" si="2">IF(E130&gt;=8,"8+",E130)</f>
        <v>4</v>
      </c>
      <c r="H130" s="52">
        <f>ROUND(Data!C130*Data!D130-Data!E130,2)</f>
        <v>0</v>
      </c>
      <c r="I130" s="52">
        <f>IF(AND(OR(Sel_Mode="All",Data!I130=Sel_Mode),OR(Sel_Gender="All",D130=Sel_Gender),OR(Sel_Category="All",Data!B130=Sel_Category),OR(Sel_Month="All",C130=Sel_Month),OR(Sel_County="All",Data!L130=Sel_County)),1,0)</f>
        <v>1</v>
      </c>
    </row>
    <row r="131" spans="1:9" x14ac:dyDescent="0.25">
      <c r="A131" s="52" t="str">
        <f>Data!A131</f>
        <v>TX500130</v>
      </c>
      <c r="B131" s="52">
        <f>MONTH(Data!F131)</f>
        <v>1</v>
      </c>
      <c r="C131" s="52" t="str">
        <f>TEXT(Data!F131,"mmm")</f>
        <v>Jan</v>
      </c>
      <c r="D131" s="52" t="str">
        <f>Data!O131</f>
        <v>Male</v>
      </c>
      <c r="E131" s="52">
        <f>Data!G131-Data!F131</f>
        <v>1</v>
      </c>
      <c r="F131" s="52">
        <f>IF(Data!J131&lt;=5,Data!J131,IF(Data!J131&lt;=10,"6 TO 10","More than 10"))</f>
        <v>5</v>
      </c>
      <c r="G131" s="52">
        <f t="shared" si="2"/>
        <v>1</v>
      </c>
      <c r="H131" s="52">
        <f>ROUND(Data!C131*Data!D131-Data!E131,2)</f>
        <v>0</v>
      </c>
      <c r="I131" s="52">
        <f>IF(AND(OR(Sel_Mode="All",Data!I131=Sel_Mode),OR(Sel_Gender="All",D131=Sel_Gender),OR(Sel_Category="All",Data!B131=Sel_Category),OR(Sel_Month="All",C131=Sel_Month),OR(Sel_County="All",Data!L131=Sel_County)),1,0)</f>
        <v>1</v>
      </c>
    </row>
    <row r="132" spans="1:9" x14ac:dyDescent="0.25">
      <c r="A132" s="52" t="str">
        <f>Data!A132</f>
        <v>TX500131</v>
      </c>
      <c r="B132" s="52">
        <f>MONTH(Data!F132)</f>
        <v>1</v>
      </c>
      <c r="C132" s="52" t="str">
        <f>TEXT(Data!F132,"mmm")</f>
        <v>Jan</v>
      </c>
      <c r="D132" s="52" t="str">
        <f>Data!O132</f>
        <v>Other</v>
      </c>
      <c r="E132" s="52">
        <f>Data!G132-Data!F132</f>
        <v>9</v>
      </c>
      <c r="F132" s="52">
        <f>IF(Data!J132&lt;=5,Data!J132,IF(Data!J132&lt;=10,"6 TO 10","More than 10"))</f>
        <v>5</v>
      </c>
      <c r="G132" s="52" t="str">
        <f t="shared" si="2"/>
        <v>8+</v>
      </c>
      <c r="H132" s="52">
        <f>ROUND(Data!C132*Data!D132-Data!E132,2)</f>
        <v>0</v>
      </c>
      <c r="I132" s="52">
        <f>IF(AND(OR(Sel_Mode="All",Data!I132=Sel_Mode),OR(Sel_Gender="All",D132=Sel_Gender),OR(Sel_Category="All",Data!B132=Sel_Category),OR(Sel_Month="All",C132=Sel_Month),OR(Sel_County="All",Data!L132=Sel_County)),1,0)</f>
        <v>1</v>
      </c>
    </row>
    <row r="133" spans="1:9" x14ac:dyDescent="0.25">
      <c r="A133" s="52" t="str">
        <f>Data!A133</f>
        <v>TX500132</v>
      </c>
      <c r="B133" s="52">
        <f>MONTH(Data!F133)</f>
        <v>1</v>
      </c>
      <c r="C133" s="52" t="str">
        <f>TEXT(Data!F133,"mmm")</f>
        <v>Jan</v>
      </c>
      <c r="D133" s="52" t="str">
        <f>Data!O133</f>
        <v>Female</v>
      </c>
      <c r="E133" s="52">
        <f>Data!G133-Data!F133</f>
        <v>3</v>
      </c>
      <c r="F133" s="52">
        <f>IF(Data!J133&lt;=5,Data!J133,IF(Data!J133&lt;=10,"6 TO 10","More than 10"))</f>
        <v>3</v>
      </c>
      <c r="G133" s="52">
        <f t="shared" si="2"/>
        <v>3</v>
      </c>
      <c r="H133" s="52">
        <f>ROUND(Data!C133*Data!D133-Data!E133,2)</f>
        <v>0</v>
      </c>
      <c r="I133" s="52">
        <f>IF(AND(OR(Sel_Mode="All",Data!I133=Sel_Mode),OR(Sel_Gender="All",D133=Sel_Gender),OR(Sel_Category="All",Data!B133=Sel_Category),OR(Sel_Month="All",C133=Sel_Month),OR(Sel_County="All",Data!L133=Sel_County)),1,0)</f>
        <v>1</v>
      </c>
    </row>
    <row r="134" spans="1:9" x14ac:dyDescent="0.25">
      <c r="A134" s="52" t="str">
        <f>Data!A134</f>
        <v>TX500133</v>
      </c>
      <c r="B134" s="52">
        <f>MONTH(Data!F134)</f>
        <v>1</v>
      </c>
      <c r="C134" s="52" t="str">
        <f>TEXT(Data!F134,"mmm")</f>
        <v>Jan</v>
      </c>
      <c r="D134" s="52" t="str">
        <f>Data!O134</f>
        <v>Male</v>
      </c>
      <c r="E134" s="52">
        <f>Data!G134-Data!F134</f>
        <v>1</v>
      </c>
      <c r="F134" s="52">
        <f>IF(Data!J134&lt;=5,Data!J134,IF(Data!J134&lt;=10,"6 TO 10","More than 10"))</f>
        <v>5</v>
      </c>
      <c r="G134" s="52">
        <f t="shared" si="2"/>
        <v>1</v>
      </c>
      <c r="H134" s="52">
        <f>ROUND(Data!C134*Data!D134-Data!E134,2)</f>
        <v>0</v>
      </c>
      <c r="I134" s="52">
        <f>IF(AND(OR(Sel_Mode="All",Data!I134=Sel_Mode),OR(Sel_Gender="All",D134=Sel_Gender),OR(Sel_Category="All",Data!B134=Sel_Category),OR(Sel_Month="All",C134=Sel_Month),OR(Sel_County="All",Data!L134=Sel_County)),1,0)</f>
        <v>1</v>
      </c>
    </row>
    <row r="135" spans="1:9" x14ac:dyDescent="0.25">
      <c r="A135" s="52" t="str">
        <f>Data!A135</f>
        <v>TX500134</v>
      </c>
      <c r="B135" s="52">
        <f>MONTH(Data!F135)</f>
        <v>1</v>
      </c>
      <c r="C135" s="52" t="str">
        <f>TEXT(Data!F135,"mmm")</f>
        <v>Jan</v>
      </c>
      <c r="D135" s="52" t="str">
        <f>Data!O135</f>
        <v>Other</v>
      </c>
      <c r="E135" s="52">
        <f>Data!G135-Data!F135</f>
        <v>5</v>
      </c>
      <c r="F135" s="52">
        <f>IF(Data!J135&lt;=5,Data!J135,IF(Data!J135&lt;=10,"6 TO 10","More than 10"))</f>
        <v>4</v>
      </c>
      <c r="G135" s="52">
        <f t="shared" si="2"/>
        <v>5</v>
      </c>
      <c r="H135" s="52">
        <f>ROUND(Data!C135*Data!D135-Data!E135,2)</f>
        <v>0</v>
      </c>
      <c r="I135" s="52">
        <f>IF(AND(OR(Sel_Mode="All",Data!I135=Sel_Mode),OR(Sel_Gender="All",D135=Sel_Gender),OR(Sel_Category="All",Data!B135=Sel_Category),OR(Sel_Month="All",C135=Sel_Month),OR(Sel_County="All",Data!L135=Sel_County)),1,0)</f>
        <v>1</v>
      </c>
    </row>
    <row r="136" spans="1:9" x14ac:dyDescent="0.25">
      <c r="A136" s="52" t="str">
        <f>Data!A136</f>
        <v>TX500135</v>
      </c>
      <c r="B136" s="52">
        <f>MONTH(Data!F136)</f>
        <v>1</v>
      </c>
      <c r="C136" s="52" t="str">
        <f>TEXT(Data!F136,"mmm")</f>
        <v>Jan</v>
      </c>
      <c r="D136" s="52" t="str">
        <f>Data!O136</f>
        <v>Female</v>
      </c>
      <c r="E136" s="52">
        <f>Data!G136-Data!F136</f>
        <v>3</v>
      </c>
      <c r="F136" s="52">
        <f>IF(Data!J136&lt;=5,Data!J136,IF(Data!J136&lt;=10,"6 TO 10","More than 10"))</f>
        <v>5</v>
      </c>
      <c r="G136" s="52">
        <f t="shared" si="2"/>
        <v>3</v>
      </c>
      <c r="H136" s="52">
        <f>ROUND(Data!C136*Data!D136-Data!E136,2)</f>
        <v>0</v>
      </c>
      <c r="I136" s="52">
        <f>IF(AND(OR(Sel_Mode="All",Data!I136=Sel_Mode),OR(Sel_Gender="All",D136=Sel_Gender),OR(Sel_Category="All",Data!B136=Sel_Category),OR(Sel_Month="All",C136=Sel_Month),OR(Sel_County="All",Data!L136=Sel_County)),1,0)</f>
        <v>1</v>
      </c>
    </row>
    <row r="137" spans="1:9" x14ac:dyDescent="0.25">
      <c r="A137" s="52" t="str">
        <f>Data!A137</f>
        <v>TX500136</v>
      </c>
      <c r="B137" s="52">
        <f>MONTH(Data!F137)</f>
        <v>1</v>
      </c>
      <c r="C137" s="52" t="str">
        <f>TEXT(Data!F137,"mmm")</f>
        <v>Jan</v>
      </c>
      <c r="D137" s="52" t="str">
        <f>Data!O137</f>
        <v>Female</v>
      </c>
      <c r="E137" s="52">
        <f>Data!G137-Data!F137</f>
        <v>2</v>
      </c>
      <c r="F137" s="52">
        <f>IF(Data!J137&lt;=5,Data!J137,IF(Data!J137&lt;=10,"6 TO 10","More than 10"))</f>
        <v>4</v>
      </c>
      <c r="G137" s="52">
        <f t="shared" si="2"/>
        <v>2</v>
      </c>
      <c r="H137" s="52">
        <f>ROUND(Data!C137*Data!D137-Data!E137,2)</f>
        <v>0</v>
      </c>
      <c r="I137" s="52">
        <f>IF(AND(OR(Sel_Mode="All",Data!I137=Sel_Mode),OR(Sel_Gender="All",D137=Sel_Gender),OR(Sel_Category="All",Data!B137=Sel_Category),OR(Sel_Month="All",C137=Sel_Month),OR(Sel_County="All",Data!L137=Sel_County)),1,0)</f>
        <v>1</v>
      </c>
    </row>
    <row r="138" spans="1:9" x14ac:dyDescent="0.25">
      <c r="A138" s="52" t="str">
        <f>Data!A138</f>
        <v>TX500137</v>
      </c>
      <c r="B138" s="52">
        <f>MONTH(Data!F138)</f>
        <v>1</v>
      </c>
      <c r="C138" s="52" t="str">
        <f>TEXT(Data!F138,"mmm")</f>
        <v>Jan</v>
      </c>
      <c r="D138" s="52" t="str">
        <f>Data!O138</f>
        <v>Female</v>
      </c>
      <c r="E138" s="52">
        <f>Data!G138-Data!F138</f>
        <v>1</v>
      </c>
      <c r="F138" s="52">
        <f>IF(Data!J138&lt;=5,Data!J138,IF(Data!J138&lt;=10,"6 TO 10","More than 10"))</f>
        <v>5</v>
      </c>
      <c r="G138" s="52">
        <f t="shared" si="2"/>
        <v>1</v>
      </c>
      <c r="H138" s="52">
        <f>ROUND(Data!C138*Data!D138-Data!E138,2)</f>
        <v>0</v>
      </c>
      <c r="I138" s="52">
        <f>IF(AND(OR(Sel_Mode="All",Data!I138=Sel_Mode),OR(Sel_Gender="All",D138=Sel_Gender),OR(Sel_Category="All",Data!B138=Sel_Category),OR(Sel_Month="All",C138=Sel_Month),OR(Sel_County="All",Data!L138=Sel_County)),1,0)</f>
        <v>1</v>
      </c>
    </row>
    <row r="139" spans="1:9" x14ac:dyDescent="0.25">
      <c r="A139" s="52" t="str">
        <f>Data!A139</f>
        <v>TX500138</v>
      </c>
      <c r="B139" s="52">
        <f>MONTH(Data!F139)</f>
        <v>1</v>
      </c>
      <c r="C139" s="52" t="str">
        <f>TEXT(Data!F139,"mmm")</f>
        <v>Jan</v>
      </c>
      <c r="D139" s="52" t="str">
        <f>Data!O139</f>
        <v>Female</v>
      </c>
      <c r="E139" s="52">
        <f>Data!G139-Data!F139</f>
        <v>3</v>
      </c>
      <c r="F139" s="52">
        <f>IF(Data!J139&lt;=5,Data!J139,IF(Data!J139&lt;=10,"6 TO 10","More than 10"))</f>
        <v>3</v>
      </c>
      <c r="G139" s="52">
        <f t="shared" si="2"/>
        <v>3</v>
      </c>
      <c r="H139" s="52">
        <f>ROUND(Data!C139*Data!D139-Data!E139,2)</f>
        <v>0</v>
      </c>
      <c r="I139" s="52">
        <f>IF(AND(OR(Sel_Mode="All",Data!I139=Sel_Mode),OR(Sel_Gender="All",D139=Sel_Gender),OR(Sel_Category="All",Data!B139=Sel_Category),OR(Sel_Month="All",C139=Sel_Month),OR(Sel_County="All",Data!L139=Sel_County)),1,0)</f>
        <v>1</v>
      </c>
    </row>
    <row r="140" spans="1:9" x14ac:dyDescent="0.25">
      <c r="A140" s="52" t="str">
        <f>Data!A140</f>
        <v>TX500139</v>
      </c>
      <c r="B140" s="52">
        <f>MONTH(Data!F140)</f>
        <v>1</v>
      </c>
      <c r="C140" s="52" t="str">
        <f>TEXT(Data!F140,"mmm")</f>
        <v>Jan</v>
      </c>
      <c r="D140" s="52" t="str">
        <f>Data!O140</f>
        <v>Female</v>
      </c>
      <c r="E140" s="52">
        <f>Data!G140-Data!F140</f>
        <v>5</v>
      </c>
      <c r="F140" s="52">
        <f>IF(Data!J140&lt;=5,Data!J140,IF(Data!J140&lt;=10,"6 TO 10","More than 10"))</f>
        <v>5</v>
      </c>
      <c r="G140" s="52">
        <f t="shared" si="2"/>
        <v>5</v>
      </c>
      <c r="H140" s="52">
        <f>ROUND(Data!C140*Data!D140-Data!E140,2)</f>
        <v>0</v>
      </c>
      <c r="I140" s="52">
        <f>IF(AND(OR(Sel_Mode="All",Data!I140=Sel_Mode),OR(Sel_Gender="All",D140=Sel_Gender),OR(Sel_Category="All",Data!B140=Sel_Category),OR(Sel_Month="All",C140=Sel_Month),OR(Sel_County="All",Data!L140=Sel_County)),1,0)</f>
        <v>1</v>
      </c>
    </row>
    <row r="141" spans="1:9" x14ac:dyDescent="0.25">
      <c r="A141" s="52" t="str">
        <f>Data!A141</f>
        <v>TX500140</v>
      </c>
      <c r="B141" s="52">
        <f>MONTH(Data!F141)</f>
        <v>1</v>
      </c>
      <c r="C141" s="52" t="str">
        <f>TEXT(Data!F141,"mmm")</f>
        <v>Jan</v>
      </c>
      <c r="D141" s="52" t="str">
        <f>Data!O141</f>
        <v>Male</v>
      </c>
      <c r="E141" s="52">
        <f>Data!G141-Data!F141</f>
        <v>0</v>
      </c>
      <c r="F141" s="52">
        <f>IF(Data!J141&lt;=5,Data!J141,IF(Data!J141&lt;=10,"6 TO 10","More than 10"))</f>
        <v>4</v>
      </c>
      <c r="G141" s="52">
        <f t="shared" si="2"/>
        <v>0</v>
      </c>
      <c r="H141" s="52">
        <f>ROUND(Data!C141*Data!D141-Data!E141,2)</f>
        <v>0</v>
      </c>
      <c r="I141" s="52">
        <f>IF(AND(OR(Sel_Mode="All",Data!I141=Sel_Mode),OR(Sel_Gender="All",D141=Sel_Gender),OR(Sel_Category="All",Data!B141=Sel_Category),OR(Sel_Month="All",C141=Sel_Month),OR(Sel_County="All",Data!L141=Sel_County)),1,0)</f>
        <v>1</v>
      </c>
    </row>
    <row r="142" spans="1:9" x14ac:dyDescent="0.25">
      <c r="A142" s="52" t="str">
        <f>Data!A142</f>
        <v>TX500141</v>
      </c>
      <c r="B142" s="52">
        <f>MONTH(Data!F142)</f>
        <v>1</v>
      </c>
      <c r="C142" s="52" t="str">
        <f>TEXT(Data!F142,"mmm")</f>
        <v>Jan</v>
      </c>
      <c r="D142" s="52" t="str">
        <f>Data!O142</f>
        <v>Male</v>
      </c>
      <c r="E142" s="52">
        <f>Data!G142-Data!F142</f>
        <v>3</v>
      </c>
      <c r="F142" s="52">
        <f>IF(Data!J142&lt;=5,Data!J142,IF(Data!J142&lt;=10,"6 TO 10","More than 10"))</f>
        <v>4</v>
      </c>
      <c r="G142" s="52">
        <f t="shared" si="2"/>
        <v>3</v>
      </c>
      <c r="H142" s="52">
        <f>ROUND(Data!C142*Data!D142-Data!E142,2)</f>
        <v>0</v>
      </c>
      <c r="I142" s="52">
        <f>IF(AND(OR(Sel_Mode="All",Data!I142=Sel_Mode),OR(Sel_Gender="All",D142=Sel_Gender),OR(Sel_Category="All",Data!B142=Sel_Category),OR(Sel_Month="All",C142=Sel_Month),OR(Sel_County="All",Data!L142=Sel_County)),1,0)</f>
        <v>1</v>
      </c>
    </row>
    <row r="143" spans="1:9" x14ac:dyDescent="0.25">
      <c r="A143" s="52" t="str">
        <f>Data!A143</f>
        <v>TX500142</v>
      </c>
      <c r="B143" s="52">
        <f>MONTH(Data!F143)</f>
        <v>1</v>
      </c>
      <c r="C143" s="52" t="str">
        <f>TEXT(Data!F143,"mmm")</f>
        <v>Jan</v>
      </c>
      <c r="D143" s="52" t="str">
        <f>Data!O143</f>
        <v>Unknown</v>
      </c>
      <c r="E143" s="52">
        <f>Data!G143-Data!F143</f>
        <v>0</v>
      </c>
      <c r="F143" s="52">
        <f>IF(Data!J143&lt;=5,Data!J143,IF(Data!J143&lt;=10,"6 TO 10","More than 10"))</f>
        <v>4</v>
      </c>
      <c r="G143" s="52">
        <f t="shared" si="2"/>
        <v>0</v>
      </c>
      <c r="H143" s="52">
        <f>ROUND(Data!C143*Data!D143-Data!E143,2)</f>
        <v>0</v>
      </c>
      <c r="I143" s="52">
        <f>IF(AND(OR(Sel_Mode="All",Data!I143=Sel_Mode),OR(Sel_Gender="All",D143=Sel_Gender),OR(Sel_Category="All",Data!B143=Sel_Category),OR(Sel_Month="All",C143=Sel_Month),OR(Sel_County="All",Data!L143=Sel_County)),1,0)</f>
        <v>1</v>
      </c>
    </row>
    <row r="144" spans="1:9" x14ac:dyDescent="0.25">
      <c r="A144" s="52" t="str">
        <f>Data!A144</f>
        <v>TX500143</v>
      </c>
      <c r="B144" s="52">
        <f>MONTH(Data!F144)</f>
        <v>1</v>
      </c>
      <c r="C144" s="52" t="str">
        <f>TEXT(Data!F144,"mmm")</f>
        <v>Jan</v>
      </c>
      <c r="D144" s="52" t="str">
        <f>Data!O144</f>
        <v>Female</v>
      </c>
      <c r="E144" s="52">
        <f>Data!G144-Data!F144</f>
        <v>3</v>
      </c>
      <c r="F144" s="52">
        <f>IF(Data!J144&lt;=5,Data!J144,IF(Data!J144&lt;=10,"6 TO 10","More than 10"))</f>
        <v>2</v>
      </c>
      <c r="G144" s="52">
        <f t="shared" si="2"/>
        <v>3</v>
      </c>
      <c r="H144" s="52">
        <f>ROUND(Data!C144*Data!D144-Data!E144,2)</f>
        <v>0</v>
      </c>
      <c r="I144" s="52">
        <f>IF(AND(OR(Sel_Mode="All",Data!I144=Sel_Mode),OR(Sel_Gender="All",D144=Sel_Gender),OR(Sel_Category="All",Data!B144=Sel_Category),OR(Sel_Month="All",C144=Sel_Month),OR(Sel_County="All",Data!L144=Sel_County)),1,0)</f>
        <v>1</v>
      </c>
    </row>
    <row r="145" spans="1:9" x14ac:dyDescent="0.25">
      <c r="A145" s="52" t="str">
        <f>Data!A145</f>
        <v>TX500144</v>
      </c>
      <c r="B145" s="52">
        <f>MONTH(Data!F145)</f>
        <v>1</v>
      </c>
      <c r="C145" s="52" t="str">
        <f>TEXT(Data!F145,"mmm")</f>
        <v>Jan</v>
      </c>
      <c r="D145" s="52" t="str">
        <f>Data!O145</f>
        <v>Unknown</v>
      </c>
      <c r="E145" s="52">
        <f>Data!G145-Data!F145</f>
        <v>1</v>
      </c>
      <c r="F145" s="52">
        <f>IF(Data!J145&lt;=5,Data!J145,IF(Data!J145&lt;=10,"6 TO 10","More than 10"))</f>
        <v>4</v>
      </c>
      <c r="G145" s="52">
        <f t="shared" si="2"/>
        <v>1</v>
      </c>
      <c r="H145" s="52">
        <f>ROUND(Data!C145*Data!D145-Data!E145,2)</f>
        <v>0</v>
      </c>
      <c r="I145" s="52">
        <f>IF(AND(OR(Sel_Mode="All",Data!I145=Sel_Mode),OR(Sel_Gender="All",D145=Sel_Gender),OR(Sel_Category="All",Data!B145=Sel_Category),OR(Sel_Month="All",C145=Sel_Month),OR(Sel_County="All",Data!L145=Sel_County)),1,0)</f>
        <v>1</v>
      </c>
    </row>
    <row r="146" spans="1:9" x14ac:dyDescent="0.25">
      <c r="A146" s="52" t="str">
        <f>Data!A146</f>
        <v>TX500145</v>
      </c>
      <c r="B146" s="52">
        <f>MONTH(Data!F146)</f>
        <v>1</v>
      </c>
      <c r="C146" s="52" t="str">
        <f>TEXT(Data!F146,"mmm")</f>
        <v>Jan</v>
      </c>
      <c r="D146" s="52" t="str">
        <f>Data!O146</f>
        <v>Female</v>
      </c>
      <c r="E146" s="52">
        <f>Data!G146-Data!F146</f>
        <v>4</v>
      </c>
      <c r="F146" s="52">
        <f>IF(Data!J146&lt;=5,Data!J146,IF(Data!J146&lt;=10,"6 TO 10","More than 10"))</f>
        <v>4</v>
      </c>
      <c r="G146" s="52">
        <f t="shared" si="2"/>
        <v>4</v>
      </c>
      <c r="H146" s="52">
        <f>ROUND(Data!C146*Data!D146-Data!E146,2)</f>
        <v>0</v>
      </c>
      <c r="I146" s="52">
        <f>IF(AND(OR(Sel_Mode="All",Data!I146=Sel_Mode),OR(Sel_Gender="All",D146=Sel_Gender),OR(Sel_Category="All",Data!B146=Sel_Category),OR(Sel_Month="All",C146=Sel_Month),OR(Sel_County="All",Data!L146=Sel_County)),1,0)</f>
        <v>1</v>
      </c>
    </row>
    <row r="147" spans="1:9" x14ac:dyDescent="0.25">
      <c r="A147" s="52" t="str">
        <f>Data!A147</f>
        <v>TX500146</v>
      </c>
      <c r="B147" s="52">
        <f>MONTH(Data!F147)</f>
        <v>1</v>
      </c>
      <c r="C147" s="52" t="str">
        <f>TEXT(Data!F147,"mmm")</f>
        <v>Jan</v>
      </c>
      <c r="D147" s="52" t="str">
        <f>Data!O147</f>
        <v>Male</v>
      </c>
      <c r="E147" s="52">
        <f>Data!G147-Data!F147</f>
        <v>1</v>
      </c>
      <c r="F147" s="52">
        <f>IF(Data!J147&lt;=5,Data!J147,IF(Data!J147&lt;=10,"6 TO 10","More than 10"))</f>
        <v>2</v>
      </c>
      <c r="G147" s="52">
        <f t="shared" si="2"/>
        <v>1</v>
      </c>
      <c r="H147" s="52">
        <f>ROUND(Data!C147*Data!D147-Data!E147,2)</f>
        <v>0</v>
      </c>
      <c r="I147" s="52">
        <f>IF(AND(OR(Sel_Mode="All",Data!I147=Sel_Mode),OR(Sel_Gender="All",D147=Sel_Gender),OR(Sel_Category="All",Data!B147=Sel_Category),OR(Sel_Month="All",C147=Sel_Month),OR(Sel_County="All",Data!L147=Sel_County)),1,0)</f>
        <v>1</v>
      </c>
    </row>
    <row r="148" spans="1:9" x14ac:dyDescent="0.25">
      <c r="A148" s="52" t="str">
        <f>Data!A148</f>
        <v>TX500147</v>
      </c>
      <c r="B148" s="52">
        <f>MONTH(Data!F148)</f>
        <v>1</v>
      </c>
      <c r="C148" s="52" t="str">
        <f>TEXT(Data!F148,"mmm")</f>
        <v>Jan</v>
      </c>
      <c r="D148" s="52" t="str">
        <f>Data!O148</f>
        <v>Male</v>
      </c>
      <c r="E148" s="52">
        <f>Data!G148-Data!F148</f>
        <v>1</v>
      </c>
      <c r="F148" s="52">
        <f>IF(Data!J148&lt;=5,Data!J148,IF(Data!J148&lt;=10,"6 TO 10","More than 10"))</f>
        <v>5</v>
      </c>
      <c r="G148" s="52">
        <f t="shared" si="2"/>
        <v>1</v>
      </c>
      <c r="H148" s="52">
        <f>ROUND(Data!C148*Data!D148-Data!E148,2)</f>
        <v>0</v>
      </c>
      <c r="I148" s="52">
        <f>IF(AND(OR(Sel_Mode="All",Data!I148=Sel_Mode),OR(Sel_Gender="All",D148=Sel_Gender),OR(Sel_Category="All",Data!B148=Sel_Category),OR(Sel_Month="All",C148=Sel_Month),OR(Sel_County="All",Data!L148=Sel_County)),1,0)</f>
        <v>1</v>
      </c>
    </row>
    <row r="149" spans="1:9" x14ac:dyDescent="0.25">
      <c r="A149" s="52" t="str">
        <f>Data!A149</f>
        <v>TX500148</v>
      </c>
      <c r="B149" s="52">
        <f>MONTH(Data!F149)</f>
        <v>1</v>
      </c>
      <c r="C149" s="52" t="str">
        <f>TEXT(Data!F149,"mmm")</f>
        <v>Jan</v>
      </c>
      <c r="D149" s="52" t="str">
        <f>Data!O149</f>
        <v>Male</v>
      </c>
      <c r="E149" s="52">
        <f>Data!G149-Data!F149</f>
        <v>1</v>
      </c>
      <c r="F149" s="52">
        <f>IF(Data!J149&lt;=5,Data!J149,IF(Data!J149&lt;=10,"6 TO 10","More than 10"))</f>
        <v>4</v>
      </c>
      <c r="G149" s="52">
        <f t="shared" si="2"/>
        <v>1</v>
      </c>
      <c r="H149" s="52">
        <f>ROUND(Data!C149*Data!D149-Data!E149,2)</f>
        <v>0</v>
      </c>
      <c r="I149" s="52">
        <f>IF(AND(OR(Sel_Mode="All",Data!I149=Sel_Mode),OR(Sel_Gender="All",D149=Sel_Gender),OR(Sel_Category="All",Data!B149=Sel_Category),OR(Sel_Month="All",C149=Sel_Month),OR(Sel_County="All",Data!L149=Sel_County)),1,0)</f>
        <v>1</v>
      </c>
    </row>
    <row r="150" spans="1:9" x14ac:dyDescent="0.25">
      <c r="A150" s="52" t="str">
        <f>Data!A150</f>
        <v>TX500149</v>
      </c>
      <c r="B150" s="52">
        <f>MONTH(Data!F150)</f>
        <v>1</v>
      </c>
      <c r="C150" s="52" t="str">
        <f>TEXT(Data!F150,"mmm")</f>
        <v>Jan</v>
      </c>
      <c r="D150" s="52" t="str">
        <f>Data!O150</f>
        <v>Male</v>
      </c>
      <c r="E150" s="52">
        <f>Data!G150-Data!F150</f>
        <v>4</v>
      </c>
      <c r="F150" s="52">
        <f>IF(Data!J150&lt;=5,Data!J150,IF(Data!J150&lt;=10,"6 TO 10","More than 10"))</f>
        <v>4</v>
      </c>
      <c r="G150" s="52">
        <f t="shared" si="2"/>
        <v>4</v>
      </c>
      <c r="H150" s="52">
        <f>ROUND(Data!C150*Data!D150-Data!E150,2)</f>
        <v>0</v>
      </c>
      <c r="I150" s="52">
        <f>IF(AND(OR(Sel_Mode="All",Data!I150=Sel_Mode),OR(Sel_Gender="All",D150=Sel_Gender),OR(Sel_Category="All",Data!B150=Sel_Category),OR(Sel_Month="All",C150=Sel_Month),OR(Sel_County="All",Data!L150=Sel_County)),1,0)</f>
        <v>1</v>
      </c>
    </row>
    <row r="151" spans="1:9" x14ac:dyDescent="0.25">
      <c r="A151" s="52" t="str">
        <f>Data!A151</f>
        <v>TX500150</v>
      </c>
      <c r="B151" s="52">
        <f>MONTH(Data!F151)</f>
        <v>1</v>
      </c>
      <c r="C151" s="52" t="str">
        <f>TEXT(Data!F151,"mmm")</f>
        <v>Jan</v>
      </c>
      <c r="D151" s="52" t="str">
        <f>Data!O151</f>
        <v>Female</v>
      </c>
      <c r="E151" s="52">
        <f>Data!G151-Data!F151</f>
        <v>2</v>
      </c>
      <c r="F151" s="52">
        <f>IF(Data!J151&lt;=5,Data!J151,IF(Data!J151&lt;=10,"6 TO 10","More than 10"))</f>
        <v>3</v>
      </c>
      <c r="G151" s="52">
        <f t="shared" si="2"/>
        <v>2</v>
      </c>
      <c r="H151" s="52">
        <f>ROUND(Data!C151*Data!D151-Data!E151,2)</f>
        <v>0</v>
      </c>
      <c r="I151" s="52">
        <f>IF(AND(OR(Sel_Mode="All",Data!I151=Sel_Mode),OR(Sel_Gender="All",D151=Sel_Gender),OR(Sel_Category="All",Data!B151=Sel_Category),OR(Sel_Month="All",C151=Sel_Month),OR(Sel_County="All",Data!L151=Sel_County)),1,0)</f>
        <v>1</v>
      </c>
    </row>
    <row r="152" spans="1:9" x14ac:dyDescent="0.25">
      <c r="A152" s="52" t="str">
        <f>Data!A152</f>
        <v>TX500151</v>
      </c>
      <c r="B152" s="52">
        <f>MONTH(Data!F152)</f>
        <v>1</v>
      </c>
      <c r="C152" s="52" t="str">
        <f>TEXT(Data!F152,"mmm")</f>
        <v>Jan</v>
      </c>
      <c r="D152" s="52" t="str">
        <f>Data!O152</f>
        <v>Male</v>
      </c>
      <c r="E152" s="52">
        <f>Data!G152-Data!F152</f>
        <v>9</v>
      </c>
      <c r="F152" s="52">
        <f>IF(Data!J152&lt;=5,Data!J152,IF(Data!J152&lt;=10,"6 TO 10","More than 10"))</f>
        <v>4</v>
      </c>
      <c r="G152" s="52" t="str">
        <f t="shared" si="2"/>
        <v>8+</v>
      </c>
      <c r="H152" s="52">
        <f>ROUND(Data!C152*Data!D152-Data!E152,2)</f>
        <v>0</v>
      </c>
      <c r="I152" s="52">
        <f>IF(AND(OR(Sel_Mode="All",Data!I152=Sel_Mode),OR(Sel_Gender="All",D152=Sel_Gender),OR(Sel_Category="All",Data!B152=Sel_Category),OR(Sel_Month="All",C152=Sel_Month),OR(Sel_County="All",Data!L152=Sel_County)),1,0)</f>
        <v>1</v>
      </c>
    </row>
    <row r="153" spans="1:9" x14ac:dyDescent="0.25">
      <c r="A153" s="52" t="str">
        <f>Data!A153</f>
        <v>TX500152</v>
      </c>
      <c r="B153" s="52">
        <f>MONTH(Data!F153)</f>
        <v>1</v>
      </c>
      <c r="C153" s="52" t="str">
        <f>TEXT(Data!F153,"mmm")</f>
        <v>Jan</v>
      </c>
      <c r="D153" s="52" t="str">
        <f>Data!O153</f>
        <v>Male</v>
      </c>
      <c r="E153" s="52">
        <f>Data!G153-Data!F153</f>
        <v>1</v>
      </c>
      <c r="F153" s="52">
        <f>IF(Data!J153&lt;=5,Data!J153,IF(Data!J153&lt;=10,"6 TO 10","More than 10"))</f>
        <v>4</v>
      </c>
      <c r="G153" s="52">
        <f t="shared" si="2"/>
        <v>1</v>
      </c>
      <c r="H153" s="52">
        <f>ROUND(Data!C153*Data!D153-Data!E153,2)</f>
        <v>0</v>
      </c>
      <c r="I153" s="52">
        <f>IF(AND(OR(Sel_Mode="All",Data!I153=Sel_Mode),OR(Sel_Gender="All",D153=Sel_Gender),OR(Sel_Category="All",Data!B153=Sel_Category),OR(Sel_Month="All",C153=Sel_Month),OR(Sel_County="All",Data!L153=Sel_County)),1,0)</f>
        <v>1</v>
      </c>
    </row>
    <row r="154" spans="1:9" x14ac:dyDescent="0.25">
      <c r="A154" s="52" t="str">
        <f>Data!A154</f>
        <v>TX500153</v>
      </c>
      <c r="B154" s="52">
        <f>MONTH(Data!F154)</f>
        <v>1</v>
      </c>
      <c r="C154" s="52" t="str">
        <f>TEXT(Data!F154,"mmm")</f>
        <v>Jan</v>
      </c>
      <c r="D154" s="52" t="str">
        <f>Data!O154</f>
        <v>Female</v>
      </c>
      <c r="E154" s="52">
        <f>Data!G154-Data!F154</f>
        <v>0</v>
      </c>
      <c r="F154" s="52">
        <f>IF(Data!J154&lt;=5,Data!J154,IF(Data!J154&lt;=10,"6 TO 10","More than 10"))</f>
        <v>1</v>
      </c>
      <c r="G154" s="52">
        <f t="shared" si="2"/>
        <v>0</v>
      </c>
      <c r="H154" s="52">
        <f>ROUND(Data!C154*Data!D154-Data!E154,2)</f>
        <v>0</v>
      </c>
      <c r="I154" s="52">
        <f>IF(AND(OR(Sel_Mode="All",Data!I154=Sel_Mode),OR(Sel_Gender="All",D154=Sel_Gender),OR(Sel_Category="All",Data!B154=Sel_Category),OR(Sel_Month="All",C154=Sel_Month),OR(Sel_County="All",Data!L154=Sel_County)),1,0)</f>
        <v>1</v>
      </c>
    </row>
    <row r="155" spans="1:9" x14ac:dyDescent="0.25">
      <c r="A155" s="52" t="str">
        <f>Data!A155</f>
        <v>TX500154</v>
      </c>
      <c r="B155" s="52">
        <f>MONTH(Data!F155)</f>
        <v>1</v>
      </c>
      <c r="C155" s="52" t="str">
        <f>TEXT(Data!F155,"mmm")</f>
        <v>Jan</v>
      </c>
      <c r="D155" s="52" t="str">
        <f>Data!O155</f>
        <v>Female</v>
      </c>
      <c r="E155" s="52">
        <f>Data!G155-Data!F155</f>
        <v>2</v>
      </c>
      <c r="F155" s="52">
        <f>IF(Data!J155&lt;=5,Data!J155,IF(Data!J155&lt;=10,"6 TO 10","More than 10"))</f>
        <v>5</v>
      </c>
      <c r="G155" s="52">
        <f t="shared" si="2"/>
        <v>2</v>
      </c>
      <c r="H155" s="52">
        <f>ROUND(Data!C155*Data!D155-Data!E155,2)</f>
        <v>0</v>
      </c>
      <c r="I155" s="52">
        <f>IF(AND(OR(Sel_Mode="All",Data!I155=Sel_Mode),OR(Sel_Gender="All",D155=Sel_Gender),OR(Sel_Category="All",Data!B155=Sel_Category),OR(Sel_Month="All",C155=Sel_Month),OR(Sel_County="All",Data!L155=Sel_County)),1,0)</f>
        <v>1</v>
      </c>
    </row>
    <row r="156" spans="1:9" x14ac:dyDescent="0.25">
      <c r="A156" s="52" t="str">
        <f>Data!A156</f>
        <v>TX500155</v>
      </c>
      <c r="B156" s="52">
        <f>MONTH(Data!F156)</f>
        <v>1</v>
      </c>
      <c r="C156" s="52" t="str">
        <f>TEXT(Data!F156,"mmm")</f>
        <v>Jan</v>
      </c>
      <c r="D156" s="52" t="str">
        <f>Data!O156</f>
        <v>Female</v>
      </c>
      <c r="E156" s="52">
        <f>Data!G156-Data!F156</f>
        <v>0</v>
      </c>
      <c r="F156" s="52">
        <f>IF(Data!J156&lt;=5,Data!J156,IF(Data!J156&lt;=10,"6 TO 10","More than 10"))</f>
        <v>3</v>
      </c>
      <c r="G156" s="52">
        <f t="shared" si="2"/>
        <v>0</v>
      </c>
      <c r="H156" s="52">
        <f>ROUND(Data!C156*Data!D156-Data!E156,2)</f>
        <v>0</v>
      </c>
      <c r="I156" s="52">
        <f>IF(AND(OR(Sel_Mode="All",Data!I156=Sel_Mode),OR(Sel_Gender="All",D156=Sel_Gender),OR(Sel_Category="All",Data!B156=Sel_Category),OR(Sel_Month="All",C156=Sel_Month),OR(Sel_County="All",Data!L156=Sel_County)),1,0)</f>
        <v>1</v>
      </c>
    </row>
    <row r="157" spans="1:9" x14ac:dyDescent="0.25">
      <c r="A157" s="52" t="str">
        <f>Data!A157</f>
        <v>TX500156</v>
      </c>
      <c r="B157" s="52">
        <f>MONTH(Data!F157)</f>
        <v>1</v>
      </c>
      <c r="C157" s="52" t="str">
        <f>TEXT(Data!F157,"mmm")</f>
        <v>Jan</v>
      </c>
      <c r="D157" s="52" t="str">
        <f>Data!O157</f>
        <v>Female</v>
      </c>
      <c r="E157" s="52">
        <f>Data!G157-Data!F157</f>
        <v>1</v>
      </c>
      <c r="F157" s="52">
        <f>IF(Data!J157&lt;=5,Data!J157,IF(Data!J157&lt;=10,"6 TO 10","More than 10"))</f>
        <v>2</v>
      </c>
      <c r="G157" s="52">
        <f t="shared" si="2"/>
        <v>1</v>
      </c>
      <c r="H157" s="52">
        <f>ROUND(Data!C157*Data!D157-Data!E157,2)</f>
        <v>0</v>
      </c>
      <c r="I157" s="52">
        <f>IF(AND(OR(Sel_Mode="All",Data!I157=Sel_Mode),OR(Sel_Gender="All",D157=Sel_Gender),OR(Sel_Category="All",Data!B157=Sel_Category),OR(Sel_Month="All",C157=Sel_Month),OR(Sel_County="All",Data!L157=Sel_County)),1,0)</f>
        <v>1</v>
      </c>
    </row>
    <row r="158" spans="1:9" x14ac:dyDescent="0.25">
      <c r="A158" s="52" t="str">
        <f>Data!A158</f>
        <v>TX500157</v>
      </c>
      <c r="B158" s="52">
        <f>MONTH(Data!F158)</f>
        <v>1</v>
      </c>
      <c r="C158" s="52" t="str">
        <f>TEXT(Data!F158,"mmm")</f>
        <v>Jan</v>
      </c>
      <c r="D158" s="52" t="str">
        <f>Data!O158</f>
        <v>Female</v>
      </c>
      <c r="E158" s="52">
        <f>Data!G158-Data!F158</f>
        <v>4</v>
      </c>
      <c r="F158" s="52">
        <f>IF(Data!J158&lt;=5,Data!J158,IF(Data!J158&lt;=10,"6 TO 10","More than 10"))</f>
        <v>4</v>
      </c>
      <c r="G158" s="52">
        <f t="shared" si="2"/>
        <v>4</v>
      </c>
      <c r="H158" s="52">
        <f>ROUND(Data!C158*Data!D158-Data!E158,2)</f>
        <v>0</v>
      </c>
      <c r="I158" s="52">
        <f>IF(AND(OR(Sel_Mode="All",Data!I158=Sel_Mode),OR(Sel_Gender="All",D158=Sel_Gender),OR(Sel_Category="All",Data!B158=Sel_Category),OR(Sel_Month="All",C158=Sel_Month),OR(Sel_County="All",Data!L158=Sel_County)),1,0)</f>
        <v>1</v>
      </c>
    </row>
    <row r="159" spans="1:9" x14ac:dyDescent="0.25">
      <c r="A159" s="52" t="str">
        <f>Data!A159</f>
        <v>TX500158</v>
      </c>
      <c r="B159" s="52">
        <f>MONTH(Data!F159)</f>
        <v>1</v>
      </c>
      <c r="C159" s="52" t="str">
        <f>TEXT(Data!F159,"mmm")</f>
        <v>Jan</v>
      </c>
      <c r="D159" s="52" t="str">
        <f>Data!O159</f>
        <v>Female</v>
      </c>
      <c r="E159" s="52">
        <f>Data!G159-Data!F159</f>
        <v>1</v>
      </c>
      <c r="F159" s="52">
        <f>IF(Data!J159&lt;=5,Data!J159,IF(Data!J159&lt;=10,"6 TO 10","More than 10"))</f>
        <v>4</v>
      </c>
      <c r="G159" s="52">
        <f t="shared" si="2"/>
        <v>1</v>
      </c>
      <c r="H159" s="52">
        <f>ROUND(Data!C159*Data!D159-Data!E159,2)</f>
        <v>0</v>
      </c>
      <c r="I159" s="52">
        <f>IF(AND(OR(Sel_Mode="All",Data!I159=Sel_Mode),OR(Sel_Gender="All",D159=Sel_Gender),OR(Sel_Category="All",Data!B159=Sel_Category),OR(Sel_Month="All",C159=Sel_Month),OR(Sel_County="All",Data!L159=Sel_County)),1,0)</f>
        <v>1</v>
      </c>
    </row>
    <row r="160" spans="1:9" x14ac:dyDescent="0.25">
      <c r="A160" s="52" t="str">
        <f>Data!A160</f>
        <v>TX500159</v>
      </c>
      <c r="B160" s="52">
        <f>MONTH(Data!F160)</f>
        <v>1</v>
      </c>
      <c r="C160" s="52" t="str">
        <f>TEXT(Data!F160,"mmm")</f>
        <v>Jan</v>
      </c>
      <c r="D160" s="52" t="str">
        <f>Data!O160</f>
        <v>Female</v>
      </c>
      <c r="E160" s="52">
        <f>Data!G160-Data!F160</f>
        <v>5</v>
      </c>
      <c r="F160" s="52">
        <f>IF(Data!J160&lt;=5,Data!J160,IF(Data!J160&lt;=10,"6 TO 10","More than 10"))</f>
        <v>4</v>
      </c>
      <c r="G160" s="52">
        <f t="shared" si="2"/>
        <v>5</v>
      </c>
      <c r="H160" s="52">
        <f>ROUND(Data!C160*Data!D160-Data!E160,2)</f>
        <v>0</v>
      </c>
      <c r="I160" s="52">
        <f>IF(AND(OR(Sel_Mode="All",Data!I160=Sel_Mode),OR(Sel_Gender="All",D160=Sel_Gender),OR(Sel_Category="All",Data!B160=Sel_Category),OR(Sel_Month="All",C160=Sel_Month),OR(Sel_County="All",Data!L160=Sel_County)),1,0)</f>
        <v>1</v>
      </c>
    </row>
    <row r="161" spans="1:9" x14ac:dyDescent="0.25">
      <c r="A161" s="52" t="str">
        <f>Data!A161</f>
        <v>TX500160</v>
      </c>
      <c r="B161" s="52">
        <f>MONTH(Data!F161)</f>
        <v>1</v>
      </c>
      <c r="C161" s="52" t="str">
        <f>TEXT(Data!F161,"mmm")</f>
        <v>Jan</v>
      </c>
      <c r="D161" s="52" t="str">
        <f>Data!O161</f>
        <v>Male</v>
      </c>
      <c r="E161" s="52">
        <f>Data!G161-Data!F161</f>
        <v>1</v>
      </c>
      <c r="F161" s="52">
        <f>IF(Data!J161&lt;=5,Data!J161,IF(Data!J161&lt;=10,"6 TO 10","More than 10"))</f>
        <v>5</v>
      </c>
      <c r="G161" s="52">
        <f t="shared" si="2"/>
        <v>1</v>
      </c>
      <c r="H161" s="52">
        <f>ROUND(Data!C161*Data!D161-Data!E161,2)</f>
        <v>0</v>
      </c>
      <c r="I161" s="52">
        <f>IF(AND(OR(Sel_Mode="All",Data!I161=Sel_Mode),OR(Sel_Gender="All",D161=Sel_Gender),OR(Sel_Category="All",Data!B161=Sel_Category),OR(Sel_Month="All",C161=Sel_Month),OR(Sel_County="All",Data!L161=Sel_County)),1,0)</f>
        <v>1</v>
      </c>
    </row>
    <row r="162" spans="1:9" x14ac:dyDescent="0.25">
      <c r="A162" s="52" t="str">
        <f>Data!A162</f>
        <v>TX500161</v>
      </c>
      <c r="B162" s="52">
        <f>MONTH(Data!F162)</f>
        <v>1</v>
      </c>
      <c r="C162" s="52" t="str">
        <f>TEXT(Data!F162,"mmm")</f>
        <v>Jan</v>
      </c>
      <c r="D162" s="52" t="str">
        <f>Data!O162</f>
        <v>Female</v>
      </c>
      <c r="E162" s="52">
        <f>Data!G162-Data!F162</f>
        <v>1</v>
      </c>
      <c r="F162" s="52">
        <f>IF(Data!J162&lt;=5,Data!J162,IF(Data!J162&lt;=10,"6 TO 10","More than 10"))</f>
        <v>4</v>
      </c>
      <c r="G162" s="52">
        <f t="shared" si="2"/>
        <v>1</v>
      </c>
      <c r="H162" s="52">
        <f>ROUND(Data!C162*Data!D162-Data!E162,2)</f>
        <v>0</v>
      </c>
      <c r="I162" s="52">
        <f>IF(AND(OR(Sel_Mode="All",Data!I162=Sel_Mode),OR(Sel_Gender="All",D162=Sel_Gender),OR(Sel_Category="All",Data!B162=Sel_Category),OR(Sel_Month="All",C162=Sel_Month),OR(Sel_County="All",Data!L162=Sel_County)),1,0)</f>
        <v>1</v>
      </c>
    </row>
    <row r="163" spans="1:9" x14ac:dyDescent="0.25">
      <c r="A163" s="52" t="str">
        <f>Data!A163</f>
        <v>TX500162</v>
      </c>
      <c r="B163" s="52">
        <f>MONTH(Data!F163)</f>
        <v>1</v>
      </c>
      <c r="C163" s="52" t="str">
        <f>TEXT(Data!F163,"mmm")</f>
        <v>Jan</v>
      </c>
      <c r="D163" s="52" t="str">
        <f>Data!O163</f>
        <v>Male</v>
      </c>
      <c r="E163" s="52">
        <f>Data!G163-Data!F163</f>
        <v>1</v>
      </c>
      <c r="F163" s="52">
        <f>IF(Data!J163&lt;=5,Data!J163,IF(Data!J163&lt;=10,"6 TO 10","More than 10"))</f>
        <v>4</v>
      </c>
      <c r="G163" s="52">
        <f t="shared" si="2"/>
        <v>1</v>
      </c>
      <c r="H163" s="52">
        <f>ROUND(Data!C163*Data!D163-Data!E163,2)</f>
        <v>0</v>
      </c>
      <c r="I163" s="52">
        <f>IF(AND(OR(Sel_Mode="All",Data!I163=Sel_Mode),OR(Sel_Gender="All",D163=Sel_Gender),OR(Sel_Category="All",Data!B163=Sel_Category),OR(Sel_Month="All",C163=Sel_Month),OR(Sel_County="All",Data!L163=Sel_County)),1,0)</f>
        <v>1</v>
      </c>
    </row>
    <row r="164" spans="1:9" x14ac:dyDescent="0.25">
      <c r="A164" s="52" t="str">
        <f>Data!A164</f>
        <v>TX500163</v>
      </c>
      <c r="B164" s="52">
        <f>MONTH(Data!F164)</f>
        <v>1</v>
      </c>
      <c r="C164" s="52" t="str">
        <f>TEXT(Data!F164,"mmm")</f>
        <v>Jan</v>
      </c>
      <c r="D164" s="52" t="str">
        <f>Data!O164</f>
        <v>Unknown</v>
      </c>
      <c r="E164" s="52">
        <f>Data!G164-Data!F164</f>
        <v>1</v>
      </c>
      <c r="F164" s="52">
        <f>IF(Data!J164&lt;=5,Data!J164,IF(Data!J164&lt;=10,"6 TO 10","More than 10"))</f>
        <v>5</v>
      </c>
      <c r="G164" s="52">
        <f t="shared" si="2"/>
        <v>1</v>
      </c>
      <c r="H164" s="52">
        <f>ROUND(Data!C164*Data!D164-Data!E164,2)</f>
        <v>0</v>
      </c>
      <c r="I164" s="52">
        <f>IF(AND(OR(Sel_Mode="All",Data!I164=Sel_Mode),OR(Sel_Gender="All",D164=Sel_Gender),OR(Sel_Category="All",Data!B164=Sel_Category),OR(Sel_Month="All",C164=Sel_Month),OR(Sel_County="All",Data!L164=Sel_County)),1,0)</f>
        <v>1</v>
      </c>
    </row>
    <row r="165" spans="1:9" x14ac:dyDescent="0.25">
      <c r="A165" s="52" t="str">
        <f>Data!A165</f>
        <v>TX500164</v>
      </c>
      <c r="B165" s="52">
        <f>MONTH(Data!F165)</f>
        <v>1</v>
      </c>
      <c r="C165" s="52" t="str">
        <f>TEXT(Data!F165,"mmm")</f>
        <v>Jan</v>
      </c>
      <c r="D165" s="52" t="str">
        <f>Data!O165</f>
        <v>Female</v>
      </c>
      <c r="E165" s="52">
        <f>Data!G165-Data!F165</f>
        <v>1</v>
      </c>
      <c r="F165" s="52">
        <f>IF(Data!J165&lt;=5,Data!J165,IF(Data!J165&lt;=10,"6 TO 10","More than 10"))</f>
        <v>4</v>
      </c>
      <c r="G165" s="52">
        <f t="shared" si="2"/>
        <v>1</v>
      </c>
      <c r="H165" s="52">
        <f>ROUND(Data!C165*Data!D165-Data!E165,2)</f>
        <v>0</v>
      </c>
      <c r="I165" s="52">
        <f>IF(AND(OR(Sel_Mode="All",Data!I165=Sel_Mode),OR(Sel_Gender="All",D165=Sel_Gender),OR(Sel_Category="All",Data!B165=Sel_Category),OR(Sel_Month="All",C165=Sel_Month),OR(Sel_County="All",Data!L165=Sel_County)),1,0)</f>
        <v>1</v>
      </c>
    </row>
    <row r="166" spans="1:9" x14ac:dyDescent="0.25">
      <c r="A166" s="52" t="str">
        <f>Data!A166</f>
        <v>TX500165</v>
      </c>
      <c r="B166" s="52">
        <f>MONTH(Data!F166)</f>
        <v>1</v>
      </c>
      <c r="C166" s="52" t="str">
        <f>TEXT(Data!F166,"mmm")</f>
        <v>Jan</v>
      </c>
      <c r="D166" s="52" t="str">
        <f>Data!O166</f>
        <v>Male</v>
      </c>
      <c r="E166" s="52">
        <f>Data!G166-Data!F166</f>
        <v>3</v>
      </c>
      <c r="F166" s="52">
        <f>IF(Data!J166&lt;=5,Data!J166,IF(Data!J166&lt;=10,"6 TO 10","More than 10"))</f>
        <v>2</v>
      </c>
      <c r="G166" s="52">
        <f t="shared" si="2"/>
        <v>3</v>
      </c>
      <c r="H166" s="52">
        <f>ROUND(Data!C166*Data!D166-Data!E166,2)</f>
        <v>0</v>
      </c>
      <c r="I166" s="52">
        <f>IF(AND(OR(Sel_Mode="All",Data!I166=Sel_Mode),OR(Sel_Gender="All",D166=Sel_Gender),OR(Sel_Category="All",Data!B166=Sel_Category),OR(Sel_Month="All",C166=Sel_Month),OR(Sel_County="All",Data!L166=Sel_County)),1,0)</f>
        <v>1</v>
      </c>
    </row>
    <row r="167" spans="1:9" x14ac:dyDescent="0.25">
      <c r="A167" s="52" t="str">
        <f>Data!A167</f>
        <v>TX500166</v>
      </c>
      <c r="B167" s="52">
        <f>MONTH(Data!F167)</f>
        <v>1</v>
      </c>
      <c r="C167" s="52" t="str">
        <f>TEXT(Data!F167,"mmm")</f>
        <v>Jan</v>
      </c>
      <c r="D167" s="52" t="str">
        <f>Data!O167</f>
        <v>Female</v>
      </c>
      <c r="E167" s="52">
        <f>Data!G167-Data!F167</f>
        <v>5</v>
      </c>
      <c r="F167" s="52">
        <f>IF(Data!J167&lt;=5,Data!J167,IF(Data!J167&lt;=10,"6 TO 10","More than 10"))</f>
        <v>3</v>
      </c>
      <c r="G167" s="52">
        <f t="shared" si="2"/>
        <v>5</v>
      </c>
      <c r="H167" s="52">
        <f>ROUND(Data!C167*Data!D167-Data!E167,2)</f>
        <v>0</v>
      </c>
      <c r="I167" s="52">
        <f>IF(AND(OR(Sel_Mode="All",Data!I167=Sel_Mode),OR(Sel_Gender="All",D167=Sel_Gender),OR(Sel_Category="All",Data!B167=Sel_Category),OR(Sel_Month="All",C167=Sel_Month),OR(Sel_County="All",Data!L167=Sel_County)),1,0)</f>
        <v>1</v>
      </c>
    </row>
    <row r="168" spans="1:9" x14ac:dyDescent="0.25">
      <c r="A168" s="52" t="str">
        <f>Data!A168</f>
        <v>TX500167</v>
      </c>
      <c r="B168" s="52">
        <f>MONTH(Data!F168)</f>
        <v>1</v>
      </c>
      <c r="C168" s="52" t="str">
        <f>TEXT(Data!F168,"mmm")</f>
        <v>Jan</v>
      </c>
      <c r="D168" s="52" t="str">
        <f>Data!O168</f>
        <v>Female</v>
      </c>
      <c r="E168" s="52">
        <f>Data!G168-Data!F168</f>
        <v>2</v>
      </c>
      <c r="F168" s="52">
        <f>IF(Data!J168&lt;=5,Data!J168,IF(Data!J168&lt;=10,"6 TO 10","More than 10"))</f>
        <v>4</v>
      </c>
      <c r="G168" s="52">
        <f t="shared" si="2"/>
        <v>2</v>
      </c>
      <c r="H168" s="52">
        <f>ROUND(Data!C168*Data!D168-Data!E168,2)</f>
        <v>0</v>
      </c>
      <c r="I168" s="52">
        <f>IF(AND(OR(Sel_Mode="All",Data!I168=Sel_Mode),OR(Sel_Gender="All",D168=Sel_Gender),OR(Sel_Category="All",Data!B168=Sel_Category),OR(Sel_Month="All",C168=Sel_Month),OR(Sel_County="All",Data!L168=Sel_County)),1,0)</f>
        <v>1</v>
      </c>
    </row>
    <row r="169" spans="1:9" x14ac:dyDescent="0.25">
      <c r="A169" s="52" t="str">
        <f>Data!A169</f>
        <v>TX500168</v>
      </c>
      <c r="B169" s="52">
        <f>MONTH(Data!F169)</f>
        <v>1</v>
      </c>
      <c r="C169" s="52" t="str">
        <f>TEXT(Data!F169,"mmm")</f>
        <v>Jan</v>
      </c>
      <c r="D169" s="52" t="str">
        <f>Data!O169</f>
        <v>Female</v>
      </c>
      <c r="E169" s="52">
        <f>Data!G169-Data!F169</f>
        <v>4</v>
      </c>
      <c r="F169" s="52">
        <f>IF(Data!J169&lt;=5,Data!J169,IF(Data!J169&lt;=10,"6 TO 10","More than 10"))</f>
        <v>4</v>
      </c>
      <c r="G169" s="52">
        <f t="shared" si="2"/>
        <v>4</v>
      </c>
      <c r="H169" s="52">
        <f>ROUND(Data!C169*Data!D169-Data!E169,2)</f>
        <v>0</v>
      </c>
      <c r="I169" s="52">
        <f>IF(AND(OR(Sel_Mode="All",Data!I169=Sel_Mode),OR(Sel_Gender="All",D169=Sel_Gender),OR(Sel_Category="All",Data!B169=Sel_Category),OR(Sel_Month="All",C169=Sel_Month),OR(Sel_County="All",Data!L169=Sel_County)),1,0)</f>
        <v>1</v>
      </c>
    </row>
    <row r="170" spans="1:9" x14ac:dyDescent="0.25">
      <c r="A170" s="52" t="str">
        <f>Data!A170</f>
        <v>TX500169</v>
      </c>
      <c r="B170" s="52">
        <f>MONTH(Data!F170)</f>
        <v>1</v>
      </c>
      <c r="C170" s="52" t="str">
        <f>TEXT(Data!F170,"mmm")</f>
        <v>Jan</v>
      </c>
      <c r="D170" s="52" t="str">
        <f>Data!O170</f>
        <v>Female</v>
      </c>
      <c r="E170" s="52">
        <f>Data!G170-Data!F170</f>
        <v>11</v>
      </c>
      <c r="F170" s="52">
        <f>IF(Data!J170&lt;=5,Data!J170,IF(Data!J170&lt;=10,"6 TO 10","More than 10"))</f>
        <v>3</v>
      </c>
      <c r="G170" s="52" t="str">
        <f t="shared" si="2"/>
        <v>8+</v>
      </c>
      <c r="H170" s="52">
        <f>ROUND(Data!C170*Data!D170-Data!E170,2)</f>
        <v>0</v>
      </c>
      <c r="I170" s="52">
        <f>IF(AND(OR(Sel_Mode="All",Data!I170=Sel_Mode),OR(Sel_Gender="All",D170=Sel_Gender),OR(Sel_Category="All",Data!B170=Sel_Category),OR(Sel_Month="All",C170=Sel_Month),OR(Sel_County="All",Data!L170=Sel_County)),1,0)</f>
        <v>1</v>
      </c>
    </row>
    <row r="171" spans="1:9" x14ac:dyDescent="0.25">
      <c r="A171" s="52" t="str">
        <f>Data!A171</f>
        <v>TX500170</v>
      </c>
      <c r="B171" s="52">
        <f>MONTH(Data!F171)</f>
        <v>1</v>
      </c>
      <c r="C171" s="52" t="str">
        <f>TEXT(Data!F171,"mmm")</f>
        <v>Jan</v>
      </c>
      <c r="D171" s="52" t="str">
        <f>Data!O171</f>
        <v>Female</v>
      </c>
      <c r="E171" s="52">
        <f>Data!G171-Data!F171</f>
        <v>3</v>
      </c>
      <c r="F171" s="52">
        <f>IF(Data!J171&lt;=5,Data!J171,IF(Data!J171&lt;=10,"6 TO 10","More than 10"))</f>
        <v>4</v>
      </c>
      <c r="G171" s="52">
        <f t="shared" si="2"/>
        <v>3</v>
      </c>
      <c r="H171" s="52">
        <f>ROUND(Data!C171*Data!D171-Data!E171,2)</f>
        <v>0</v>
      </c>
      <c r="I171" s="52">
        <f>IF(AND(OR(Sel_Mode="All",Data!I171=Sel_Mode),OR(Sel_Gender="All",D171=Sel_Gender),OR(Sel_Category="All",Data!B171=Sel_Category),OR(Sel_Month="All",C171=Sel_Month),OR(Sel_County="All",Data!L171=Sel_County)),1,0)</f>
        <v>1</v>
      </c>
    </row>
    <row r="172" spans="1:9" x14ac:dyDescent="0.25">
      <c r="A172" s="52" t="str">
        <f>Data!A172</f>
        <v>TX500171</v>
      </c>
      <c r="B172" s="52">
        <f>MONTH(Data!F172)</f>
        <v>1</v>
      </c>
      <c r="C172" s="52" t="str">
        <f>TEXT(Data!F172,"mmm")</f>
        <v>Jan</v>
      </c>
      <c r="D172" s="52" t="str">
        <f>Data!O172</f>
        <v>Female</v>
      </c>
      <c r="E172" s="52">
        <f>Data!G172-Data!F172</f>
        <v>0</v>
      </c>
      <c r="F172" s="52">
        <f>IF(Data!J172&lt;=5,Data!J172,IF(Data!J172&lt;=10,"6 TO 10","More than 10"))</f>
        <v>5</v>
      </c>
      <c r="G172" s="52">
        <f t="shared" si="2"/>
        <v>0</v>
      </c>
      <c r="H172" s="52">
        <f>ROUND(Data!C172*Data!D172-Data!E172,2)</f>
        <v>0</v>
      </c>
      <c r="I172" s="52">
        <f>IF(AND(OR(Sel_Mode="All",Data!I172=Sel_Mode),OR(Sel_Gender="All",D172=Sel_Gender),OR(Sel_Category="All",Data!B172=Sel_Category),OR(Sel_Month="All",C172=Sel_Month),OR(Sel_County="All",Data!L172=Sel_County)),1,0)</f>
        <v>1</v>
      </c>
    </row>
    <row r="173" spans="1:9" x14ac:dyDescent="0.25">
      <c r="A173" s="52" t="str">
        <f>Data!A173</f>
        <v>TX500172</v>
      </c>
      <c r="B173" s="52">
        <f>MONTH(Data!F173)</f>
        <v>1</v>
      </c>
      <c r="C173" s="52" t="str">
        <f>TEXT(Data!F173,"mmm")</f>
        <v>Jan</v>
      </c>
      <c r="D173" s="52" t="str">
        <f>Data!O173</f>
        <v>Male</v>
      </c>
      <c r="E173" s="52">
        <f>Data!G173-Data!F173</f>
        <v>2</v>
      </c>
      <c r="F173" s="52">
        <f>IF(Data!J173&lt;=5,Data!J173,IF(Data!J173&lt;=10,"6 TO 10","More than 10"))</f>
        <v>5</v>
      </c>
      <c r="G173" s="52">
        <f t="shared" si="2"/>
        <v>2</v>
      </c>
      <c r="H173" s="52">
        <f>ROUND(Data!C173*Data!D173-Data!E173,2)</f>
        <v>0</v>
      </c>
      <c r="I173" s="52">
        <f>IF(AND(OR(Sel_Mode="All",Data!I173=Sel_Mode),OR(Sel_Gender="All",D173=Sel_Gender),OR(Sel_Category="All",Data!B173=Sel_Category),OR(Sel_Month="All",C173=Sel_Month),OR(Sel_County="All",Data!L173=Sel_County)),1,0)</f>
        <v>1</v>
      </c>
    </row>
    <row r="174" spans="1:9" x14ac:dyDescent="0.25">
      <c r="A174" s="52" t="str">
        <f>Data!A174</f>
        <v>TX500173</v>
      </c>
      <c r="B174" s="52">
        <f>MONTH(Data!F174)</f>
        <v>1</v>
      </c>
      <c r="C174" s="52" t="str">
        <f>TEXT(Data!F174,"mmm")</f>
        <v>Jan</v>
      </c>
      <c r="D174" s="52" t="str">
        <f>Data!O174</f>
        <v>Male</v>
      </c>
      <c r="E174" s="52">
        <f>Data!G174-Data!F174</f>
        <v>3</v>
      </c>
      <c r="F174" s="52">
        <f>IF(Data!J174&lt;=5,Data!J174,IF(Data!J174&lt;=10,"6 TO 10","More than 10"))</f>
        <v>5</v>
      </c>
      <c r="G174" s="52">
        <f t="shared" si="2"/>
        <v>3</v>
      </c>
      <c r="H174" s="52">
        <f>ROUND(Data!C174*Data!D174-Data!E174,2)</f>
        <v>0</v>
      </c>
      <c r="I174" s="52">
        <f>IF(AND(OR(Sel_Mode="All",Data!I174=Sel_Mode),OR(Sel_Gender="All",D174=Sel_Gender),OR(Sel_Category="All",Data!B174=Sel_Category),OR(Sel_Month="All",C174=Sel_Month),OR(Sel_County="All",Data!L174=Sel_County)),1,0)</f>
        <v>1</v>
      </c>
    </row>
    <row r="175" spans="1:9" x14ac:dyDescent="0.25">
      <c r="A175" s="52" t="str">
        <f>Data!A175</f>
        <v>TX500174</v>
      </c>
      <c r="B175" s="52">
        <f>MONTH(Data!F175)</f>
        <v>1</v>
      </c>
      <c r="C175" s="52" t="str">
        <f>TEXT(Data!F175,"mmm")</f>
        <v>Jan</v>
      </c>
      <c r="D175" s="52" t="str">
        <f>Data!O175</f>
        <v>Female</v>
      </c>
      <c r="E175" s="52">
        <f>Data!G175-Data!F175</f>
        <v>2</v>
      </c>
      <c r="F175" s="52">
        <f>IF(Data!J175&lt;=5,Data!J175,IF(Data!J175&lt;=10,"6 TO 10","More than 10"))</f>
        <v>5</v>
      </c>
      <c r="G175" s="52">
        <f t="shared" si="2"/>
        <v>2</v>
      </c>
      <c r="H175" s="52">
        <f>ROUND(Data!C175*Data!D175-Data!E175,2)</f>
        <v>0</v>
      </c>
      <c r="I175" s="52">
        <f>IF(AND(OR(Sel_Mode="All",Data!I175=Sel_Mode),OR(Sel_Gender="All",D175=Sel_Gender),OR(Sel_Category="All",Data!B175=Sel_Category),OR(Sel_Month="All",C175=Sel_Month),OR(Sel_County="All",Data!L175=Sel_County)),1,0)</f>
        <v>1</v>
      </c>
    </row>
    <row r="176" spans="1:9" x14ac:dyDescent="0.25">
      <c r="A176" s="52" t="str">
        <f>Data!A176</f>
        <v>TX500175</v>
      </c>
      <c r="B176" s="52">
        <f>MONTH(Data!F176)</f>
        <v>1</v>
      </c>
      <c r="C176" s="52" t="str">
        <f>TEXT(Data!F176,"mmm")</f>
        <v>Jan</v>
      </c>
      <c r="D176" s="52" t="str">
        <f>Data!O176</f>
        <v>Female</v>
      </c>
      <c r="E176" s="52">
        <f>Data!G176-Data!F176</f>
        <v>1</v>
      </c>
      <c r="F176" s="52">
        <f>IF(Data!J176&lt;=5,Data!J176,IF(Data!J176&lt;=10,"6 TO 10","More than 10"))</f>
        <v>5</v>
      </c>
      <c r="G176" s="52">
        <f t="shared" si="2"/>
        <v>1</v>
      </c>
      <c r="H176" s="52">
        <f>ROUND(Data!C176*Data!D176-Data!E176,2)</f>
        <v>0</v>
      </c>
      <c r="I176" s="52">
        <f>IF(AND(OR(Sel_Mode="All",Data!I176=Sel_Mode),OR(Sel_Gender="All",D176=Sel_Gender),OR(Sel_Category="All",Data!B176=Sel_Category),OR(Sel_Month="All",C176=Sel_Month),OR(Sel_County="All",Data!L176=Sel_County)),1,0)</f>
        <v>1</v>
      </c>
    </row>
    <row r="177" spans="1:9" x14ac:dyDescent="0.25">
      <c r="A177" s="52" t="str">
        <f>Data!A177</f>
        <v>TX500176</v>
      </c>
      <c r="B177" s="52">
        <f>MONTH(Data!F177)</f>
        <v>1</v>
      </c>
      <c r="C177" s="52" t="str">
        <f>TEXT(Data!F177,"mmm")</f>
        <v>Jan</v>
      </c>
      <c r="D177" s="52" t="str">
        <f>Data!O177</f>
        <v>Female</v>
      </c>
      <c r="E177" s="52">
        <f>Data!G177-Data!F177</f>
        <v>0</v>
      </c>
      <c r="F177" s="52">
        <f>IF(Data!J177&lt;=5,Data!J177,IF(Data!J177&lt;=10,"6 TO 10","More than 10"))</f>
        <v>4</v>
      </c>
      <c r="G177" s="52">
        <f t="shared" si="2"/>
        <v>0</v>
      </c>
      <c r="H177" s="52">
        <f>ROUND(Data!C177*Data!D177-Data!E177,2)</f>
        <v>0</v>
      </c>
      <c r="I177" s="52">
        <f>IF(AND(OR(Sel_Mode="All",Data!I177=Sel_Mode),OR(Sel_Gender="All",D177=Sel_Gender),OR(Sel_Category="All",Data!B177=Sel_Category),OR(Sel_Month="All",C177=Sel_Month),OR(Sel_County="All",Data!L177=Sel_County)),1,0)</f>
        <v>1</v>
      </c>
    </row>
    <row r="178" spans="1:9" x14ac:dyDescent="0.25">
      <c r="A178" s="52" t="str">
        <f>Data!A178</f>
        <v>TX500177</v>
      </c>
      <c r="B178" s="52">
        <f>MONTH(Data!F178)</f>
        <v>1</v>
      </c>
      <c r="C178" s="52" t="str">
        <f>TEXT(Data!F178,"mmm")</f>
        <v>Jan</v>
      </c>
      <c r="D178" s="52" t="str">
        <f>Data!O178</f>
        <v>Female</v>
      </c>
      <c r="E178" s="52">
        <f>Data!G178-Data!F178</f>
        <v>0</v>
      </c>
      <c r="F178" s="52">
        <f>IF(Data!J178&lt;=5,Data!J178,IF(Data!J178&lt;=10,"6 TO 10","More than 10"))</f>
        <v>3</v>
      </c>
      <c r="G178" s="52">
        <f t="shared" si="2"/>
        <v>0</v>
      </c>
      <c r="H178" s="52">
        <f>ROUND(Data!C178*Data!D178-Data!E178,2)</f>
        <v>0</v>
      </c>
      <c r="I178" s="52">
        <f>IF(AND(OR(Sel_Mode="All",Data!I178=Sel_Mode),OR(Sel_Gender="All",D178=Sel_Gender),OR(Sel_Category="All",Data!B178=Sel_Category),OR(Sel_Month="All",C178=Sel_Month),OR(Sel_County="All",Data!L178=Sel_County)),1,0)</f>
        <v>1</v>
      </c>
    </row>
    <row r="179" spans="1:9" x14ac:dyDescent="0.25">
      <c r="A179" s="52" t="str">
        <f>Data!A179</f>
        <v>TX500178</v>
      </c>
      <c r="B179" s="52">
        <f>MONTH(Data!F179)</f>
        <v>1</v>
      </c>
      <c r="C179" s="52" t="str">
        <f>TEXT(Data!F179,"mmm")</f>
        <v>Jan</v>
      </c>
      <c r="D179" s="52" t="str">
        <f>Data!O179</f>
        <v>Male</v>
      </c>
      <c r="E179" s="52">
        <f>Data!G179-Data!F179</f>
        <v>1</v>
      </c>
      <c r="F179" s="52">
        <f>IF(Data!J179&lt;=5,Data!J179,IF(Data!J179&lt;=10,"6 TO 10","More than 10"))</f>
        <v>4</v>
      </c>
      <c r="G179" s="52">
        <f t="shared" si="2"/>
        <v>1</v>
      </c>
      <c r="H179" s="52">
        <f>ROUND(Data!C179*Data!D179-Data!E179,2)</f>
        <v>0</v>
      </c>
      <c r="I179" s="52">
        <f>IF(AND(OR(Sel_Mode="All",Data!I179=Sel_Mode),OR(Sel_Gender="All",D179=Sel_Gender),OR(Sel_Category="All",Data!B179=Sel_Category),OR(Sel_Month="All",C179=Sel_Month),OR(Sel_County="All",Data!L179=Sel_County)),1,0)</f>
        <v>1</v>
      </c>
    </row>
    <row r="180" spans="1:9" x14ac:dyDescent="0.25">
      <c r="A180" s="52" t="str">
        <f>Data!A180</f>
        <v>TX500179</v>
      </c>
      <c r="B180" s="52">
        <f>MONTH(Data!F180)</f>
        <v>1</v>
      </c>
      <c r="C180" s="52" t="str">
        <f>TEXT(Data!F180,"mmm")</f>
        <v>Jan</v>
      </c>
      <c r="D180" s="52" t="str">
        <f>Data!O180</f>
        <v>Female</v>
      </c>
      <c r="E180" s="52">
        <f>Data!G180-Data!F180</f>
        <v>5</v>
      </c>
      <c r="F180" s="52">
        <f>IF(Data!J180&lt;=5,Data!J180,IF(Data!J180&lt;=10,"6 TO 10","More than 10"))</f>
        <v>4</v>
      </c>
      <c r="G180" s="52">
        <f t="shared" si="2"/>
        <v>5</v>
      </c>
      <c r="H180" s="52">
        <f>ROUND(Data!C180*Data!D180-Data!E180,2)</f>
        <v>0</v>
      </c>
      <c r="I180" s="52">
        <f>IF(AND(OR(Sel_Mode="All",Data!I180=Sel_Mode),OR(Sel_Gender="All",D180=Sel_Gender),OR(Sel_Category="All",Data!B180=Sel_Category),OR(Sel_Month="All",C180=Sel_Month),OR(Sel_County="All",Data!L180=Sel_County)),1,0)</f>
        <v>1</v>
      </c>
    </row>
    <row r="181" spans="1:9" x14ac:dyDescent="0.25">
      <c r="A181" s="52" t="str">
        <f>Data!A181</f>
        <v>TX500180</v>
      </c>
      <c r="B181" s="52">
        <f>MONTH(Data!F181)</f>
        <v>1</v>
      </c>
      <c r="C181" s="52" t="str">
        <f>TEXT(Data!F181,"mmm")</f>
        <v>Jan</v>
      </c>
      <c r="D181" s="52" t="str">
        <f>Data!O181</f>
        <v>Unknown</v>
      </c>
      <c r="E181" s="52">
        <f>Data!G181-Data!F181</f>
        <v>4</v>
      </c>
      <c r="F181" s="52">
        <f>IF(Data!J181&lt;=5,Data!J181,IF(Data!J181&lt;=10,"6 TO 10","More than 10"))</f>
        <v>4</v>
      </c>
      <c r="G181" s="52">
        <f t="shared" si="2"/>
        <v>4</v>
      </c>
      <c r="H181" s="52">
        <f>ROUND(Data!C181*Data!D181-Data!E181,2)</f>
        <v>0</v>
      </c>
      <c r="I181" s="52">
        <f>IF(AND(OR(Sel_Mode="All",Data!I181=Sel_Mode),OR(Sel_Gender="All",D181=Sel_Gender),OR(Sel_Category="All",Data!B181=Sel_Category),OR(Sel_Month="All",C181=Sel_Month),OR(Sel_County="All",Data!L181=Sel_County)),1,0)</f>
        <v>1</v>
      </c>
    </row>
    <row r="182" spans="1:9" x14ac:dyDescent="0.25">
      <c r="A182" s="52" t="str">
        <f>Data!A182</f>
        <v>TX500181</v>
      </c>
      <c r="B182" s="52">
        <f>MONTH(Data!F182)</f>
        <v>1</v>
      </c>
      <c r="C182" s="52" t="str">
        <f>TEXT(Data!F182,"mmm")</f>
        <v>Jan</v>
      </c>
      <c r="D182" s="52" t="str">
        <f>Data!O182</f>
        <v>Female</v>
      </c>
      <c r="E182" s="52">
        <f>Data!G182-Data!F182</f>
        <v>1</v>
      </c>
      <c r="F182" s="52">
        <f>IF(Data!J182&lt;=5,Data!J182,IF(Data!J182&lt;=10,"6 TO 10","More than 10"))</f>
        <v>4</v>
      </c>
      <c r="G182" s="52">
        <f t="shared" si="2"/>
        <v>1</v>
      </c>
      <c r="H182" s="52">
        <f>ROUND(Data!C182*Data!D182-Data!E182,2)</f>
        <v>0</v>
      </c>
      <c r="I182" s="52">
        <f>IF(AND(OR(Sel_Mode="All",Data!I182=Sel_Mode),OR(Sel_Gender="All",D182=Sel_Gender),OR(Sel_Category="All",Data!B182=Sel_Category),OR(Sel_Month="All",C182=Sel_Month),OR(Sel_County="All",Data!L182=Sel_County)),1,0)</f>
        <v>1</v>
      </c>
    </row>
    <row r="183" spans="1:9" x14ac:dyDescent="0.25">
      <c r="A183" s="52" t="str">
        <f>Data!A183</f>
        <v>TX500182</v>
      </c>
      <c r="B183" s="52">
        <f>MONTH(Data!F183)</f>
        <v>1</v>
      </c>
      <c r="C183" s="52" t="str">
        <f>TEXT(Data!F183,"mmm")</f>
        <v>Jan</v>
      </c>
      <c r="D183" s="52" t="str">
        <f>Data!O183</f>
        <v>Male</v>
      </c>
      <c r="E183" s="52">
        <f>Data!G183-Data!F183</f>
        <v>1</v>
      </c>
      <c r="F183" s="52">
        <f>IF(Data!J183&lt;=5,Data!J183,IF(Data!J183&lt;=10,"6 TO 10","More than 10"))</f>
        <v>2</v>
      </c>
      <c r="G183" s="52">
        <f t="shared" si="2"/>
        <v>1</v>
      </c>
      <c r="H183" s="52">
        <f>ROUND(Data!C183*Data!D183-Data!E183,2)</f>
        <v>0</v>
      </c>
      <c r="I183" s="52">
        <f>IF(AND(OR(Sel_Mode="All",Data!I183=Sel_Mode),OR(Sel_Gender="All",D183=Sel_Gender),OR(Sel_Category="All",Data!B183=Sel_Category),OR(Sel_Month="All",C183=Sel_Month),OR(Sel_County="All",Data!L183=Sel_County)),1,0)</f>
        <v>1</v>
      </c>
    </row>
    <row r="184" spans="1:9" x14ac:dyDescent="0.25">
      <c r="A184" s="52" t="str">
        <f>Data!A184</f>
        <v>TX500183</v>
      </c>
      <c r="B184" s="52">
        <f>MONTH(Data!F184)</f>
        <v>1</v>
      </c>
      <c r="C184" s="52" t="str">
        <f>TEXT(Data!F184,"mmm")</f>
        <v>Jan</v>
      </c>
      <c r="D184" s="52" t="str">
        <f>Data!O184</f>
        <v>Female</v>
      </c>
      <c r="E184" s="52">
        <f>Data!G184-Data!F184</f>
        <v>4</v>
      </c>
      <c r="F184" s="52">
        <f>IF(Data!J184&lt;=5,Data!J184,IF(Data!J184&lt;=10,"6 TO 10","More than 10"))</f>
        <v>3</v>
      </c>
      <c r="G184" s="52">
        <f t="shared" si="2"/>
        <v>4</v>
      </c>
      <c r="H184" s="52">
        <f>ROUND(Data!C184*Data!D184-Data!E184,2)</f>
        <v>0</v>
      </c>
      <c r="I184" s="52">
        <f>IF(AND(OR(Sel_Mode="All",Data!I184=Sel_Mode),OR(Sel_Gender="All",D184=Sel_Gender),OR(Sel_Category="All",Data!B184=Sel_Category),OR(Sel_Month="All",C184=Sel_Month),OR(Sel_County="All",Data!L184=Sel_County)),1,0)</f>
        <v>1</v>
      </c>
    </row>
    <row r="185" spans="1:9" x14ac:dyDescent="0.25">
      <c r="A185" s="52" t="str">
        <f>Data!A185</f>
        <v>TX500184</v>
      </c>
      <c r="B185" s="52">
        <f>MONTH(Data!F185)</f>
        <v>1</v>
      </c>
      <c r="C185" s="52" t="str">
        <f>TEXT(Data!F185,"mmm")</f>
        <v>Jan</v>
      </c>
      <c r="D185" s="52" t="str">
        <f>Data!O185</f>
        <v>Female</v>
      </c>
      <c r="E185" s="52">
        <f>Data!G185-Data!F185</f>
        <v>1</v>
      </c>
      <c r="F185" s="52">
        <f>IF(Data!J185&lt;=5,Data!J185,IF(Data!J185&lt;=10,"6 TO 10","More than 10"))</f>
        <v>4</v>
      </c>
      <c r="G185" s="52">
        <f t="shared" si="2"/>
        <v>1</v>
      </c>
      <c r="H185" s="52">
        <f>ROUND(Data!C185*Data!D185-Data!E185,2)</f>
        <v>0</v>
      </c>
      <c r="I185" s="52">
        <f>IF(AND(OR(Sel_Mode="All",Data!I185=Sel_Mode),OR(Sel_Gender="All",D185=Sel_Gender),OR(Sel_Category="All",Data!B185=Sel_Category),OR(Sel_Month="All",C185=Sel_Month),OR(Sel_County="All",Data!L185=Sel_County)),1,0)</f>
        <v>1</v>
      </c>
    </row>
    <row r="186" spans="1:9" x14ac:dyDescent="0.25">
      <c r="A186" s="52" t="str">
        <f>Data!A186</f>
        <v>TX500185</v>
      </c>
      <c r="B186" s="52">
        <f>MONTH(Data!F186)</f>
        <v>1</v>
      </c>
      <c r="C186" s="52" t="str">
        <f>TEXT(Data!F186,"mmm")</f>
        <v>Jan</v>
      </c>
      <c r="D186" s="52" t="str">
        <f>Data!O186</f>
        <v>Male</v>
      </c>
      <c r="E186" s="52">
        <f>Data!G186-Data!F186</f>
        <v>1</v>
      </c>
      <c r="F186" s="52">
        <f>IF(Data!J186&lt;=5,Data!J186,IF(Data!J186&lt;=10,"6 TO 10","More than 10"))</f>
        <v>5</v>
      </c>
      <c r="G186" s="52">
        <f t="shared" si="2"/>
        <v>1</v>
      </c>
      <c r="H186" s="52">
        <f>ROUND(Data!C186*Data!D186-Data!E186,2)</f>
        <v>0</v>
      </c>
      <c r="I186" s="52">
        <f>IF(AND(OR(Sel_Mode="All",Data!I186=Sel_Mode),OR(Sel_Gender="All",D186=Sel_Gender),OR(Sel_Category="All",Data!B186=Sel_Category),OR(Sel_Month="All",C186=Sel_Month),OR(Sel_County="All",Data!L186=Sel_County)),1,0)</f>
        <v>1</v>
      </c>
    </row>
    <row r="187" spans="1:9" x14ac:dyDescent="0.25">
      <c r="A187" s="52" t="str">
        <f>Data!A187</f>
        <v>TX500186</v>
      </c>
      <c r="B187" s="52">
        <f>MONTH(Data!F187)</f>
        <v>1</v>
      </c>
      <c r="C187" s="52" t="str">
        <f>TEXT(Data!F187,"mmm")</f>
        <v>Jan</v>
      </c>
      <c r="D187" s="52" t="str">
        <f>Data!O187</f>
        <v>Male</v>
      </c>
      <c r="E187" s="52">
        <f>Data!G187-Data!F187</f>
        <v>5</v>
      </c>
      <c r="F187" s="52">
        <f>IF(Data!J187&lt;=5,Data!J187,IF(Data!J187&lt;=10,"6 TO 10","More than 10"))</f>
        <v>4</v>
      </c>
      <c r="G187" s="52">
        <f t="shared" si="2"/>
        <v>5</v>
      </c>
      <c r="H187" s="52">
        <f>ROUND(Data!C187*Data!D187-Data!E187,2)</f>
        <v>0</v>
      </c>
      <c r="I187" s="52">
        <f>IF(AND(OR(Sel_Mode="All",Data!I187=Sel_Mode),OR(Sel_Gender="All",D187=Sel_Gender),OR(Sel_Category="All",Data!B187=Sel_Category),OR(Sel_Month="All",C187=Sel_Month),OR(Sel_County="All",Data!L187=Sel_County)),1,0)</f>
        <v>1</v>
      </c>
    </row>
    <row r="188" spans="1:9" x14ac:dyDescent="0.25">
      <c r="A188" s="52" t="str">
        <f>Data!A188</f>
        <v>TX500187</v>
      </c>
      <c r="B188" s="52">
        <f>MONTH(Data!F188)</f>
        <v>1</v>
      </c>
      <c r="C188" s="52" t="str">
        <f>TEXT(Data!F188,"mmm")</f>
        <v>Jan</v>
      </c>
      <c r="D188" s="52" t="str">
        <f>Data!O188</f>
        <v>Female</v>
      </c>
      <c r="E188" s="52">
        <f>Data!G188-Data!F188</f>
        <v>0</v>
      </c>
      <c r="F188" s="52">
        <f>IF(Data!J188&lt;=5,Data!J188,IF(Data!J188&lt;=10,"6 TO 10","More than 10"))</f>
        <v>4</v>
      </c>
      <c r="G188" s="52">
        <f t="shared" si="2"/>
        <v>0</v>
      </c>
      <c r="H188" s="52">
        <f>ROUND(Data!C188*Data!D188-Data!E188,2)</f>
        <v>0</v>
      </c>
      <c r="I188" s="52">
        <f>IF(AND(OR(Sel_Mode="All",Data!I188=Sel_Mode),OR(Sel_Gender="All",D188=Sel_Gender),OR(Sel_Category="All",Data!B188=Sel_Category),OR(Sel_Month="All",C188=Sel_Month),OR(Sel_County="All",Data!L188=Sel_County)),1,0)</f>
        <v>1</v>
      </c>
    </row>
    <row r="189" spans="1:9" x14ac:dyDescent="0.25">
      <c r="A189" s="52" t="str">
        <f>Data!A189</f>
        <v>TX500188</v>
      </c>
      <c r="B189" s="52">
        <f>MONTH(Data!F189)</f>
        <v>1</v>
      </c>
      <c r="C189" s="52" t="str">
        <f>TEXT(Data!F189,"mmm")</f>
        <v>Jan</v>
      </c>
      <c r="D189" s="52" t="str">
        <f>Data!O189</f>
        <v>Female</v>
      </c>
      <c r="E189" s="52">
        <f>Data!G189-Data!F189</f>
        <v>1</v>
      </c>
      <c r="F189" s="52">
        <f>IF(Data!J189&lt;=5,Data!J189,IF(Data!J189&lt;=10,"6 TO 10","More than 10"))</f>
        <v>5</v>
      </c>
      <c r="G189" s="52">
        <f t="shared" si="2"/>
        <v>1</v>
      </c>
      <c r="H189" s="52">
        <f>ROUND(Data!C189*Data!D189-Data!E189,2)</f>
        <v>0</v>
      </c>
      <c r="I189" s="52">
        <f>IF(AND(OR(Sel_Mode="All",Data!I189=Sel_Mode),OR(Sel_Gender="All",D189=Sel_Gender),OR(Sel_Category="All",Data!B189=Sel_Category),OR(Sel_Month="All",C189=Sel_Month),OR(Sel_County="All",Data!L189=Sel_County)),1,0)</f>
        <v>1</v>
      </c>
    </row>
    <row r="190" spans="1:9" x14ac:dyDescent="0.25">
      <c r="A190" s="52" t="str">
        <f>Data!A190</f>
        <v>TX500189</v>
      </c>
      <c r="B190" s="52">
        <f>MONTH(Data!F190)</f>
        <v>1</v>
      </c>
      <c r="C190" s="52" t="str">
        <f>TEXT(Data!F190,"mmm")</f>
        <v>Jan</v>
      </c>
      <c r="D190" s="52" t="str">
        <f>Data!O190</f>
        <v>Male</v>
      </c>
      <c r="E190" s="52">
        <f>Data!G190-Data!F190</f>
        <v>1</v>
      </c>
      <c r="F190" s="52">
        <f>IF(Data!J190&lt;=5,Data!J190,IF(Data!J190&lt;=10,"6 TO 10","More than 10"))</f>
        <v>5</v>
      </c>
      <c r="G190" s="52">
        <f t="shared" si="2"/>
        <v>1</v>
      </c>
      <c r="H190" s="52">
        <f>ROUND(Data!C190*Data!D190-Data!E190,2)</f>
        <v>0</v>
      </c>
      <c r="I190" s="52">
        <f>IF(AND(OR(Sel_Mode="All",Data!I190=Sel_Mode),OR(Sel_Gender="All",D190=Sel_Gender),OR(Sel_Category="All",Data!B190=Sel_Category),OR(Sel_Month="All",C190=Sel_Month),OR(Sel_County="All",Data!L190=Sel_County)),1,0)</f>
        <v>1</v>
      </c>
    </row>
    <row r="191" spans="1:9" x14ac:dyDescent="0.25">
      <c r="A191" s="52" t="str">
        <f>Data!A191</f>
        <v>TX500190</v>
      </c>
      <c r="B191" s="52">
        <f>MONTH(Data!F191)</f>
        <v>1</v>
      </c>
      <c r="C191" s="52" t="str">
        <f>TEXT(Data!F191,"mmm")</f>
        <v>Jan</v>
      </c>
      <c r="D191" s="52" t="str">
        <f>Data!O191</f>
        <v>Female</v>
      </c>
      <c r="E191" s="52">
        <f>Data!G191-Data!F191</f>
        <v>2</v>
      </c>
      <c r="F191" s="52">
        <f>IF(Data!J191&lt;=5,Data!J191,IF(Data!J191&lt;=10,"6 TO 10","More than 10"))</f>
        <v>5</v>
      </c>
      <c r="G191" s="52">
        <f t="shared" si="2"/>
        <v>2</v>
      </c>
      <c r="H191" s="52">
        <f>ROUND(Data!C191*Data!D191-Data!E191,2)</f>
        <v>0</v>
      </c>
      <c r="I191" s="52">
        <f>IF(AND(OR(Sel_Mode="All",Data!I191=Sel_Mode),OR(Sel_Gender="All",D191=Sel_Gender),OR(Sel_Category="All",Data!B191=Sel_Category),OR(Sel_Month="All",C191=Sel_Month),OR(Sel_County="All",Data!L191=Sel_County)),1,0)</f>
        <v>1</v>
      </c>
    </row>
    <row r="192" spans="1:9" x14ac:dyDescent="0.25">
      <c r="A192" s="52" t="str">
        <f>Data!A192</f>
        <v>TX500191</v>
      </c>
      <c r="B192" s="52">
        <f>MONTH(Data!F192)</f>
        <v>1</v>
      </c>
      <c r="C192" s="52" t="str">
        <f>TEXT(Data!F192,"mmm")</f>
        <v>Jan</v>
      </c>
      <c r="D192" s="52" t="str">
        <f>Data!O192</f>
        <v>Unknown</v>
      </c>
      <c r="E192" s="52">
        <f>Data!G192-Data!F192</f>
        <v>4</v>
      </c>
      <c r="F192" s="52">
        <f>IF(Data!J192&lt;=5,Data!J192,IF(Data!J192&lt;=10,"6 TO 10","More than 10"))</f>
        <v>5</v>
      </c>
      <c r="G192" s="52">
        <f t="shared" si="2"/>
        <v>4</v>
      </c>
      <c r="H192" s="52">
        <f>ROUND(Data!C192*Data!D192-Data!E192,2)</f>
        <v>0</v>
      </c>
      <c r="I192" s="52">
        <f>IF(AND(OR(Sel_Mode="All",Data!I192=Sel_Mode),OR(Sel_Gender="All",D192=Sel_Gender),OR(Sel_Category="All",Data!B192=Sel_Category),OR(Sel_Month="All",C192=Sel_Month),OR(Sel_County="All",Data!L192=Sel_County)),1,0)</f>
        <v>1</v>
      </c>
    </row>
    <row r="193" spans="1:9" x14ac:dyDescent="0.25">
      <c r="A193" s="52" t="str">
        <f>Data!A193</f>
        <v>TX500192</v>
      </c>
      <c r="B193" s="52">
        <f>MONTH(Data!F193)</f>
        <v>1</v>
      </c>
      <c r="C193" s="52" t="str">
        <f>TEXT(Data!F193,"mmm")</f>
        <v>Jan</v>
      </c>
      <c r="D193" s="52" t="str">
        <f>Data!O193</f>
        <v>Unknown</v>
      </c>
      <c r="E193" s="52">
        <f>Data!G193-Data!F193</f>
        <v>2</v>
      </c>
      <c r="F193" s="52">
        <f>IF(Data!J193&lt;=5,Data!J193,IF(Data!J193&lt;=10,"6 TO 10","More than 10"))</f>
        <v>5</v>
      </c>
      <c r="G193" s="52">
        <f t="shared" si="2"/>
        <v>2</v>
      </c>
      <c r="H193" s="52">
        <f>ROUND(Data!C193*Data!D193-Data!E193,2)</f>
        <v>0</v>
      </c>
      <c r="I193" s="52">
        <f>IF(AND(OR(Sel_Mode="All",Data!I193=Sel_Mode),OR(Sel_Gender="All",D193=Sel_Gender),OR(Sel_Category="All",Data!B193=Sel_Category),OR(Sel_Month="All",C193=Sel_Month),OR(Sel_County="All",Data!L193=Sel_County)),1,0)</f>
        <v>1</v>
      </c>
    </row>
    <row r="194" spans="1:9" x14ac:dyDescent="0.25">
      <c r="A194" s="52" t="str">
        <f>Data!A194</f>
        <v>TX500193</v>
      </c>
      <c r="B194" s="52">
        <f>MONTH(Data!F194)</f>
        <v>1</v>
      </c>
      <c r="C194" s="52" t="str">
        <f>TEXT(Data!F194,"mmm")</f>
        <v>Jan</v>
      </c>
      <c r="D194" s="52" t="str">
        <f>Data!O194</f>
        <v>Male</v>
      </c>
      <c r="E194" s="52">
        <f>Data!G194-Data!F194</f>
        <v>2</v>
      </c>
      <c r="F194" s="52">
        <f>IF(Data!J194&lt;=5,Data!J194,IF(Data!J194&lt;=10,"6 TO 10","More than 10"))</f>
        <v>5</v>
      </c>
      <c r="G194" s="52">
        <f t="shared" ref="G194:G257" si="3">IF(E194&gt;=8,"8+",E194)</f>
        <v>2</v>
      </c>
      <c r="H194" s="52">
        <f>ROUND(Data!C194*Data!D194-Data!E194,2)</f>
        <v>0</v>
      </c>
      <c r="I194" s="52">
        <f>IF(AND(OR(Sel_Mode="All",Data!I194=Sel_Mode),OR(Sel_Gender="All",D194=Sel_Gender),OR(Sel_Category="All",Data!B194=Sel_Category),OR(Sel_Month="All",C194=Sel_Month),OR(Sel_County="All",Data!L194=Sel_County)),1,0)</f>
        <v>1</v>
      </c>
    </row>
    <row r="195" spans="1:9" x14ac:dyDescent="0.25">
      <c r="A195" s="52" t="str">
        <f>Data!A195</f>
        <v>TX500194</v>
      </c>
      <c r="B195" s="52">
        <f>MONTH(Data!F195)</f>
        <v>1</v>
      </c>
      <c r="C195" s="52" t="str">
        <f>TEXT(Data!F195,"mmm")</f>
        <v>Jan</v>
      </c>
      <c r="D195" s="52" t="str">
        <f>Data!O195</f>
        <v>Female</v>
      </c>
      <c r="E195" s="52">
        <f>Data!G195-Data!F195</f>
        <v>1</v>
      </c>
      <c r="F195" s="52">
        <f>IF(Data!J195&lt;=5,Data!J195,IF(Data!J195&lt;=10,"6 TO 10","More than 10"))</f>
        <v>5</v>
      </c>
      <c r="G195" s="52">
        <f t="shared" si="3"/>
        <v>1</v>
      </c>
      <c r="H195" s="52">
        <f>ROUND(Data!C195*Data!D195-Data!E195,2)</f>
        <v>0</v>
      </c>
      <c r="I195" s="52">
        <f>IF(AND(OR(Sel_Mode="All",Data!I195=Sel_Mode),OR(Sel_Gender="All",D195=Sel_Gender),OR(Sel_Category="All",Data!B195=Sel_Category),OR(Sel_Month="All",C195=Sel_Month),OR(Sel_County="All",Data!L195=Sel_County)),1,0)</f>
        <v>1</v>
      </c>
    </row>
    <row r="196" spans="1:9" x14ac:dyDescent="0.25">
      <c r="A196" s="52" t="str">
        <f>Data!A196</f>
        <v>TX500195</v>
      </c>
      <c r="B196" s="52">
        <f>MONTH(Data!F196)</f>
        <v>1</v>
      </c>
      <c r="C196" s="52" t="str">
        <f>TEXT(Data!F196,"mmm")</f>
        <v>Jan</v>
      </c>
      <c r="D196" s="52" t="str">
        <f>Data!O196</f>
        <v>Female</v>
      </c>
      <c r="E196" s="52">
        <f>Data!G196-Data!F196</f>
        <v>0</v>
      </c>
      <c r="F196" s="52">
        <f>IF(Data!J196&lt;=5,Data!J196,IF(Data!J196&lt;=10,"6 TO 10","More than 10"))</f>
        <v>4</v>
      </c>
      <c r="G196" s="52">
        <f t="shared" si="3"/>
        <v>0</v>
      </c>
      <c r="H196" s="52">
        <f>ROUND(Data!C196*Data!D196-Data!E196,2)</f>
        <v>0</v>
      </c>
      <c r="I196" s="52">
        <f>IF(AND(OR(Sel_Mode="All",Data!I196=Sel_Mode),OR(Sel_Gender="All",D196=Sel_Gender),OR(Sel_Category="All",Data!B196=Sel_Category),OR(Sel_Month="All",C196=Sel_Month),OR(Sel_County="All",Data!L196=Sel_County)),1,0)</f>
        <v>1</v>
      </c>
    </row>
    <row r="197" spans="1:9" x14ac:dyDescent="0.25">
      <c r="A197" s="52" t="str">
        <f>Data!A197</f>
        <v>TX500196</v>
      </c>
      <c r="B197" s="52">
        <f>MONTH(Data!F197)</f>
        <v>1</v>
      </c>
      <c r="C197" s="52" t="str">
        <f>TEXT(Data!F197,"mmm")</f>
        <v>Jan</v>
      </c>
      <c r="D197" s="52" t="str">
        <f>Data!O197</f>
        <v>Female</v>
      </c>
      <c r="E197" s="52">
        <f>Data!G197-Data!F197</f>
        <v>2</v>
      </c>
      <c r="F197" s="52">
        <f>IF(Data!J197&lt;=5,Data!J197,IF(Data!J197&lt;=10,"6 TO 10","More than 10"))</f>
        <v>4</v>
      </c>
      <c r="G197" s="52">
        <f t="shared" si="3"/>
        <v>2</v>
      </c>
      <c r="H197" s="52">
        <f>ROUND(Data!C197*Data!D197-Data!E197,2)</f>
        <v>0</v>
      </c>
      <c r="I197" s="52">
        <f>IF(AND(OR(Sel_Mode="All",Data!I197=Sel_Mode),OR(Sel_Gender="All",D197=Sel_Gender),OR(Sel_Category="All",Data!B197=Sel_Category),OR(Sel_Month="All",C197=Sel_Month),OR(Sel_County="All",Data!L197=Sel_County)),1,0)</f>
        <v>1</v>
      </c>
    </row>
    <row r="198" spans="1:9" x14ac:dyDescent="0.25">
      <c r="A198" s="52" t="str">
        <f>Data!A198</f>
        <v>TX500197</v>
      </c>
      <c r="B198" s="52">
        <f>MONTH(Data!F198)</f>
        <v>1</v>
      </c>
      <c r="C198" s="52" t="str">
        <f>TEXT(Data!F198,"mmm")</f>
        <v>Jan</v>
      </c>
      <c r="D198" s="52" t="str">
        <f>Data!O198</f>
        <v>Female</v>
      </c>
      <c r="E198" s="52">
        <f>Data!G198-Data!F198</f>
        <v>0</v>
      </c>
      <c r="F198" s="52">
        <f>IF(Data!J198&lt;=5,Data!J198,IF(Data!J198&lt;=10,"6 TO 10","More than 10"))</f>
        <v>5</v>
      </c>
      <c r="G198" s="52">
        <f t="shared" si="3"/>
        <v>0</v>
      </c>
      <c r="H198" s="52">
        <f>ROUND(Data!C198*Data!D198-Data!E198,2)</f>
        <v>0</v>
      </c>
      <c r="I198" s="52">
        <f>IF(AND(OR(Sel_Mode="All",Data!I198=Sel_Mode),OR(Sel_Gender="All",D198=Sel_Gender),OR(Sel_Category="All",Data!B198=Sel_Category),OR(Sel_Month="All",C198=Sel_Month),OR(Sel_County="All",Data!L198=Sel_County)),1,0)</f>
        <v>1</v>
      </c>
    </row>
    <row r="199" spans="1:9" x14ac:dyDescent="0.25">
      <c r="A199" s="52" t="str">
        <f>Data!A199</f>
        <v>TX500198</v>
      </c>
      <c r="B199" s="52">
        <f>MONTH(Data!F199)</f>
        <v>1</v>
      </c>
      <c r="C199" s="52" t="str">
        <f>TEXT(Data!F199,"mmm")</f>
        <v>Jan</v>
      </c>
      <c r="D199" s="52" t="str">
        <f>Data!O199</f>
        <v>Female</v>
      </c>
      <c r="E199" s="52">
        <f>Data!G199-Data!F199</f>
        <v>3</v>
      </c>
      <c r="F199" s="52">
        <f>IF(Data!J199&lt;=5,Data!J199,IF(Data!J199&lt;=10,"6 TO 10","More than 10"))</f>
        <v>4</v>
      </c>
      <c r="G199" s="52">
        <f t="shared" si="3"/>
        <v>3</v>
      </c>
      <c r="H199" s="52">
        <f>ROUND(Data!C199*Data!D199-Data!E199,2)</f>
        <v>0</v>
      </c>
      <c r="I199" s="52">
        <f>IF(AND(OR(Sel_Mode="All",Data!I199=Sel_Mode),OR(Sel_Gender="All",D199=Sel_Gender),OR(Sel_Category="All",Data!B199=Sel_Category),OR(Sel_Month="All",C199=Sel_Month),OR(Sel_County="All",Data!L199=Sel_County)),1,0)</f>
        <v>1</v>
      </c>
    </row>
    <row r="200" spans="1:9" x14ac:dyDescent="0.25">
      <c r="A200" s="52" t="str">
        <f>Data!A200</f>
        <v>TX500199</v>
      </c>
      <c r="B200" s="52">
        <f>MONTH(Data!F200)</f>
        <v>1</v>
      </c>
      <c r="C200" s="52" t="str">
        <f>TEXT(Data!F200,"mmm")</f>
        <v>Jan</v>
      </c>
      <c r="D200" s="52" t="str">
        <f>Data!O200</f>
        <v>Male</v>
      </c>
      <c r="E200" s="52">
        <f>Data!G200-Data!F200</f>
        <v>1</v>
      </c>
      <c r="F200" s="52">
        <f>IF(Data!J200&lt;=5,Data!J200,IF(Data!J200&lt;=10,"6 TO 10","More than 10"))</f>
        <v>5</v>
      </c>
      <c r="G200" s="52">
        <f t="shared" si="3"/>
        <v>1</v>
      </c>
      <c r="H200" s="52">
        <f>ROUND(Data!C200*Data!D200-Data!E200,2)</f>
        <v>0</v>
      </c>
      <c r="I200" s="52">
        <f>IF(AND(OR(Sel_Mode="All",Data!I200=Sel_Mode),OR(Sel_Gender="All",D200=Sel_Gender),OR(Sel_Category="All",Data!B200=Sel_Category),OR(Sel_Month="All",C200=Sel_Month),OR(Sel_County="All",Data!L200=Sel_County)),1,0)</f>
        <v>1</v>
      </c>
    </row>
    <row r="201" spans="1:9" x14ac:dyDescent="0.25">
      <c r="A201" s="52" t="str">
        <f>Data!A201</f>
        <v>TX500200</v>
      </c>
      <c r="B201" s="52">
        <f>MONTH(Data!F201)</f>
        <v>1</v>
      </c>
      <c r="C201" s="52" t="str">
        <f>TEXT(Data!F201,"mmm")</f>
        <v>Jan</v>
      </c>
      <c r="D201" s="52" t="str">
        <f>Data!O201</f>
        <v>Male</v>
      </c>
      <c r="E201" s="52">
        <f>Data!G201-Data!F201</f>
        <v>2</v>
      </c>
      <c r="F201" s="52">
        <f>IF(Data!J201&lt;=5,Data!J201,IF(Data!J201&lt;=10,"6 TO 10","More than 10"))</f>
        <v>5</v>
      </c>
      <c r="G201" s="52">
        <f t="shared" si="3"/>
        <v>2</v>
      </c>
      <c r="H201" s="52">
        <f>ROUND(Data!C201*Data!D201-Data!E201,2)</f>
        <v>0</v>
      </c>
      <c r="I201" s="52">
        <f>IF(AND(OR(Sel_Mode="All",Data!I201=Sel_Mode),OR(Sel_Gender="All",D201=Sel_Gender),OR(Sel_Category="All",Data!B201=Sel_Category),OR(Sel_Month="All",C201=Sel_Month),OR(Sel_County="All",Data!L201=Sel_County)),1,0)</f>
        <v>1</v>
      </c>
    </row>
    <row r="202" spans="1:9" x14ac:dyDescent="0.25">
      <c r="A202" s="52" t="str">
        <f>Data!A202</f>
        <v>TX500201</v>
      </c>
      <c r="B202" s="52">
        <f>MONTH(Data!F202)</f>
        <v>1</v>
      </c>
      <c r="C202" s="52" t="str">
        <f>TEXT(Data!F202,"mmm")</f>
        <v>Jan</v>
      </c>
      <c r="D202" s="52" t="str">
        <f>Data!O202</f>
        <v>Male</v>
      </c>
      <c r="E202" s="52">
        <f>Data!G202-Data!F202</f>
        <v>3</v>
      </c>
      <c r="F202" s="52">
        <f>IF(Data!J202&lt;=5,Data!J202,IF(Data!J202&lt;=10,"6 TO 10","More than 10"))</f>
        <v>4</v>
      </c>
      <c r="G202" s="52">
        <f t="shared" si="3"/>
        <v>3</v>
      </c>
      <c r="H202" s="52">
        <f>ROUND(Data!C202*Data!D202-Data!E202,2)</f>
        <v>0</v>
      </c>
      <c r="I202" s="52">
        <f>IF(AND(OR(Sel_Mode="All",Data!I202=Sel_Mode),OR(Sel_Gender="All",D202=Sel_Gender),OR(Sel_Category="All",Data!B202=Sel_Category),OR(Sel_Month="All",C202=Sel_Month),OR(Sel_County="All",Data!L202=Sel_County)),1,0)</f>
        <v>1</v>
      </c>
    </row>
    <row r="203" spans="1:9" x14ac:dyDescent="0.25">
      <c r="A203" s="52" t="str">
        <f>Data!A203</f>
        <v>TX500202</v>
      </c>
      <c r="B203" s="52">
        <f>MONTH(Data!F203)</f>
        <v>1</v>
      </c>
      <c r="C203" s="52" t="str">
        <f>TEXT(Data!F203,"mmm")</f>
        <v>Jan</v>
      </c>
      <c r="D203" s="52" t="str">
        <f>Data!O203</f>
        <v>Male</v>
      </c>
      <c r="E203" s="52">
        <f>Data!G203-Data!F203</f>
        <v>8</v>
      </c>
      <c r="F203" s="52">
        <f>IF(Data!J203&lt;=5,Data!J203,IF(Data!J203&lt;=10,"6 TO 10","More than 10"))</f>
        <v>5</v>
      </c>
      <c r="G203" s="52" t="str">
        <f t="shared" si="3"/>
        <v>8+</v>
      </c>
      <c r="H203" s="52">
        <f>ROUND(Data!C203*Data!D203-Data!E203,2)</f>
        <v>0</v>
      </c>
      <c r="I203" s="52">
        <f>IF(AND(OR(Sel_Mode="All",Data!I203=Sel_Mode),OR(Sel_Gender="All",D203=Sel_Gender),OR(Sel_Category="All",Data!B203=Sel_Category),OR(Sel_Month="All",C203=Sel_Month),OR(Sel_County="All",Data!L203=Sel_County)),1,0)</f>
        <v>1</v>
      </c>
    </row>
    <row r="204" spans="1:9" x14ac:dyDescent="0.25">
      <c r="A204" s="52" t="str">
        <f>Data!A204</f>
        <v>TX500203</v>
      </c>
      <c r="B204" s="52">
        <f>MONTH(Data!F204)</f>
        <v>1</v>
      </c>
      <c r="C204" s="52" t="str">
        <f>TEXT(Data!F204,"mmm")</f>
        <v>Jan</v>
      </c>
      <c r="D204" s="52" t="str">
        <f>Data!O204</f>
        <v>Female</v>
      </c>
      <c r="E204" s="52">
        <f>Data!G204-Data!F204</f>
        <v>1</v>
      </c>
      <c r="F204" s="52">
        <f>IF(Data!J204&lt;=5,Data!J204,IF(Data!J204&lt;=10,"6 TO 10","More than 10"))</f>
        <v>4</v>
      </c>
      <c r="G204" s="52">
        <f t="shared" si="3"/>
        <v>1</v>
      </c>
      <c r="H204" s="52">
        <f>ROUND(Data!C204*Data!D204-Data!E204,2)</f>
        <v>0</v>
      </c>
      <c r="I204" s="52">
        <f>IF(AND(OR(Sel_Mode="All",Data!I204=Sel_Mode),OR(Sel_Gender="All",D204=Sel_Gender),OR(Sel_Category="All",Data!B204=Sel_Category),OR(Sel_Month="All",C204=Sel_Month),OR(Sel_County="All",Data!L204=Sel_County)),1,0)</f>
        <v>1</v>
      </c>
    </row>
    <row r="205" spans="1:9" x14ac:dyDescent="0.25">
      <c r="A205" s="52" t="str">
        <f>Data!A205</f>
        <v>TX500204</v>
      </c>
      <c r="B205" s="52">
        <f>MONTH(Data!F205)</f>
        <v>1</v>
      </c>
      <c r="C205" s="52" t="str">
        <f>TEXT(Data!F205,"mmm")</f>
        <v>Jan</v>
      </c>
      <c r="D205" s="52" t="str">
        <f>Data!O205</f>
        <v>Female</v>
      </c>
      <c r="E205" s="52">
        <f>Data!G205-Data!F205</f>
        <v>3</v>
      </c>
      <c r="F205" s="52">
        <f>IF(Data!J205&lt;=5,Data!J205,IF(Data!J205&lt;=10,"6 TO 10","More than 10"))</f>
        <v>5</v>
      </c>
      <c r="G205" s="52">
        <f t="shared" si="3"/>
        <v>3</v>
      </c>
      <c r="H205" s="52">
        <f>ROUND(Data!C205*Data!D205-Data!E205,2)</f>
        <v>0</v>
      </c>
      <c r="I205" s="52">
        <f>IF(AND(OR(Sel_Mode="All",Data!I205=Sel_Mode),OR(Sel_Gender="All",D205=Sel_Gender),OR(Sel_Category="All",Data!B205=Sel_Category),OR(Sel_Month="All",C205=Sel_Month),OR(Sel_County="All",Data!L205=Sel_County)),1,0)</f>
        <v>1</v>
      </c>
    </row>
    <row r="206" spans="1:9" x14ac:dyDescent="0.25">
      <c r="A206" s="52" t="str">
        <f>Data!A206</f>
        <v>TX500205</v>
      </c>
      <c r="B206" s="52">
        <f>MONTH(Data!F206)</f>
        <v>1</v>
      </c>
      <c r="C206" s="52" t="str">
        <f>TEXT(Data!F206,"mmm")</f>
        <v>Jan</v>
      </c>
      <c r="D206" s="52" t="str">
        <f>Data!O206</f>
        <v>Female</v>
      </c>
      <c r="E206" s="52">
        <f>Data!G206-Data!F206</f>
        <v>4</v>
      </c>
      <c r="F206" s="52">
        <f>IF(Data!J206&lt;=5,Data!J206,IF(Data!J206&lt;=10,"6 TO 10","More than 10"))</f>
        <v>4</v>
      </c>
      <c r="G206" s="52">
        <f t="shared" si="3"/>
        <v>4</v>
      </c>
      <c r="H206" s="52">
        <f>ROUND(Data!C206*Data!D206-Data!E206,2)</f>
        <v>0</v>
      </c>
      <c r="I206" s="52">
        <f>IF(AND(OR(Sel_Mode="All",Data!I206=Sel_Mode),OR(Sel_Gender="All",D206=Sel_Gender),OR(Sel_Category="All",Data!B206=Sel_Category),OR(Sel_Month="All",C206=Sel_Month),OR(Sel_County="All",Data!L206=Sel_County)),1,0)</f>
        <v>1</v>
      </c>
    </row>
    <row r="207" spans="1:9" x14ac:dyDescent="0.25">
      <c r="A207" s="52" t="str">
        <f>Data!A207</f>
        <v>TX500206</v>
      </c>
      <c r="B207" s="52">
        <f>MONTH(Data!F207)</f>
        <v>1</v>
      </c>
      <c r="C207" s="52" t="str">
        <f>TEXT(Data!F207,"mmm")</f>
        <v>Jan</v>
      </c>
      <c r="D207" s="52" t="str">
        <f>Data!O207</f>
        <v>Female</v>
      </c>
      <c r="E207" s="52">
        <f>Data!G207-Data!F207</f>
        <v>1</v>
      </c>
      <c r="F207" s="52">
        <f>IF(Data!J207&lt;=5,Data!J207,IF(Data!J207&lt;=10,"6 TO 10","More than 10"))</f>
        <v>4</v>
      </c>
      <c r="G207" s="52">
        <f t="shared" si="3"/>
        <v>1</v>
      </c>
      <c r="H207" s="52">
        <f>ROUND(Data!C207*Data!D207-Data!E207,2)</f>
        <v>0</v>
      </c>
      <c r="I207" s="52">
        <f>IF(AND(OR(Sel_Mode="All",Data!I207=Sel_Mode),OR(Sel_Gender="All",D207=Sel_Gender),OR(Sel_Category="All",Data!B207=Sel_Category),OR(Sel_Month="All",C207=Sel_Month),OR(Sel_County="All",Data!L207=Sel_County)),1,0)</f>
        <v>1</v>
      </c>
    </row>
    <row r="208" spans="1:9" x14ac:dyDescent="0.25">
      <c r="A208" s="52" t="str">
        <f>Data!A208</f>
        <v>TX500207</v>
      </c>
      <c r="B208" s="52">
        <f>MONTH(Data!F208)</f>
        <v>1</v>
      </c>
      <c r="C208" s="52" t="str">
        <f>TEXT(Data!F208,"mmm")</f>
        <v>Jan</v>
      </c>
      <c r="D208" s="52" t="str">
        <f>Data!O208</f>
        <v>Female</v>
      </c>
      <c r="E208" s="52">
        <f>Data!G208-Data!F208</f>
        <v>0</v>
      </c>
      <c r="F208" s="52">
        <f>IF(Data!J208&lt;=5,Data!J208,IF(Data!J208&lt;=10,"6 TO 10","More than 10"))</f>
        <v>3</v>
      </c>
      <c r="G208" s="52">
        <f t="shared" si="3"/>
        <v>0</v>
      </c>
      <c r="H208" s="52">
        <f>ROUND(Data!C208*Data!D208-Data!E208,2)</f>
        <v>0</v>
      </c>
      <c r="I208" s="52">
        <f>IF(AND(OR(Sel_Mode="All",Data!I208=Sel_Mode),OR(Sel_Gender="All",D208=Sel_Gender),OR(Sel_Category="All",Data!B208=Sel_Category),OR(Sel_Month="All",C208=Sel_Month),OR(Sel_County="All",Data!L208=Sel_County)),1,0)</f>
        <v>1</v>
      </c>
    </row>
    <row r="209" spans="1:9" x14ac:dyDescent="0.25">
      <c r="A209" s="52" t="str">
        <f>Data!A209</f>
        <v>TX500208</v>
      </c>
      <c r="B209" s="52">
        <f>MONTH(Data!F209)</f>
        <v>1</v>
      </c>
      <c r="C209" s="52" t="str">
        <f>TEXT(Data!F209,"mmm")</f>
        <v>Jan</v>
      </c>
      <c r="D209" s="52" t="str">
        <f>Data!O209</f>
        <v>Female</v>
      </c>
      <c r="E209" s="52">
        <f>Data!G209-Data!F209</f>
        <v>4</v>
      </c>
      <c r="F209" s="52">
        <f>IF(Data!J209&lt;=5,Data!J209,IF(Data!J209&lt;=10,"6 TO 10","More than 10"))</f>
        <v>4</v>
      </c>
      <c r="G209" s="52">
        <f t="shared" si="3"/>
        <v>4</v>
      </c>
      <c r="H209" s="52">
        <f>ROUND(Data!C209*Data!D209-Data!E209,2)</f>
        <v>0</v>
      </c>
      <c r="I209" s="52">
        <f>IF(AND(OR(Sel_Mode="All",Data!I209=Sel_Mode),OR(Sel_Gender="All",D209=Sel_Gender),OR(Sel_Category="All",Data!B209=Sel_Category),OR(Sel_Month="All",C209=Sel_Month),OR(Sel_County="All",Data!L209=Sel_County)),1,0)</f>
        <v>1</v>
      </c>
    </row>
    <row r="210" spans="1:9" x14ac:dyDescent="0.25">
      <c r="A210" s="52" t="str">
        <f>Data!A210</f>
        <v>TX500209</v>
      </c>
      <c r="B210" s="52">
        <f>MONTH(Data!F210)</f>
        <v>1</v>
      </c>
      <c r="C210" s="52" t="str">
        <f>TEXT(Data!F210,"mmm")</f>
        <v>Jan</v>
      </c>
      <c r="D210" s="52" t="str">
        <f>Data!O210</f>
        <v>Female</v>
      </c>
      <c r="E210" s="52">
        <f>Data!G210-Data!F210</f>
        <v>3</v>
      </c>
      <c r="F210" s="52">
        <f>IF(Data!J210&lt;=5,Data!J210,IF(Data!J210&lt;=10,"6 TO 10","More than 10"))</f>
        <v>2</v>
      </c>
      <c r="G210" s="52">
        <f t="shared" si="3"/>
        <v>3</v>
      </c>
      <c r="H210" s="52">
        <f>ROUND(Data!C210*Data!D210-Data!E210,2)</f>
        <v>0</v>
      </c>
      <c r="I210" s="52">
        <f>IF(AND(OR(Sel_Mode="All",Data!I210=Sel_Mode),OR(Sel_Gender="All",D210=Sel_Gender),OR(Sel_Category="All",Data!B210=Sel_Category),OR(Sel_Month="All",C210=Sel_Month),OR(Sel_County="All",Data!L210=Sel_County)),1,0)</f>
        <v>1</v>
      </c>
    </row>
    <row r="211" spans="1:9" x14ac:dyDescent="0.25">
      <c r="A211" s="52" t="str">
        <f>Data!A211</f>
        <v>TX500210</v>
      </c>
      <c r="B211" s="52">
        <f>MONTH(Data!F211)</f>
        <v>1</v>
      </c>
      <c r="C211" s="52" t="str">
        <f>TEXT(Data!F211,"mmm")</f>
        <v>Jan</v>
      </c>
      <c r="D211" s="52" t="str">
        <f>Data!O211</f>
        <v>Male</v>
      </c>
      <c r="E211" s="52">
        <f>Data!G211-Data!F211</f>
        <v>1</v>
      </c>
      <c r="F211" s="52">
        <f>IF(Data!J211&lt;=5,Data!J211,IF(Data!J211&lt;=10,"6 TO 10","More than 10"))</f>
        <v>5</v>
      </c>
      <c r="G211" s="52">
        <f t="shared" si="3"/>
        <v>1</v>
      </c>
      <c r="H211" s="52">
        <f>ROUND(Data!C211*Data!D211-Data!E211,2)</f>
        <v>0</v>
      </c>
      <c r="I211" s="52">
        <f>IF(AND(OR(Sel_Mode="All",Data!I211=Sel_Mode),OR(Sel_Gender="All",D211=Sel_Gender),OR(Sel_Category="All",Data!B211=Sel_Category),OR(Sel_Month="All",C211=Sel_Month),OR(Sel_County="All",Data!L211=Sel_County)),1,0)</f>
        <v>1</v>
      </c>
    </row>
    <row r="212" spans="1:9" x14ac:dyDescent="0.25">
      <c r="A212" s="52" t="str">
        <f>Data!A212</f>
        <v>TX500211</v>
      </c>
      <c r="B212" s="52">
        <f>MONTH(Data!F212)</f>
        <v>1</v>
      </c>
      <c r="C212" s="52" t="str">
        <f>TEXT(Data!F212,"mmm")</f>
        <v>Jan</v>
      </c>
      <c r="D212" s="52" t="str">
        <f>Data!O212</f>
        <v>Female</v>
      </c>
      <c r="E212" s="52">
        <f>Data!G212-Data!F212</f>
        <v>0</v>
      </c>
      <c r="F212" s="52">
        <f>IF(Data!J212&lt;=5,Data!J212,IF(Data!J212&lt;=10,"6 TO 10","More than 10"))</f>
        <v>5</v>
      </c>
      <c r="G212" s="52">
        <f t="shared" si="3"/>
        <v>0</v>
      </c>
      <c r="H212" s="52">
        <f>ROUND(Data!C212*Data!D212-Data!E212,2)</f>
        <v>0</v>
      </c>
      <c r="I212" s="52">
        <f>IF(AND(OR(Sel_Mode="All",Data!I212=Sel_Mode),OR(Sel_Gender="All",D212=Sel_Gender),OR(Sel_Category="All",Data!B212=Sel_Category),OR(Sel_Month="All",C212=Sel_Month),OR(Sel_County="All",Data!L212=Sel_County)),1,0)</f>
        <v>1</v>
      </c>
    </row>
    <row r="213" spans="1:9" x14ac:dyDescent="0.25">
      <c r="A213" s="52" t="str">
        <f>Data!A213</f>
        <v>TX500212</v>
      </c>
      <c r="B213" s="52">
        <f>MONTH(Data!F213)</f>
        <v>1</v>
      </c>
      <c r="C213" s="52" t="str">
        <f>TEXT(Data!F213,"mmm")</f>
        <v>Jan</v>
      </c>
      <c r="D213" s="52" t="str">
        <f>Data!O213</f>
        <v>Female</v>
      </c>
      <c r="E213" s="52">
        <f>Data!G213-Data!F213</f>
        <v>3</v>
      </c>
      <c r="F213" s="52">
        <f>IF(Data!J213&lt;=5,Data!J213,IF(Data!J213&lt;=10,"6 TO 10","More than 10"))</f>
        <v>4</v>
      </c>
      <c r="G213" s="52">
        <f t="shared" si="3"/>
        <v>3</v>
      </c>
      <c r="H213" s="52">
        <f>ROUND(Data!C213*Data!D213-Data!E213,2)</f>
        <v>0</v>
      </c>
      <c r="I213" s="52">
        <f>IF(AND(OR(Sel_Mode="All",Data!I213=Sel_Mode),OR(Sel_Gender="All",D213=Sel_Gender),OR(Sel_Category="All",Data!B213=Sel_Category),OR(Sel_Month="All",C213=Sel_Month),OR(Sel_County="All",Data!L213=Sel_County)),1,0)</f>
        <v>1</v>
      </c>
    </row>
    <row r="214" spans="1:9" x14ac:dyDescent="0.25">
      <c r="A214" s="52" t="str">
        <f>Data!A214</f>
        <v>TX500213</v>
      </c>
      <c r="B214" s="52">
        <f>MONTH(Data!F214)</f>
        <v>1</v>
      </c>
      <c r="C214" s="52" t="str">
        <f>TEXT(Data!F214,"mmm")</f>
        <v>Jan</v>
      </c>
      <c r="D214" s="52" t="str">
        <f>Data!O214</f>
        <v>Male</v>
      </c>
      <c r="E214" s="52">
        <f>Data!G214-Data!F214</f>
        <v>1</v>
      </c>
      <c r="F214" s="52">
        <f>IF(Data!J214&lt;=5,Data!J214,IF(Data!J214&lt;=10,"6 TO 10","More than 10"))</f>
        <v>3</v>
      </c>
      <c r="G214" s="52">
        <f t="shared" si="3"/>
        <v>1</v>
      </c>
      <c r="H214" s="52">
        <f>ROUND(Data!C214*Data!D214-Data!E214,2)</f>
        <v>0</v>
      </c>
      <c r="I214" s="52">
        <f>IF(AND(OR(Sel_Mode="All",Data!I214=Sel_Mode),OR(Sel_Gender="All",D214=Sel_Gender),OR(Sel_Category="All",Data!B214=Sel_Category),OR(Sel_Month="All",C214=Sel_Month),OR(Sel_County="All",Data!L214=Sel_County)),1,0)</f>
        <v>1</v>
      </c>
    </row>
    <row r="215" spans="1:9" x14ac:dyDescent="0.25">
      <c r="A215" s="52" t="str">
        <f>Data!A215</f>
        <v>TX500214</v>
      </c>
      <c r="B215" s="52">
        <f>MONTH(Data!F215)</f>
        <v>1</v>
      </c>
      <c r="C215" s="52" t="str">
        <f>TEXT(Data!F215,"mmm")</f>
        <v>Jan</v>
      </c>
      <c r="D215" s="52" t="str">
        <f>Data!O215</f>
        <v>Female</v>
      </c>
      <c r="E215" s="52">
        <f>Data!G215-Data!F215</f>
        <v>0</v>
      </c>
      <c r="F215" s="52">
        <f>IF(Data!J215&lt;=5,Data!J215,IF(Data!J215&lt;=10,"6 TO 10","More than 10"))</f>
        <v>4</v>
      </c>
      <c r="G215" s="52">
        <f t="shared" si="3"/>
        <v>0</v>
      </c>
      <c r="H215" s="52">
        <f>ROUND(Data!C215*Data!D215-Data!E215,2)</f>
        <v>0</v>
      </c>
      <c r="I215" s="52">
        <f>IF(AND(OR(Sel_Mode="All",Data!I215=Sel_Mode),OR(Sel_Gender="All",D215=Sel_Gender),OR(Sel_Category="All",Data!B215=Sel_Category),OR(Sel_Month="All",C215=Sel_Month),OR(Sel_County="All",Data!L215=Sel_County)),1,0)</f>
        <v>1</v>
      </c>
    </row>
    <row r="216" spans="1:9" x14ac:dyDescent="0.25">
      <c r="A216" s="52" t="str">
        <f>Data!A216</f>
        <v>TX500215</v>
      </c>
      <c r="B216" s="52">
        <f>MONTH(Data!F216)</f>
        <v>1</v>
      </c>
      <c r="C216" s="52" t="str">
        <f>TEXT(Data!F216,"mmm")</f>
        <v>Jan</v>
      </c>
      <c r="D216" s="52" t="str">
        <f>Data!O216</f>
        <v>Female</v>
      </c>
      <c r="E216" s="52">
        <f>Data!G216-Data!F216</f>
        <v>2</v>
      </c>
      <c r="F216" s="52">
        <f>IF(Data!J216&lt;=5,Data!J216,IF(Data!J216&lt;=10,"6 TO 10","More than 10"))</f>
        <v>3</v>
      </c>
      <c r="G216" s="52">
        <f t="shared" si="3"/>
        <v>2</v>
      </c>
      <c r="H216" s="52">
        <f>ROUND(Data!C216*Data!D216-Data!E216,2)</f>
        <v>0</v>
      </c>
      <c r="I216" s="52">
        <f>IF(AND(OR(Sel_Mode="All",Data!I216=Sel_Mode),OR(Sel_Gender="All",D216=Sel_Gender),OR(Sel_Category="All",Data!B216=Sel_Category),OR(Sel_Month="All",C216=Sel_Month),OR(Sel_County="All",Data!L216=Sel_County)),1,0)</f>
        <v>1</v>
      </c>
    </row>
    <row r="217" spans="1:9" x14ac:dyDescent="0.25">
      <c r="A217" s="52" t="str">
        <f>Data!A217</f>
        <v>TX500216</v>
      </c>
      <c r="B217" s="52">
        <f>MONTH(Data!F217)</f>
        <v>1</v>
      </c>
      <c r="C217" s="52" t="str">
        <f>TEXT(Data!F217,"mmm")</f>
        <v>Jan</v>
      </c>
      <c r="D217" s="52" t="str">
        <f>Data!O217</f>
        <v>Female</v>
      </c>
      <c r="E217" s="52">
        <f>Data!G217-Data!F217</f>
        <v>2</v>
      </c>
      <c r="F217" s="52">
        <f>IF(Data!J217&lt;=5,Data!J217,IF(Data!J217&lt;=10,"6 TO 10","More than 10"))</f>
        <v>5</v>
      </c>
      <c r="G217" s="52">
        <f t="shared" si="3"/>
        <v>2</v>
      </c>
      <c r="H217" s="52">
        <f>ROUND(Data!C217*Data!D217-Data!E217,2)</f>
        <v>0</v>
      </c>
      <c r="I217" s="52">
        <f>IF(AND(OR(Sel_Mode="All",Data!I217=Sel_Mode),OR(Sel_Gender="All",D217=Sel_Gender),OR(Sel_Category="All",Data!B217=Sel_Category),OR(Sel_Month="All",C217=Sel_Month),OR(Sel_County="All",Data!L217=Sel_County)),1,0)</f>
        <v>1</v>
      </c>
    </row>
    <row r="218" spans="1:9" x14ac:dyDescent="0.25">
      <c r="A218" s="52" t="str">
        <f>Data!A218</f>
        <v>TX500217</v>
      </c>
      <c r="B218" s="52">
        <f>MONTH(Data!F218)</f>
        <v>1</v>
      </c>
      <c r="C218" s="52" t="str">
        <f>TEXT(Data!F218,"mmm")</f>
        <v>Jan</v>
      </c>
      <c r="D218" s="52" t="str">
        <f>Data!O218</f>
        <v>Female</v>
      </c>
      <c r="E218" s="52">
        <f>Data!G218-Data!F218</f>
        <v>4</v>
      </c>
      <c r="F218" s="52">
        <f>IF(Data!J218&lt;=5,Data!J218,IF(Data!J218&lt;=10,"6 TO 10","More than 10"))</f>
        <v>5</v>
      </c>
      <c r="G218" s="52">
        <f t="shared" si="3"/>
        <v>4</v>
      </c>
      <c r="H218" s="52">
        <f>ROUND(Data!C218*Data!D218-Data!E218,2)</f>
        <v>0</v>
      </c>
      <c r="I218" s="52">
        <f>IF(AND(OR(Sel_Mode="All",Data!I218=Sel_Mode),OR(Sel_Gender="All",D218=Sel_Gender),OR(Sel_Category="All",Data!B218=Sel_Category),OR(Sel_Month="All",C218=Sel_Month),OR(Sel_County="All",Data!L218=Sel_County)),1,0)</f>
        <v>1</v>
      </c>
    </row>
    <row r="219" spans="1:9" x14ac:dyDescent="0.25">
      <c r="A219" s="52" t="str">
        <f>Data!A219</f>
        <v>TX500218</v>
      </c>
      <c r="B219" s="52">
        <f>MONTH(Data!F219)</f>
        <v>1</v>
      </c>
      <c r="C219" s="52" t="str">
        <f>TEXT(Data!F219,"mmm")</f>
        <v>Jan</v>
      </c>
      <c r="D219" s="52" t="str">
        <f>Data!O219</f>
        <v>Male</v>
      </c>
      <c r="E219" s="52">
        <f>Data!G219-Data!F219</f>
        <v>1</v>
      </c>
      <c r="F219" s="52">
        <f>IF(Data!J219&lt;=5,Data!J219,IF(Data!J219&lt;=10,"6 TO 10","More than 10"))</f>
        <v>3</v>
      </c>
      <c r="G219" s="52">
        <f t="shared" si="3"/>
        <v>1</v>
      </c>
      <c r="H219" s="52">
        <f>ROUND(Data!C219*Data!D219-Data!E219,2)</f>
        <v>0</v>
      </c>
      <c r="I219" s="52">
        <f>IF(AND(OR(Sel_Mode="All",Data!I219=Sel_Mode),OR(Sel_Gender="All",D219=Sel_Gender),OR(Sel_Category="All",Data!B219=Sel_Category),OR(Sel_Month="All",C219=Sel_Month),OR(Sel_County="All",Data!L219=Sel_County)),1,0)</f>
        <v>1</v>
      </c>
    </row>
    <row r="220" spans="1:9" x14ac:dyDescent="0.25">
      <c r="A220" s="52" t="str">
        <f>Data!A220</f>
        <v>TX500219</v>
      </c>
      <c r="B220" s="52">
        <f>MONTH(Data!F220)</f>
        <v>1</v>
      </c>
      <c r="C220" s="52" t="str">
        <f>TEXT(Data!F220,"mmm")</f>
        <v>Jan</v>
      </c>
      <c r="D220" s="52" t="str">
        <f>Data!O220</f>
        <v>Female</v>
      </c>
      <c r="E220" s="52">
        <f>Data!G220-Data!F220</f>
        <v>3</v>
      </c>
      <c r="F220" s="52">
        <f>IF(Data!J220&lt;=5,Data!J220,IF(Data!J220&lt;=10,"6 TO 10","More than 10"))</f>
        <v>4</v>
      </c>
      <c r="G220" s="52">
        <f t="shared" si="3"/>
        <v>3</v>
      </c>
      <c r="H220" s="52">
        <f>ROUND(Data!C220*Data!D220-Data!E220,2)</f>
        <v>0</v>
      </c>
      <c r="I220" s="52">
        <f>IF(AND(OR(Sel_Mode="All",Data!I220=Sel_Mode),OR(Sel_Gender="All",D220=Sel_Gender),OR(Sel_Category="All",Data!B220=Sel_Category),OR(Sel_Month="All",C220=Sel_Month),OR(Sel_County="All",Data!L220=Sel_County)),1,0)</f>
        <v>1</v>
      </c>
    </row>
    <row r="221" spans="1:9" x14ac:dyDescent="0.25">
      <c r="A221" s="52" t="str">
        <f>Data!A221</f>
        <v>TX500220</v>
      </c>
      <c r="B221" s="52">
        <f>MONTH(Data!F221)</f>
        <v>1</v>
      </c>
      <c r="C221" s="52" t="str">
        <f>TEXT(Data!F221,"mmm")</f>
        <v>Jan</v>
      </c>
      <c r="D221" s="52" t="str">
        <f>Data!O221</f>
        <v>Male</v>
      </c>
      <c r="E221" s="52">
        <f>Data!G221-Data!F221</f>
        <v>1</v>
      </c>
      <c r="F221" s="52">
        <f>IF(Data!J221&lt;=5,Data!J221,IF(Data!J221&lt;=10,"6 TO 10","More than 10"))</f>
        <v>4</v>
      </c>
      <c r="G221" s="52">
        <f t="shared" si="3"/>
        <v>1</v>
      </c>
      <c r="H221" s="52">
        <f>ROUND(Data!C221*Data!D221-Data!E221,2)</f>
        <v>0</v>
      </c>
      <c r="I221" s="52">
        <f>IF(AND(OR(Sel_Mode="All",Data!I221=Sel_Mode),OR(Sel_Gender="All",D221=Sel_Gender),OR(Sel_Category="All",Data!B221=Sel_Category),OR(Sel_Month="All",C221=Sel_Month),OR(Sel_County="All",Data!L221=Sel_County)),1,0)</f>
        <v>1</v>
      </c>
    </row>
    <row r="222" spans="1:9" x14ac:dyDescent="0.25">
      <c r="A222" s="52" t="str">
        <f>Data!A222</f>
        <v>TX500221</v>
      </c>
      <c r="B222" s="52">
        <f>MONTH(Data!F222)</f>
        <v>1</v>
      </c>
      <c r="C222" s="52" t="str">
        <f>TEXT(Data!F222,"mmm")</f>
        <v>Jan</v>
      </c>
      <c r="D222" s="52" t="str">
        <f>Data!O222</f>
        <v>Unknown</v>
      </c>
      <c r="E222" s="52">
        <f>Data!G222-Data!F222</f>
        <v>4</v>
      </c>
      <c r="F222" s="52">
        <f>IF(Data!J222&lt;=5,Data!J222,IF(Data!J222&lt;=10,"6 TO 10","More than 10"))</f>
        <v>5</v>
      </c>
      <c r="G222" s="52">
        <f t="shared" si="3"/>
        <v>4</v>
      </c>
      <c r="H222" s="52">
        <f>ROUND(Data!C222*Data!D222-Data!E222,2)</f>
        <v>0</v>
      </c>
      <c r="I222" s="52">
        <f>IF(AND(OR(Sel_Mode="All",Data!I222=Sel_Mode),OR(Sel_Gender="All",D222=Sel_Gender),OR(Sel_Category="All",Data!B222=Sel_Category),OR(Sel_Month="All",C222=Sel_Month),OR(Sel_County="All",Data!L222=Sel_County)),1,0)</f>
        <v>1</v>
      </c>
    </row>
    <row r="223" spans="1:9" x14ac:dyDescent="0.25">
      <c r="A223" s="52" t="str">
        <f>Data!A223</f>
        <v>TX500222</v>
      </c>
      <c r="B223" s="52">
        <f>MONTH(Data!F223)</f>
        <v>1</v>
      </c>
      <c r="C223" s="52" t="str">
        <f>TEXT(Data!F223,"mmm")</f>
        <v>Jan</v>
      </c>
      <c r="D223" s="52" t="str">
        <f>Data!O223</f>
        <v>Male</v>
      </c>
      <c r="E223" s="52">
        <f>Data!G223-Data!F223</f>
        <v>2</v>
      </c>
      <c r="F223" s="52">
        <f>IF(Data!J223&lt;=5,Data!J223,IF(Data!J223&lt;=10,"6 TO 10","More than 10"))</f>
        <v>4</v>
      </c>
      <c r="G223" s="52">
        <f t="shared" si="3"/>
        <v>2</v>
      </c>
      <c r="H223" s="52">
        <f>ROUND(Data!C223*Data!D223-Data!E223,2)</f>
        <v>0</v>
      </c>
      <c r="I223" s="52">
        <f>IF(AND(OR(Sel_Mode="All",Data!I223=Sel_Mode),OR(Sel_Gender="All",D223=Sel_Gender),OR(Sel_Category="All",Data!B223=Sel_Category),OR(Sel_Month="All",C223=Sel_Month),OR(Sel_County="All",Data!L223=Sel_County)),1,0)</f>
        <v>1</v>
      </c>
    </row>
    <row r="224" spans="1:9" x14ac:dyDescent="0.25">
      <c r="A224" s="52" t="str">
        <f>Data!A224</f>
        <v>TX500223</v>
      </c>
      <c r="B224" s="52">
        <f>MONTH(Data!F224)</f>
        <v>1</v>
      </c>
      <c r="C224" s="52" t="str">
        <f>TEXT(Data!F224,"mmm")</f>
        <v>Jan</v>
      </c>
      <c r="D224" s="52" t="str">
        <f>Data!O224</f>
        <v>Female</v>
      </c>
      <c r="E224" s="52">
        <f>Data!G224-Data!F224</f>
        <v>1</v>
      </c>
      <c r="F224" s="52">
        <f>IF(Data!J224&lt;=5,Data!J224,IF(Data!J224&lt;=10,"6 TO 10","More than 10"))</f>
        <v>4</v>
      </c>
      <c r="G224" s="52">
        <f t="shared" si="3"/>
        <v>1</v>
      </c>
      <c r="H224" s="52">
        <f>ROUND(Data!C224*Data!D224-Data!E224,2)</f>
        <v>0</v>
      </c>
      <c r="I224" s="52">
        <f>IF(AND(OR(Sel_Mode="All",Data!I224=Sel_Mode),OR(Sel_Gender="All",D224=Sel_Gender),OR(Sel_Category="All",Data!B224=Sel_Category),OR(Sel_Month="All",C224=Sel_Month),OR(Sel_County="All",Data!L224=Sel_County)),1,0)</f>
        <v>1</v>
      </c>
    </row>
    <row r="225" spans="1:9" x14ac:dyDescent="0.25">
      <c r="A225" s="52" t="str">
        <f>Data!A225</f>
        <v>TX500224</v>
      </c>
      <c r="B225" s="52">
        <f>MONTH(Data!F225)</f>
        <v>1</v>
      </c>
      <c r="C225" s="52" t="str">
        <f>TEXT(Data!F225,"mmm")</f>
        <v>Jan</v>
      </c>
      <c r="D225" s="52" t="str">
        <f>Data!O225</f>
        <v>Female</v>
      </c>
      <c r="E225" s="52">
        <f>Data!G225-Data!F225</f>
        <v>4</v>
      </c>
      <c r="F225" s="52">
        <f>IF(Data!J225&lt;=5,Data!J225,IF(Data!J225&lt;=10,"6 TO 10","More than 10"))</f>
        <v>4</v>
      </c>
      <c r="G225" s="52">
        <f t="shared" si="3"/>
        <v>4</v>
      </c>
      <c r="H225" s="52">
        <f>ROUND(Data!C225*Data!D225-Data!E225,2)</f>
        <v>0</v>
      </c>
      <c r="I225" s="52">
        <f>IF(AND(OR(Sel_Mode="All",Data!I225=Sel_Mode),OR(Sel_Gender="All",D225=Sel_Gender),OR(Sel_Category="All",Data!B225=Sel_Category),OR(Sel_Month="All",C225=Sel_Month),OR(Sel_County="All",Data!L225=Sel_County)),1,0)</f>
        <v>1</v>
      </c>
    </row>
    <row r="226" spans="1:9" x14ac:dyDescent="0.25">
      <c r="A226" s="52" t="str">
        <f>Data!A226</f>
        <v>TX500225</v>
      </c>
      <c r="B226" s="52">
        <f>MONTH(Data!F226)</f>
        <v>1</v>
      </c>
      <c r="C226" s="52" t="str">
        <f>TEXT(Data!F226,"mmm")</f>
        <v>Jan</v>
      </c>
      <c r="D226" s="52" t="str">
        <f>Data!O226</f>
        <v>Male</v>
      </c>
      <c r="E226" s="52">
        <f>Data!G226-Data!F226</f>
        <v>5</v>
      </c>
      <c r="F226" s="52">
        <f>IF(Data!J226&lt;=5,Data!J226,IF(Data!J226&lt;=10,"6 TO 10","More than 10"))</f>
        <v>4</v>
      </c>
      <c r="G226" s="52">
        <f t="shared" si="3"/>
        <v>5</v>
      </c>
      <c r="H226" s="52">
        <f>ROUND(Data!C226*Data!D226-Data!E226,2)</f>
        <v>0</v>
      </c>
      <c r="I226" s="52">
        <f>IF(AND(OR(Sel_Mode="All",Data!I226=Sel_Mode),OR(Sel_Gender="All",D226=Sel_Gender),OR(Sel_Category="All",Data!B226=Sel_Category),OR(Sel_Month="All",C226=Sel_Month),OR(Sel_County="All",Data!L226=Sel_County)),1,0)</f>
        <v>1</v>
      </c>
    </row>
    <row r="227" spans="1:9" x14ac:dyDescent="0.25">
      <c r="A227" s="52" t="str">
        <f>Data!A227</f>
        <v>TX500226</v>
      </c>
      <c r="B227" s="52">
        <f>MONTH(Data!F227)</f>
        <v>1</v>
      </c>
      <c r="C227" s="52" t="str">
        <f>TEXT(Data!F227,"mmm")</f>
        <v>Jan</v>
      </c>
      <c r="D227" s="52" t="str">
        <f>Data!O227</f>
        <v>Female</v>
      </c>
      <c r="E227" s="52">
        <f>Data!G227-Data!F227</f>
        <v>0</v>
      </c>
      <c r="F227" s="52">
        <f>IF(Data!J227&lt;=5,Data!J227,IF(Data!J227&lt;=10,"6 TO 10","More than 10"))</f>
        <v>4</v>
      </c>
      <c r="G227" s="52">
        <f t="shared" si="3"/>
        <v>0</v>
      </c>
      <c r="H227" s="52">
        <f>ROUND(Data!C227*Data!D227-Data!E227,2)</f>
        <v>0</v>
      </c>
      <c r="I227" s="52">
        <f>IF(AND(OR(Sel_Mode="All",Data!I227=Sel_Mode),OR(Sel_Gender="All",D227=Sel_Gender),OR(Sel_Category="All",Data!B227=Sel_Category),OR(Sel_Month="All",C227=Sel_Month),OR(Sel_County="All",Data!L227=Sel_County)),1,0)</f>
        <v>1</v>
      </c>
    </row>
    <row r="228" spans="1:9" x14ac:dyDescent="0.25">
      <c r="A228" s="52" t="str">
        <f>Data!A228</f>
        <v>TX500227</v>
      </c>
      <c r="B228" s="52">
        <f>MONTH(Data!F228)</f>
        <v>1</v>
      </c>
      <c r="C228" s="52" t="str">
        <f>TEXT(Data!F228,"mmm")</f>
        <v>Jan</v>
      </c>
      <c r="D228" s="52" t="str">
        <f>Data!O228</f>
        <v>Male</v>
      </c>
      <c r="E228" s="52">
        <f>Data!G228-Data!F228</f>
        <v>5</v>
      </c>
      <c r="F228" s="52">
        <f>IF(Data!J228&lt;=5,Data!J228,IF(Data!J228&lt;=10,"6 TO 10","More than 10"))</f>
        <v>4</v>
      </c>
      <c r="G228" s="52">
        <f t="shared" si="3"/>
        <v>5</v>
      </c>
      <c r="H228" s="52">
        <f>ROUND(Data!C228*Data!D228-Data!E228,2)</f>
        <v>0</v>
      </c>
      <c r="I228" s="52">
        <f>IF(AND(OR(Sel_Mode="All",Data!I228=Sel_Mode),OR(Sel_Gender="All",D228=Sel_Gender),OR(Sel_Category="All",Data!B228=Sel_Category),OR(Sel_Month="All",C228=Sel_Month),OR(Sel_County="All",Data!L228=Sel_County)),1,0)</f>
        <v>1</v>
      </c>
    </row>
    <row r="229" spans="1:9" x14ac:dyDescent="0.25">
      <c r="A229" s="52" t="str">
        <f>Data!A229</f>
        <v>TX500228</v>
      </c>
      <c r="B229" s="52">
        <f>MONTH(Data!F229)</f>
        <v>1</v>
      </c>
      <c r="C229" s="52" t="str">
        <f>TEXT(Data!F229,"mmm")</f>
        <v>Jan</v>
      </c>
      <c r="D229" s="52" t="str">
        <f>Data!O229</f>
        <v>Female</v>
      </c>
      <c r="E229" s="52">
        <f>Data!G229-Data!F229</f>
        <v>5</v>
      </c>
      <c r="F229" s="52">
        <f>IF(Data!J229&lt;=5,Data!J229,IF(Data!J229&lt;=10,"6 TO 10","More than 10"))</f>
        <v>5</v>
      </c>
      <c r="G229" s="52">
        <f t="shared" si="3"/>
        <v>5</v>
      </c>
      <c r="H229" s="52">
        <f>ROUND(Data!C229*Data!D229-Data!E229,2)</f>
        <v>0</v>
      </c>
      <c r="I229" s="52">
        <f>IF(AND(OR(Sel_Mode="All",Data!I229=Sel_Mode),OR(Sel_Gender="All",D229=Sel_Gender),OR(Sel_Category="All",Data!B229=Sel_Category),OR(Sel_Month="All",C229=Sel_Month),OR(Sel_County="All",Data!L229=Sel_County)),1,0)</f>
        <v>1</v>
      </c>
    </row>
    <row r="230" spans="1:9" x14ac:dyDescent="0.25">
      <c r="A230" s="52" t="str">
        <f>Data!A230</f>
        <v>TX500229</v>
      </c>
      <c r="B230" s="52">
        <f>MONTH(Data!F230)</f>
        <v>1</v>
      </c>
      <c r="C230" s="52" t="str">
        <f>TEXT(Data!F230,"mmm")</f>
        <v>Jan</v>
      </c>
      <c r="D230" s="52" t="str">
        <f>Data!O230</f>
        <v>Female</v>
      </c>
      <c r="E230" s="52">
        <f>Data!G230-Data!F230</f>
        <v>5</v>
      </c>
      <c r="F230" s="52">
        <f>IF(Data!J230&lt;=5,Data!J230,IF(Data!J230&lt;=10,"6 TO 10","More than 10"))</f>
        <v>3</v>
      </c>
      <c r="G230" s="52">
        <f t="shared" si="3"/>
        <v>5</v>
      </c>
      <c r="H230" s="52">
        <f>ROUND(Data!C230*Data!D230-Data!E230,2)</f>
        <v>0</v>
      </c>
      <c r="I230" s="52">
        <f>IF(AND(OR(Sel_Mode="All",Data!I230=Sel_Mode),OR(Sel_Gender="All",D230=Sel_Gender),OR(Sel_Category="All",Data!B230=Sel_Category),OR(Sel_Month="All",C230=Sel_Month),OR(Sel_County="All",Data!L230=Sel_County)),1,0)</f>
        <v>1</v>
      </c>
    </row>
    <row r="231" spans="1:9" x14ac:dyDescent="0.25">
      <c r="A231" s="52" t="str">
        <f>Data!A231</f>
        <v>TX500230</v>
      </c>
      <c r="B231" s="52">
        <f>MONTH(Data!F231)</f>
        <v>1</v>
      </c>
      <c r="C231" s="52" t="str">
        <f>TEXT(Data!F231,"mmm")</f>
        <v>Jan</v>
      </c>
      <c r="D231" s="52" t="str">
        <f>Data!O231</f>
        <v>Male</v>
      </c>
      <c r="E231" s="52">
        <f>Data!G231-Data!F231</f>
        <v>1</v>
      </c>
      <c r="F231" s="52">
        <f>IF(Data!J231&lt;=5,Data!J231,IF(Data!J231&lt;=10,"6 TO 10","More than 10"))</f>
        <v>4</v>
      </c>
      <c r="G231" s="52">
        <f t="shared" si="3"/>
        <v>1</v>
      </c>
      <c r="H231" s="52">
        <f>ROUND(Data!C231*Data!D231-Data!E231,2)</f>
        <v>0</v>
      </c>
      <c r="I231" s="52">
        <f>IF(AND(OR(Sel_Mode="All",Data!I231=Sel_Mode),OR(Sel_Gender="All",D231=Sel_Gender),OR(Sel_Category="All",Data!B231=Sel_Category),OR(Sel_Month="All",C231=Sel_Month),OR(Sel_County="All",Data!L231=Sel_County)),1,0)</f>
        <v>1</v>
      </c>
    </row>
    <row r="232" spans="1:9" x14ac:dyDescent="0.25">
      <c r="A232" s="52" t="str">
        <f>Data!A232</f>
        <v>TX500231</v>
      </c>
      <c r="B232" s="52">
        <f>MONTH(Data!F232)</f>
        <v>1</v>
      </c>
      <c r="C232" s="52" t="str">
        <f>TEXT(Data!F232,"mmm")</f>
        <v>Jan</v>
      </c>
      <c r="D232" s="52" t="str">
        <f>Data!O232</f>
        <v>Female</v>
      </c>
      <c r="E232" s="52">
        <f>Data!G232-Data!F232</f>
        <v>4</v>
      </c>
      <c r="F232" s="52">
        <f>IF(Data!J232&lt;=5,Data!J232,IF(Data!J232&lt;=10,"6 TO 10","More than 10"))</f>
        <v>4</v>
      </c>
      <c r="G232" s="52">
        <f t="shared" si="3"/>
        <v>4</v>
      </c>
      <c r="H232" s="52">
        <f>ROUND(Data!C232*Data!D232-Data!E232,2)</f>
        <v>0</v>
      </c>
      <c r="I232" s="52">
        <f>IF(AND(OR(Sel_Mode="All",Data!I232=Sel_Mode),OR(Sel_Gender="All",D232=Sel_Gender),OR(Sel_Category="All",Data!B232=Sel_Category),OR(Sel_Month="All",C232=Sel_Month),OR(Sel_County="All",Data!L232=Sel_County)),1,0)</f>
        <v>1</v>
      </c>
    </row>
    <row r="233" spans="1:9" x14ac:dyDescent="0.25">
      <c r="A233" s="52" t="str">
        <f>Data!A233</f>
        <v>TX500232</v>
      </c>
      <c r="B233" s="52">
        <f>MONTH(Data!F233)</f>
        <v>1</v>
      </c>
      <c r="C233" s="52" t="str">
        <f>TEXT(Data!F233,"mmm")</f>
        <v>Jan</v>
      </c>
      <c r="D233" s="52" t="str">
        <f>Data!O233</f>
        <v>Female</v>
      </c>
      <c r="E233" s="52">
        <f>Data!G233-Data!F233</f>
        <v>1</v>
      </c>
      <c r="F233" s="52">
        <f>IF(Data!J233&lt;=5,Data!J233,IF(Data!J233&lt;=10,"6 TO 10","More than 10"))</f>
        <v>4</v>
      </c>
      <c r="G233" s="52">
        <f t="shared" si="3"/>
        <v>1</v>
      </c>
      <c r="H233" s="52">
        <f>ROUND(Data!C233*Data!D233-Data!E233,2)</f>
        <v>0</v>
      </c>
      <c r="I233" s="52">
        <f>IF(AND(OR(Sel_Mode="All",Data!I233=Sel_Mode),OR(Sel_Gender="All",D233=Sel_Gender),OR(Sel_Category="All",Data!B233=Sel_Category),OR(Sel_Month="All",C233=Sel_Month),OR(Sel_County="All",Data!L233=Sel_County)),1,0)</f>
        <v>1</v>
      </c>
    </row>
    <row r="234" spans="1:9" x14ac:dyDescent="0.25">
      <c r="A234" s="52" t="str">
        <f>Data!A234</f>
        <v>TX500233</v>
      </c>
      <c r="B234" s="52">
        <f>MONTH(Data!F234)</f>
        <v>1</v>
      </c>
      <c r="C234" s="52" t="str">
        <f>TEXT(Data!F234,"mmm")</f>
        <v>Jan</v>
      </c>
      <c r="D234" s="52" t="str">
        <f>Data!O234</f>
        <v>Male</v>
      </c>
      <c r="E234" s="52">
        <f>Data!G234-Data!F234</f>
        <v>0</v>
      </c>
      <c r="F234" s="52">
        <f>IF(Data!J234&lt;=5,Data!J234,IF(Data!J234&lt;=10,"6 TO 10","More than 10"))</f>
        <v>3</v>
      </c>
      <c r="G234" s="52">
        <f t="shared" si="3"/>
        <v>0</v>
      </c>
      <c r="H234" s="52">
        <f>ROUND(Data!C234*Data!D234-Data!E234,2)</f>
        <v>0</v>
      </c>
      <c r="I234" s="52">
        <f>IF(AND(OR(Sel_Mode="All",Data!I234=Sel_Mode),OR(Sel_Gender="All",D234=Sel_Gender),OR(Sel_Category="All",Data!B234=Sel_Category),OR(Sel_Month="All",C234=Sel_Month),OR(Sel_County="All",Data!L234=Sel_County)),1,0)</f>
        <v>1</v>
      </c>
    </row>
    <row r="235" spans="1:9" x14ac:dyDescent="0.25">
      <c r="A235" s="52" t="str">
        <f>Data!A235</f>
        <v>TX500234</v>
      </c>
      <c r="B235" s="52">
        <f>MONTH(Data!F235)</f>
        <v>1</v>
      </c>
      <c r="C235" s="52" t="str">
        <f>TEXT(Data!F235,"mmm")</f>
        <v>Jan</v>
      </c>
      <c r="D235" s="52" t="str">
        <f>Data!O235</f>
        <v>Female</v>
      </c>
      <c r="E235" s="52">
        <f>Data!G235-Data!F235</f>
        <v>3</v>
      </c>
      <c r="F235" s="52">
        <f>IF(Data!J235&lt;=5,Data!J235,IF(Data!J235&lt;=10,"6 TO 10","More than 10"))</f>
        <v>5</v>
      </c>
      <c r="G235" s="52">
        <f t="shared" si="3"/>
        <v>3</v>
      </c>
      <c r="H235" s="52">
        <f>ROUND(Data!C235*Data!D235-Data!E235,2)</f>
        <v>0</v>
      </c>
      <c r="I235" s="52">
        <f>IF(AND(OR(Sel_Mode="All",Data!I235=Sel_Mode),OR(Sel_Gender="All",D235=Sel_Gender),OR(Sel_Category="All",Data!B235=Sel_Category),OR(Sel_Month="All",C235=Sel_Month),OR(Sel_County="All",Data!L235=Sel_County)),1,0)</f>
        <v>1</v>
      </c>
    </row>
    <row r="236" spans="1:9" x14ac:dyDescent="0.25">
      <c r="A236" s="52" t="str">
        <f>Data!A236</f>
        <v>TX500235</v>
      </c>
      <c r="B236" s="52">
        <f>MONTH(Data!F236)</f>
        <v>1</v>
      </c>
      <c r="C236" s="52" t="str">
        <f>TEXT(Data!F236,"mmm")</f>
        <v>Jan</v>
      </c>
      <c r="D236" s="52" t="str">
        <f>Data!O236</f>
        <v>Male</v>
      </c>
      <c r="E236" s="52">
        <f>Data!G236-Data!F236</f>
        <v>1</v>
      </c>
      <c r="F236" s="52">
        <f>IF(Data!J236&lt;=5,Data!J236,IF(Data!J236&lt;=10,"6 TO 10","More than 10"))</f>
        <v>4</v>
      </c>
      <c r="G236" s="52">
        <f t="shared" si="3"/>
        <v>1</v>
      </c>
      <c r="H236" s="52">
        <f>ROUND(Data!C236*Data!D236-Data!E236,2)</f>
        <v>0</v>
      </c>
      <c r="I236" s="52">
        <f>IF(AND(OR(Sel_Mode="All",Data!I236=Sel_Mode),OR(Sel_Gender="All",D236=Sel_Gender),OR(Sel_Category="All",Data!B236=Sel_Category),OR(Sel_Month="All",C236=Sel_Month),OR(Sel_County="All",Data!L236=Sel_County)),1,0)</f>
        <v>1</v>
      </c>
    </row>
    <row r="237" spans="1:9" x14ac:dyDescent="0.25">
      <c r="A237" s="52" t="str">
        <f>Data!A237</f>
        <v>TX500236</v>
      </c>
      <c r="B237" s="52">
        <f>MONTH(Data!F237)</f>
        <v>1</v>
      </c>
      <c r="C237" s="52" t="str">
        <f>TEXT(Data!F237,"mmm")</f>
        <v>Jan</v>
      </c>
      <c r="D237" s="52" t="str">
        <f>Data!O237</f>
        <v>Female</v>
      </c>
      <c r="E237" s="52">
        <f>Data!G237-Data!F237</f>
        <v>0</v>
      </c>
      <c r="F237" s="52">
        <f>IF(Data!J237&lt;=5,Data!J237,IF(Data!J237&lt;=10,"6 TO 10","More than 10"))</f>
        <v>5</v>
      </c>
      <c r="G237" s="52">
        <f t="shared" si="3"/>
        <v>0</v>
      </c>
      <c r="H237" s="52">
        <f>ROUND(Data!C237*Data!D237-Data!E237,2)</f>
        <v>0</v>
      </c>
      <c r="I237" s="52">
        <f>IF(AND(OR(Sel_Mode="All",Data!I237=Sel_Mode),OR(Sel_Gender="All",D237=Sel_Gender),OR(Sel_Category="All",Data!B237=Sel_Category),OR(Sel_Month="All",C237=Sel_Month),OR(Sel_County="All",Data!L237=Sel_County)),1,0)</f>
        <v>1</v>
      </c>
    </row>
    <row r="238" spans="1:9" x14ac:dyDescent="0.25">
      <c r="A238" s="52" t="str">
        <f>Data!A238</f>
        <v>TX500237</v>
      </c>
      <c r="B238" s="52">
        <f>MONTH(Data!F238)</f>
        <v>1</v>
      </c>
      <c r="C238" s="52" t="str">
        <f>TEXT(Data!F238,"mmm")</f>
        <v>Jan</v>
      </c>
      <c r="D238" s="52" t="str">
        <f>Data!O238</f>
        <v>Female</v>
      </c>
      <c r="E238" s="52">
        <f>Data!G238-Data!F238</f>
        <v>2</v>
      </c>
      <c r="F238" s="52">
        <f>IF(Data!J238&lt;=5,Data!J238,IF(Data!J238&lt;=10,"6 TO 10","More than 10"))</f>
        <v>5</v>
      </c>
      <c r="G238" s="52">
        <f t="shared" si="3"/>
        <v>2</v>
      </c>
      <c r="H238" s="52">
        <f>ROUND(Data!C238*Data!D238-Data!E238,2)</f>
        <v>0</v>
      </c>
      <c r="I238" s="52">
        <f>IF(AND(OR(Sel_Mode="All",Data!I238=Sel_Mode),OR(Sel_Gender="All",D238=Sel_Gender),OR(Sel_Category="All",Data!B238=Sel_Category),OR(Sel_Month="All",C238=Sel_Month),OR(Sel_County="All",Data!L238=Sel_County)),1,0)</f>
        <v>1</v>
      </c>
    </row>
    <row r="239" spans="1:9" x14ac:dyDescent="0.25">
      <c r="A239" s="52" t="str">
        <f>Data!A239</f>
        <v>TX500238</v>
      </c>
      <c r="B239" s="52">
        <f>MONTH(Data!F239)</f>
        <v>1</v>
      </c>
      <c r="C239" s="52" t="str">
        <f>TEXT(Data!F239,"mmm")</f>
        <v>Jan</v>
      </c>
      <c r="D239" s="52" t="str">
        <f>Data!O239</f>
        <v>Female</v>
      </c>
      <c r="E239" s="52">
        <f>Data!G239-Data!F239</f>
        <v>1</v>
      </c>
      <c r="F239" s="52">
        <f>IF(Data!J239&lt;=5,Data!J239,IF(Data!J239&lt;=10,"6 TO 10","More than 10"))</f>
        <v>4</v>
      </c>
      <c r="G239" s="52">
        <f t="shared" si="3"/>
        <v>1</v>
      </c>
      <c r="H239" s="52">
        <f>ROUND(Data!C239*Data!D239-Data!E239,2)</f>
        <v>0</v>
      </c>
      <c r="I239" s="52">
        <f>IF(AND(OR(Sel_Mode="All",Data!I239=Sel_Mode),OR(Sel_Gender="All",D239=Sel_Gender),OR(Sel_Category="All",Data!B239=Sel_Category),OR(Sel_Month="All",C239=Sel_Month),OR(Sel_County="All",Data!L239=Sel_County)),1,0)</f>
        <v>1</v>
      </c>
    </row>
    <row r="240" spans="1:9" x14ac:dyDescent="0.25">
      <c r="A240" s="52" t="str">
        <f>Data!A240</f>
        <v>TX500239</v>
      </c>
      <c r="B240" s="52">
        <f>MONTH(Data!F240)</f>
        <v>1</v>
      </c>
      <c r="C240" s="52" t="str">
        <f>TEXT(Data!F240,"mmm")</f>
        <v>Jan</v>
      </c>
      <c r="D240" s="52" t="str">
        <f>Data!O240</f>
        <v>Male</v>
      </c>
      <c r="E240" s="52">
        <f>Data!G240-Data!F240</f>
        <v>4</v>
      </c>
      <c r="F240" s="52">
        <f>IF(Data!J240&lt;=5,Data!J240,IF(Data!J240&lt;=10,"6 TO 10","More than 10"))</f>
        <v>3</v>
      </c>
      <c r="G240" s="52">
        <f t="shared" si="3"/>
        <v>4</v>
      </c>
      <c r="H240" s="52">
        <f>ROUND(Data!C240*Data!D240-Data!E240,2)</f>
        <v>0</v>
      </c>
      <c r="I240" s="52">
        <f>IF(AND(OR(Sel_Mode="All",Data!I240=Sel_Mode),OR(Sel_Gender="All",D240=Sel_Gender),OR(Sel_Category="All",Data!B240=Sel_Category),OR(Sel_Month="All",C240=Sel_Month),OR(Sel_County="All",Data!L240=Sel_County)),1,0)</f>
        <v>1</v>
      </c>
    </row>
    <row r="241" spans="1:9" x14ac:dyDescent="0.25">
      <c r="A241" s="52" t="str">
        <f>Data!A241</f>
        <v>TX500240</v>
      </c>
      <c r="B241" s="52">
        <f>MONTH(Data!F241)</f>
        <v>1</v>
      </c>
      <c r="C241" s="52" t="str">
        <f>TEXT(Data!F241,"mmm")</f>
        <v>Jan</v>
      </c>
      <c r="D241" s="52" t="str">
        <f>Data!O241</f>
        <v>Female</v>
      </c>
      <c r="E241" s="52">
        <f>Data!G241-Data!F241</f>
        <v>2</v>
      </c>
      <c r="F241" s="52">
        <f>IF(Data!J241&lt;=5,Data!J241,IF(Data!J241&lt;=10,"6 TO 10","More than 10"))</f>
        <v>4</v>
      </c>
      <c r="G241" s="52">
        <f t="shared" si="3"/>
        <v>2</v>
      </c>
      <c r="H241" s="52">
        <f>ROUND(Data!C241*Data!D241-Data!E241,2)</f>
        <v>0</v>
      </c>
      <c r="I241" s="52">
        <f>IF(AND(OR(Sel_Mode="All",Data!I241=Sel_Mode),OR(Sel_Gender="All",D241=Sel_Gender),OR(Sel_Category="All",Data!B241=Sel_Category),OR(Sel_Month="All",C241=Sel_Month),OR(Sel_County="All",Data!L241=Sel_County)),1,0)</f>
        <v>1</v>
      </c>
    </row>
    <row r="242" spans="1:9" x14ac:dyDescent="0.25">
      <c r="A242" s="52" t="str">
        <f>Data!A242</f>
        <v>TX500241</v>
      </c>
      <c r="B242" s="52">
        <f>MONTH(Data!F242)</f>
        <v>1</v>
      </c>
      <c r="C242" s="52" t="str">
        <f>TEXT(Data!F242,"mmm")</f>
        <v>Jan</v>
      </c>
      <c r="D242" s="52" t="str">
        <f>Data!O242</f>
        <v>Female</v>
      </c>
      <c r="E242" s="52">
        <f>Data!G242-Data!F242</f>
        <v>3</v>
      </c>
      <c r="F242" s="52">
        <f>IF(Data!J242&lt;=5,Data!J242,IF(Data!J242&lt;=10,"6 TO 10","More than 10"))</f>
        <v>5</v>
      </c>
      <c r="G242" s="52">
        <f t="shared" si="3"/>
        <v>3</v>
      </c>
      <c r="H242" s="52">
        <f>ROUND(Data!C242*Data!D242-Data!E242,2)</f>
        <v>0</v>
      </c>
      <c r="I242" s="52">
        <f>IF(AND(OR(Sel_Mode="All",Data!I242=Sel_Mode),OR(Sel_Gender="All",D242=Sel_Gender),OR(Sel_Category="All",Data!B242=Sel_Category),OR(Sel_Month="All",C242=Sel_Month),OR(Sel_County="All",Data!L242=Sel_County)),1,0)</f>
        <v>1</v>
      </c>
    </row>
    <row r="243" spans="1:9" x14ac:dyDescent="0.25">
      <c r="A243" s="52" t="str">
        <f>Data!A243</f>
        <v>TX500242</v>
      </c>
      <c r="B243" s="52">
        <f>MONTH(Data!F243)</f>
        <v>1</v>
      </c>
      <c r="C243" s="52" t="str">
        <f>TEXT(Data!F243,"mmm")</f>
        <v>Jan</v>
      </c>
      <c r="D243" s="52" t="str">
        <f>Data!O243</f>
        <v>Male</v>
      </c>
      <c r="E243" s="52">
        <f>Data!G243-Data!F243</f>
        <v>0</v>
      </c>
      <c r="F243" s="52">
        <f>IF(Data!J243&lt;=5,Data!J243,IF(Data!J243&lt;=10,"6 TO 10","More than 10"))</f>
        <v>5</v>
      </c>
      <c r="G243" s="52">
        <f t="shared" si="3"/>
        <v>0</v>
      </c>
      <c r="H243" s="52">
        <f>ROUND(Data!C243*Data!D243-Data!E243,2)</f>
        <v>0</v>
      </c>
      <c r="I243" s="52">
        <f>IF(AND(OR(Sel_Mode="All",Data!I243=Sel_Mode),OR(Sel_Gender="All",D243=Sel_Gender),OR(Sel_Category="All",Data!B243=Sel_Category),OR(Sel_Month="All",C243=Sel_Month),OR(Sel_County="All",Data!L243=Sel_County)),1,0)</f>
        <v>1</v>
      </c>
    </row>
    <row r="244" spans="1:9" x14ac:dyDescent="0.25">
      <c r="A244" s="52" t="str">
        <f>Data!A244</f>
        <v>TX500243</v>
      </c>
      <c r="B244" s="52">
        <f>MONTH(Data!F244)</f>
        <v>1</v>
      </c>
      <c r="C244" s="52" t="str">
        <f>TEXT(Data!F244,"mmm")</f>
        <v>Jan</v>
      </c>
      <c r="D244" s="52" t="str">
        <f>Data!O244</f>
        <v>Male</v>
      </c>
      <c r="E244" s="52">
        <f>Data!G244-Data!F244</f>
        <v>2</v>
      </c>
      <c r="F244" s="52">
        <f>IF(Data!J244&lt;=5,Data!J244,IF(Data!J244&lt;=10,"6 TO 10","More than 10"))</f>
        <v>4</v>
      </c>
      <c r="G244" s="52">
        <f t="shared" si="3"/>
        <v>2</v>
      </c>
      <c r="H244" s="52">
        <f>ROUND(Data!C244*Data!D244-Data!E244,2)</f>
        <v>0</v>
      </c>
      <c r="I244" s="52">
        <f>IF(AND(OR(Sel_Mode="All",Data!I244=Sel_Mode),OR(Sel_Gender="All",D244=Sel_Gender),OR(Sel_Category="All",Data!B244=Sel_Category),OR(Sel_Month="All",C244=Sel_Month),OR(Sel_County="All",Data!L244=Sel_County)),1,0)</f>
        <v>1</v>
      </c>
    </row>
    <row r="245" spans="1:9" x14ac:dyDescent="0.25">
      <c r="A245" s="52" t="str">
        <f>Data!A245</f>
        <v>TX500244</v>
      </c>
      <c r="B245" s="52">
        <f>MONTH(Data!F245)</f>
        <v>1</v>
      </c>
      <c r="C245" s="52" t="str">
        <f>TEXT(Data!F245,"mmm")</f>
        <v>Jan</v>
      </c>
      <c r="D245" s="52" t="str">
        <f>Data!O245</f>
        <v>Male</v>
      </c>
      <c r="E245" s="52">
        <f>Data!G245-Data!F245</f>
        <v>3</v>
      </c>
      <c r="F245" s="52">
        <f>IF(Data!J245&lt;=5,Data!J245,IF(Data!J245&lt;=10,"6 TO 10","More than 10"))</f>
        <v>3</v>
      </c>
      <c r="G245" s="52">
        <f t="shared" si="3"/>
        <v>3</v>
      </c>
      <c r="H245" s="52">
        <f>ROUND(Data!C245*Data!D245-Data!E245,2)</f>
        <v>0</v>
      </c>
      <c r="I245" s="52">
        <f>IF(AND(OR(Sel_Mode="All",Data!I245=Sel_Mode),OR(Sel_Gender="All",D245=Sel_Gender),OR(Sel_Category="All",Data!B245=Sel_Category),OR(Sel_Month="All",C245=Sel_Month),OR(Sel_County="All",Data!L245=Sel_County)),1,0)</f>
        <v>1</v>
      </c>
    </row>
    <row r="246" spans="1:9" x14ac:dyDescent="0.25">
      <c r="A246" s="52" t="str">
        <f>Data!A246</f>
        <v>TX500245</v>
      </c>
      <c r="B246" s="52">
        <f>MONTH(Data!F246)</f>
        <v>1</v>
      </c>
      <c r="C246" s="52" t="str">
        <f>TEXT(Data!F246,"mmm")</f>
        <v>Jan</v>
      </c>
      <c r="D246" s="52" t="str">
        <f>Data!O246</f>
        <v>Female</v>
      </c>
      <c r="E246" s="52">
        <f>Data!G246-Data!F246</f>
        <v>4</v>
      </c>
      <c r="F246" s="52">
        <f>IF(Data!J246&lt;=5,Data!J246,IF(Data!J246&lt;=10,"6 TO 10","More than 10"))</f>
        <v>5</v>
      </c>
      <c r="G246" s="52">
        <f t="shared" si="3"/>
        <v>4</v>
      </c>
      <c r="H246" s="52">
        <f>ROUND(Data!C246*Data!D246-Data!E246,2)</f>
        <v>0</v>
      </c>
      <c r="I246" s="52">
        <f>IF(AND(OR(Sel_Mode="All",Data!I246=Sel_Mode),OR(Sel_Gender="All",D246=Sel_Gender),OR(Sel_Category="All",Data!B246=Sel_Category),OR(Sel_Month="All",C246=Sel_Month),OR(Sel_County="All",Data!L246=Sel_County)),1,0)</f>
        <v>1</v>
      </c>
    </row>
    <row r="247" spans="1:9" x14ac:dyDescent="0.25">
      <c r="A247" s="52" t="str">
        <f>Data!A247</f>
        <v>TX500246</v>
      </c>
      <c r="B247" s="52">
        <f>MONTH(Data!F247)</f>
        <v>1</v>
      </c>
      <c r="C247" s="52" t="str">
        <f>TEXT(Data!F247,"mmm")</f>
        <v>Jan</v>
      </c>
      <c r="D247" s="52" t="str">
        <f>Data!O247</f>
        <v>Male</v>
      </c>
      <c r="E247" s="52">
        <f>Data!G247-Data!F247</f>
        <v>1</v>
      </c>
      <c r="F247" s="52">
        <f>IF(Data!J247&lt;=5,Data!J247,IF(Data!J247&lt;=10,"6 TO 10","More than 10"))</f>
        <v>3</v>
      </c>
      <c r="G247" s="52">
        <f t="shared" si="3"/>
        <v>1</v>
      </c>
      <c r="H247" s="52">
        <f>ROUND(Data!C247*Data!D247-Data!E247,2)</f>
        <v>0</v>
      </c>
      <c r="I247" s="52">
        <f>IF(AND(OR(Sel_Mode="All",Data!I247=Sel_Mode),OR(Sel_Gender="All",D247=Sel_Gender),OR(Sel_Category="All",Data!B247=Sel_Category),OR(Sel_Month="All",C247=Sel_Month),OR(Sel_County="All",Data!L247=Sel_County)),1,0)</f>
        <v>1</v>
      </c>
    </row>
    <row r="248" spans="1:9" x14ac:dyDescent="0.25">
      <c r="A248" s="52" t="str">
        <f>Data!A248</f>
        <v>TX500247</v>
      </c>
      <c r="B248" s="52">
        <f>MONTH(Data!F248)</f>
        <v>1</v>
      </c>
      <c r="C248" s="52" t="str">
        <f>TEXT(Data!F248,"mmm")</f>
        <v>Jan</v>
      </c>
      <c r="D248" s="52" t="str">
        <f>Data!O248</f>
        <v>Male</v>
      </c>
      <c r="E248" s="52">
        <f>Data!G248-Data!F248</f>
        <v>3</v>
      </c>
      <c r="F248" s="52">
        <f>IF(Data!J248&lt;=5,Data!J248,IF(Data!J248&lt;=10,"6 TO 10","More than 10"))</f>
        <v>4</v>
      </c>
      <c r="G248" s="52">
        <f t="shared" si="3"/>
        <v>3</v>
      </c>
      <c r="H248" s="52">
        <f>ROUND(Data!C248*Data!D248-Data!E248,2)</f>
        <v>0</v>
      </c>
      <c r="I248" s="52">
        <f>IF(AND(OR(Sel_Mode="All",Data!I248=Sel_Mode),OR(Sel_Gender="All",D248=Sel_Gender),OR(Sel_Category="All",Data!B248=Sel_Category),OR(Sel_Month="All",C248=Sel_Month),OR(Sel_County="All",Data!L248=Sel_County)),1,0)</f>
        <v>1</v>
      </c>
    </row>
    <row r="249" spans="1:9" x14ac:dyDescent="0.25">
      <c r="A249" s="52" t="str">
        <f>Data!A249</f>
        <v>TX500248</v>
      </c>
      <c r="B249" s="52">
        <f>MONTH(Data!F249)</f>
        <v>1</v>
      </c>
      <c r="C249" s="52" t="str">
        <f>TEXT(Data!F249,"mmm")</f>
        <v>Jan</v>
      </c>
      <c r="D249" s="52" t="str">
        <f>Data!O249</f>
        <v>Male</v>
      </c>
      <c r="E249" s="52">
        <f>Data!G249-Data!F249</f>
        <v>1</v>
      </c>
      <c r="F249" s="52">
        <f>IF(Data!J249&lt;=5,Data!J249,IF(Data!J249&lt;=10,"6 TO 10","More than 10"))</f>
        <v>4</v>
      </c>
      <c r="G249" s="52">
        <f t="shared" si="3"/>
        <v>1</v>
      </c>
      <c r="H249" s="52">
        <f>ROUND(Data!C249*Data!D249-Data!E249,2)</f>
        <v>0</v>
      </c>
      <c r="I249" s="52">
        <f>IF(AND(OR(Sel_Mode="All",Data!I249=Sel_Mode),OR(Sel_Gender="All",D249=Sel_Gender),OR(Sel_Category="All",Data!B249=Sel_Category),OR(Sel_Month="All",C249=Sel_Month),OR(Sel_County="All",Data!L249=Sel_County)),1,0)</f>
        <v>1</v>
      </c>
    </row>
    <row r="250" spans="1:9" x14ac:dyDescent="0.25">
      <c r="A250" s="52" t="str">
        <f>Data!A250</f>
        <v>TX500249</v>
      </c>
      <c r="B250" s="52">
        <f>MONTH(Data!F250)</f>
        <v>1</v>
      </c>
      <c r="C250" s="52" t="str">
        <f>TEXT(Data!F250,"mmm")</f>
        <v>Jan</v>
      </c>
      <c r="D250" s="52" t="str">
        <f>Data!O250</f>
        <v>Female</v>
      </c>
      <c r="E250" s="52">
        <f>Data!G250-Data!F250</f>
        <v>1</v>
      </c>
      <c r="F250" s="52">
        <f>IF(Data!J250&lt;=5,Data!J250,IF(Data!J250&lt;=10,"6 TO 10","More than 10"))</f>
        <v>4</v>
      </c>
      <c r="G250" s="52">
        <f t="shared" si="3"/>
        <v>1</v>
      </c>
      <c r="H250" s="52">
        <f>ROUND(Data!C250*Data!D250-Data!E250,2)</f>
        <v>0</v>
      </c>
      <c r="I250" s="52">
        <f>IF(AND(OR(Sel_Mode="All",Data!I250=Sel_Mode),OR(Sel_Gender="All",D250=Sel_Gender),OR(Sel_Category="All",Data!B250=Sel_Category),OR(Sel_Month="All",C250=Sel_Month),OR(Sel_County="All",Data!L250=Sel_County)),1,0)</f>
        <v>1</v>
      </c>
    </row>
    <row r="251" spans="1:9" x14ac:dyDescent="0.25">
      <c r="A251" s="52" t="str">
        <f>Data!A251</f>
        <v>TX500250</v>
      </c>
      <c r="B251" s="52">
        <f>MONTH(Data!F251)</f>
        <v>1</v>
      </c>
      <c r="C251" s="52" t="str">
        <f>TEXT(Data!F251,"mmm")</f>
        <v>Jan</v>
      </c>
      <c r="D251" s="52" t="str">
        <f>Data!O251</f>
        <v>Female</v>
      </c>
      <c r="E251" s="52">
        <f>Data!G251-Data!F251</f>
        <v>14</v>
      </c>
      <c r="F251" s="52">
        <f>IF(Data!J251&lt;=5,Data!J251,IF(Data!J251&lt;=10,"6 TO 10","More than 10"))</f>
        <v>4</v>
      </c>
      <c r="G251" s="52" t="str">
        <f t="shared" si="3"/>
        <v>8+</v>
      </c>
      <c r="H251" s="52">
        <f>ROUND(Data!C251*Data!D251-Data!E251,2)</f>
        <v>0</v>
      </c>
      <c r="I251" s="52">
        <f>IF(AND(OR(Sel_Mode="All",Data!I251=Sel_Mode),OR(Sel_Gender="All",D251=Sel_Gender),OR(Sel_Category="All",Data!B251=Sel_Category),OR(Sel_Month="All",C251=Sel_Month),OR(Sel_County="All",Data!L251=Sel_County)),1,0)</f>
        <v>1</v>
      </c>
    </row>
    <row r="252" spans="1:9" x14ac:dyDescent="0.25">
      <c r="A252" s="52" t="str">
        <f>Data!A252</f>
        <v>TX500251</v>
      </c>
      <c r="B252" s="52">
        <f>MONTH(Data!F252)</f>
        <v>1</v>
      </c>
      <c r="C252" s="52" t="str">
        <f>TEXT(Data!F252,"mmm")</f>
        <v>Jan</v>
      </c>
      <c r="D252" s="52" t="str">
        <f>Data!O252</f>
        <v>Male</v>
      </c>
      <c r="E252" s="52">
        <f>Data!G252-Data!F252</f>
        <v>2</v>
      </c>
      <c r="F252" s="52">
        <f>IF(Data!J252&lt;=5,Data!J252,IF(Data!J252&lt;=10,"6 TO 10","More than 10"))</f>
        <v>3</v>
      </c>
      <c r="G252" s="52">
        <f t="shared" si="3"/>
        <v>2</v>
      </c>
      <c r="H252" s="52">
        <f>ROUND(Data!C252*Data!D252-Data!E252,2)</f>
        <v>0</v>
      </c>
      <c r="I252" s="52">
        <f>IF(AND(OR(Sel_Mode="All",Data!I252=Sel_Mode),OR(Sel_Gender="All",D252=Sel_Gender),OR(Sel_Category="All",Data!B252=Sel_Category),OR(Sel_Month="All",C252=Sel_Month),OR(Sel_County="All",Data!L252=Sel_County)),1,0)</f>
        <v>1</v>
      </c>
    </row>
    <row r="253" spans="1:9" x14ac:dyDescent="0.25">
      <c r="A253" s="52" t="str">
        <f>Data!A253</f>
        <v>TX500252</v>
      </c>
      <c r="B253" s="52">
        <f>MONTH(Data!F253)</f>
        <v>1</v>
      </c>
      <c r="C253" s="52" t="str">
        <f>TEXT(Data!F253,"mmm")</f>
        <v>Jan</v>
      </c>
      <c r="D253" s="52" t="str">
        <f>Data!O253</f>
        <v>Male</v>
      </c>
      <c r="E253" s="52">
        <f>Data!G253-Data!F253</f>
        <v>4</v>
      </c>
      <c r="F253" s="52">
        <f>IF(Data!J253&lt;=5,Data!J253,IF(Data!J253&lt;=10,"6 TO 10","More than 10"))</f>
        <v>5</v>
      </c>
      <c r="G253" s="52">
        <f t="shared" si="3"/>
        <v>4</v>
      </c>
      <c r="H253" s="52">
        <f>ROUND(Data!C253*Data!D253-Data!E253,2)</f>
        <v>0</v>
      </c>
      <c r="I253" s="52">
        <f>IF(AND(OR(Sel_Mode="All",Data!I253=Sel_Mode),OR(Sel_Gender="All",D253=Sel_Gender),OR(Sel_Category="All",Data!B253=Sel_Category),OR(Sel_Month="All",C253=Sel_Month),OR(Sel_County="All",Data!L253=Sel_County)),1,0)</f>
        <v>1</v>
      </c>
    </row>
    <row r="254" spans="1:9" x14ac:dyDescent="0.25">
      <c r="A254" s="52" t="str">
        <f>Data!A254</f>
        <v>TX500253</v>
      </c>
      <c r="B254" s="52">
        <f>MONTH(Data!F254)</f>
        <v>1</v>
      </c>
      <c r="C254" s="52" t="str">
        <f>TEXT(Data!F254,"mmm")</f>
        <v>Jan</v>
      </c>
      <c r="D254" s="52" t="str">
        <f>Data!O254</f>
        <v>Other</v>
      </c>
      <c r="E254" s="52">
        <f>Data!G254-Data!F254</f>
        <v>1</v>
      </c>
      <c r="F254" s="52">
        <f>IF(Data!J254&lt;=5,Data!J254,IF(Data!J254&lt;=10,"6 TO 10","More than 10"))</f>
        <v>4</v>
      </c>
      <c r="G254" s="52">
        <f t="shared" si="3"/>
        <v>1</v>
      </c>
      <c r="H254" s="52">
        <f>ROUND(Data!C254*Data!D254-Data!E254,2)</f>
        <v>0</v>
      </c>
      <c r="I254" s="52">
        <f>IF(AND(OR(Sel_Mode="All",Data!I254=Sel_Mode),OR(Sel_Gender="All",D254=Sel_Gender),OR(Sel_Category="All",Data!B254=Sel_Category),OR(Sel_Month="All",C254=Sel_Month),OR(Sel_County="All",Data!L254=Sel_County)),1,0)</f>
        <v>1</v>
      </c>
    </row>
    <row r="255" spans="1:9" x14ac:dyDescent="0.25">
      <c r="A255" s="52" t="str">
        <f>Data!A255</f>
        <v>TX500254</v>
      </c>
      <c r="B255" s="52">
        <f>MONTH(Data!F255)</f>
        <v>1</v>
      </c>
      <c r="C255" s="52" t="str">
        <f>TEXT(Data!F255,"mmm")</f>
        <v>Jan</v>
      </c>
      <c r="D255" s="52" t="str">
        <f>Data!O255</f>
        <v>Male</v>
      </c>
      <c r="E255" s="52">
        <f>Data!G255-Data!F255</f>
        <v>1</v>
      </c>
      <c r="F255" s="52">
        <f>IF(Data!J255&lt;=5,Data!J255,IF(Data!J255&lt;=10,"6 TO 10","More than 10"))</f>
        <v>3</v>
      </c>
      <c r="G255" s="52">
        <f t="shared" si="3"/>
        <v>1</v>
      </c>
      <c r="H255" s="52">
        <f>ROUND(Data!C255*Data!D255-Data!E255,2)</f>
        <v>0</v>
      </c>
      <c r="I255" s="52">
        <f>IF(AND(OR(Sel_Mode="All",Data!I255=Sel_Mode),OR(Sel_Gender="All",D255=Sel_Gender),OR(Sel_Category="All",Data!B255=Sel_Category),OR(Sel_Month="All",C255=Sel_Month),OR(Sel_County="All",Data!L255=Sel_County)),1,0)</f>
        <v>1</v>
      </c>
    </row>
    <row r="256" spans="1:9" x14ac:dyDescent="0.25">
      <c r="A256" s="52" t="str">
        <f>Data!A256</f>
        <v>TX500255</v>
      </c>
      <c r="B256" s="52">
        <f>MONTH(Data!F256)</f>
        <v>1</v>
      </c>
      <c r="C256" s="52" t="str">
        <f>TEXT(Data!F256,"mmm")</f>
        <v>Jan</v>
      </c>
      <c r="D256" s="52" t="str">
        <f>Data!O256</f>
        <v>Male</v>
      </c>
      <c r="E256" s="52">
        <f>Data!G256-Data!F256</f>
        <v>8</v>
      </c>
      <c r="F256" s="52">
        <f>IF(Data!J256&lt;=5,Data!J256,IF(Data!J256&lt;=10,"6 TO 10","More than 10"))</f>
        <v>4</v>
      </c>
      <c r="G256" s="52" t="str">
        <f t="shared" si="3"/>
        <v>8+</v>
      </c>
      <c r="H256" s="52">
        <f>ROUND(Data!C256*Data!D256-Data!E256,2)</f>
        <v>0</v>
      </c>
      <c r="I256" s="52">
        <f>IF(AND(OR(Sel_Mode="All",Data!I256=Sel_Mode),OR(Sel_Gender="All",D256=Sel_Gender),OR(Sel_Category="All",Data!B256=Sel_Category),OR(Sel_Month="All",C256=Sel_Month),OR(Sel_County="All",Data!L256=Sel_County)),1,0)</f>
        <v>1</v>
      </c>
    </row>
    <row r="257" spans="1:9" x14ac:dyDescent="0.25">
      <c r="A257" s="52" t="str">
        <f>Data!A257</f>
        <v>TX500256</v>
      </c>
      <c r="B257" s="52">
        <f>MONTH(Data!F257)</f>
        <v>1</v>
      </c>
      <c r="C257" s="52" t="str">
        <f>TEXT(Data!F257,"mmm")</f>
        <v>Jan</v>
      </c>
      <c r="D257" s="52" t="str">
        <f>Data!O257</f>
        <v>Female</v>
      </c>
      <c r="E257" s="52">
        <f>Data!G257-Data!F257</f>
        <v>2</v>
      </c>
      <c r="F257" s="52">
        <f>IF(Data!J257&lt;=5,Data!J257,IF(Data!J257&lt;=10,"6 TO 10","More than 10"))</f>
        <v>4</v>
      </c>
      <c r="G257" s="52">
        <f t="shared" si="3"/>
        <v>2</v>
      </c>
      <c r="H257" s="52">
        <f>ROUND(Data!C257*Data!D257-Data!E257,2)</f>
        <v>0</v>
      </c>
      <c r="I257" s="52">
        <f>IF(AND(OR(Sel_Mode="All",Data!I257=Sel_Mode),OR(Sel_Gender="All",D257=Sel_Gender),OR(Sel_Category="All",Data!B257=Sel_Category),OR(Sel_Month="All",C257=Sel_Month),OR(Sel_County="All",Data!L257=Sel_County)),1,0)</f>
        <v>1</v>
      </c>
    </row>
    <row r="258" spans="1:9" x14ac:dyDescent="0.25">
      <c r="A258" s="52" t="str">
        <f>Data!A258</f>
        <v>TX500257</v>
      </c>
      <c r="B258" s="52">
        <f>MONTH(Data!F258)</f>
        <v>1</v>
      </c>
      <c r="C258" s="52" t="str">
        <f>TEXT(Data!F258,"mmm")</f>
        <v>Jan</v>
      </c>
      <c r="D258" s="52" t="str">
        <f>Data!O258</f>
        <v>Male</v>
      </c>
      <c r="E258" s="52">
        <f>Data!G258-Data!F258</f>
        <v>1</v>
      </c>
      <c r="F258" s="52">
        <f>IF(Data!J258&lt;=5,Data!J258,IF(Data!J258&lt;=10,"6 TO 10","More than 10"))</f>
        <v>3</v>
      </c>
      <c r="G258" s="52">
        <f t="shared" ref="G258:G321" si="4">IF(E258&gt;=8,"8+",E258)</f>
        <v>1</v>
      </c>
      <c r="H258" s="52">
        <f>ROUND(Data!C258*Data!D258-Data!E258,2)</f>
        <v>0</v>
      </c>
      <c r="I258" s="52">
        <f>IF(AND(OR(Sel_Mode="All",Data!I258=Sel_Mode),OR(Sel_Gender="All",D258=Sel_Gender),OR(Sel_Category="All",Data!B258=Sel_Category),OR(Sel_Month="All",C258=Sel_Month),OR(Sel_County="All",Data!L258=Sel_County)),1,0)</f>
        <v>1</v>
      </c>
    </row>
    <row r="259" spans="1:9" x14ac:dyDescent="0.25">
      <c r="A259" s="52" t="str">
        <f>Data!A259</f>
        <v>TX500258</v>
      </c>
      <c r="B259" s="52">
        <f>MONTH(Data!F259)</f>
        <v>1</v>
      </c>
      <c r="C259" s="52" t="str">
        <f>TEXT(Data!F259,"mmm")</f>
        <v>Jan</v>
      </c>
      <c r="D259" s="52" t="str">
        <f>Data!O259</f>
        <v>Male</v>
      </c>
      <c r="E259" s="52">
        <f>Data!G259-Data!F259</f>
        <v>5</v>
      </c>
      <c r="F259" s="52">
        <f>IF(Data!J259&lt;=5,Data!J259,IF(Data!J259&lt;=10,"6 TO 10","More than 10"))</f>
        <v>5</v>
      </c>
      <c r="G259" s="52">
        <f t="shared" si="4"/>
        <v>5</v>
      </c>
      <c r="H259" s="52">
        <f>ROUND(Data!C259*Data!D259-Data!E259,2)</f>
        <v>0</v>
      </c>
      <c r="I259" s="52">
        <f>IF(AND(OR(Sel_Mode="All",Data!I259=Sel_Mode),OR(Sel_Gender="All",D259=Sel_Gender),OR(Sel_Category="All",Data!B259=Sel_Category),OR(Sel_Month="All",C259=Sel_Month),OR(Sel_County="All",Data!L259=Sel_County)),1,0)</f>
        <v>1</v>
      </c>
    </row>
    <row r="260" spans="1:9" x14ac:dyDescent="0.25">
      <c r="A260" s="52" t="str">
        <f>Data!A260</f>
        <v>TX500259</v>
      </c>
      <c r="B260" s="52">
        <f>MONTH(Data!F260)</f>
        <v>1</v>
      </c>
      <c r="C260" s="52" t="str">
        <f>TEXT(Data!F260,"mmm")</f>
        <v>Jan</v>
      </c>
      <c r="D260" s="52" t="str">
        <f>Data!O260</f>
        <v>Female</v>
      </c>
      <c r="E260" s="52">
        <f>Data!G260-Data!F260</f>
        <v>1</v>
      </c>
      <c r="F260" s="52">
        <f>IF(Data!J260&lt;=5,Data!J260,IF(Data!J260&lt;=10,"6 TO 10","More than 10"))</f>
        <v>5</v>
      </c>
      <c r="G260" s="52">
        <f t="shared" si="4"/>
        <v>1</v>
      </c>
      <c r="H260" s="52">
        <f>ROUND(Data!C260*Data!D260-Data!E260,2)</f>
        <v>0</v>
      </c>
      <c r="I260" s="52">
        <f>IF(AND(OR(Sel_Mode="All",Data!I260=Sel_Mode),OR(Sel_Gender="All",D260=Sel_Gender),OR(Sel_Category="All",Data!B260=Sel_Category),OR(Sel_Month="All",C260=Sel_Month),OR(Sel_County="All",Data!L260=Sel_County)),1,0)</f>
        <v>1</v>
      </c>
    </row>
    <row r="261" spans="1:9" x14ac:dyDescent="0.25">
      <c r="A261" s="52" t="str">
        <f>Data!A261</f>
        <v>TX500260</v>
      </c>
      <c r="B261" s="52">
        <f>MONTH(Data!F261)</f>
        <v>1</v>
      </c>
      <c r="C261" s="52" t="str">
        <f>TEXT(Data!F261,"mmm")</f>
        <v>Jan</v>
      </c>
      <c r="D261" s="52" t="str">
        <f>Data!O261</f>
        <v>Female</v>
      </c>
      <c r="E261" s="52">
        <f>Data!G261-Data!F261</f>
        <v>3</v>
      </c>
      <c r="F261" s="52">
        <f>IF(Data!J261&lt;=5,Data!J261,IF(Data!J261&lt;=10,"6 TO 10","More than 10"))</f>
        <v>5</v>
      </c>
      <c r="G261" s="52">
        <f t="shared" si="4"/>
        <v>3</v>
      </c>
      <c r="H261" s="52">
        <f>ROUND(Data!C261*Data!D261-Data!E261,2)</f>
        <v>0</v>
      </c>
      <c r="I261" s="52">
        <f>IF(AND(OR(Sel_Mode="All",Data!I261=Sel_Mode),OR(Sel_Gender="All",D261=Sel_Gender),OR(Sel_Category="All",Data!B261=Sel_Category),OR(Sel_Month="All",C261=Sel_Month),OR(Sel_County="All",Data!L261=Sel_County)),1,0)</f>
        <v>1</v>
      </c>
    </row>
    <row r="262" spans="1:9" x14ac:dyDescent="0.25">
      <c r="A262" s="52" t="str">
        <f>Data!A262</f>
        <v>TX500261</v>
      </c>
      <c r="B262" s="52">
        <f>MONTH(Data!F262)</f>
        <v>1</v>
      </c>
      <c r="C262" s="52" t="str">
        <f>TEXT(Data!F262,"mmm")</f>
        <v>Jan</v>
      </c>
      <c r="D262" s="52" t="str">
        <f>Data!O262</f>
        <v>Male</v>
      </c>
      <c r="E262" s="52">
        <f>Data!G262-Data!F262</f>
        <v>3</v>
      </c>
      <c r="F262" s="52">
        <f>IF(Data!J262&lt;=5,Data!J262,IF(Data!J262&lt;=10,"6 TO 10","More than 10"))</f>
        <v>5</v>
      </c>
      <c r="G262" s="52">
        <f t="shared" si="4"/>
        <v>3</v>
      </c>
      <c r="H262" s="52">
        <f>ROUND(Data!C262*Data!D262-Data!E262,2)</f>
        <v>0</v>
      </c>
      <c r="I262" s="52">
        <f>IF(AND(OR(Sel_Mode="All",Data!I262=Sel_Mode),OR(Sel_Gender="All",D262=Sel_Gender),OR(Sel_Category="All",Data!B262=Sel_Category),OR(Sel_Month="All",C262=Sel_Month),OR(Sel_County="All",Data!L262=Sel_County)),1,0)</f>
        <v>1</v>
      </c>
    </row>
    <row r="263" spans="1:9" x14ac:dyDescent="0.25">
      <c r="A263" s="52" t="str">
        <f>Data!A263</f>
        <v>TX500262</v>
      </c>
      <c r="B263" s="52">
        <f>MONTH(Data!F263)</f>
        <v>1</v>
      </c>
      <c r="C263" s="52" t="str">
        <f>TEXT(Data!F263,"mmm")</f>
        <v>Jan</v>
      </c>
      <c r="D263" s="52" t="str">
        <f>Data!O263</f>
        <v>Female</v>
      </c>
      <c r="E263" s="52">
        <f>Data!G263-Data!F263</f>
        <v>2</v>
      </c>
      <c r="F263" s="52">
        <f>IF(Data!J263&lt;=5,Data!J263,IF(Data!J263&lt;=10,"6 TO 10","More than 10"))</f>
        <v>5</v>
      </c>
      <c r="G263" s="52">
        <f t="shared" si="4"/>
        <v>2</v>
      </c>
      <c r="H263" s="52">
        <f>ROUND(Data!C263*Data!D263-Data!E263,2)</f>
        <v>0</v>
      </c>
      <c r="I263" s="52">
        <f>IF(AND(OR(Sel_Mode="All",Data!I263=Sel_Mode),OR(Sel_Gender="All",D263=Sel_Gender),OR(Sel_Category="All",Data!B263=Sel_Category),OR(Sel_Month="All",C263=Sel_Month),OR(Sel_County="All",Data!L263=Sel_County)),1,0)</f>
        <v>1</v>
      </c>
    </row>
    <row r="264" spans="1:9" x14ac:dyDescent="0.25">
      <c r="A264" s="52" t="str">
        <f>Data!A264</f>
        <v>TX500263</v>
      </c>
      <c r="B264" s="52">
        <f>MONTH(Data!F264)</f>
        <v>1</v>
      </c>
      <c r="C264" s="52" t="str">
        <f>TEXT(Data!F264,"mmm")</f>
        <v>Jan</v>
      </c>
      <c r="D264" s="52" t="str">
        <f>Data!O264</f>
        <v>Male</v>
      </c>
      <c r="E264" s="52">
        <f>Data!G264-Data!F264</f>
        <v>1</v>
      </c>
      <c r="F264" s="52">
        <f>IF(Data!J264&lt;=5,Data!J264,IF(Data!J264&lt;=10,"6 TO 10","More than 10"))</f>
        <v>3</v>
      </c>
      <c r="G264" s="52">
        <f t="shared" si="4"/>
        <v>1</v>
      </c>
      <c r="H264" s="52">
        <f>ROUND(Data!C264*Data!D264-Data!E264,2)</f>
        <v>0</v>
      </c>
      <c r="I264" s="52">
        <f>IF(AND(OR(Sel_Mode="All",Data!I264=Sel_Mode),OR(Sel_Gender="All",D264=Sel_Gender),OR(Sel_Category="All",Data!B264=Sel_Category),OR(Sel_Month="All",C264=Sel_Month),OR(Sel_County="All",Data!L264=Sel_County)),1,0)</f>
        <v>1</v>
      </c>
    </row>
    <row r="265" spans="1:9" x14ac:dyDescent="0.25">
      <c r="A265" s="52" t="str">
        <f>Data!A265</f>
        <v>TX500264</v>
      </c>
      <c r="B265" s="52">
        <f>MONTH(Data!F265)</f>
        <v>1</v>
      </c>
      <c r="C265" s="52" t="str">
        <f>TEXT(Data!F265,"mmm")</f>
        <v>Jan</v>
      </c>
      <c r="D265" s="52" t="str">
        <f>Data!O265</f>
        <v>Female</v>
      </c>
      <c r="E265" s="52">
        <f>Data!G265-Data!F265</f>
        <v>2</v>
      </c>
      <c r="F265" s="52">
        <f>IF(Data!J265&lt;=5,Data!J265,IF(Data!J265&lt;=10,"6 TO 10","More than 10"))</f>
        <v>2</v>
      </c>
      <c r="G265" s="52">
        <f t="shared" si="4"/>
        <v>2</v>
      </c>
      <c r="H265" s="52">
        <f>ROUND(Data!C265*Data!D265-Data!E265,2)</f>
        <v>0</v>
      </c>
      <c r="I265" s="52">
        <f>IF(AND(OR(Sel_Mode="All",Data!I265=Sel_Mode),OR(Sel_Gender="All",D265=Sel_Gender),OR(Sel_Category="All",Data!B265=Sel_Category),OR(Sel_Month="All",C265=Sel_Month),OR(Sel_County="All",Data!L265=Sel_County)),1,0)</f>
        <v>1</v>
      </c>
    </row>
    <row r="266" spans="1:9" x14ac:dyDescent="0.25">
      <c r="A266" s="52" t="str">
        <f>Data!A266</f>
        <v>TX500265</v>
      </c>
      <c r="B266" s="52">
        <f>MONTH(Data!F266)</f>
        <v>1</v>
      </c>
      <c r="C266" s="52" t="str">
        <f>TEXT(Data!F266,"mmm")</f>
        <v>Jan</v>
      </c>
      <c r="D266" s="52" t="str">
        <f>Data!O266</f>
        <v>Male</v>
      </c>
      <c r="E266" s="52">
        <f>Data!G266-Data!F266</f>
        <v>0</v>
      </c>
      <c r="F266" s="52">
        <f>IF(Data!J266&lt;=5,Data!J266,IF(Data!J266&lt;=10,"6 TO 10","More than 10"))</f>
        <v>5</v>
      </c>
      <c r="G266" s="52">
        <f t="shared" si="4"/>
        <v>0</v>
      </c>
      <c r="H266" s="52">
        <f>ROUND(Data!C266*Data!D266-Data!E266,2)</f>
        <v>0</v>
      </c>
      <c r="I266" s="52">
        <f>IF(AND(OR(Sel_Mode="All",Data!I266=Sel_Mode),OR(Sel_Gender="All",D266=Sel_Gender),OR(Sel_Category="All",Data!B266=Sel_Category),OR(Sel_Month="All",C266=Sel_Month),OR(Sel_County="All",Data!L266=Sel_County)),1,0)</f>
        <v>1</v>
      </c>
    </row>
    <row r="267" spans="1:9" x14ac:dyDescent="0.25">
      <c r="A267" s="52" t="str">
        <f>Data!A267</f>
        <v>TX500266</v>
      </c>
      <c r="B267" s="52">
        <f>MONTH(Data!F267)</f>
        <v>1</v>
      </c>
      <c r="C267" s="52" t="str">
        <f>TEXT(Data!F267,"mmm")</f>
        <v>Jan</v>
      </c>
      <c r="D267" s="52" t="str">
        <f>Data!O267</f>
        <v>Female</v>
      </c>
      <c r="E267" s="52">
        <f>Data!G267-Data!F267</f>
        <v>1</v>
      </c>
      <c r="F267" s="52">
        <f>IF(Data!J267&lt;=5,Data!J267,IF(Data!J267&lt;=10,"6 TO 10","More than 10"))</f>
        <v>1</v>
      </c>
      <c r="G267" s="52">
        <f t="shared" si="4"/>
        <v>1</v>
      </c>
      <c r="H267" s="52">
        <f>ROUND(Data!C267*Data!D267-Data!E267,2)</f>
        <v>0</v>
      </c>
      <c r="I267" s="52">
        <f>IF(AND(OR(Sel_Mode="All",Data!I267=Sel_Mode),OR(Sel_Gender="All",D267=Sel_Gender),OR(Sel_Category="All",Data!B267=Sel_Category),OR(Sel_Month="All",C267=Sel_Month),OR(Sel_County="All",Data!L267=Sel_County)),1,0)</f>
        <v>1</v>
      </c>
    </row>
    <row r="268" spans="1:9" x14ac:dyDescent="0.25">
      <c r="A268" s="52" t="str">
        <f>Data!A268</f>
        <v>TX500267</v>
      </c>
      <c r="B268" s="52">
        <f>MONTH(Data!F268)</f>
        <v>1</v>
      </c>
      <c r="C268" s="52" t="str">
        <f>TEXT(Data!F268,"mmm")</f>
        <v>Jan</v>
      </c>
      <c r="D268" s="52" t="str">
        <f>Data!O268</f>
        <v>Unknown</v>
      </c>
      <c r="E268" s="52">
        <f>Data!G268-Data!F268</f>
        <v>1</v>
      </c>
      <c r="F268" s="52">
        <f>IF(Data!J268&lt;=5,Data!J268,IF(Data!J268&lt;=10,"6 TO 10","More than 10"))</f>
        <v>5</v>
      </c>
      <c r="G268" s="52">
        <f t="shared" si="4"/>
        <v>1</v>
      </c>
      <c r="H268" s="52">
        <f>ROUND(Data!C268*Data!D268-Data!E268,2)</f>
        <v>0</v>
      </c>
      <c r="I268" s="52">
        <f>IF(AND(OR(Sel_Mode="All",Data!I268=Sel_Mode),OR(Sel_Gender="All",D268=Sel_Gender),OR(Sel_Category="All",Data!B268=Sel_Category),OR(Sel_Month="All",C268=Sel_Month),OR(Sel_County="All",Data!L268=Sel_County)),1,0)</f>
        <v>1</v>
      </c>
    </row>
    <row r="269" spans="1:9" x14ac:dyDescent="0.25">
      <c r="A269" s="52" t="str">
        <f>Data!A269</f>
        <v>TX500268</v>
      </c>
      <c r="B269" s="52">
        <f>MONTH(Data!F269)</f>
        <v>1</v>
      </c>
      <c r="C269" s="52" t="str">
        <f>TEXT(Data!F269,"mmm")</f>
        <v>Jan</v>
      </c>
      <c r="D269" s="52" t="str">
        <f>Data!O269</f>
        <v>Female</v>
      </c>
      <c r="E269" s="52">
        <f>Data!G269-Data!F269</f>
        <v>3</v>
      </c>
      <c r="F269" s="52">
        <f>IF(Data!J269&lt;=5,Data!J269,IF(Data!J269&lt;=10,"6 TO 10","More than 10"))</f>
        <v>5</v>
      </c>
      <c r="G269" s="52">
        <f t="shared" si="4"/>
        <v>3</v>
      </c>
      <c r="H269" s="52">
        <f>ROUND(Data!C269*Data!D269-Data!E269,2)</f>
        <v>0</v>
      </c>
      <c r="I269" s="52">
        <f>IF(AND(OR(Sel_Mode="All",Data!I269=Sel_Mode),OR(Sel_Gender="All",D269=Sel_Gender),OR(Sel_Category="All",Data!B269=Sel_Category),OR(Sel_Month="All",C269=Sel_Month),OR(Sel_County="All",Data!L269=Sel_County)),1,0)</f>
        <v>1</v>
      </c>
    </row>
    <row r="270" spans="1:9" x14ac:dyDescent="0.25">
      <c r="A270" s="52" t="str">
        <f>Data!A270</f>
        <v>TX500269</v>
      </c>
      <c r="B270" s="52">
        <f>MONTH(Data!F270)</f>
        <v>1</v>
      </c>
      <c r="C270" s="52" t="str">
        <f>TEXT(Data!F270,"mmm")</f>
        <v>Jan</v>
      </c>
      <c r="D270" s="52" t="str">
        <f>Data!O270</f>
        <v>Female</v>
      </c>
      <c r="E270" s="52">
        <f>Data!G270-Data!F270</f>
        <v>4</v>
      </c>
      <c r="F270" s="52">
        <f>IF(Data!J270&lt;=5,Data!J270,IF(Data!J270&lt;=10,"6 TO 10","More than 10"))</f>
        <v>3</v>
      </c>
      <c r="G270" s="52">
        <f t="shared" si="4"/>
        <v>4</v>
      </c>
      <c r="H270" s="52">
        <f>ROUND(Data!C270*Data!D270-Data!E270,2)</f>
        <v>0</v>
      </c>
      <c r="I270" s="52">
        <f>IF(AND(OR(Sel_Mode="All",Data!I270=Sel_Mode),OR(Sel_Gender="All",D270=Sel_Gender),OR(Sel_Category="All",Data!B270=Sel_Category),OR(Sel_Month="All",C270=Sel_Month),OR(Sel_County="All",Data!L270=Sel_County)),1,0)</f>
        <v>1</v>
      </c>
    </row>
    <row r="271" spans="1:9" x14ac:dyDescent="0.25">
      <c r="A271" s="52" t="str">
        <f>Data!A271</f>
        <v>TX500270</v>
      </c>
      <c r="B271" s="52">
        <f>MONTH(Data!F271)</f>
        <v>1</v>
      </c>
      <c r="C271" s="52" t="str">
        <f>TEXT(Data!F271,"mmm")</f>
        <v>Jan</v>
      </c>
      <c r="D271" s="52" t="str">
        <f>Data!O271</f>
        <v>Female</v>
      </c>
      <c r="E271" s="52">
        <f>Data!G271-Data!F271</f>
        <v>1</v>
      </c>
      <c r="F271" s="52">
        <f>IF(Data!J271&lt;=5,Data!J271,IF(Data!J271&lt;=10,"6 TO 10","More than 10"))</f>
        <v>2</v>
      </c>
      <c r="G271" s="52">
        <f t="shared" si="4"/>
        <v>1</v>
      </c>
      <c r="H271" s="52">
        <f>ROUND(Data!C271*Data!D271-Data!E271,2)</f>
        <v>0</v>
      </c>
      <c r="I271" s="52">
        <f>IF(AND(OR(Sel_Mode="All",Data!I271=Sel_Mode),OR(Sel_Gender="All",D271=Sel_Gender),OR(Sel_Category="All",Data!B271=Sel_Category),OR(Sel_Month="All",C271=Sel_Month),OR(Sel_County="All",Data!L271=Sel_County)),1,0)</f>
        <v>1</v>
      </c>
    </row>
    <row r="272" spans="1:9" x14ac:dyDescent="0.25">
      <c r="A272" s="52" t="str">
        <f>Data!A272</f>
        <v>TX500271</v>
      </c>
      <c r="B272" s="52">
        <f>MONTH(Data!F272)</f>
        <v>1</v>
      </c>
      <c r="C272" s="52" t="str">
        <f>TEXT(Data!F272,"mmm")</f>
        <v>Jan</v>
      </c>
      <c r="D272" s="52" t="str">
        <f>Data!O272</f>
        <v>Female</v>
      </c>
      <c r="E272" s="52">
        <f>Data!G272-Data!F272</f>
        <v>1</v>
      </c>
      <c r="F272" s="52">
        <f>IF(Data!J272&lt;=5,Data!J272,IF(Data!J272&lt;=10,"6 TO 10","More than 10"))</f>
        <v>4</v>
      </c>
      <c r="G272" s="52">
        <f t="shared" si="4"/>
        <v>1</v>
      </c>
      <c r="H272" s="52">
        <f>ROUND(Data!C272*Data!D272-Data!E272,2)</f>
        <v>0</v>
      </c>
      <c r="I272" s="52">
        <f>IF(AND(OR(Sel_Mode="All",Data!I272=Sel_Mode),OR(Sel_Gender="All",D272=Sel_Gender),OR(Sel_Category="All",Data!B272=Sel_Category),OR(Sel_Month="All",C272=Sel_Month),OR(Sel_County="All",Data!L272=Sel_County)),1,0)</f>
        <v>1</v>
      </c>
    </row>
    <row r="273" spans="1:9" x14ac:dyDescent="0.25">
      <c r="A273" s="52" t="str">
        <f>Data!A273</f>
        <v>TX500272</v>
      </c>
      <c r="B273" s="52">
        <f>MONTH(Data!F273)</f>
        <v>1</v>
      </c>
      <c r="C273" s="52" t="str">
        <f>TEXT(Data!F273,"mmm")</f>
        <v>Jan</v>
      </c>
      <c r="D273" s="52" t="str">
        <f>Data!O273</f>
        <v>Female</v>
      </c>
      <c r="E273" s="52">
        <f>Data!G273-Data!F273</f>
        <v>4</v>
      </c>
      <c r="F273" s="52">
        <f>IF(Data!J273&lt;=5,Data!J273,IF(Data!J273&lt;=10,"6 TO 10","More than 10"))</f>
        <v>4</v>
      </c>
      <c r="G273" s="52">
        <f t="shared" si="4"/>
        <v>4</v>
      </c>
      <c r="H273" s="52">
        <f>ROUND(Data!C273*Data!D273-Data!E273,2)</f>
        <v>0</v>
      </c>
      <c r="I273" s="52">
        <f>IF(AND(OR(Sel_Mode="All",Data!I273=Sel_Mode),OR(Sel_Gender="All",D273=Sel_Gender),OR(Sel_Category="All",Data!B273=Sel_Category),OR(Sel_Month="All",C273=Sel_Month),OR(Sel_County="All",Data!L273=Sel_County)),1,0)</f>
        <v>1</v>
      </c>
    </row>
    <row r="274" spans="1:9" x14ac:dyDescent="0.25">
      <c r="A274" s="52" t="str">
        <f>Data!A274</f>
        <v>TX500273</v>
      </c>
      <c r="B274" s="52">
        <f>MONTH(Data!F274)</f>
        <v>1</v>
      </c>
      <c r="C274" s="52" t="str">
        <f>TEXT(Data!F274,"mmm")</f>
        <v>Jan</v>
      </c>
      <c r="D274" s="52" t="str">
        <f>Data!O274</f>
        <v>Female</v>
      </c>
      <c r="E274" s="52">
        <f>Data!G274-Data!F274</f>
        <v>1</v>
      </c>
      <c r="F274" s="52">
        <f>IF(Data!J274&lt;=5,Data!J274,IF(Data!J274&lt;=10,"6 TO 10","More than 10"))</f>
        <v>3</v>
      </c>
      <c r="G274" s="52">
        <f t="shared" si="4"/>
        <v>1</v>
      </c>
      <c r="H274" s="52">
        <f>ROUND(Data!C274*Data!D274-Data!E274,2)</f>
        <v>0</v>
      </c>
      <c r="I274" s="52">
        <f>IF(AND(OR(Sel_Mode="All",Data!I274=Sel_Mode),OR(Sel_Gender="All",D274=Sel_Gender),OR(Sel_Category="All",Data!B274=Sel_Category),OR(Sel_Month="All",C274=Sel_Month),OR(Sel_County="All",Data!L274=Sel_County)),1,0)</f>
        <v>1</v>
      </c>
    </row>
    <row r="275" spans="1:9" x14ac:dyDescent="0.25">
      <c r="A275" s="52" t="str">
        <f>Data!A275</f>
        <v>TX500274</v>
      </c>
      <c r="B275" s="52">
        <f>MONTH(Data!F275)</f>
        <v>1</v>
      </c>
      <c r="C275" s="52" t="str">
        <f>TEXT(Data!F275,"mmm")</f>
        <v>Jan</v>
      </c>
      <c r="D275" s="52" t="str">
        <f>Data!O275</f>
        <v>Male</v>
      </c>
      <c r="E275" s="52">
        <f>Data!G275-Data!F275</f>
        <v>1</v>
      </c>
      <c r="F275" s="52">
        <f>IF(Data!J275&lt;=5,Data!J275,IF(Data!J275&lt;=10,"6 TO 10","More than 10"))</f>
        <v>4</v>
      </c>
      <c r="G275" s="52">
        <f t="shared" si="4"/>
        <v>1</v>
      </c>
      <c r="H275" s="52">
        <f>ROUND(Data!C275*Data!D275-Data!E275,2)</f>
        <v>0</v>
      </c>
      <c r="I275" s="52">
        <f>IF(AND(OR(Sel_Mode="All",Data!I275=Sel_Mode),OR(Sel_Gender="All",D275=Sel_Gender),OR(Sel_Category="All",Data!B275=Sel_Category),OR(Sel_Month="All",C275=Sel_Month),OR(Sel_County="All",Data!L275=Sel_County)),1,0)</f>
        <v>1</v>
      </c>
    </row>
    <row r="276" spans="1:9" x14ac:dyDescent="0.25">
      <c r="A276" s="52" t="str">
        <f>Data!A276</f>
        <v>TX500275</v>
      </c>
      <c r="B276" s="52">
        <f>MONTH(Data!F276)</f>
        <v>1</v>
      </c>
      <c r="C276" s="52" t="str">
        <f>TEXT(Data!F276,"mmm")</f>
        <v>Jan</v>
      </c>
      <c r="D276" s="52" t="str">
        <f>Data!O276</f>
        <v>Male</v>
      </c>
      <c r="E276" s="52">
        <f>Data!G276-Data!F276</f>
        <v>1</v>
      </c>
      <c r="F276" s="52">
        <f>IF(Data!J276&lt;=5,Data!J276,IF(Data!J276&lt;=10,"6 TO 10","More than 10"))</f>
        <v>4</v>
      </c>
      <c r="G276" s="52">
        <f t="shared" si="4"/>
        <v>1</v>
      </c>
      <c r="H276" s="52">
        <f>ROUND(Data!C276*Data!D276-Data!E276,2)</f>
        <v>0</v>
      </c>
      <c r="I276" s="52">
        <f>IF(AND(OR(Sel_Mode="All",Data!I276=Sel_Mode),OR(Sel_Gender="All",D276=Sel_Gender),OR(Sel_Category="All",Data!B276=Sel_Category),OR(Sel_Month="All",C276=Sel_Month),OR(Sel_County="All",Data!L276=Sel_County)),1,0)</f>
        <v>1</v>
      </c>
    </row>
    <row r="277" spans="1:9" x14ac:dyDescent="0.25">
      <c r="A277" s="52" t="str">
        <f>Data!A277</f>
        <v>TX500276</v>
      </c>
      <c r="B277" s="52">
        <f>MONTH(Data!F277)</f>
        <v>1</v>
      </c>
      <c r="C277" s="52" t="str">
        <f>TEXT(Data!F277,"mmm")</f>
        <v>Jan</v>
      </c>
      <c r="D277" s="52" t="str">
        <f>Data!O277</f>
        <v>Female</v>
      </c>
      <c r="E277" s="52">
        <f>Data!G277-Data!F277</f>
        <v>3</v>
      </c>
      <c r="F277" s="52">
        <f>IF(Data!J277&lt;=5,Data!J277,IF(Data!J277&lt;=10,"6 TO 10","More than 10"))</f>
        <v>5</v>
      </c>
      <c r="G277" s="52">
        <f t="shared" si="4"/>
        <v>3</v>
      </c>
      <c r="H277" s="52">
        <f>ROUND(Data!C277*Data!D277-Data!E277,2)</f>
        <v>0</v>
      </c>
      <c r="I277" s="52">
        <f>IF(AND(OR(Sel_Mode="All",Data!I277=Sel_Mode),OR(Sel_Gender="All",D277=Sel_Gender),OR(Sel_Category="All",Data!B277=Sel_Category),OR(Sel_Month="All",C277=Sel_Month),OR(Sel_County="All",Data!L277=Sel_County)),1,0)</f>
        <v>1</v>
      </c>
    </row>
    <row r="278" spans="1:9" x14ac:dyDescent="0.25">
      <c r="A278" s="52" t="str">
        <f>Data!A278</f>
        <v>TX500277</v>
      </c>
      <c r="B278" s="52">
        <f>MONTH(Data!F278)</f>
        <v>1</v>
      </c>
      <c r="C278" s="52" t="str">
        <f>TEXT(Data!F278,"mmm")</f>
        <v>Jan</v>
      </c>
      <c r="D278" s="52" t="str">
        <f>Data!O278</f>
        <v>Unknown</v>
      </c>
      <c r="E278" s="52">
        <f>Data!G278-Data!F278</f>
        <v>7</v>
      </c>
      <c r="F278" s="52">
        <f>IF(Data!J278&lt;=5,Data!J278,IF(Data!J278&lt;=10,"6 TO 10","More than 10"))</f>
        <v>4</v>
      </c>
      <c r="G278" s="52">
        <f t="shared" si="4"/>
        <v>7</v>
      </c>
      <c r="H278" s="52">
        <f>ROUND(Data!C278*Data!D278-Data!E278,2)</f>
        <v>0</v>
      </c>
      <c r="I278" s="52">
        <f>IF(AND(OR(Sel_Mode="All",Data!I278=Sel_Mode),OR(Sel_Gender="All",D278=Sel_Gender),OR(Sel_Category="All",Data!B278=Sel_Category),OR(Sel_Month="All",C278=Sel_Month),OR(Sel_County="All",Data!L278=Sel_County)),1,0)</f>
        <v>1</v>
      </c>
    </row>
    <row r="279" spans="1:9" x14ac:dyDescent="0.25">
      <c r="A279" s="52" t="str">
        <f>Data!A279</f>
        <v>TX500278</v>
      </c>
      <c r="B279" s="52">
        <f>MONTH(Data!F279)</f>
        <v>1</v>
      </c>
      <c r="C279" s="52" t="str">
        <f>TEXT(Data!F279,"mmm")</f>
        <v>Jan</v>
      </c>
      <c r="D279" s="52" t="str">
        <f>Data!O279</f>
        <v>Female</v>
      </c>
      <c r="E279" s="52">
        <f>Data!G279-Data!F279</f>
        <v>1</v>
      </c>
      <c r="F279" s="52">
        <f>IF(Data!J279&lt;=5,Data!J279,IF(Data!J279&lt;=10,"6 TO 10","More than 10"))</f>
        <v>5</v>
      </c>
      <c r="G279" s="52">
        <f t="shared" si="4"/>
        <v>1</v>
      </c>
      <c r="H279" s="52">
        <f>ROUND(Data!C279*Data!D279-Data!E279,2)</f>
        <v>0</v>
      </c>
      <c r="I279" s="52">
        <f>IF(AND(OR(Sel_Mode="All",Data!I279=Sel_Mode),OR(Sel_Gender="All",D279=Sel_Gender),OR(Sel_Category="All",Data!B279=Sel_Category),OR(Sel_Month="All",C279=Sel_Month),OR(Sel_County="All",Data!L279=Sel_County)),1,0)</f>
        <v>1</v>
      </c>
    </row>
    <row r="280" spans="1:9" x14ac:dyDescent="0.25">
      <c r="A280" s="52" t="str">
        <f>Data!A280</f>
        <v>TX500279</v>
      </c>
      <c r="B280" s="52">
        <f>MONTH(Data!F280)</f>
        <v>1</v>
      </c>
      <c r="C280" s="52" t="str">
        <f>TEXT(Data!F280,"mmm")</f>
        <v>Jan</v>
      </c>
      <c r="D280" s="52" t="str">
        <f>Data!O280</f>
        <v>Female</v>
      </c>
      <c r="E280" s="52">
        <f>Data!G280-Data!F280</f>
        <v>2</v>
      </c>
      <c r="F280" s="52">
        <f>IF(Data!J280&lt;=5,Data!J280,IF(Data!J280&lt;=10,"6 TO 10","More than 10"))</f>
        <v>3</v>
      </c>
      <c r="G280" s="52">
        <f t="shared" si="4"/>
        <v>2</v>
      </c>
      <c r="H280" s="52">
        <f>ROUND(Data!C280*Data!D280-Data!E280,2)</f>
        <v>0</v>
      </c>
      <c r="I280" s="52">
        <f>IF(AND(OR(Sel_Mode="All",Data!I280=Sel_Mode),OR(Sel_Gender="All",D280=Sel_Gender),OR(Sel_Category="All",Data!B280=Sel_Category),OR(Sel_Month="All",C280=Sel_Month),OR(Sel_County="All",Data!L280=Sel_County)),1,0)</f>
        <v>1</v>
      </c>
    </row>
    <row r="281" spans="1:9" x14ac:dyDescent="0.25">
      <c r="A281" s="52" t="str">
        <f>Data!A281</f>
        <v>TX500280</v>
      </c>
      <c r="B281" s="52">
        <f>MONTH(Data!F281)</f>
        <v>1</v>
      </c>
      <c r="C281" s="52" t="str">
        <f>TEXT(Data!F281,"mmm")</f>
        <v>Jan</v>
      </c>
      <c r="D281" s="52" t="str">
        <f>Data!O281</f>
        <v>Female</v>
      </c>
      <c r="E281" s="52">
        <f>Data!G281-Data!F281</f>
        <v>3</v>
      </c>
      <c r="F281" s="52">
        <f>IF(Data!J281&lt;=5,Data!J281,IF(Data!J281&lt;=10,"6 TO 10","More than 10"))</f>
        <v>4</v>
      </c>
      <c r="G281" s="52">
        <f t="shared" si="4"/>
        <v>3</v>
      </c>
      <c r="H281" s="52">
        <f>ROUND(Data!C281*Data!D281-Data!E281,2)</f>
        <v>0</v>
      </c>
      <c r="I281" s="52">
        <f>IF(AND(OR(Sel_Mode="All",Data!I281=Sel_Mode),OR(Sel_Gender="All",D281=Sel_Gender),OR(Sel_Category="All",Data!B281=Sel_Category),OR(Sel_Month="All",C281=Sel_Month),OR(Sel_County="All",Data!L281=Sel_County)),1,0)</f>
        <v>1</v>
      </c>
    </row>
    <row r="282" spans="1:9" x14ac:dyDescent="0.25">
      <c r="A282" s="52" t="str">
        <f>Data!A282</f>
        <v>TX500281</v>
      </c>
      <c r="B282" s="52">
        <f>MONTH(Data!F282)</f>
        <v>1</v>
      </c>
      <c r="C282" s="52" t="str">
        <f>TEXT(Data!F282,"mmm")</f>
        <v>Jan</v>
      </c>
      <c r="D282" s="52" t="str">
        <f>Data!O282</f>
        <v>Male</v>
      </c>
      <c r="E282" s="52">
        <f>Data!G282-Data!F282</f>
        <v>1</v>
      </c>
      <c r="F282" s="52">
        <f>IF(Data!J282&lt;=5,Data!J282,IF(Data!J282&lt;=10,"6 TO 10","More than 10"))</f>
        <v>5</v>
      </c>
      <c r="G282" s="52">
        <f t="shared" si="4"/>
        <v>1</v>
      </c>
      <c r="H282" s="52">
        <f>ROUND(Data!C282*Data!D282-Data!E282,2)</f>
        <v>0</v>
      </c>
      <c r="I282" s="52">
        <f>IF(AND(OR(Sel_Mode="All",Data!I282=Sel_Mode),OR(Sel_Gender="All",D282=Sel_Gender),OR(Sel_Category="All",Data!B282=Sel_Category),OR(Sel_Month="All",C282=Sel_Month),OR(Sel_County="All",Data!L282=Sel_County)),1,0)</f>
        <v>1</v>
      </c>
    </row>
    <row r="283" spans="1:9" x14ac:dyDescent="0.25">
      <c r="A283" s="52" t="str">
        <f>Data!A283</f>
        <v>TX500282</v>
      </c>
      <c r="B283" s="52">
        <f>MONTH(Data!F283)</f>
        <v>1</v>
      </c>
      <c r="C283" s="52" t="str">
        <f>TEXT(Data!F283,"mmm")</f>
        <v>Jan</v>
      </c>
      <c r="D283" s="52" t="str">
        <f>Data!O283</f>
        <v>Male</v>
      </c>
      <c r="E283" s="52">
        <f>Data!G283-Data!F283</f>
        <v>5</v>
      </c>
      <c r="F283" s="52">
        <f>IF(Data!J283&lt;=5,Data!J283,IF(Data!J283&lt;=10,"6 TO 10","More than 10"))</f>
        <v>4</v>
      </c>
      <c r="G283" s="52">
        <f t="shared" si="4"/>
        <v>5</v>
      </c>
      <c r="H283" s="52">
        <f>ROUND(Data!C283*Data!D283-Data!E283,2)</f>
        <v>0</v>
      </c>
      <c r="I283" s="52">
        <f>IF(AND(OR(Sel_Mode="All",Data!I283=Sel_Mode),OR(Sel_Gender="All",D283=Sel_Gender),OR(Sel_Category="All",Data!B283=Sel_Category),OR(Sel_Month="All",C283=Sel_Month),OR(Sel_County="All",Data!L283=Sel_County)),1,0)</f>
        <v>1</v>
      </c>
    </row>
    <row r="284" spans="1:9" x14ac:dyDescent="0.25">
      <c r="A284" s="52" t="str">
        <f>Data!A284</f>
        <v>TX500283</v>
      </c>
      <c r="B284" s="52">
        <f>MONTH(Data!F284)</f>
        <v>1</v>
      </c>
      <c r="C284" s="52" t="str">
        <f>TEXT(Data!F284,"mmm")</f>
        <v>Jan</v>
      </c>
      <c r="D284" s="52" t="str">
        <f>Data!O284</f>
        <v>Female</v>
      </c>
      <c r="E284" s="52">
        <f>Data!G284-Data!F284</f>
        <v>1</v>
      </c>
      <c r="F284" s="52">
        <f>IF(Data!J284&lt;=5,Data!J284,IF(Data!J284&lt;=10,"6 TO 10","More than 10"))</f>
        <v>4</v>
      </c>
      <c r="G284" s="52">
        <f t="shared" si="4"/>
        <v>1</v>
      </c>
      <c r="H284" s="52">
        <f>ROUND(Data!C284*Data!D284-Data!E284,2)</f>
        <v>0</v>
      </c>
      <c r="I284" s="52">
        <f>IF(AND(OR(Sel_Mode="All",Data!I284=Sel_Mode),OR(Sel_Gender="All",D284=Sel_Gender),OR(Sel_Category="All",Data!B284=Sel_Category),OR(Sel_Month="All",C284=Sel_Month),OR(Sel_County="All",Data!L284=Sel_County)),1,0)</f>
        <v>1</v>
      </c>
    </row>
    <row r="285" spans="1:9" x14ac:dyDescent="0.25">
      <c r="A285" s="52" t="str">
        <f>Data!A285</f>
        <v>TX500284</v>
      </c>
      <c r="B285" s="52">
        <f>MONTH(Data!F285)</f>
        <v>1</v>
      </c>
      <c r="C285" s="52" t="str">
        <f>TEXT(Data!F285,"mmm")</f>
        <v>Jan</v>
      </c>
      <c r="D285" s="52" t="str">
        <f>Data!O285</f>
        <v>Male</v>
      </c>
      <c r="E285" s="52">
        <f>Data!G285-Data!F285</f>
        <v>0</v>
      </c>
      <c r="F285" s="52">
        <f>IF(Data!J285&lt;=5,Data!J285,IF(Data!J285&lt;=10,"6 TO 10","More than 10"))</f>
        <v>4</v>
      </c>
      <c r="G285" s="52">
        <f t="shared" si="4"/>
        <v>0</v>
      </c>
      <c r="H285" s="52">
        <f>ROUND(Data!C285*Data!D285-Data!E285,2)</f>
        <v>0</v>
      </c>
      <c r="I285" s="52">
        <f>IF(AND(OR(Sel_Mode="All",Data!I285=Sel_Mode),OR(Sel_Gender="All",D285=Sel_Gender),OR(Sel_Category="All",Data!B285=Sel_Category),OR(Sel_Month="All",C285=Sel_Month),OR(Sel_County="All",Data!L285=Sel_County)),1,0)</f>
        <v>1</v>
      </c>
    </row>
    <row r="286" spans="1:9" x14ac:dyDescent="0.25">
      <c r="A286" s="52" t="str">
        <f>Data!A286</f>
        <v>TX500285</v>
      </c>
      <c r="B286" s="52">
        <f>MONTH(Data!F286)</f>
        <v>1</v>
      </c>
      <c r="C286" s="52" t="str">
        <f>TEXT(Data!F286,"mmm")</f>
        <v>Jan</v>
      </c>
      <c r="D286" s="52" t="str">
        <f>Data!O286</f>
        <v>Male</v>
      </c>
      <c r="E286" s="52">
        <f>Data!G286-Data!F286</f>
        <v>1</v>
      </c>
      <c r="F286" s="52">
        <f>IF(Data!J286&lt;=5,Data!J286,IF(Data!J286&lt;=10,"6 TO 10","More than 10"))</f>
        <v>2</v>
      </c>
      <c r="G286" s="52">
        <f t="shared" si="4"/>
        <v>1</v>
      </c>
      <c r="H286" s="52">
        <f>ROUND(Data!C286*Data!D286-Data!E286,2)</f>
        <v>0</v>
      </c>
      <c r="I286" s="52">
        <f>IF(AND(OR(Sel_Mode="All",Data!I286=Sel_Mode),OR(Sel_Gender="All",D286=Sel_Gender),OR(Sel_Category="All",Data!B286=Sel_Category),OR(Sel_Month="All",C286=Sel_Month),OR(Sel_County="All",Data!L286=Sel_County)),1,0)</f>
        <v>1</v>
      </c>
    </row>
    <row r="287" spans="1:9" x14ac:dyDescent="0.25">
      <c r="A287" s="52" t="str">
        <f>Data!A287</f>
        <v>TX500286</v>
      </c>
      <c r="B287" s="52">
        <f>MONTH(Data!F287)</f>
        <v>1</v>
      </c>
      <c r="C287" s="52" t="str">
        <f>TEXT(Data!F287,"mmm")</f>
        <v>Jan</v>
      </c>
      <c r="D287" s="52" t="str">
        <f>Data!O287</f>
        <v>Female</v>
      </c>
      <c r="E287" s="52">
        <f>Data!G287-Data!F287</f>
        <v>1</v>
      </c>
      <c r="F287" s="52">
        <f>IF(Data!J287&lt;=5,Data!J287,IF(Data!J287&lt;=10,"6 TO 10","More than 10"))</f>
        <v>2</v>
      </c>
      <c r="G287" s="52">
        <f t="shared" si="4"/>
        <v>1</v>
      </c>
      <c r="H287" s="52">
        <f>ROUND(Data!C287*Data!D287-Data!E287,2)</f>
        <v>0</v>
      </c>
      <c r="I287" s="52">
        <f>IF(AND(OR(Sel_Mode="All",Data!I287=Sel_Mode),OR(Sel_Gender="All",D287=Sel_Gender),OR(Sel_Category="All",Data!B287=Sel_Category),OR(Sel_Month="All",C287=Sel_Month),OR(Sel_County="All",Data!L287=Sel_County)),1,0)</f>
        <v>1</v>
      </c>
    </row>
    <row r="288" spans="1:9" x14ac:dyDescent="0.25">
      <c r="A288" s="52" t="str">
        <f>Data!A288</f>
        <v>TX500287</v>
      </c>
      <c r="B288" s="52">
        <f>MONTH(Data!F288)</f>
        <v>1</v>
      </c>
      <c r="C288" s="52" t="str">
        <f>TEXT(Data!F288,"mmm")</f>
        <v>Jan</v>
      </c>
      <c r="D288" s="52" t="str">
        <f>Data!O288</f>
        <v>Female</v>
      </c>
      <c r="E288" s="52">
        <f>Data!G288-Data!F288</f>
        <v>3</v>
      </c>
      <c r="F288" s="52">
        <f>IF(Data!J288&lt;=5,Data!J288,IF(Data!J288&lt;=10,"6 TO 10","More than 10"))</f>
        <v>4</v>
      </c>
      <c r="G288" s="52">
        <f t="shared" si="4"/>
        <v>3</v>
      </c>
      <c r="H288" s="52">
        <f>ROUND(Data!C288*Data!D288-Data!E288,2)</f>
        <v>0</v>
      </c>
      <c r="I288" s="52">
        <f>IF(AND(OR(Sel_Mode="All",Data!I288=Sel_Mode),OR(Sel_Gender="All",D288=Sel_Gender),OR(Sel_Category="All",Data!B288=Sel_Category),OR(Sel_Month="All",C288=Sel_Month),OR(Sel_County="All",Data!L288=Sel_County)),1,0)</f>
        <v>1</v>
      </c>
    </row>
    <row r="289" spans="1:9" x14ac:dyDescent="0.25">
      <c r="A289" s="52" t="str">
        <f>Data!A289</f>
        <v>TX500288</v>
      </c>
      <c r="B289" s="52">
        <f>MONTH(Data!F289)</f>
        <v>1</v>
      </c>
      <c r="C289" s="52" t="str">
        <f>TEXT(Data!F289,"mmm")</f>
        <v>Jan</v>
      </c>
      <c r="D289" s="52" t="str">
        <f>Data!O289</f>
        <v>Male</v>
      </c>
      <c r="E289" s="52">
        <f>Data!G289-Data!F289</f>
        <v>1</v>
      </c>
      <c r="F289" s="52">
        <f>IF(Data!J289&lt;=5,Data!J289,IF(Data!J289&lt;=10,"6 TO 10","More than 10"))</f>
        <v>4</v>
      </c>
      <c r="G289" s="52">
        <f t="shared" si="4"/>
        <v>1</v>
      </c>
      <c r="H289" s="52">
        <f>ROUND(Data!C289*Data!D289-Data!E289,2)</f>
        <v>0</v>
      </c>
      <c r="I289" s="52">
        <f>IF(AND(OR(Sel_Mode="All",Data!I289=Sel_Mode),OR(Sel_Gender="All",D289=Sel_Gender),OR(Sel_Category="All",Data!B289=Sel_Category),OR(Sel_Month="All",C289=Sel_Month),OR(Sel_County="All",Data!L289=Sel_County)),1,0)</f>
        <v>1</v>
      </c>
    </row>
    <row r="290" spans="1:9" x14ac:dyDescent="0.25">
      <c r="A290" s="52" t="str">
        <f>Data!A290</f>
        <v>TX500289</v>
      </c>
      <c r="B290" s="52">
        <f>MONTH(Data!F290)</f>
        <v>1</v>
      </c>
      <c r="C290" s="52" t="str">
        <f>TEXT(Data!F290,"mmm")</f>
        <v>Jan</v>
      </c>
      <c r="D290" s="52" t="str">
        <f>Data!O290</f>
        <v>Male</v>
      </c>
      <c r="E290" s="52">
        <f>Data!G290-Data!F290</f>
        <v>1</v>
      </c>
      <c r="F290" s="52">
        <f>IF(Data!J290&lt;=5,Data!J290,IF(Data!J290&lt;=10,"6 TO 10","More than 10"))</f>
        <v>1</v>
      </c>
      <c r="G290" s="52">
        <f t="shared" si="4"/>
        <v>1</v>
      </c>
      <c r="H290" s="52">
        <f>ROUND(Data!C290*Data!D290-Data!E290,2)</f>
        <v>0</v>
      </c>
      <c r="I290" s="52">
        <f>IF(AND(OR(Sel_Mode="All",Data!I290=Sel_Mode),OR(Sel_Gender="All",D290=Sel_Gender),OR(Sel_Category="All",Data!B290=Sel_Category),OR(Sel_Month="All",C290=Sel_Month),OR(Sel_County="All",Data!L290=Sel_County)),1,0)</f>
        <v>1</v>
      </c>
    </row>
    <row r="291" spans="1:9" x14ac:dyDescent="0.25">
      <c r="A291" s="52" t="str">
        <f>Data!A291</f>
        <v>TX500290</v>
      </c>
      <c r="B291" s="52">
        <f>MONTH(Data!F291)</f>
        <v>1</v>
      </c>
      <c r="C291" s="52" t="str">
        <f>TEXT(Data!F291,"mmm")</f>
        <v>Jan</v>
      </c>
      <c r="D291" s="52" t="str">
        <f>Data!O291</f>
        <v>Male</v>
      </c>
      <c r="E291" s="52">
        <f>Data!G291-Data!F291</f>
        <v>1</v>
      </c>
      <c r="F291" s="52">
        <f>IF(Data!J291&lt;=5,Data!J291,IF(Data!J291&lt;=10,"6 TO 10","More than 10"))</f>
        <v>5</v>
      </c>
      <c r="G291" s="52">
        <f t="shared" si="4"/>
        <v>1</v>
      </c>
      <c r="H291" s="52">
        <f>ROUND(Data!C291*Data!D291-Data!E291,2)</f>
        <v>0</v>
      </c>
      <c r="I291" s="52">
        <f>IF(AND(OR(Sel_Mode="All",Data!I291=Sel_Mode),OR(Sel_Gender="All",D291=Sel_Gender),OR(Sel_Category="All",Data!B291=Sel_Category),OR(Sel_Month="All",C291=Sel_Month),OR(Sel_County="All",Data!L291=Sel_County)),1,0)</f>
        <v>1</v>
      </c>
    </row>
    <row r="292" spans="1:9" x14ac:dyDescent="0.25">
      <c r="A292" s="52" t="str">
        <f>Data!A292</f>
        <v>TX500291</v>
      </c>
      <c r="B292" s="52">
        <f>MONTH(Data!F292)</f>
        <v>1</v>
      </c>
      <c r="C292" s="52" t="str">
        <f>TEXT(Data!F292,"mmm")</f>
        <v>Jan</v>
      </c>
      <c r="D292" s="52" t="str">
        <f>Data!O292</f>
        <v>Male</v>
      </c>
      <c r="E292" s="52">
        <f>Data!G292-Data!F292</f>
        <v>4</v>
      </c>
      <c r="F292" s="52">
        <f>IF(Data!J292&lt;=5,Data!J292,IF(Data!J292&lt;=10,"6 TO 10","More than 10"))</f>
        <v>4</v>
      </c>
      <c r="G292" s="52">
        <f t="shared" si="4"/>
        <v>4</v>
      </c>
      <c r="H292" s="52">
        <f>ROUND(Data!C292*Data!D292-Data!E292,2)</f>
        <v>0</v>
      </c>
      <c r="I292" s="52">
        <f>IF(AND(OR(Sel_Mode="All",Data!I292=Sel_Mode),OR(Sel_Gender="All",D292=Sel_Gender),OR(Sel_Category="All",Data!B292=Sel_Category),OR(Sel_Month="All",C292=Sel_Month),OR(Sel_County="All",Data!L292=Sel_County)),1,0)</f>
        <v>1</v>
      </c>
    </row>
    <row r="293" spans="1:9" x14ac:dyDescent="0.25">
      <c r="A293" s="52" t="str">
        <f>Data!A293</f>
        <v>TX500292</v>
      </c>
      <c r="B293" s="52">
        <f>MONTH(Data!F293)</f>
        <v>1</v>
      </c>
      <c r="C293" s="52" t="str">
        <f>TEXT(Data!F293,"mmm")</f>
        <v>Jan</v>
      </c>
      <c r="D293" s="52" t="str">
        <f>Data!O293</f>
        <v>Male</v>
      </c>
      <c r="E293" s="52">
        <f>Data!G293-Data!F293</f>
        <v>4</v>
      </c>
      <c r="F293" s="52">
        <f>IF(Data!J293&lt;=5,Data!J293,IF(Data!J293&lt;=10,"6 TO 10","More than 10"))</f>
        <v>4</v>
      </c>
      <c r="G293" s="52">
        <f t="shared" si="4"/>
        <v>4</v>
      </c>
      <c r="H293" s="52">
        <f>ROUND(Data!C293*Data!D293-Data!E293,2)</f>
        <v>0</v>
      </c>
      <c r="I293" s="52">
        <f>IF(AND(OR(Sel_Mode="All",Data!I293=Sel_Mode),OR(Sel_Gender="All",D293=Sel_Gender),OR(Sel_Category="All",Data!B293=Sel_Category),OR(Sel_Month="All",C293=Sel_Month),OR(Sel_County="All",Data!L293=Sel_County)),1,0)</f>
        <v>1</v>
      </c>
    </row>
    <row r="294" spans="1:9" x14ac:dyDescent="0.25">
      <c r="A294" s="52" t="str">
        <f>Data!A294</f>
        <v>TX500293</v>
      </c>
      <c r="B294" s="52">
        <f>MONTH(Data!F294)</f>
        <v>1</v>
      </c>
      <c r="C294" s="52" t="str">
        <f>TEXT(Data!F294,"mmm")</f>
        <v>Jan</v>
      </c>
      <c r="D294" s="52" t="str">
        <f>Data!O294</f>
        <v>Female</v>
      </c>
      <c r="E294" s="52">
        <f>Data!G294-Data!F294</f>
        <v>2</v>
      </c>
      <c r="F294" s="52">
        <f>IF(Data!J294&lt;=5,Data!J294,IF(Data!J294&lt;=10,"6 TO 10","More than 10"))</f>
        <v>5</v>
      </c>
      <c r="G294" s="52">
        <f t="shared" si="4"/>
        <v>2</v>
      </c>
      <c r="H294" s="52">
        <f>ROUND(Data!C294*Data!D294-Data!E294,2)</f>
        <v>0</v>
      </c>
      <c r="I294" s="52">
        <f>IF(AND(OR(Sel_Mode="All",Data!I294=Sel_Mode),OR(Sel_Gender="All",D294=Sel_Gender),OR(Sel_Category="All",Data!B294=Sel_Category),OR(Sel_Month="All",C294=Sel_Month),OR(Sel_County="All",Data!L294=Sel_County)),1,0)</f>
        <v>1</v>
      </c>
    </row>
    <row r="295" spans="1:9" x14ac:dyDescent="0.25">
      <c r="A295" s="52" t="str">
        <f>Data!A295</f>
        <v>TX500294</v>
      </c>
      <c r="B295" s="52">
        <f>MONTH(Data!F295)</f>
        <v>1</v>
      </c>
      <c r="C295" s="52" t="str">
        <f>TEXT(Data!F295,"mmm")</f>
        <v>Jan</v>
      </c>
      <c r="D295" s="52" t="str">
        <f>Data!O295</f>
        <v>Male</v>
      </c>
      <c r="E295" s="52">
        <f>Data!G295-Data!F295</f>
        <v>1</v>
      </c>
      <c r="F295" s="52">
        <f>IF(Data!J295&lt;=5,Data!J295,IF(Data!J295&lt;=10,"6 TO 10","More than 10"))</f>
        <v>4</v>
      </c>
      <c r="G295" s="52">
        <f t="shared" si="4"/>
        <v>1</v>
      </c>
      <c r="H295" s="52">
        <f>ROUND(Data!C295*Data!D295-Data!E295,2)</f>
        <v>0</v>
      </c>
      <c r="I295" s="52">
        <f>IF(AND(OR(Sel_Mode="All",Data!I295=Sel_Mode),OR(Sel_Gender="All",D295=Sel_Gender),OR(Sel_Category="All",Data!B295=Sel_Category),OR(Sel_Month="All",C295=Sel_Month),OR(Sel_County="All",Data!L295=Sel_County)),1,0)</f>
        <v>1</v>
      </c>
    </row>
    <row r="296" spans="1:9" x14ac:dyDescent="0.25">
      <c r="A296" s="52" t="str">
        <f>Data!A296</f>
        <v>TX500295</v>
      </c>
      <c r="B296" s="52">
        <f>MONTH(Data!F296)</f>
        <v>1</v>
      </c>
      <c r="C296" s="52" t="str">
        <f>TEXT(Data!F296,"mmm")</f>
        <v>Jan</v>
      </c>
      <c r="D296" s="52" t="str">
        <f>Data!O296</f>
        <v>Male</v>
      </c>
      <c r="E296" s="52">
        <f>Data!G296-Data!F296</f>
        <v>2</v>
      </c>
      <c r="F296" s="52">
        <f>IF(Data!J296&lt;=5,Data!J296,IF(Data!J296&lt;=10,"6 TO 10","More than 10"))</f>
        <v>5</v>
      </c>
      <c r="G296" s="52">
        <f t="shared" si="4"/>
        <v>2</v>
      </c>
      <c r="H296" s="52">
        <f>ROUND(Data!C296*Data!D296-Data!E296,2)</f>
        <v>0</v>
      </c>
      <c r="I296" s="52">
        <f>IF(AND(OR(Sel_Mode="All",Data!I296=Sel_Mode),OR(Sel_Gender="All",D296=Sel_Gender),OR(Sel_Category="All",Data!B296=Sel_Category),OR(Sel_Month="All",C296=Sel_Month),OR(Sel_County="All",Data!L296=Sel_County)),1,0)</f>
        <v>1</v>
      </c>
    </row>
    <row r="297" spans="1:9" x14ac:dyDescent="0.25">
      <c r="A297" s="52" t="str">
        <f>Data!A297</f>
        <v>TX500296</v>
      </c>
      <c r="B297" s="52">
        <f>MONTH(Data!F297)</f>
        <v>1</v>
      </c>
      <c r="C297" s="52" t="str">
        <f>TEXT(Data!F297,"mmm")</f>
        <v>Jan</v>
      </c>
      <c r="D297" s="52" t="str">
        <f>Data!O297</f>
        <v>Female</v>
      </c>
      <c r="E297" s="52">
        <f>Data!G297-Data!F297</f>
        <v>3</v>
      </c>
      <c r="F297" s="52">
        <f>IF(Data!J297&lt;=5,Data!J297,IF(Data!J297&lt;=10,"6 TO 10","More than 10"))</f>
        <v>4</v>
      </c>
      <c r="G297" s="52">
        <f t="shared" si="4"/>
        <v>3</v>
      </c>
      <c r="H297" s="52">
        <f>ROUND(Data!C297*Data!D297-Data!E297,2)</f>
        <v>0</v>
      </c>
      <c r="I297" s="52">
        <f>IF(AND(OR(Sel_Mode="All",Data!I297=Sel_Mode),OR(Sel_Gender="All",D297=Sel_Gender),OR(Sel_Category="All",Data!B297=Sel_Category),OR(Sel_Month="All",C297=Sel_Month),OR(Sel_County="All",Data!L297=Sel_County)),1,0)</f>
        <v>1</v>
      </c>
    </row>
    <row r="298" spans="1:9" x14ac:dyDescent="0.25">
      <c r="A298" s="52" t="str">
        <f>Data!A298</f>
        <v>TX500297</v>
      </c>
      <c r="B298" s="52">
        <f>MONTH(Data!F298)</f>
        <v>1</v>
      </c>
      <c r="C298" s="52" t="str">
        <f>TEXT(Data!F298,"mmm")</f>
        <v>Jan</v>
      </c>
      <c r="D298" s="52" t="str">
        <f>Data!O298</f>
        <v>Female</v>
      </c>
      <c r="E298" s="52">
        <f>Data!G298-Data!F298</f>
        <v>13</v>
      </c>
      <c r="F298" s="52">
        <f>IF(Data!J298&lt;=5,Data!J298,IF(Data!J298&lt;=10,"6 TO 10","More than 10"))</f>
        <v>4</v>
      </c>
      <c r="G298" s="52" t="str">
        <f t="shared" si="4"/>
        <v>8+</v>
      </c>
      <c r="H298" s="52">
        <f>ROUND(Data!C298*Data!D298-Data!E298,2)</f>
        <v>0</v>
      </c>
      <c r="I298" s="52">
        <f>IF(AND(OR(Sel_Mode="All",Data!I298=Sel_Mode),OR(Sel_Gender="All",D298=Sel_Gender),OR(Sel_Category="All",Data!B298=Sel_Category),OR(Sel_Month="All",C298=Sel_Month),OR(Sel_County="All",Data!L298=Sel_County)),1,0)</f>
        <v>1</v>
      </c>
    </row>
    <row r="299" spans="1:9" x14ac:dyDescent="0.25">
      <c r="A299" s="52" t="str">
        <f>Data!A299</f>
        <v>TX500298</v>
      </c>
      <c r="B299" s="52">
        <f>MONTH(Data!F299)</f>
        <v>1</v>
      </c>
      <c r="C299" s="52" t="str">
        <f>TEXT(Data!F299,"mmm")</f>
        <v>Jan</v>
      </c>
      <c r="D299" s="52" t="str">
        <f>Data!O299</f>
        <v>Male</v>
      </c>
      <c r="E299" s="52">
        <f>Data!G299-Data!F299</f>
        <v>2</v>
      </c>
      <c r="F299" s="52">
        <f>IF(Data!J299&lt;=5,Data!J299,IF(Data!J299&lt;=10,"6 TO 10","More than 10"))</f>
        <v>2</v>
      </c>
      <c r="G299" s="52">
        <f t="shared" si="4"/>
        <v>2</v>
      </c>
      <c r="H299" s="52">
        <f>ROUND(Data!C299*Data!D299-Data!E299,2)</f>
        <v>0</v>
      </c>
      <c r="I299" s="52">
        <f>IF(AND(OR(Sel_Mode="All",Data!I299=Sel_Mode),OR(Sel_Gender="All",D299=Sel_Gender),OR(Sel_Category="All",Data!B299=Sel_Category),OR(Sel_Month="All",C299=Sel_Month),OR(Sel_County="All",Data!L299=Sel_County)),1,0)</f>
        <v>1</v>
      </c>
    </row>
    <row r="300" spans="1:9" x14ac:dyDescent="0.25">
      <c r="A300" s="52" t="str">
        <f>Data!A300</f>
        <v>TX500299</v>
      </c>
      <c r="B300" s="52">
        <f>MONTH(Data!F300)</f>
        <v>1</v>
      </c>
      <c r="C300" s="52" t="str">
        <f>TEXT(Data!F300,"mmm")</f>
        <v>Jan</v>
      </c>
      <c r="D300" s="52" t="str">
        <f>Data!O300</f>
        <v>Female</v>
      </c>
      <c r="E300" s="52">
        <f>Data!G300-Data!F300</f>
        <v>2</v>
      </c>
      <c r="F300" s="52">
        <f>IF(Data!J300&lt;=5,Data!J300,IF(Data!J300&lt;=10,"6 TO 10","More than 10"))</f>
        <v>5</v>
      </c>
      <c r="G300" s="52">
        <f t="shared" si="4"/>
        <v>2</v>
      </c>
      <c r="H300" s="52">
        <f>ROUND(Data!C300*Data!D300-Data!E300,2)</f>
        <v>0</v>
      </c>
      <c r="I300" s="52">
        <f>IF(AND(OR(Sel_Mode="All",Data!I300=Sel_Mode),OR(Sel_Gender="All",D300=Sel_Gender),OR(Sel_Category="All",Data!B300=Sel_Category),OR(Sel_Month="All",C300=Sel_Month),OR(Sel_County="All",Data!L300=Sel_County)),1,0)</f>
        <v>1</v>
      </c>
    </row>
    <row r="301" spans="1:9" x14ac:dyDescent="0.25">
      <c r="A301" s="52" t="str">
        <f>Data!A301</f>
        <v>TX500300</v>
      </c>
      <c r="B301" s="52">
        <f>MONTH(Data!F301)</f>
        <v>1</v>
      </c>
      <c r="C301" s="52" t="str">
        <f>TEXT(Data!F301,"mmm")</f>
        <v>Jan</v>
      </c>
      <c r="D301" s="52" t="str">
        <f>Data!O301</f>
        <v>Male</v>
      </c>
      <c r="E301" s="52">
        <f>Data!G301-Data!F301</f>
        <v>1</v>
      </c>
      <c r="F301" s="52">
        <f>IF(Data!J301&lt;=5,Data!J301,IF(Data!J301&lt;=10,"6 TO 10","More than 10"))</f>
        <v>3</v>
      </c>
      <c r="G301" s="52">
        <f t="shared" si="4"/>
        <v>1</v>
      </c>
      <c r="H301" s="52">
        <f>ROUND(Data!C301*Data!D301-Data!E301,2)</f>
        <v>0</v>
      </c>
      <c r="I301" s="52">
        <f>IF(AND(OR(Sel_Mode="All",Data!I301=Sel_Mode),OR(Sel_Gender="All",D301=Sel_Gender),OR(Sel_Category="All",Data!B301=Sel_Category),OR(Sel_Month="All",C301=Sel_Month),OR(Sel_County="All",Data!L301=Sel_County)),1,0)</f>
        <v>1</v>
      </c>
    </row>
    <row r="302" spans="1:9" x14ac:dyDescent="0.25">
      <c r="A302" s="52" t="str">
        <f>Data!A302</f>
        <v>TX500301</v>
      </c>
      <c r="B302" s="52">
        <f>MONTH(Data!F302)</f>
        <v>1</v>
      </c>
      <c r="C302" s="52" t="str">
        <f>TEXT(Data!F302,"mmm")</f>
        <v>Jan</v>
      </c>
      <c r="D302" s="52" t="str">
        <f>Data!O302</f>
        <v>Female</v>
      </c>
      <c r="E302" s="52">
        <f>Data!G302-Data!F302</f>
        <v>4</v>
      </c>
      <c r="F302" s="52">
        <f>IF(Data!J302&lt;=5,Data!J302,IF(Data!J302&lt;=10,"6 TO 10","More than 10"))</f>
        <v>4</v>
      </c>
      <c r="G302" s="52">
        <f t="shared" si="4"/>
        <v>4</v>
      </c>
      <c r="H302" s="52">
        <f>ROUND(Data!C302*Data!D302-Data!E302,2)</f>
        <v>0</v>
      </c>
      <c r="I302" s="52">
        <f>IF(AND(OR(Sel_Mode="All",Data!I302=Sel_Mode),OR(Sel_Gender="All",D302=Sel_Gender),OR(Sel_Category="All",Data!B302=Sel_Category),OR(Sel_Month="All",C302=Sel_Month),OR(Sel_County="All",Data!L302=Sel_County)),1,0)</f>
        <v>1</v>
      </c>
    </row>
    <row r="303" spans="1:9" x14ac:dyDescent="0.25">
      <c r="A303" s="52" t="str">
        <f>Data!A303</f>
        <v>TX500302</v>
      </c>
      <c r="B303" s="52">
        <f>MONTH(Data!F303)</f>
        <v>1</v>
      </c>
      <c r="C303" s="52" t="str">
        <f>TEXT(Data!F303,"mmm")</f>
        <v>Jan</v>
      </c>
      <c r="D303" s="52" t="str">
        <f>Data!O303</f>
        <v>Female</v>
      </c>
      <c r="E303" s="52">
        <f>Data!G303-Data!F303</f>
        <v>2</v>
      </c>
      <c r="F303" s="52">
        <f>IF(Data!J303&lt;=5,Data!J303,IF(Data!J303&lt;=10,"6 TO 10","More than 10"))</f>
        <v>1</v>
      </c>
      <c r="G303" s="52">
        <f t="shared" si="4"/>
        <v>2</v>
      </c>
      <c r="H303" s="52">
        <f>ROUND(Data!C303*Data!D303-Data!E303,2)</f>
        <v>0</v>
      </c>
      <c r="I303" s="52">
        <f>IF(AND(OR(Sel_Mode="All",Data!I303=Sel_Mode),OR(Sel_Gender="All",D303=Sel_Gender),OR(Sel_Category="All",Data!B303=Sel_Category),OR(Sel_Month="All",C303=Sel_Month),OR(Sel_County="All",Data!L303=Sel_County)),1,0)</f>
        <v>1</v>
      </c>
    </row>
    <row r="304" spans="1:9" x14ac:dyDescent="0.25">
      <c r="A304" s="52" t="str">
        <f>Data!A304</f>
        <v>TX500303</v>
      </c>
      <c r="B304" s="52">
        <f>MONTH(Data!F304)</f>
        <v>1</v>
      </c>
      <c r="C304" s="52" t="str">
        <f>TEXT(Data!F304,"mmm")</f>
        <v>Jan</v>
      </c>
      <c r="D304" s="52" t="str">
        <f>Data!O304</f>
        <v>Female</v>
      </c>
      <c r="E304" s="52">
        <f>Data!G304-Data!F304</f>
        <v>2</v>
      </c>
      <c r="F304" s="52">
        <f>IF(Data!J304&lt;=5,Data!J304,IF(Data!J304&lt;=10,"6 TO 10","More than 10"))</f>
        <v>5</v>
      </c>
      <c r="G304" s="52">
        <f t="shared" si="4"/>
        <v>2</v>
      </c>
      <c r="H304" s="52">
        <f>ROUND(Data!C304*Data!D304-Data!E304,2)</f>
        <v>0</v>
      </c>
      <c r="I304" s="52">
        <f>IF(AND(OR(Sel_Mode="All",Data!I304=Sel_Mode),OR(Sel_Gender="All",D304=Sel_Gender),OR(Sel_Category="All",Data!B304=Sel_Category),OR(Sel_Month="All",C304=Sel_Month),OR(Sel_County="All",Data!L304=Sel_County)),1,0)</f>
        <v>1</v>
      </c>
    </row>
    <row r="305" spans="1:9" x14ac:dyDescent="0.25">
      <c r="A305" s="52" t="str">
        <f>Data!A305</f>
        <v>TX500304</v>
      </c>
      <c r="B305" s="52">
        <f>MONTH(Data!F305)</f>
        <v>1</v>
      </c>
      <c r="C305" s="52" t="str">
        <f>TEXT(Data!F305,"mmm")</f>
        <v>Jan</v>
      </c>
      <c r="D305" s="52" t="str">
        <f>Data!O305</f>
        <v>Female</v>
      </c>
      <c r="E305" s="52">
        <f>Data!G305-Data!F305</f>
        <v>1</v>
      </c>
      <c r="F305" s="52">
        <f>IF(Data!J305&lt;=5,Data!J305,IF(Data!J305&lt;=10,"6 TO 10","More than 10"))</f>
        <v>3</v>
      </c>
      <c r="G305" s="52">
        <f t="shared" si="4"/>
        <v>1</v>
      </c>
      <c r="H305" s="52">
        <f>ROUND(Data!C305*Data!D305-Data!E305,2)</f>
        <v>0</v>
      </c>
      <c r="I305" s="52">
        <f>IF(AND(OR(Sel_Mode="All",Data!I305=Sel_Mode),OR(Sel_Gender="All",D305=Sel_Gender),OR(Sel_Category="All",Data!B305=Sel_Category),OR(Sel_Month="All",C305=Sel_Month),OR(Sel_County="All",Data!L305=Sel_County)),1,0)</f>
        <v>1</v>
      </c>
    </row>
    <row r="306" spans="1:9" x14ac:dyDescent="0.25">
      <c r="A306" s="52" t="str">
        <f>Data!A306</f>
        <v>TX500305</v>
      </c>
      <c r="B306" s="52">
        <f>MONTH(Data!F306)</f>
        <v>1</v>
      </c>
      <c r="C306" s="52" t="str">
        <f>TEXT(Data!F306,"mmm")</f>
        <v>Jan</v>
      </c>
      <c r="D306" s="52" t="str">
        <f>Data!O306</f>
        <v>Male</v>
      </c>
      <c r="E306" s="52">
        <f>Data!G306-Data!F306</f>
        <v>0</v>
      </c>
      <c r="F306" s="52">
        <f>IF(Data!J306&lt;=5,Data!J306,IF(Data!J306&lt;=10,"6 TO 10","More than 10"))</f>
        <v>3</v>
      </c>
      <c r="G306" s="52">
        <f t="shared" si="4"/>
        <v>0</v>
      </c>
      <c r="H306" s="52">
        <f>ROUND(Data!C306*Data!D306-Data!E306,2)</f>
        <v>0</v>
      </c>
      <c r="I306" s="52">
        <f>IF(AND(OR(Sel_Mode="All",Data!I306=Sel_Mode),OR(Sel_Gender="All",D306=Sel_Gender),OR(Sel_Category="All",Data!B306=Sel_Category),OR(Sel_Month="All",C306=Sel_Month),OR(Sel_County="All",Data!L306=Sel_County)),1,0)</f>
        <v>1</v>
      </c>
    </row>
    <row r="307" spans="1:9" x14ac:dyDescent="0.25">
      <c r="A307" s="52" t="str">
        <f>Data!A307</f>
        <v>TX500306</v>
      </c>
      <c r="B307" s="52">
        <f>MONTH(Data!F307)</f>
        <v>1</v>
      </c>
      <c r="C307" s="52" t="str">
        <f>TEXT(Data!F307,"mmm")</f>
        <v>Jan</v>
      </c>
      <c r="D307" s="52" t="str">
        <f>Data!O307</f>
        <v>Female</v>
      </c>
      <c r="E307" s="52">
        <f>Data!G307-Data!F307</f>
        <v>1</v>
      </c>
      <c r="F307" s="52">
        <f>IF(Data!J307&lt;=5,Data!J307,IF(Data!J307&lt;=10,"6 TO 10","More than 10"))</f>
        <v>3</v>
      </c>
      <c r="G307" s="52">
        <f t="shared" si="4"/>
        <v>1</v>
      </c>
      <c r="H307" s="52">
        <f>ROUND(Data!C307*Data!D307-Data!E307,2)</f>
        <v>0</v>
      </c>
      <c r="I307" s="52">
        <f>IF(AND(OR(Sel_Mode="All",Data!I307=Sel_Mode),OR(Sel_Gender="All",D307=Sel_Gender),OR(Sel_Category="All",Data!B307=Sel_Category),OR(Sel_Month="All",C307=Sel_Month),OR(Sel_County="All",Data!L307=Sel_County)),1,0)</f>
        <v>1</v>
      </c>
    </row>
    <row r="308" spans="1:9" x14ac:dyDescent="0.25">
      <c r="A308" s="52" t="str">
        <f>Data!A308</f>
        <v>TX500307</v>
      </c>
      <c r="B308" s="52">
        <f>MONTH(Data!F308)</f>
        <v>1</v>
      </c>
      <c r="C308" s="52" t="str">
        <f>TEXT(Data!F308,"mmm")</f>
        <v>Jan</v>
      </c>
      <c r="D308" s="52" t="str">
        <f>Data!O308</f>
        <v>Female</v>
      </c>
      <c r="E308" s="52">
        <f>Data!G308-Data!F308</f>
        <v>3</v>
      </c>
      <c r="F308" s="52">
        <f>IF(Data!J308&lt;=5,Data!J308,IF(Data!J308&lt;=10,"6 TO 10","More than 10"))</f>
        <v>5</v>
      </c>
      <c r="G308" s="52">
        <f t="shared" si="4"/>
        <v>3</v>
      </c>
      <c r="H308" s="52">
        <f>ROUND(Data!C308*Data!D308-Data!E308,2)</f>
        <v>0</v>
      </c>
      <c r="I308" s="52">
        <f>IF(AND(OR(Sel_Mode="All",Data!I308=Sel_Mode),OR(Sel_Gender="All",D308=Sel_Gender),OR(Sel_Category="All",Data!B308=Sel_Category),OR(Sel_Month="All",C308=Sel_Month),OR(Sel_County="All",Data!L308=Sel_County)),1,0)</f>
        <v>1</v>
      </c>
    </row>
    <row r="309" spans="1:9" x14ac:dyDescent="0.25">
      <c r="A309" s="52" t="str">
        <f>Data!A309</f>
        <v>TX500308</v>
      </c>
      <c r="B309" s="52">
        <f>MONTH(Data!F309)</f>
        <v>1</v>
      </c>
      <c r="C309" s="52" t="str">
        <f>TEXT(Data!F309,"mmm")</f>
        <v>Jan</v>
      </c>
      <c r="D309" s="52" t="str">
        <f>Data!O309</f>
        <v>Female</v>
      </c>
      <c r="E309" s="52">
        <f>Data!G309-Data!F309</f>
        <v>5</v>
      </c>
      <c r="F309" s="52">
        <f>IF(Data!J309&lt;=5,Data!J309,IF(Data!J309&lt;=10,"6 TO 10","More than 10"))</f>
        <v>4</v>
      </c>
      <c r="G309" s="52">
        <f t="shared" si="4"/>
        <v>5</v>
      </c>
      <c r="H309" s="52">
        <f>ROUND(Data!C309*Data!D309-Data!E309,2)</f>
        <v>0</v>
      </c>
      <c r="I309" s="52">
        <f>IF(AND(OR(Sel_Mode="All",Data!I309=Sel_Mode),OR(Sel_Gender="All",D309=Sel_Gender),OR(Sel_Category="All",Data!B309=Sel_Category),OR(Sel_Month="All",C309=Sel_Month),OR(Sel_County="All",Data!L309=Sel_County)),1,0)</f>
        <v>1</v>
      </c>
    </row>
    <row r="310" spans="1:9" x14ac:dyDescent="0.25">
      <c r="A310" s="52" t="str">
        <f>Data!A310</f>
        <v>TX500309</v>
      </c>
      <c r="B310" s="52">
        <f>MONTH(Data!F310)</f>
        <v>1</v>
      </c>
      <c r="C310" s="52" t="str">
        <f>TEXT(Data!F310,"mmm")</f>
        <v>Jan</v>
      </c>
      <c r="D310" s="52" t="str">
        <f>Data!O310</f>
        <v>Male</v>
      </c>
      <c r="E310" s="52">
        <f>Data!G310-Data!F310</f>
        <v>1</v>
      </c>
      <c r="F310" s="52">
        <f>IF(Data!J310&lt;=5,Data!J310,IF(Data!J310&lt;=10,"6 TO 10","More than 10"))</f>
        <v>4</v>
      </c>
      <c r="G310" s="52">
        <f t="shared" si="4"/>
        <v>1</v>
      </c>
      <c r="H310" s="52">
        <f>ROUND(Data!C310*Data!D310-Data!E310,2)</f>
        <v>0</v>
      </c>
      <c r="I310" s="52">
        <f>IF(AND(OR(Sel_Mode="All",Data!I310=Sel_Mode),OR(Sel_Gender="All",D310=Sel_Gender),OR(Sel_Category="All",Data!B310=Sel_Category),OR(Sel_Month="All",C310=Sel_Month),OR(Sel_County="All",Data!L310=Sel_County)),1,0)</f>
        <v>1</v>
      </c>
    </row>
    <row r="311" spans="1:9" x14ac:dyDescent="0.25">
      <c r="A311" s="52" t="str">
        <f>Data!A311</f>
        <v>TX500310</v>
      </c>
      <c r="B311" s="52">
        <f>MONTH(Data!F311)</f>
        <v>1</v>
      </c>
      <c r="C311" s="52" t="str">
        <f>TEXT(Data!F311,"mmm")</f>
        <v>Jan</v>
      </c>
      <c r="D311" s="52" t="str">
        <f>Data!O311</f>
        <v>Female</v>
      </c>
      <c r="E311" s="52">
        <f>Data!G311-Data!F311</f>
        <v>0</v>
      </c>
      <c r="F311" s="52">
        <f>IF(Data!J311&lt;=5,Data!J311,IF(Data!J311&lt;=10,"6 TO 10","More than 10"))</f>
        <v>5</v>
      </c>
      <c r="G311" s="52">
        <f t="shared" si="4"/>
        <v>0</v>
      </c>
      <c r="H311" s="52">
        <f>ROUND(Data!C311*Data!D311-Data!E311,2)</f>
        <v>0</v>
      </c>
      <c r="I311" s="52">
        <f>IF(AND(OR(Sel_Mode="All",Data!I311=Sel_Mode),OR(Sel_Gender="All",D311=Sel_Gender),OR(Sel_Category="All",Data!B311=Sel_Category),OR(Sel_Month="All",C311=Sel_Month),OR(Sel_County="All",Data!L311=Sel_County)),1,0)</f>
        <v>1</v>
      </c>
    </row>
    <row r="312" spans="1:9" x14ac:dyDescent="0.25">
      <c r="A312" s="52" t="str">
        <f>Data!A312</f>
        <v>TX500311</v>
      </c>
      <c r="B312" s="52">
        <f>MONTH(Data!F312)</f>
        <v>1</v>
      </c>
      <c r="C312" s="52" t="str">
        <f>TEXT(Data!F312,"mmm")</f>
        <v>Jan</v>
      </c>
      <c r="D312" s="52" t="str">
        <f>Data!O312</f>
        <v>Male</v>
      </c>
      <c r="E312" s="52">
        <f>Data!G312-Data!F312</f>
        <v>1</v>
      </c>
      <c r="F312" s="52">
        <f>IF(Data!J312&lt;=5,Data!J312,IF(Data!J312&lt;=10,"6 TO 10","More than 10"))</f>
        <v>4</v>
      </c>
      <c r="G312" s="52">
        <f t="shared" si="4"/>
        <v>1</v>
      </c>
      <c r="H312" s="52">
        <f>ROUND(Data!C312*Data!D312-Data!E312,2)</f>
        <v>0</v>
      </c>
      <c r="I312" s="52">
        <f>IF(AND(OR(Sel_Mode="All",Data!I312=Sel_Mode),OR(Sel_Gender="All",D312=Sel_Gender),OR(Sel_Category="All",Data!B312=Sel_Category),OR(Sel_Month="All",C312=Sel_Month),OR(Sel_County="All",Data!L312=Sel_County)),1,0)</f>
        <v>1</v>
      </c>
    </row>
    <row r="313" spans="1:9" x14ac:dyDescent="0.25">
      <c r="A313" s="52" t="str">
        <f>Data!A313</f>
        <v>TX500312</v>
      </c>
      <c r="B313" s="52">
        <f>MONTH(Data!F313)</f>
        <v>1</v>
      </c>
      <c r="C313" s="52" t="str">
        <f>TEXT(Data!F313,"mmm")</f>
        <v>Jan</v>
      </c>
      <c r="D313" s="52" t="str">
        <f>Data!O313</f>
        <v>Male</v>
      </c>
      <c r="E313" s="52">
        <f>Data!G313-Data!F313</f>
        <v>4</v>
      </c>
      <c r="F313" s="52">
        <f>IF(Data!J313&lt;=5,Data!J313,IF(Data!J313&lt;=10,"6 TO 10","More than 10"))</f>
        <v>4</v>
      </c>
      <c r="G313" s="52">
        <f t="shared" si="4"/>
        <v>4</v>
      </c>
      <c r="H313" s="52">
        <f>ROUND(Data!C313*Data!D313-Data!E313,2)</f>
        <v>0</v>
      </c>
      <c r="I313" s="52">
        <f>IF(AND(OR(Sel_Mode="All",Data!I313=Sel_Mode),OR(Sel_Gender="All",D313=Sel_Gender),OR(Sel_Category="All",Data!B313=Sel_Category),OR(Sel_Month="All",C313=Sel_Month),OR(Sel_County="All",Data!L313=Sel_County)),1,0)</f>
        <v>1</v>
      </c>
    </row>
    <row r="314" spans="1:9" x14ac:dyDescent="0.25">
      <c r="A314" s="52" t="str">
        <f>Data!A314</f>
        <v>TX500313</v>
      </c>
      <c r="B314" s="52">
        <f>MONTH(Data!F314)</f>
        <v>1</v>
      </c>
      <c r="C314" s="52" t="str">
        <f>TEXT(Data!F314,"mmm")</f>
        <v>Jan</v>
      </c>
      <c r="D314" s="52" t="str">
        <f>Data!O314</f>
        <v>Male</v>
      </c>
      <c r="E314" s="52">
        <f>Data!G314-Data!F314</f>
        <v>1</v>
      </c>
      <c r="F314" s="52">
        <f>IF(Data!J314&lt;=5,Data!J314,IF(Data!J314&lt;=10,"6 TO 10","More than 10"))</f>
        <v>4</v>
      </c>
      <c r="G314" s="52">
        <f t="shared" si="4"/>
        <v>1</v>
      </c>
      <c r="H314" s="52">
        <f>ROUND(Data!C314*Data!D314-Data!E314,2)</f>
        <v>0</v>
      </c>
      <c r="I314" s="52">
        <f>IF(AND(OR(Sel_Mode="All",Data!I314=Sel_Mode),OR(Sel_Gender="All",D314=Sel_Gender),OR(Sel_Category="All",Data!B314=Sel_Category),OR(Sel_Month="All",C314=Sel_Month),OR(Sel_County="All",Data!L314=Sel_County)),1,0)</f>
        <v>1</v>
      </c>
    </row>
    <row r="315" spans="1:9" x14ac:dyDescent="0.25">
      <c r="A315" s="52" t="str">
        <f>Data!A315</f>
        <v>TX500314</v>
      </c>
      <c r="B315" s="52">
        <f>MONTH(Data!F315)</f>
        <v>1</v>
      </c>
      <c r="C315" s="52" t="str">
        <f>TEXT(Data!F315,"mmm")</f>
        <v>Jan</v>
      </c>
      <c r="D315" s="52" t="str">
        <f>Data!O315</f>
        <v>Female</v>
      </c>
      <c r="E315" s="52">
        <f>Data!G315-Data!F315</f>
        <v>1</v>
      </c>
      <c r="F315" s="52">
        <f>IF(Data!J315&lt;=5,Data!J315,IF(Data!J315&lt;=10,"6 TO 10","More than 10"))</f>
        <v>4</v>
      </c>
      <c r="G315" s="52">
        <f t="shared" si="4"/>
        <v>1</v>
      </c>
      <c r="H315" s="52">
        <f>ROUND(Data!C315*Data!D315-Data!E315,2)</f>
        <v>0</v>
      </c>
      <c r="I315" s="52">
        <f>IF(AND(OR(Sel_Mode="All",Data!I315=Sel_Mode),OR(Sel_Gender="All",D315=Sel_Gender),OR(Sel_Category="All",Data!B315=Sel_Category),OR(Sel_Month="All",C315=Sel_Month),OR(Sel_County="All",Data!L315=Sel_County)),1,0)</f>
        <v>1</v>
      </c>
    </row>
    <row r="316" spans="1:9" x14ac:dyDescent="0.25">
      <c r="A316" s="52" t="str">
        <f>Data!A316</f>
        <v>TX500315</v>
      </c>
      <c r="B316" s="52">
        <f>MONTH(Data!F316)</f>
        <v>1</v>
      </c>
      <c r="C316" s="52" t="str">
        <f>TEXT(Data!F316,"mmm")</f>
        <v>Jan</v>
      </c>
      <c r="D316" s="52" t="str">
        <f>Data!O316</f>
        <v>Male</v>
      </c>
      <c r="E316" s="52">
        <f>Data!G316-Data!F316</f>
        <v>3</v>
      </c>
      <c r="F316" s="52">
        <f>IF(Data!J316&lt;=5,Data!J316,IF(Data!J316&lt;=10,"6 TO 10","More than 10"))</f>
        <v>3</v>
      </c>
      <c r="G316" s="52">
        <f t="shared" si="4"/>
        <v>3</v>
      </c>
      <c r="H316" s="52">
        <f>ROUND(Data!C316*Data!D316-Data!E316,2)</f>
        <v>0</v>
      </c>
      <c r="I316" s="52">
        <f>IF(AND(OR(Sel_Mode="All",Data!I316=Sel_Mode),OR(Sel_Gender="All",D316=Sel_Gender),OR(Sel_Category="All",Data!B316=Sel_Category),OR(Sel_Month="All",C316=Sel_Month),OR(Sel_County="All",Data!L316=Sel_County)),1,0)</f>
        <v>1</v>
      </c>
    </row>
    <row r="317" spans="1:9" x14ac:dyDescent="0.25">
      <c r="A317" s="52" t="str">
        <f>Data!A317</f>
        <v>TX500316</v>
      </c>
      <c r="B317" s="52">
        <f>MONTH(Data!F317)</f>
        <v>1</v>
      </c>
      <c r="C317" s="52" t="str">
        <f>TEXT(Data!F317,"mmm")</f>
        <v>Jan</v>
      </c>
      <c r="D317" s="52" t="str">
        <f>Data!O317</f>
        <v>Female</v>
      </c>
      <c r="E317" s="52">
        <f>Data!G317-Data!F317</f>
        <v>2</v>
      </c>
      <c r="F317" s="52">
        <f>IF(Data!J317&lt;=5,Data!J317,IF(Data!J317&lt;=10,"6 TO 10","More than 10"))</f>
        <v>4</v>
      </c>
      <c r="G317" s="52">
        <f t="shared" si="4"/>
        <v>2</v>
      </c>
      <c r="H317" s="52">
        <f>ROUND(Data!C317*Data!D317-Data!E317,2)</f>
        <v>0</v>
      </c>
      <c r="I317" s="52">
        <f>IF(AND(OR(Sel_Mode="All",Data!I317=Sel_Mode),OR(Sel_Gender="All",D317=Sel_Gender),OR(Sel_Category="All",Data!B317=Sel_Category),OR(Sel_Month="All",C317=Sel_Month),OR(Sel_County="All",Data!L317=Sel_County)),1,0)</f>
        <v>1</v>
      </c>
    </row>
    <row r="318" spans="1:9" x14ac:dyDescent="0.25">
      <c r="A318" s="52" t="str">
        <f>Data!A318</f>
        <v>TX500317</v>
      </c>
      <c r="B318" s="52">
        <f>MONTH(Data!F318)</f>
        <v>1</v>
      </c>
      <c r="C318" s="52" t="str">
        <f>TEXT(Data!F318,"mmm")</f>
        <v>Jan</v>
      </c>
      <c r="D318" s="52" t="str">
        <f>Data!O318</f>
        <v>Unknown</v>
      </c>
      <c r="E318" s="52">
        <f>Data!G318-Data!F318</f>
        <v>1</v>
      </c>
      <c r="F318" s="52">
        <f>IF(Data!J318&lt;=5,Data!J318,IF(Data!J318&lt;=10,"6 TO 10","More than 10"))</f>
        <v>3</v>
      </c>
      <c r="G318" s="52">
        <f t="shared" si="4"/>
        <v>1</v>
      </c>
      <c r="H318" s="52">
        <f>ROUND(Data!C318*Data!D318-Data!E318,2)</f>
        <v>0</v>
      </c>
      <c r="I318" s="52">
        <f>IF(AND(OR(Sel_Mode="All",Data!I318=Sel_Mode),OR(Sel_Gender="All",D318=Sel_Gender),OR(Sel_Category="All",Data!B318=Sel_Category),OR(Sel_Month="All",C318=Sel_Month),OR(Sel_County="All",Data!L318=Sel_County)),1,0)</f>
        <v>1</v>
      </c>
    </row>
    <row r="319" spans="1:9" x14ac:dyDescent="0.25">
      <c r="A319" s="52" t="str">
        <f>Data!A319</f>
        <v>TX500318</v>
      </c>
      <c r="B319" s="52">
        <f>MONTH(Data!F319)</f>
        <v>1</v>
      </c>
      <c r="C319" s="52" t="str">
        <f>TEXT(Data!F319,"mmm")</f>
        <v>Jan</v>
      </c>
      <c r="D319" s="52" t="str">
        <f>Data!O319</f>
        <v>Female</v>
      </c>
      <c r="E319" s="52">
        <f>Data!G319-Data!F319</f>
        <v>1</v>
      </c>
      <c r="F319" s="52">
        <f>IF(Data!J319&lt;=5,Data!J319,IF(Data!J319&lt;=10,"6 TO 10","More than 10"))</f>
        <v>3</v>
      </c>
      <c r="G319" s="52">
        <f t="shared" si="4"/>
        <v>1</v>
      </c>
      <c r="H319" s="52">
        <f>ROUND(Data!C319*Data!D319-Data!E319,2)</f>
        <v>0</v>
      </c>
      <c r="I319" s="52">
        <f>IF(AND(OR(Sel_Mode="All",Data!I319=Sel_Mode),OR(Sel_Gender="All",D319=Sel_Gender),OR(Sel_Category="All",Data!B319=Sel_Category),OR(Sel_Month="All",C319=Sel_Month),OR(Sel_County="All",Data!L319=Sel_County)),1,0)</f>
        <v>1</v>
      </c>
    </row>
    <row r="320" spans="1:9" x14ac:dyDescent="0.25">
      <c r="A320" s="52" t="str">
        <f>Data!A320</f>
        <v>TX500319</v>
      </c>
      <c r="B320" s="52">
        <f>MONTH(Data!F320)</f>
        <v>1</v>
      </c>
      <c r="C320" s="52" t="str">
        <f>TEXT(Data!F320,"mmm")</f>
        <v>Jan</v>
      </c>
      <c r="D320" s="52" t="str">
        <f>Data!O320</f>
        <v>Female</v>
      </c>
      <c r="E320" s="52">
        <f>Data!G320-Data!F320</f>
        <v>3</v>
      </c>
      <c r="F320" s="52">
        <f>IF(Data!J320&lt;=5,Data!J320,IF(Data!J320&lt;=10,"6 TO 10","More than 10"))</f>
        <v>5</v>
      </c>
      <c r="G320" s="52">
        <f t="shared" si="4"/>
        <v>3</v>
      </c>
      <c r="H320" s="52">
        <f>ROUND(Data!C320*Data!D320-Data!E320,2)</f>
        <v>0</v>
      </c>
      <c r="I320" s="52">
        <f>IF(AND(OR(Sel_Mode="All",Data!I320=Sel_Mode),OR(Sel_Gender="All",D320=Sel_Gender),OR(Sel_Category="All",Data!B320=Sel_Category),OR(Sel_Month="All",C320=Sel_Month),OR(Sel_County="All",Data!L320=Sel_County)),1,0)</f>
        <v>1</v>
      </c>
    </row>
    <row r="321" spans="1:9" x14ac:dyDescent="0.25">
      <c r="A321" s="52" t="str">
        <f>Data!A321</f>
        <v>TX500320</v>
      </c>
      <c r="B321" s="52">
        <f>MONTH(Data!F321)</f>
        <v>1</v>
      </c>
      <c r="C321" s="52" t="str">
        <f>TEXT(Data!F321,"mmm")</f>
        <v>Jan</v>
      </c>
      <c r="D321" s="52" t="str">
        <f>Data!O321</f>
        <v>Male</v>
      </c>
      <c r="E321" s="52">
        <f>Data!G321-Data!F321</f>
        <v>4</v>
      </c>
      <c r="F321" s="52">
        <f>IF(Data!J321&lt;=5,Data!J321,IF(Data!J321&lt;=10,"6 TO 10","More than 10"))</f>
        <v>4</v>
      </c>
      <c r="G321" s="52">
        <f t="shared" si="4"/>
        <v>4</v>
      </c>
      <c r="H321" s="52">
        <f>ROUND(Data!C321*Data!D321-Data!E321,2)</f>
        <v>0</v>
      </c>
      <c r="I321" s="52">
        <f>IF(AND(OR(Sel_Mode="All",Data!I321=Sel_Mode),OR(Sel_Gender="All",D321=Sel_Gender),OR(Sel_Category="All",Data!B321=Sel_Category),OR(Sel_Month="All",C321=Sel_Month),OR(Sel_County="All",Data!L321=Sel_County)),1,0)</f>
        <v>1</v>
      </c>
    </row>
    <row r="322" spans="1:9" x14ac:dyDescent="0.25">
      <c r="A322" s="52" t="str">
        <f>Data!A322</f>
        <v>TX500321</v>
      </c>
      <c r="B322" s="52">
        <f>MONTH(Data!F322)</f>
        <v>1</v>
      </c>
      <c r="C322" s="52" t="str">
        <f>TEXT(Data!F322,"mmm")</f>
        <v>Jan</v>
      </c>
      <c r="D322" s="52" t="str">
        <f>Data!O322</f>
        <v>Other</v>
      </c>
      <c r="E322" s="52">
        <f>Data!G322-Data!F322</f>
        <v>2</v>
      </c>
      <c r="F322" s="52">
        <f>IF(Data!J322&lt;=5,Data!J322,IF(Data!J322&lt;=10,"6 TO 10","More than 10"))</f>
        <v>2</v>
      </c>
      <c r="G322" s="52">
        <f t="shared" ref="G322:G385" si="5">IF(E322&gt;=8,"8+",E322)</f>
        <v>2</v>
      </c>
      <c r="H322" s="52">
        <f>ROUND(Data!C322*Data!D322-Data!E322,2)</f>
        <v>0</v>
      </c>
      <c r="I322" s="52">
        <f>IF(AND(OR(Sel_Mode="All",Data!I322=Sel_Mode),OR(Sel_Gender="All",D322=Sel_Gender),OR(Sel_Category="All",Data!B322=Sel_Category),OR(Sel_Month="All",C322=Sel_Month),OR(Sel_County="All",Data!L322=Sel_County)),1,0)</f>
        <v>1</v>
      </c>
    </row>
    <row r="323" spans="1:9" x14ac:dyDescent="0.25">
      <c r="A323" s="52" t="str">
        <f>Data!A323</f>
        <v>TX500322</v>
      </c>
      <c r="B323" s="52">
        <f>MONTH(Data!F323)</f>
        <v>1</v>
      </c>
      <c r="C323" s="52" t="str">
        <f>TEXT(Data!F323,"mmm")</f>
        <v>Jan</v>
      </c>
      <c r="D323" s="52" t="str">
        <f>Data!O323</f>
        <v>Unknown</v>
      </c>
      <c r="E323" s="52">
        <f>Data!G323-Data!F323</f>
        <v>7</v>
      </c>
      <c r="F323" s="52">
        <f>IF(Data!J323&lt;=5,Data!J323,IF(Data!J323&lt;=10,"6 TO 10","More than 10"))</f>
        <v>4</v>
      </c>
      <c r="G323" s="52">
        <f t="shared" si="5"/>
        <v>7</v>
      </c>
      <c r="H323" s="52">
        <f>ROUND(Data!C323*Data!D323-Data!E323,2)</f>
        <v>0</v>
      </c>
      <c r="I323" s="52">
        <f>IF(AND(OR(Sel_Mode="All",Data!I323=Sel_Mode),OR(Sel_Gender="All",D323=Sel_Gender),OR(Sel_Category="All",Data!B323=Sel_Category),OR(Sel_Month="All",C323=Sel_Month),OR(Sel_County="All",Data!L323=Sel_County)),1,0)</f>
        <v>1</v>
      </c>
    </row>
    <row r="324" spans="1:9" x14ac:dyDescent="0.25">
      <c r="A324" s="52" t="str">
        <f>Data!A324</f>
        <v>TX500323</v>
      </c>
      <c r="B324" s="52">
        <f>MONTH(Data!F324)</f>
        <v>1</v>
      </c>
      <c r="C324" s="52" t="str">
        <f>TEXT(Data!F324,"mmm")</f>
        <v>Jan</v>
      </c>
      <c r="D324" s="52" t="str">
        <f>Data!O324</f>
        <v>Female</v>
      </c>
      <c r="E324" s="52">
        <f>Data!G324-Data!F324</f>
        <v>1</v>
      </c>
      <c r="F324" s="52">
        <f>IF(Data!J324&lt;=5,Data!J324,IF(Data!J324&lt;=10,"6 TO 10","More than 10"))</f>
        <v>4</v>
      </c>
      <c r="G324" s="52">
        <f t="shared" si="5"/>
        <v>1</v>
      </c>
      <c r="H324" s="52">
        <f>ROUND(Data!C324*Data!D324-Data!E324,2)</f>
        <v>0</v>
      </c>
      <c r="I324" s="52">
        <f>IF(AND(OR(Sel_Mode="All",Data!I324=Sel_Mode),OR(Sel_Gender="All",D324=Sel_Gender),OR(Sel_Category="All",Data!B324=Sel_Category),OR(Sel_Month="All",C324=Sel_Month),OR(Sel_County="All",Data!L324=Sel_County)),1,0)</f>
        <v>1</v>
      </c>
    </row>
    <row r="325" spans="1:9" x14ac:dyDescent="0.25">
      <c r="A325" s="52" t="str">
        <f>Data!A325</f>
        <v>TX500324</v>
      </c>
      <c r="B325" s="52">
        <f>MONTH(Data!F325)</f>
        <v>1</v>
      </c>
      <c r="C325" s="52" t="str">
        <f>TEXT(Data!F325,"mmm")</f>
        <v>Jan</v>
      </c>
      <c r="D325" s="52" t="str">
        <f>Data!O325</f>
        <v>Male</v>
      </c>
      <c r="E325" s="52">
        <f>Data!G325-Data!F325</f>
        <v>6</v>
      </c>
      <c r="F325" s="52">
        <f>IF(Data!J325&lt;=5,Data!J325,IF(Data!J325&lt;=10,"6 TO 10","More than 10"))</f>
        <v>3</v>
      </c>
      <c r="G325" s="52">
        <f t="shared" si="5"/>
        <v>6</v>
      </c>
      <c r="H325" s="52">
        <f>ROUND(Data!C325*Data!D325-Data!E325,2)</f>
        <v>0</v>
      </c>
      <c r="I325" s="52">
        <f>IF(AND(OR(Sel_Mode="All",Data!I325=Sel_Mode),OR(Sel_Gender="All",D325=Sel_Gender),OR(Sel_Category="All",Data!B325=Sel_Category),OR(Sel_Month="All",C325=Sel_Month),OR(Sel_County="All",Data!L325=Sel_County)),1,0)</f>
        <v>1</v>
      </c>
    </row>
    <row r="326" spans="1:9" x14ac:dyDescent="0.25">
      <c r="A326" s="52" t="str">
        <f>Data!A326</f>
        <v>TX500325</v>
      </c>
      <c r="B326" s="52">
        <f>MONTH(Data!F326)</f>
        <v>1</v>
      </c>
      <c r="C326" s="52" t="str">
        <f>TEXT(Data!F326,"mmm")</f>
        <v>Jan</v>
      </c>
      <c r="D326" s="52" t="str">
        <f>Data!O326</f>
        <v>Female</v>
      </c>
      <c r="E326" s="52">
        <f>Data!G326-Data!F326</f>
        <v>1</v>
      </c>
      <c r="F326" s="52">
        <f>IF(Data!J326&lt;=5,Data!J326,IF(Data!J326&lt;=10,"6 TO 10","More than 10"))</f>
        <v>4</v>
      </c>
      <c r="G326" s="52">
        <f t="shared" si="5"/>
        <v>1</v>
      </c>
      <c r="H326" s="52">
        <f>ROUND(Data!C326*Data!D326-Data!E326,2)</f>
        <v>0</v>
      </c>
      <c r="I326" s="52">
        <f>IF(AND(OR(Sel_Mode="All",Data!I326=Sel_Mode),OR(Sel_Gender="All",D326=Sel_Gender),OR(Sel_Category="All",Data!B326=Sel_Category),OR(Sel_Month="All",C326=Sel_Month),OR(Sel_County="All",Data!L326=Sel_County)),1,0)</f>
        <v>1</v>
      </c>
    </row>
    <row r="327" spans="1:9" x14ac:dyDescent="0.25">
      <c r="A327" s="52" t="str">
        <f>Data!A327</f>
        <v>TX500326</v>
      </c>
      <c r="B327" s="52">
        <f>MONTH(Data!F327)</f>
        <v>1</v>
      </c>
      <c r="C327" s="52" t="str">
        <f>TEXT(Data!F327,"mmm")</f>
        <v>Jan</v>
      </c>
      <c r="D327" s="52" t="str">
        <f>Data!O327</f>
        <v>Female</v>
      </c>
      <c r="E327" s="52">
        <f>Data!G327-Data!F327</f>
        <v>0</v>
      </c>
      <c r="F327" s="52">
        <f>IF(Data!J327&lt;=5,Data!J327,IF(Data!J327&lt;=10,"6 TO 10","More than 10"))</f>
        <v>3</v>
      </c>
      <c r="G327" s="52">
        <f t="shared" si="5"/>
        <v>0</v>
      </c>
      <c r="H327" s="52">
        <f>ROUND(Data!C327*Data!D327-Data!E327,2)</f>
        <v>0</v>
      </c>
      <c r="I327" s="52">
        <f>IF(AND(OR(Sel_Mode="All",Data!I327=Sel_Mode),OR(Sel_Gender="All",D327=Sel_Gender),OR(Sel_Category="All",Data!B327=Sel_Category),OR(Sel_Month="All",C327=Sel_Month),OR(Sel_County="All",Data!L327=Sel_County)),1,0)</f>
        <v>1</v>
      </c>
    </row>
    <row r="328" spans="1:9" x14ac:dyDescent="0.25">
      <c r="A328" s="52" t="str">
        <f>Data!A328</f>
        <v>TX500327</v>
      </c>
      <c r="B328" s="52">
        <f>MONTH(Data!F328)</f>
        <v>1</v>
      </c>
      <c r="C328" s="52" t="str">
        <f>TEXT(Data!F328,"mmm")</f>
        <v>Jan</v>
      </c>
      <c r="D328" s="52" t="str">
        <f>Data!O328</f>
        <v>Male</v>
      </c>
      <c r="E328" s="52">
        <f>Data!G328-Data!F328</f>
        <v>2</v>
      </c>
      <c r="F328" s="52">
        <f>IF(Data!J328&lt;=5,Data!J328,IF(Data!J328&lt;=10,"6 TO 10","More than 10"))</f>
        <v>3</v>
      </c>
      <c r="G328" s="52">
        <f t="shared" si="5"/>
        <v>2</v>
      </c>
      <c r="H328" s="52">
        <f>ROUND(Data!C328*Data!D328-Data!E328,2)</f>
        <v>0</v>
      </c>
      <c r="I328" s="52">
        <f>IF(AND(OR(Sel_Mode="All",Data!I328=Sel_Mode),OR(Sel_Gender="All",D328=Sel_Gender),OR(Sel_Category="All",Data!B328=Sel_Category),OR(Sel_Month="All",C328=Sel_Month),OR(Sel_County="All",Data!L328=Sel_County)),1,0)</f>
        <v>1</v>
      </c>
    </row>
    <row r="329" spans="1:9" x14ac:dyDescent="0.25">
      <c r="A329" s="52" t="str">
        <f>Data!A329</f>
        <v>TX500328</v>
      </c>
      <c r="B329" s="52">
        <f>MONTH(Data!F329)</f>
        <v>1</v>
      </c>
      <c r="C329" s="52" t="str">
        <f>TEXT(Data!F329,"mmm")</f>
        <v>Jan</v>
      </c>
      <c r="D329" s="52" t="str">
        <f>Data!O329</f>
        <v>Male</v>
      </c>
      <c r="E329" s="52">
        <f>Data!G329-Data!F329</f>
        <v>1</v>
      </c>
      <c r="F329" s="52">
        <f>IF(Data!J329&lt;=5,Data!J329,IF(Data!J329&lt;=10,"6 TO 10","More than 10"))</f>
        <v>3</v>
      </c>
      <c r="G329" s="52">
        <f t="shared" si="5"/>
        <v>1</v>
      </c>
      <c r="H329" s="52">
        <f>ROUND(Data!C329*Data!D329-Data!E329,2)</f>
        <v>0</v>
      </c>
      <c r="I329" s="52">
        <f>IF(AND(OR(Sel_Mode="All",Data!I329=Sel_Mode),OR(Sel_Gender="All",D329=Sel_Gender),OR(Sel_Category="All",Data!B329=Sel_Category),OR(Sel_Month="All",C329=Sel_Month),OR(Sel_County="All",Data!L329=Sel_County)),1,0)</f>
        <v>1</v>
      </c>
    </row>
    <row r="330" spans="1:9" x14ac:dyDescent="0.25">
      <c r="A330" s="52" t="str">
        <f>Data!A330</f>
        <v>TX500329</v>
      </c>
      <c r="B330" s="52">
        <f>MONTH(Data!F330)</f>
        <v>1</v>
      </c>
      <c r="C330" s="52" t="str">
        <f>TEXT(Data!F330,"mmm")</f>
        <v>Jan</v>
      </c>
      <c r="D330" s="52" t="str">
        <f>Data!O330</f>
        <v>Female</v>
      </c>
      <c r="E330" s="52">
        <f>Data!G330-Data!F330</f>
        <v>3</v>
      </c>
      <c r="F330" s="52">
        <f>IF(Data!J330&lt;=5,Data!J330,IF(Data!J330&lt;=10,"6 TO 10","More than 10"))</f>
        <v>4</v>
      </c>
      <c r="G330" s="52">
        <f t="shared" si="5"/>
        <v>3</v>
      </c>
      <c r="H330" s="52">
        <f>ROUND(Data!C330*Data!D330-Data!E330,2)</f>
        <v>0</v>
      </c>
      <c r="I330" s="52">
        <f>IF(AND(OR(Sel_Mode="All",Data!I330=Sel_Mode),OR(Sel_Gender="All",D330=Sel_Gender),OR(Sel_Category="All",Data!B330=Sel_Category),OR(Sel_Month="All",C330=Sel_Month),OR(Sel_County="All",Data!L330=Sel_County)),1,0)</f>
        <v>1</v>
      </c>
    </row>
    <row r="331" spans="1:9" x14ac:dyDescent="0.25">
      <c r="A331" s="52" t="str">
        <f>Data!A331</f>
        <v>TX500330</v>
      </c>
      <c r="B331" s="52">
        <f>MONTH(Data!F331)</f>
        <v>1</v>
      </c>
      <c r="C331" s="52" t="str">
        <f>TEXT(Data!F331,"mmm")</f>
        <v>Jan</v>
      </c>
      <c r="D331" s="52" t="str">
        <f>Data!O331</f>
        <v>Female</v>
      </c>
      <c r="E331" s="52">
        <f>Data!G331-Data!F331</f>
        <v>1</v>
      </c>
      <c r="F331" s="52">
        <f>IF(Data!J331&lt;=5,Data!J331,IF(Data!J331&lt;=10,"6 TO 10","More than 10"))</f>
        <v>4</v>
      </c>
      <c r="G331" s="52">
        <f t="shared" si="5"/>
        <v>1</v>
      </c>
      <c r="H331" s="52">
        <f>ROUND(Data!C331*Data!D331-Data!E331,2)</f>
        <v>0</v>
      </c>
      <c r="I331" s="52">
        <f>IF(AND(OR(Sel_Mode="All",Data!I331=Sel_Mode),OR(Sel_Gender="All",D331=Sel_Gender),OR(Sel_Category="All",Data!B331=Sel_Category),OR(Sel_Month="All",C331=Sel_Month),OR(Sel_County="All",Data!L331=Sel_County)),1,0)</f>
        <v>1</v>
      </c>
    </row>
    <row r="332" spans="1:9" x14ac:dyDescent="0.25">
      <c r="A332" s="52" t="str">
        <f>Data!A332</f>
        <v>TX500331</v>
      </c>
      <c r="B332" s="52">
        <f>MONTH(Data!F332)</f>
        <v>1</v>
      </c>
      <c r="C332" s="52" t="str">
        <f>TEXT(Data!F332,"mmm")</f>
        <v>Jan</v>
      </c>
      <c r="D332" s="52" t="str">
        <f>Data!O332</f>
        <v>Female</v>
      </c>
      <c r="E332" s="52">
        <f>Data!G332-Data!F332</f>
        <v>1</v>
      </c>
      <c r="F332" s="52">
        <f>IF(Data!J332&lt;=5,Data!J332,IF(Data!J332&lt;=10,"6 TO 10","More than 10"))</f>
        <v>4</v>
      </c>
      <c r="G332" s="52">
        <f t="shared" si="5"/>
        <v>1</v>
      </c>
      <c r="H332" s="52">
        <f>ROUND(Data!C332*Data!D332-Data!E332,2)</f>
        <v>0</v>
      </c>
      <c r="I332" s="52">
        <f>IF(AND(OR(Sel_Mode="All",Data!I332=Sel_Mode),OR(Sel_Gender="All",D332=Sel_Gender),OR(Sel_Category="All",Data!B332=Sel_Category),OR(Sel_Month="All",C332=Sel_Month),OR(Sel_County="All",Data!L332=Sel_County)),1,0)</f>
        <v>1</v>
      </c>
    </row>
    <row r="333" spans="1:9" x14ac:dyDescent="0.25">
      <c r="A333" s="52" t="str">
        <f>Data!A333</f>
        <v>TX500332</v>
      </c>
      <c r="B333" s="52">
        <f>MONTH(Data!F333)</f>
        <v>1</v>
      </c>
      <c r="C333" s="52" t="str">
        <f>TEXT(Data!F333,"mmm")</f>
        <v>Jan</v>
      </c>
      <c r="D333" s="52" t="str">
        <f>Data!O333</f>
        <v>Female</v>
      </c>
      <c r="E333" s="52">
        <f>Data!G333-Data!F333</f>
        <v>1</v>
      </c>
      <c r="F333" s="52">
        <f>IF(Data!J333&lt;=5,Data!J333,IF(Data!J333&lt;=10,"6 TO 10","More than 10"))</f>
        <v>5</v>
      </c>
      <c r="G333" s="52">
        <f t="shared" si="5"/>
        <v>1</v>
      </c>
      <c r="H333" s="52">
        <f>ROUND(Data!C333*Data!D333-Data!E333,2)</f>
        <v>0</v>
      </c>
      <c r="I333" s="52">
        <f>IF(AND(OR(Sel_Mode="All",Data!I333=Sel_Mode),OR(Sel_Gender="All",D333=Sel_Gender),OR(Sel_Category="All",Data!B333=Sel_Category),OR(Sel_Month="All",C333=Sel_Month),OR(Sel_County="All",Data!L333=Sel_County)),1,0)</f>
        <v>1</v>
      </c>
    </row>
    <row r="334" spans="1:9" x14ac:dyDescent="0.25">
      <c r="A334" s="52" t="str">
        <f>Data!A334</f>
        <v>TX500333</v>
      </c>
      <c r="B334" s="52">
        <f>MONTH(Data!F334)</f>
        <v>1</v>
      </c>
      <c r="C334" s="52" t="str">
        <f>TEXT(Data!F334,"mmm")</f>
        <v>Jan</v>
      </c>
      <c r="D334" s="52" t="str">
        <f>Data!O334</f>
        <v>Male</v>
      </c>
      <c r="E334" s="52">
        <f>Data!G334-Data!F334</f>
        <v>2</v>
      </c>
      <c r="F334" s="52">
        <f>IF(Data!J334&lt;=5,Data!J334,IF(Data!J334&lt;=10,"6 TO 10","More than 10"))</f>
        <v>4</v>
      </c>
      <c r="G334" s="52">
        <f t="shared" si="5"/>
        <v>2</v>
      </c>
      <c r="H334" s="52">
        <f>ROUND(Data!C334*Data!D334-Data!E334,2)</f>
        <v>0</v>
      </c>
      <c r="I334" s="52">
        <f>IF(AND(OR(Sel_Mode="All",Data!I334=Sel_Mode),OR(Sel_Gender="All",D334=Sel_Gender),OR(Sel_Category="All",Data!B334=Sel_Category),OR(Sel_Month="All",C334=Sel_Month),OR(Sel_County="All",Data!L334=Sel_County)),1,0)</f>
        <v>1</v>
      </c>
    </row>
    <row r="335" spans="1:9" x14ac:dyDescent="0.25">
      <c r="A335" s="52" t="str">
        <f>Data!A335</f>
        <v>TX500334</v>
      </c>
      <c r="B335" s="52">
        <f>MONTH(Data!F335)</f>
        <v>1</v>
      </c>
      <c r="C335" s="52" t="str">
        <f>TEXT(Data!F335,"mmm")</f>
        <v>Jan</v>
      </c>
      <c r="D335" s="52" t="str">
        <f>Data!O335</f>
        <v>Female</v>
      </c>
      <c r="E335" s="52">
        <f>Data!G335-Data!F335</f>
        <v>3</v>
      </c>
      <c r="F335" s="52">
        <f>IF(Data!J335&lt;=5,Data!J335,IF(Data!J335&lt;=10,"6 TO 10","More than 10"))</f>
        <v>4</v>
      </c>
      <c r="G335" s="52">
        <f t="shared" si="5"/>
        <v>3</v>
      </c>
      <c r="H335" s="52">
        <f>ROUND(Data!C335*Data!D335-Data!E335,2)</f>
        <v>0</v>
      </c>
      <c r="I335" s="52">
        <f>IF(AND(OR(Sel_Mode="All",Data!I335=Sel_Mode),OR(Sel_Gender="All",D335=Sel_Gender),OR(Sel_Category="All",Data!B335=Sel_Category),OR(Sel_Month="All",C335=Sel_Month),OR(Sel_County="All",Data!L335=Sel_County)),1,0)</f>
        <v>1</v>
      </c>
    </row>
    <row r="336" spans="1:9" x14ac:dyDescent="0.25">
      <c r="A336" s="52" t="str">
        <f>Data!A336</f>
        <v>TX500335</v>
      </c>
      <c r="B336" s="52">
        <f>MONTH(Data!F336)</f>
        <v>1</v>
      </c>
      <c r="C336" s="52" t="str">
        <f>TEXT(Data!F336,"mmm")</f>
        <v>Jan</v>
      </c>
      <c r="D336" s="52" t="str">
        <f>Data!O336</f>
        <v>Female</v>
      </c>
      <c r="E336" s="52">
        <f>Data!G336-Data!F336</f>
        <v>1</v>
      </c>
      <c r="F336" s="52">
        <f>IF(Data!J336&lt;=5,Data!J336,IF(Data!J336&lt;=10,"6 TO 10","More than 10"))</f>
        <v>3</v>
      </c>
      <c r="G336" s="52">
        <f t="shared" si="5"/>
        <v>1</v>
      </c>
      <c r="H336" s="52">
        <f>ROUND(Data!C336*Data!D336-Data!E336,2)</f>
        <v>0</v>
      </c>
      <c r="I336" s="52">
        <f>IF(AND(OR(Sel_Mode="All",Data!I336=Sel_Mode),OR(Sel_Gender="All",D336=Sel_Gender),OR(Sel_Category="All",Data!B336=Sel_Category),OR(Sel_Month="All",C336=Sel_Month),OR(Sel_County="All",Data!L336=Sel_County)),1,0)</f>
        <v>1</v>
      </c>
    </row>
    <row r="337" spans="1:9" x14ac:dyDescent="0.25">
      <c r="A337" s="52" t="str">
        <f>Data!A337</f>
        <v>TX500336</v>
      </c>
      <c r="B337" s="52">
        <f>MONTH(Data!F337)</f>
        <v>1</v>
      </c>
      <c r="C337" s="52" t="str">
        <f>TEXT(Data!F337,"mmm")</f>
        <v>Jan</v>
      </c>
      <c r="D337" s="52" t="str">
        <f>Data!O337</f>
        <v>Male</v>
      </c>
      <c r="E337" s="52">
        <f>Data!G337-Data!F337</f>
        <v>6</v>
      </c>
      <c r="F337" s="52">
        <f>IF(Data!J337&lt;=5,Data!J337,IF(Data!J337&lt;=10,"6 TO 10","More than 10"))</f>
        <v>4</v>
      </c>
      <c r="G337" s="52">
        <f t="shared" si="5"/>
        <v>6</v>
      </c>
      <c r="H337" s="52">
        <f>ROUND(Data!C337*Data!D337-Data!E337,2)</f>
        <v>0</v>
      </c>
      <c r="I337" s="52">
        <f>IF(AND(OR(Sel_Mode="All",Data!I337=Sel_Mode),OR(Sel_Gender="All",D337=Sel_Gender),OR(Sel_Category="All",Data!B337=Sel_Category),OR(Sel_Month="All",C337=Sel_Month),OR(Sel_County="All",Data!L337=Sel_County)),1,0)</f>
        <v>1</v>
      </c>
    </row>
    <row r="338" spans="1:9" x14ac:dyDescent="0.25">
      <c r="A338" s="52" t="str">
        <f>Data!A338</f>
        <v>TX500337</v>
      </c>
      <c r="B338" s="52">
        <f>MONTH(Data!F338)</f>
        <v>1</v>
      </c>
      <c r="C338" s="52" t="str">
        <f>TEXT(Data!F338,"mmm")</f>
        <v>Jan</v>
      </c>
      <c r="D338" s="52" t="str">
        <f>Data!O338</f>
        <v>Unknown</v>
      </c>
      <c r="E338" s="52">
        <f>Data!G338-Data!F338</f>
        <v>12</v>
      </c>
      <c r="F338" s="52">
        <f>IF(Data!J338&lt;=5,Data!J338,IF(Data!J338&lt;=10,"6 TO 10","More than 10"))</f>
        <v>5</v>
      </c>
      <c r="G338" s="52" t="str">
        <f t="shared" si="5"/>
        <v>8+</v>
      </c>
      <c r="H338" s="52">
        <f>ROUND(Data!C338*Data!D338-Data!E338,2)</f>
        <v>0</v>
      </c>
      <c r="I338" s="52">
        <f>IF(AND(OR(Sel_Mode="All",Data!I338=Sel_Mode),OR(Sel_Gender="All",D338=Sel_Gender),OR(Sel_Category="All",Data!B338=Sel_Category),OR(Sel_Month="All",C338=Sel_Month),OR(Sel_County="All",Data!L338=Sel_County)),1,0)</f>
        <v>1</v>
      </c>
    </row>
    <row r="339" spans="1:9" x14ac:dyDescent="0.25">
      <c r="A339" s="52" t="str">
        <f>Data!A339</f>
        <v>TX500338</v>
      </c>
      <c r="B339" s="52">
        <f>MONTH(Data!F339)</f>
        <v>1</v>
      </c>
      <c r="C339" s="52" t="str">
        <f>TEXT(Data!F339,"mmm")</f>
        <v>Jan</v>
      </c>
      <c r="D339" s="52" t="str">
        <f>Data!O339</f>
        <v>Female</v>
      </c>
      <c r="E339" s="52">
        <f>Data!G339-Data!F339</f>
        <v>2</v>
      </c>
      <c r="F339" s="52">
        <f>IF(Data!J339&lt;=5,Data!J339,IF(Data!J339&lt;=10,"6 TO 10","More than 10"))</f>
        <v>3</v>
      </c>
      <c r="G339" s="52">
        <f t="shared" si="5"/>
        <v>2</v>
      </c>
      <c r="H339" s="52">
        <f>ROUND(Data!C339*Data!D339-Data!E339,2)</f>
        <v>0</v>
      </c>
      <c r="I339" s="52">
        <f>IF(AND(OR(Sel_Mode="All",Data!I339=Sel_Mode),OR(Sel_Gender="All",D339=Sel_Gender),OR(Sel_Category="All",Data!B339=Sel_Category),OR(Sel_Month="All",C339=Sel_Month),OR(Sel_County="All",Data!L339=Sel_County)),1,0)</f>
        <v>1</v>
      </c>
    </row>
    <row r="340" spans="1:9" x14ac:dyDescent="0.25">
      <c r="A340" s="52" t="str">
        <f>Data!A340</f>
        <v>TX500339</v>
      </c>
      <c r="B340" s="52">
        <f>MONTH(Data!F340)</f>
        <v>1</v>
      </c>
      <c r="C340" s="52" t="str">
        <f>TEXT(Data!F340,"mmm")</f>
        <v>Jan</v>
      </c>
      <c r="D340" s="52" t="str">
        <f>Data!O340</f>
        <v>Male</v>
      </c>
      <c r="E340" s="52">
        <f>Data!G340-Data!F340</f>
        <v>0</v>
      </c>
      <c r="F340" s="52">
        <f>IF(Data!J340&lt;=5,Data!J340,IF(Data!J340&lt;=10,"6 TO 10","More than 10"))</f>
        <v>4</v>
      </c>
      <c r="G340" s="52">
        <f t="shared" si="5"/>
        <v>0</v>
      </c>
      <c r="H340" s="52">
        <f>ROUND(Data!C340*Data!D340-Data!E340,2)</f>
        <v>0</v>
      </c>
      <c r="I340" s="52">
        <f>IF(AND(OR(Sel_Mode="All",Data!I340=Sel_Mode),OR(Sel_Gender="All",D340=Sel_Gender),OR(Sel_Category="All",Data!B340=Sel_Category),OR(Sel_Month="All",C340=Sel_Month),OR(Sel_County="All",Data!L340=Sel_County)),1,0)</f>
        <v>1</v>
      </c>
    </row>
    <row r="341" spans="1:9" x14ac:dyDescent="0.25">
      <c r="A341" s="52" t="str">
        <f>Data!A341</f>
        <v>TX500340</v>
      </c>
      <c r="B341" s="52">
        <f>MONTH(Data!F341)</f>
        <v>1</v>
      </c>
      <c r="C341" s="52" t="str">
        <f>TEXT(Data!F341,"mmm")</f>
        <v>Jan</v>
      </c>
      <c r="D341" s="52" t="str">
        <f>Data!O341</f>
        <v>Female</v>
      </c>
      <c r="E341" s="52">
        <f>Data!G341-Data!F341</f>
        <v>0</v>
      </c>
      <c r="F341" s="52">
        <f>IF(Data!J341&lt;=5,Data!J341,IF(Data!J341&lt;=10,"6 TO 10","More than 10"))</f>
        <v>4</v>
      </c>
      <c r="G341" s="52">
        <f t="shared" si="5"/>
        <v>0</v>
      </c>
      <c r="H341" s="52">
        <f>ROUND(Data!C341*Data!D341-Data!E341,2)</f>
        <v>0</v>
      </c>
      <c r="I341" s="52">
        <f>IF(AND(OR(Sel_Mode="All",Data!I341=Sel_Mode),OR(Sel_Gender="All",D341=Sel_Gender),OR(Sel_Category="All",Data!B341=Sel_Category),OR(Sel_Month="All",C341=Sel_Month),OR(Sel_County="All",Data!L341=Sel_County)),1,0)</f>
        <v>1</v>
      </c>
    </row>
    <row r="342" spans="1:9" x14ac:dyDescent="0.25">
      <c r="A342" s="52" t="str">
        <f>Data!A342</f>
        <v>TX500341</v>
      </c>
      <c r="B342" s="52">
        <f>MONTH(Data!F342)</f>
        <v>1</v>
      </c>
      <c r="C342" s="52" t="str">
        <f>TEXT(Data!F342,"mmm")</f>
        <v>Jan</v>
      </c>
      <c r="D342" s="52" t="str">
        <f>Data!O342</f>
        <v>Female</v>
      </c>
      <c r="E342" s="52">
        <f>Data!G342-Data!F342</f>
        <v>2</v>
      </c>
      <c r="F342" s="52">
        <f>IF(Data!J342&lt;=5,Data!J342,IF(Data!J342&lt;=10,"6 TO 10","More than 10"))</f>
        <v>5</v>
      </c>
      <c r="G342" s="52">
        <f t="shared" si="5"/>
        <v>2</v>
      </c>
      <c r="H342" s="52">
        <f>ROUND(Data!C342*Data!D342-Data!E342,2)</f>
        <v>0</v>
      </c>
      <c r="I342" s="52">
        <f>IF(AND(OR(Sel_Mode="All",Data!I342=Sel_Mode),OR(Sel_Gender="All",D342=Sel_Gender),OR(Sel_Category="All",Data!B342=Sel_Category),OR(Sel_Month="All",C342=Sel_Month),OR(Sel_County="All",Data!L342=Sel_County)),1,0)</f>
        <v>1</v>
      </c>
    </row>
    <row r="343" spans="1:9" x14ac:dyDescent="0.25">
      <c r="A343" s="52" t="str">
        <f>Data!A343</f>
        <v>TX500342</v>
      </c>
      <c r="B343" s="52">
        <f>MONTH(Data!F343)</f>
        <v>1</v>
      </c>
      <c r="C343" s="52" t="str">
        <f>TEXT(Data!F343,"mmm")</f>
        <v>Jan</v>
      </c>
      <c r="D343" s="52" t="str">
        <f>Data!O343</f>
        <v>Male</v>
      </c>
      <c r="E343" s="52">
        <f>Data!G343-Data!F343</f>
        <v>11</v>
      </c>
      <c r="F343" s="52">
        <f>IF(Data!J343&lt;=5,Data!J343,IF(Data!J343&lt;=10,"6 TO 10","More than 10"))</f>
        <v>2</v>
      </c>
      <c r="G343" s="52" t="str">
        <f t="shared" si="5"/>
        <v>8+</v>
      </c>
      <c r="H343" s="52">
        <f>ROUND(Data!C343*Data!D343-Data!E343,2)</f>
        <v>0</v>
      </c>
      <c r="I343" s="52">
        <f>IF(AND(OR(Sel_Mode="All",Data!I343=Sel_Mode),OR(Sel_Gender="All",D343=Sel_Gender),OR(Sel_Category="All",Data!B343=Sel_Category),OR(Sel_Month="All",C343=Sel_Month),OR(Sel_County="All",Data!L343=Sel_County)),1,0)</f>
        <v>1</v>
      </c>
    </row>
    <row r="344" spans="1:9" x14ac:dyDescent="0.25">
      <c r="A344" s="52" t="str">
        <f>Data!A344</f>
        <v>TX500343</v>
      </c>
      <c r="B344" s="52">
        <f>MONTH(Data!F344)</f>
        <v>1</v>
      </c>
      <c r="C344" s="52" t="str">
        <f>TEXT(Data!F344,"mmm")</f>
        <v>Jan</v>
      </c>
      <c r="D344" s="52" t="str">
        <f>Data!O344</f>
        <v>Female</v>
      </c>
      <c r="E344" s="52">
        <f>Data!G344-Data!F344</f>
        <v>2</v>
      </c>
      <c r="F344" s="52">
        <f>IF(Data!J344&lt;=5,Data!J344,IF(Data!J344&lt;=10,"6 TO 10","More than 10"))</f>
        <v>5</v>
      </c>
      <c r="G344" s="52">
        <f t="shared" si="5"/>
        <v>2</v>
      </c>
      <c r="H344" s="52">
        <f>ROUND(Data!C344*Data!D344-Data!E344,2)</f>
        <v>0</v>
      </c>
      <c r="I344" s="52">
        <f>IF(AND(OR(Sel_Mode="All",Data!I344=Sel_Mode),OR(Sel_Gender="All",D344=Sel_Gender),OR(Sel_Category="All",Data!B344=Sel_Category),OR(Sel_Month="All",C344=Sel_Month),OR(Sel_County="All",Data!L344=Sel_County)),1,0)</f>
        <v>1</v>
      </c>
    </row>
    <row r="345" spans="1:9" x14ac:dyDescent="0.25">
      <c r="A345" s="52" t="str">
        <f>Data!A345</f>
        <v>TX500344</v>
      </c>
      <c r="B345" s="52">
        <f>MONTH(Data!F345)</f>
        <v>1</v>
      </c>
      <c r="C345" s="52" t="str">
        <f>TEXT(Data!F345,"mmm")</f>
        <v>Jan</v>
      </c>
      <c r="D345" s="52" t="str">
        <f>Data!O345</f>
        <v>Female</v>
      </c>
      <c r="E345" s="52">
        <f>Data!G345-Data!F345</f>
        <v>4</v>
      </c>
      <c r="F345" s="52">
        <f>IF(Data!J345&lt;=5,Data!J345,IF(Data!J345&lt;=10,"6 TO 10","More than 10"))</f>
        <v>4</v>
      </c>
      <c r="G345" s="52">
        <f t="shared" si="5"/>
        <v>4</v>
      </c>
      <c r="H345" s="52">
        <f>ROUND(Data!C345*Data!D345-Data!E345,2)</f>
        <v>0</v>
      </c>
      <c r="I345" s="52">
        <f>IF(AND(OR(Sel_Mode="All",Data!I345=Sel_Mode),OR(Sel_Gender="All",D345=Sel_Gender),OR(Sel_Category="All",Data!B345=Sel_Category),OR(Sel_Month="All",C345=Sel_Month),OR(Sel_County="All",Data!L345=Sel_County)),1,0)</f>
        <v>1</v>
      </c>
    </row>
    <row r="346" spans="1:9" x14ac:dyDescent="0.25">
      <c r="A346" s="52" t="str">
        <f>Data!A346</f>
        <v>TX500345</v>
      </c>
      <c r="B346" s="52">
        <f>MONTH(Data!F346)</f>
        <v>1</v>
      </c>
      <c r="C346" s="52" t="str">
        <f>TEXT(Data!F346,"mmm")</f>
        <v>Jan</v>
      </c>
      <c r="D346" s="52" t="str">
        <f>Data!O346</f>
        <v>Female</v>
      </c>
      <c r="E346" s="52">
        <f>Data!G346-Data!F346</f>
        <v>0</v>
      </c>
      <c r="F346" s="52">
        <f>IF(Data!J346&lt;=5,Data!J346,IF(Data!J346&lt;=10,"6 TO 10","More than 10"))</f>
        <v>3</v>
      </c>
      <c r="G346" s="52">
        <f t="shared" si="5"/>
        <v>0</v>
      </c>
      <c r="H346" s="52">
        <f>ROUND(Data!C346*Data!D346-Data!E346,2)</f>
        <v>0</v>
      </c>
      <c r="I346" s="52">
        <f>IF(AND(OR(Sel_Mode="All",Data!I346=Sel_Mode),OR(Sel_Gender="All",D346=Sel_Gender),OR(Sel_Category="All",Data!B346=Sel_Category),OR(Sel_Month="All",C346=Sel_Month),OR(Sel_County="All",Data!L346=Sel_County)),1,0)</f>
        <v>1</v>
      </c>
    </row>
    <row r="347" spans="1:9" x14ac:dyDescent="0.25">
      <c r="A347" s="52" t="str">
        <f>Data!A347</f>
        <v>TX500346</v>
      </c>
      <c r="B347" s="52">
        <f>MONTH(Data!F347)</f>
        <v>1</v>
      </c>
      <c r="C347" s="52" t="str">
        <f>TEXT(Data!F347,"mmm")</f>
        <v>Jan</v>
      </c>
      <c r="D347" s="52" t="str">
        <f>Data!O347</f>
        <v>Unknown</v>
      </c>
      <c r="E347" s="52">
        <f>Data!G347-Data!F347</f>
        <v>2</v>
      </c>
      <c r="F347" s="52">
        <f>IF(Data!J347&lt;=5,Data!J347,IF(Data!J347&lt;=10,"6 TO 10","More than 10"))</f>
        <v>5</v>
      </c>
      <c r="G347" s="52">
        <f t="shared" si="5"/>
        <v>2</v>
      </c>
      <c r="H347" s="52">
        <f>ROUND(Data!C347*Data!D347-Data!E347,2)</f>
        <v>0</v>
      </c>
      <c r="I347" s="52">
        <f>IF(AND(OR(Sel_Mode="All",Data!I347=Sel_Mode),OR(Sel_Gender="All",D347=Sel_Gender),OR(Sel_Category="All",Data!B347=Sel_Category),OR(Sel_Month="All",C347=Sel_Month),OR(Sel_County="All",Data!L347=Sel_County)),1,0)</f>
        <v>1</v>
      </c>
    </row>
    <row r="348" spans="1:9" x14ac:dyDescent="0.25">
      <c r="A348" s="52" t="str">
        <f>Data!A348</f>
        <v>TX500347</v>
      </c>
      <c r="B348" s="52">
        <f>MONTH(Data!F348)</f>
        <v>1</v>
      </c>
      <c r="C348" s="52" t="str">
        <f>TEXT(Data!F348,"mmm")</f>
        <v>Jan</v>
      </c>
      <c r="D348" s="52" t="str">
        <f>Data!O348</f>
        <v>Male</v>
      </c>
      <c r="E348" s="52">
        <f>Data!G348-Data!F348</f>
        <v>2</v>
      </c>
      <c r="F348" s="52">
        <f>IF(Data!J348&lt;=5,Data!J348,IF(Data!J348&lt;=10,"6 TO 10","More than 10"))</f>
        <v>3</v>
      </c>
      <c r="G348" s="52">
        <f t="shared" si="5"/>
        <v>2</v>
      </c>
      <c r="H348" s="52">
        <f>ROUND(Data!C348*Data!D348-Data!E348,2)</f>
        <v>0</v>
      </c>
      <c r="I348" s="52">
        <f>IF(AND(OR(Sel_Mode="All",Data!I348=Sel_Mode),OR(Sel_Gender="All",D348=Sel_Gender),OR(Sel_Category="All",Data!B348=Sel_Category),OR(Sel_Month="All",C348=Sel_Month),OR(Sel_County="All",Data!L348=Sel_County)),1,0)</f>
        <v>1</v>
      </c>
    </row>
    <row r="349" spans="1:9" x14ac:dyDescent="0.25">
      <c r="A349" s="52" t="str">
        <f>Data!A349</f>
        <v>TX500348</v>
      </c>
      <c r="B349" s="52">
        <f>MONTH(Data!F349)</f>
        <v>1</v>
      </c>
      <c r="C349" s="52" t="str">
        <f>TEXT(Data!F349,"mmm")</f>
        <v>Jan</v>
      </c>
      <c r="D349" s="52" t="str">
        <f>Data!O349</f>
        <v>Male</v>
      </c>
      <c r="E349" s="52">
        <f>Data!G349-Data!F349</f>
        <v>1</v>
      </c>
      <c r="F349" s="52">
        <f>IF(Data!J349&lt;=5,Data!J349,IF(Data!J349&lt;=10,"6 TO 10","More than 10"))</f>
        <v>3</v>
      </c>
      <c r="G349" s="52">
        <f t="shared" si="5"/>
        <v>1</v>
      </c>
      <c r="H349" s="52">
        <f>ROUND(Data!C349*Data!D349-Data!E349,2)</f>
        <v>0</v>
      </c>
      <c r="I349" s="52">
        <f>IF(AND(OR(Sel_Mode="All",Data!I349=Sel_Mode),OR(Sel_Gender="All",D349=Sel_Gender),OR(Sel_Category="All",Data!B349=Sel_Category),OR(Sel_Month="All",C349=Sel_Month),OR(Sel_County="All",Data!L349=Sel_County)),1,0)</f>
        <v>1</v>
      </c>
    </row>
    <row r="350" spans="1:9" x14ac:dyDescent="0.25">
      <c r="A350" s="52" t="str">
        <f>Data!A350</f>
        <v>TX500349</v>
      </c>
      <c r="B350" s="52">
        <f>MONTH(Data!F350)</f>
        <v>1</v>
      </c>
      <c r="C350" s="52" t="str">
        <f>TEXT(Data!F350,"mmm")</f>
        <v>Jan</v>
      </c>
      <c r="D350" s="52" t="str">
        <f>Data!O350</f>
        <v>Male</v>
      </c>
      <c r="E350" s="52">
        <f>Data!G350-Data!F350</f>
        <v>4</v>
      </c>
      <c r="F350" s="52">
        <f>IF(Data!J350&lt;=5,Data!J350,IF(Data!J350&lt;=10,"6 TO 10","More than 10"))</f>
        <v>5</v>
      </c>
      <c r="G350" s="52">
        <f t="shared" si="5"/>
        <v>4</v>
      </c>
      <c r="H350" s="52">
        <f>ROUND(Data!C350*Data!D350-Data!E350,2)</f>
        <v>0</v>
      </c>
      <c r="I350" s="52">
        <f>IF(AND(OR(Sel_Mode="All",Data!I350=Sel_Mode),OR(Sel_Gender="All",D350=Sel_Gender),OR(Sel_Category="All",Data!B350=Sel_Category),OR(Sel_Month="All",C350=Sel_Month),OR(Sel_County="All",Data!L350=Sel_County)),1,0)</f>
        <v>1</v>
      </c>
    </row>
    <row r="351" spans="1:9" x14ac:dyDescent="0.25">
      <c r="A351" s="52" t="str">
        <f>Data!A351</f>
        <v>TX500350</v>
      </c>
      <c r="B351" s="52">
        <f>MONTH(Data!F351)</f>
        <v>1</v>
      </c>
      <c r="C351" s="52" t="str">
        <f>TEXT(Data!F351,"mmm")</f>
        <v>Jan</v>
      </c>
      <c r="D351" s="52" t="str">
        <f>Data!O351</f>
        <v>Female</v>
      </c>
      <c r="E351" s="52">
        <f>Data!G351-Data!F351</f>
        <v>1</v>
      </c>
      <c r="F351" s="52">
        <f>IF(Data!J351&lt;=5,Data!J351,IF(Data!J351&lt;=10,"6 TO 10","More than 10"))</f>
        <v>5</v>
      </c>
      <c r="G351" s="52">
        <f t="shared" si="5"/>
        <v>1</v>
      </c>
      <c r="H351" s="52">
        <f>ROUND(Data!C351*Data!D351-Data!E351,2)</f>
        <v>0</v>
      </c>
      <c r="I351" s="52">
        <f>IF(AND(OR(Sel_Mode="All",Data!I351=Sel_Mode),OR(Sel_Gender="All",D351=Sel_Gender),OR(Sel_Category="All",Data!B351=Sel_Category),OR(Sel_Month="All",C351=Sel_Month),OR(Sel_County="All",Data!L351=Sel_County)),1,0)</f>
        <v>1</v>
      </c>
    </row>
    <row r="352" spans="1:9" x14ac:dyDescent="0.25">
      <c r="A352" s="52" t="str">
        <f>Data!A352</f>
        <v>TX500351</v>
      </c>
      <c r="B352" s="52">
        <f>MONTH(Data!F352)</f>
        <v>1</v>
      </c>
      <c r="C352" s="52" t="str">
        <f>TEXT(Data!F352,"mmm")</f>
        <v>Jan</v>
      </c>
      <c r="D352" s="52" t="str">
        <f>Data!O352</f>
        <v>Male</v>
      </c>
      <c r="E352" s="52">
        <f>Data!G352-Data!F352</f>
        <v>1</v>
      </c>
      <c r="F352" s="52">
        <f>IF(Data!J352&lt;=5,Data!J352,IF(Data!J352&lt;=10,"6 TO 10","More than 10"))</f>
        <v>2</v>
      </c>
      <c r="G352" s="52">
        <f t="shared" si="5"/>
        <v>1</v>
      </c>
      <c r="H352" s="52">
        <f>ROUND(Data!C352*Data!D352-Data!E352,2)</f>
        <v>0</v>
      </c>
      <c r="I352" s="52">
        <f>IF(AND(OR(Sel_Mode="All",Data!I352=Sel_Mode),OR(Sel_Gender="All",D352=Sel_Gender),OR(Sel_Category="All",Data!B352=Sel_Category),OR(Sel_Month="All",C352=Sel_Month),OR(Sel_County="All",Data!L352=Sel_County)),1,0)</f>
        <v>1</v>
      </c>
    </row>
    <row r="353" spans="1:9" x14ac:dyDescent="0.25">
      <c r="A353" s="52" t="str">
        <f>Data!A353</f>
        <v>TX500352</v>
      </c>
      <c r="B353" s="52">
        <f>MONTH(Data!F353)</f>
        <v>1</v>
      </c>
      <c r="C353" s="52" t="str">
        <f>TEXT(Data!F353,"mmm")</f>
        <v>Jan</v>
      </c>
      <c r="D353" s="52" t="str">
        <f>Data!O353</f>
        <v>Female</v>
      </c>
      <c r="E353" s="52">
        <f>Data!G353-Data!F353</f>
        <v>0</v>
      </c>
      <c r="F353" s="52">
        <f>IF(Data!J353&lt;=5,Data!J353,IF(Data!J353&lt;=10,"6 TO 10","More than 10"))</f>
        <v>5</v>
      </c>
      <c r="G353" s="52">
        <f t="shared" si="5"/>
        <v>0</v>
      </c>
      <c r="H353" s="52">
        <f>ROUND(Data!C353*Data!D353-Data!E353,2)</f>
        <v>0</v>
      </c>
      <c r="I353" s="52">
        <f>IF(AND(OR(Sel_Mode="All",Data!I353=Sel_Mode),OR(Sel_Gender="All",D353=Sel_Gender),OR(Sel_Category="All",Data!B353=Sel_Category),OR(Sel_Month="All",C353=Sel_Month),OR(Sel_County="All",Data!L353=Sel_County)),1,0)</f>
        <v>1</v>
      </c>
    </row>
    <row r="354" spans="1:9" x14ac:dyDescent="0.25">
      <c r="A354" s="52" t="str">
        <f>Data!A354</f>
        <v>TX500353</v>
      </c>
      <c r="B354" s="52">
        <f>MONTH(Data!F354)</f>
        <v>1</v>
      </c>
      <c r="C354" s="52" t="str">
        <f>TEXT(Data!F354,"mmm")</f>
        <v>Jan</v>
      </c>
      <c r="D354" s="52" t="str">
        <f>Data!O354</f>
        <v>Female</v>
      </c>
      <c r="E354" s="52">
        <f>Data!G354-Data!F354</f>
        <v>8</v>
      </c>
      <c r="F354" s="52">
        <f>IF(Data!J354&lt;=5,Data!J354,IF(Data!J354&lt;=10,"6 TO 10","More than 10"))</f>
        <v>5</v>
      </c>
      <c r="G354" s="52" t="str">
        <f t="shared" si="5"/>
        <v>8+</v>
      </c>
      <c r="H354" s="52">
        <f>ROUND(Data!C354*Data!D354-Data!E354,2)</f>
        <v>0</v>
      </c>
      <c r="I354" s="52">
        <f>IF(AND(OR(Sel_Mode="All",Data!I354=Sel_Mode),OR(Sel_Gender="All",D354=Sel_Gender),OR(Sel_Category="All",Data!B354=Sel_Category),OR(Sel_Month="All",C354=Sel_Month),OR(Sel_County="All",Data!L354=Sel_County)),1,0)</f>
        <v>1</v>
      </c>
    </row>
    <row r="355" spans="1:9" x14ac:dyDescent="0.25">
      <c r="A355" s="52" t="str">
        <f>Data!A355</f>
        <v>TX500354</v>
      </c>
      <c r="B355" s="52">
        <f>MONTH(Data!F355)</f>
        <v>1</v>
      </c>
      <c r="C355" s="52" t="str">
        <f>TEXT(Data!F355,"mmm")</f>
        <v>Jan</v>
      </c>
      <c r="D355" s="52" t="str">
        <f>Data!O355</f>
        <v>Male</v>
      </c>
      <c r="E355" s="52">
        <f>Data!G355-Data!F355</f>
        <v>1</v>
      </c>
      <c r="F355" s="52">
        <f>IF(Data!J355&lt;=5,Data!J355,IF(Data!J355&lt;=10,"6 TO 10","More than 10"))</f>
        <v>4</v>
      </c>
      <c r="G355" s="52">
        <f t="shared" si="5"/>
        <v>1</v>
      </c>
      <c r="H355" s="52">
        <f>ROUND(Data!C355*Data!D355-Data!E355,2)</f>
        <v>0</v>
      </c>
      <c r="I355" s="52">
        <f>IF(AND(OR(Sel_Mode="All",Data!I355=Sel_Mode),OR(Sel_Gender="All",D355=Sel_Gender),OR(Sel_Category="All",Data!B355=Sel_Category),OR(Sel_Month="All",C355=Sel_Month),OR(Sel_County="All",Data!L355=Sel_County)),1,0)</f>
        <v>1</v>
      </c>
    </row>
    <row r="356" spans="1:9" x14ac:dyDescent="0.25">
      <c r="A356" s="52" t="str">
        <f>Data!A356</f>
        <v>TX500355</v>
      </c>
      <c r="B356" s="52">
        <f>MONTH(Data!F356)</f>
        <v>1</v>
      </c>
      <c r="C356" s="52" t="str">
        <f>TEXT(Data!F356,"mmm")</f>
        <v>Jan</v>
      </c>
      <c r="D356" s="52" t="str">
        <f>Data!O356</f>
        <v>Male</v>
      </c>
      <c r="E356" s="52">
        <f>Data!G356-Data!F356</f>
        <v>6</v>
      </c>
      <c r="F356" s="52">
        <f>IF(Data!J356&lt;=5,Data!J356,IF(Data!J356&lt;=10,"6 TO 10","More than 10"))</f>
        <v>3</v>
      </c>
      <c r="G356" s="52">
        <f t="shared" si="5"/>
        <v>6</v>
      </c>
      <c r="H356" s="52">
        <f>ROUND(Data!C356*Data!D356-Data!E356,2)</f>
        <v>0</v>
      </c>
      <c r="I356" s="52">
        <f>IF(AND(OR(Sel_Mode="All",Data!I356=Sel_Mode),OR(Sel_Gender="All",D356=Sel_Gender),OR(Sel_Category="All",Data!B356=Sel_Category),OR(Sel_Month="All",C356=Sel_Month),OR(Sel_County="All",Data!L356=Sel_County)),1,0)</f>
        <v>1</v>
      </c>
    </row>
    <row r="357" spans="1:9" x14ac:dyDescent="0.25">
      <c r="A357" s="52" t="str">
        <f>Data!A357</f>
        <v>TX500356</v>
      </c>
      <c r="B357" s="52">
        <f>MONTH(Data!F357)</f>
        <v>1</v>
      </c>
      <c r="C357" s="52" t="str">
        <f>TEXT(Data!F357,"mmm")</f>
        <v>Jan</v>
      </c>
      <c r="D357" s="52" t="str">
        <f>Data!O357</f>
        <v>Unknown</v>
      </c>
      <c r="E357" s="52">
        <f>Data!G357-Data!F357</f>
        <v>1</v>
      </c>
      <c r="F357" s="52">
        <f>IF(Data!J357&lt;=5,Data!J357,IF(Data!J357&lt;=10,"6 TO 10","More than 10"))</f>
        <v>4</v>
      </c>
      <c r="G357" s="52">
        <f t="shared" si="5"/>
        <v>1</v>
      </c>
      <c r="H357" s="52">
        <f>ROUND(Data!C357*Data!D357-Data!E357,2)</f>
        <v>0</v>
      </c>
      <c r="I357" s="52">
        <f>IF(AND(OR(Sel_Mode="All",Data!I357=Sel_Mode),OR(Sel_Gender="All",D357=Sel_Gender),OR(Sel_Category="All",Data!B357=Sel_Category),OR(Sel_Month="All",C357=Sel_Month),OR(Sel_County="All",Data!L357=Sel_County)),1,0)</f>
        <v>1</v>
      </c>
    </row>
    <row r="358" spans="1:9" x14ac:dyDescent="0.25">
      <c r="A358" s="52" t="str">
        <f>Data!A358</f>
        <v>TX500357</v>
      </c>
      <c r="B358" s="52">
        <f>MONTH(Data!F358)</f>
        <v>1</v>
      </c>
      <c r="C358" s="52" t="str">
        <f>TEXT(Data!F358,"mmm")</f>
        <v>Jan</v>
      </c>
      <c r="D358" s="52" t="str">
        <f>Data!O358</f>
        <v>Female</v>
      </c>
      <c r="E358" s="52">
        <f>Data!G358-Data!F358</f>
        <v>2</v>
      </c>
      <c r="F358" s="52">
        <f>IF(Data!J358&lt;=5,Data!J358,IF(Data!J358&lt;=10,"6 TO 10","More than 10"))</f>
        <v>4</v>
      </c>
      <c r="G358" s="52">
        <f t="shared" si="5"/>
        <v>2</v>
      </c>
      <c r="H358" s="52">
        <f>ROUND(Data!C358*Data!D358-Data!E358,2)</f>
        <v>0</v>
      </c>
      <c r="I358" s="52">
        <f>IF(AND(OR(Sel_Mode="All",Data!I358=Sel_Mode),OR(Sel_Gender="All",D358=Sel_Gender),OR(Sel_Category="All",Data!B358=Sel_Category),OR(Sel_Month="All",C358=Sel_Month),OR(Sel_County="All",Data!L358=Sel_County)),1,0)</f>
        <v>1</v>
      </c>
    </row>
    <row r="359" spans="1:9" x14ac:dyDescent="0.25">
      <c r="A359" s="52" t="str">
        <f>Data!A359</f>
        <v>TX500358</v>
      </c>
      <c r="B359" s="52">
        <f>MONTH(Data!F359)</f>
        <v>1</v>
      </c>
      <c r="C359" s="52" t="str">
        <f>TEXT(Data!F359,"mmm")</f>
        <v>Jan</v>
      </c>
      <c r="D359" s="52" t="str">
        <f>Data!O359</f>
        <v>Female</v>
      </c>
      <c r="E359" s="52">
        <f>Data!G359-Data!F359</f>
        <v>3</v>
      </c>
      <c r="F359" s="52">
        <f>IF(Data!J359&lt;=5,Data!J359,IF(Data!J359&lt;=10,"6 TO 10","More than 10"))</f>
        <v>5</v>
      </c>
      <c r="G359" s="52">
        <f t="shared" si="5"/>
        <v>3</v>
      </c>
      <c r="H359" s="52">
        <f>ROUND(Data!C359*Data!D359-Data!E359,2)</f>
        <v>0</v>
      </c>
      <c r="I359" s="52">
        <f>IF(AND(OR(Sel_Mode="All",Data!I359=Sel_Mode),OR(Sel_Gender="All",D359=Sel_Gender),OR(Sel_Category="All",Data!B359=Sel_Category),OR(Sel_Month="All",C359=Sel_Month),OR(Sel_County="All",Data!L359=Sel_County)),1,0)</f>
        <v>1</v>
      </c>
    </row>
    <row r="360" spans="1:9" x14ac:dyDescent="0.25">
      <c r="A360" s="52" t="str">
        <f>Data!A360</f>
        <v>TX500359</v>
      </c>
      <c r="B360" s="52">
        <f>MONTH(Data!F360)</f>
        <v>1</v>
      </c>
      <c r="C360" s="52" t="str">
        <f>TEXT(Data!F360,"mmm")</f>
        <v>Jan</v>
      </c>
      <c r="D360" s="52" t="str">
        <f>Data!O360</f>
        <v>Female</v>
      </c>
      <c r="E360" s="52">
        <f>Data!G360-Data!F360</f>
        <v>0</v>
      </c>
      <c r="F360" s="52">
        <f>IF(Data!J360&lt;=5,Data!J360,IF(Data!J360&lt;=10,"6 TO 10","More than 10"))</f>
        <v>5</v>
      </c>
      <c r="G360" s="52">
        <f t="shared" si="5"/>
        <v>0</v>
      </c>
      <c r="H360" s="52">
        <f>ROUND(Data!C360*Data!D360-Data!E360,2)</f>
        <v>0</v>
      </c>
      <c r="I360" s="52">
        <f>IF(AND(OR(Sel_Mode="All",Data!I360=Sel_Mode),OR(Sel_Gender="All",D360=Sel_Gender),OR(Sel_Category="All",Data!B360=Sel_Category),OR(Sel_Month="All",C360=Sel_Month),OR(Sel_County="All",Data!L360=Sel_County)),1,0)</f>
        <v>1</v>
      </c>
    </row>
    <row r="361" spans="1:9" x14ac:dyDescent="0.25">
      <c r="A361" s="52" t="str">
        <f>Data!A361</f>
        <v>TX500360</v>
      </c>
      <c r="B361" s="52">
        <f>MONTH(Data!F361)</f>
        <v>1</v>
      </c>
      <c r="C361" s="52" t="str">
        <f>TEXT(Data!F361,"mmm")</f>
        <v>Jan</v>
      </c>
      <c r="D361" s="52" t="str">
        <f>Data!O361</f>
        <v>Male</v>
      </c>
      <c r="E361" s="52">
        <f>Data!G361-Data!F361</f>
        <v>1</v>
      </c>
      <c r="F361" s="52">
        <f>IF(Data!J361&lt;=5,Data!J361,IF(Data!J361&lt;=10,"6 TO 10","More than 10"))</f>
        <v>5</v>
      </c>
      <c r="G361" s="52">
        <f t="shared" si="5"/>
        <v>1</v>
      </c>
      <c r="H361" s="52">
        <f>ROUND(Data!C361*Data!D361-Data!E361,2)</f>
        <v>0</v>
      </c>
      <c r="I361" s="52">
        <f>IF(AND(OR(Sel_Mode="All",Data!I361=Sel_Mode),OR(Sel_Gender="All",D361=Sel_Gender),OR(Sel_Category="All",Data!B361=Sel_Category),OR(Sel_Month="All",C361=Sel_Month),OR(Sel_County="All",Data!L361=Sel_County)),1,0)</f>
        <v>1</v>
      </c>
    </row>
    <row r="362" spans="1:9" x14ac:dyDescent="0.25">
      <c r="A362" s="52" t="str">
        <f>Data!A362</f>
        <v>TX500361</v>
      </c>
      <c r="B362" s="52">
        <f>MONTH(Data!F362)</f>
        <v>1</v>
      </c>
      <c r="C362" s="52" t="str">
        <f>TEXT(Data!F362,"mmm")</f>
        <v>Jan</v>
      </c>
      <c r="D362" s="52" t="str">
        <f>Data!O362</f>
        <v>Female</v>
      </c>
      <c r="E362" s="52">
        <f>Data!G362-Data!F362</f>
        <v>6</v>
      </c>
      <c r="F362" s="52">
        <f>IF(Data!J362&lt;=5,Data!J362,IF(Data!J362&lt;=10,"6 TO 10","More than 10"))</f>
        <v>2</v>
      </c>
      <c r="G362" s="52">
        <f t="shared" si="5"/>
        <v>6</v>
      </c>
      <c r="H362" s="52">
        <f>ROUND(Data!C362*Data!D362-Data!E362,2)</f>
        <v>0</v>
      </c>
      <c r="I362" s="52">
        <f>IF(AND(OR(Sel_Mode="All",Data!I362=Sel_Mode),OR(Sel_Gender="All",D362=Sel_Gender),OR(Sel_Category="All",Data!B362=Sel_Category),OR(Sel_Month="All",C362=Sel_Month),OR(Sel_County="All",Data!L362=Sel_County)),1,0)</f>
        <v>1</v>
      </c>
    </row>
    <row r="363" spans="1:9" x14ac:dyDescent="0.25">
      <c r="A363" s="52" t="str">
        <f>Data!A363</f>
        <v>TX500362</v>
      </c>
      <c r="B363" s="52">
        <f>MONTH(Data!F363)</f>
        <v>1</v>
      </c>
      <c r="C363" s="52" t="str">
        <f>TEXT(Data!F363,"mmm")</f>
        <v>Jan</v>
      </c>
      <c r="D363" s="52" t="str">
        <f>Data!O363</f>
        <v>Other</v>
      </c>
      <c r="E363" s="52">
        <f>Data!G363-Data!F363</f>
        <v>1</v>
      </c>
      <c r="F363" s="52">
        <f>IF(Data!J363&lt;=5,Data!J363,IF(Data!J363&lt;=10,"6 TO 10","More than 10"))</f>
        <v>5</v>
      </c>
      <c r="G363" s="52">
        <f t="shared" si="5"/>
        <v>1</v>
      </c>
      <c r="H363" s="52">
        <f>ROUND(Data!C363*Data!D363-Data!E363,2)</f>
        <v>0</v>
      </c>
      <c r="I363" s="52">
        <f>IF(AND(OR(Sel_Mode="All",Data!I363=Sel_Mode),OR(Sel_Gender="All",D363=Sel_Gender),OR(Sel_Category="All",Data!B363=Sel_Category),OR(Sel_Month="All",C363=Sel_Month),OR(Sel_County="All",Data!L363=Sel_County)),1,0)</f>
        <v>1</v>
      </c>
    </row>
    <row r="364" spans="1:9" x14ac:dyDescent="0.25">
      <c r="A364" s="52" t="str">
        <f>Data!A364</f>
        <v>TX500363</v>
      </c>
      <c r="B364" s="52">
        <f>MONTH(Data!F364)</f>
        <v>1</v>
      </c>
      <c r="C364" s="52" t="str">
        <f>TEXT(Data!F364,"mmm")</f>
        <v>Jan</v>
      </c>
      <c r="D364" s="52" t="str">
        <f>Data!O364</f>
        <v>Male</v>
      </c>
      <c r="E364" s="52">
        <f>Data!G364-Data!F364</f>
        <v>4</v>
      </c>
      <c r="F364" s="52">
        <f>IF(Data!J364&lt;=5,Data!J364,IF(Data!J364&lt;=10,"6 TO 10","More than 10"))</f>
        <v>5</v>
      </c>
      <c r="G364" s="52">
        <f t="shared" si="5"/>
        <v>4</v>
      </c>
      <c r="H364" s="52">
        <f>ROUND(Data!C364*Data!D364-Data!E364,2)</f>
        <v>0</v>
      </c>
      <c r="I364" s="52">
        <f>IF(AND(OR(Sel_Mode="All",Data!I364=Sel_Mode),OR(Sel_Gender="All",D364=Sel_Gender),OR(Sel_Category="All",Data!B364=Sel_Category),OR(Sel_Month="All",C364=Sel_Month),OR(Sel_County="All",Data!L364=Sel_County)),1,0)</f>
        <v>1</v>
      </c>
    </row>
    <row r="365" spans="1:9" x14ac:dyDescent="0.25">
      <c r="A365" s="52" t="str">
        <f>Data!A365</f>
        <v>TX500364</v>
      </c>
      <c r="B365" s="52">
        <f>MONTH(Data!F365)</f>
        <v>1</v>
      </c>
      <c r="C365" s="52" t="str">
        <f>TEXT(Data!F365,"mmm")</f>
        <v>Jan</v>
      </c>
      <c r="D365" s="52" t="str">
        <f>Data!O365</f>
        <v>Female</v>
      </c>
      <c r="E365" s="52">
        <f>Data!G365-Data!F365</f>
        <v>2</v>
      </c>
      <c r="F365" s="52">
        <f>IF(Data!J365&lt;=5,Data!J365,IF(Data!J365&lt;=10,"6 TO 10","More than 10"))</f>
        <v>5</v>
      </c>
      <c r="G365" s="52">
        <f t="shared" si="5"/>
        <v>2</v>
      </c>
      <c r="H365" s="52">
        <f>ROUND(Data!C365*Data!D365-Data!E365,2)</f>
        <v>0</v>
      </c>
      <c r="I365" s="52">
        <f>IF(AND(OR(Sel_Mode="All",Data!I365=Sel_Mode),OR(Sel_Gender="All",D365=Sel_Gender),OR(Sel_Category="All",Data!B365=Sel_Category),OR(Sel_Month="All",C365=Sel_Month),OR(Sel_County="All",Data!L365=Sel_County)),1,0)</f>
        <v>1</v>
      </c>
    </row>
    <row r="366" spans="1:9" x14ac:dyDescent="0.25">
      <c r="A366" s="52" t="str">
        <f>Data!A366</f>
        <v>TX500365</v>
      </c>
      <c r="B366" s="52">
        <f>MONTH(Data!F366)</f>
        <v>1</v>
      </c>
      <c r="C366" s="52" t="str">
        <f>TEXT(Data!F366,"mmm")</f>
        <v>Jan</v>
      </c>
      <c r="D366" s="52" t="str">
        <f>Data!O366</f>
        <v>Male</v>
      </c>
      <c r="E366" s="52">
        <f>Data!G366-Data!F366</f>
        <v>3</v>
      </c>
      <c r="F366" s="52">
        <f>IF(Data!J366&lt;=5,Data!J366,IF(Data!J366&lt;=10,"6 TO 10","More than 10"))</f>
        <v>5</v>
      </c>
      <c r="G366" s="52">
        <f t="shared" si="5"/>
        <v>3</v>
      </c>
      <c r="H366" s="52">
        <f>ROUND(Data!C366*Data!D366-Data!E366,2)</f>
        <v>0</v>
      </c>
      <c r="I366" s="52">
        <f>IF(AND(OR(Sel_Mode="All",Data!I366=Sel_Mode),OR(Sel_Gender="All",D366=Sel_Gender),OR(Sel_Category="All",Data!B366=Sel_Category),OR(Sel_Month="All",C366=Sel_Month),OR(Sel_County="All",Data!L366=Sel_County)),1,0)</f>
        <v>1</v>
      </c>
    </row>
    <row r="367" spans="1:9" x14ac:dyDescent="0.25">
      <c r="A367" s="52" t="str">
        <f>Data!A367</f>
        <v>TX500366</v>
      </c>
      <c r="B367" s="52">
        <f>MONTH(Data!F367)</f>
        <v>1</v>
      </c>
      <c r="C367" s="52" t="str">
        <f>TEXT(Data!F367,"mmm")</f>
        <v>Jan</v>
      </c>
      <c r="D367" s="52" t="str">
        <f>Data!O367</f>
        <v>Female</v>
      </c>
      <c r="E367" s="52">
        <f>Data!G367-Data!F367</f>
        <v>2</v>
      </c>
      <c r="F367" s="52">
        <f>IF(Data!J367&lt;=5,Data!J367,IF(Data!J367&lt;=10,"6 TO 10","More than 10"))</f>
        <v>3</v>
      </c>
      <c r="G367" s="52">
        <f t="shared" si="5"/>
        <v>2</v>
      </c>
      <c r="H367" s="52">
        <f>ROUND(Data!C367*Data!D367-Data!E367,2)</f>
        <v>0</v>
      </c>
      <c r="I367" s="52">
        <f>IF(AND(OR(Sel_Mode="All",Data!I367=Sel_Mode),OR(Sel_Gender="All",D367=Sel_Gender),OR(Sel_Category="All",Data!B367=Sel_Category),OR(Sel_Month="All",C367=Sel_Month),OR(Sel_County="All",Data!L367=Sel_County)),1,0)</f>
        <v>1</v>
      </c>
    </row>
    <row r="368" spans="1:9" x14ac:dyDescent="0.25">
      <c r="A368" s="52" t="str">
        <f>Data!A368</f>
        <v>TX500367</v>
      </c>
      <c r="B368" s="52">
        <f>MONTH(Data!F368)</f>
        <v>1</v>
      </c>
      <c r="C368" s="52" t="str">
        <f>TEXT(Data!F368,"mmm")</f>
        <v>Jan</v>
      </c>
      <c r="D368" s="52" t="str">
        <f>Data!O368</f>
        <v>Unknown</v>
      </c>
      <c r="E368" s="52">
        <f>Data!G368-Data!F368</f>
        <v>1</v>
      </c>
      <c r="F368" s="52">
        <f>IF(Data!J368&lt;=5,Data!J368,IF(Data!J368&lt;=10,"6 TO 10","More than 10"))</f>
        <v>4</v>
      </c>
      <c r="G368" s="52">
        <f t="shared" si="5"/>
        <v>1</v>
      </c>
      <c r="H368" s="52">
        <f>ROUND(Data!C368*Data!D368-Data!E368,2)</f>
        <v>0</v>
      </c>
      <c r="I368" s="52">
        <f>IF(AND(OR(Sel_Mode="All",Data!I368=Sel_Mode),OR(Sel_Gender="All",D368=Sel_Gender),OR(Sel_Category="All",Data!B368=Sel_Category),OR(Sel_Month="All",C368=Sel_Month),OR(Sel_County="All",Data!L368=Sel_County)),1,0)</f>
        <v>1</v>
      </c>
    </row>
    <row r="369" spans="1:9" x14ac:dyDescent="0.25">
      <c r="A369" s="52" t="str">
        <f>Data!A369</f>
        <v>TX500368</v>
      </c>
      <c r="B369" s="52">
        <f>MONTH(Data!F369)</f>
        <v>1</v>
      </c>
      <c r="C369" s="52" t="str">
        <f>TEXT(Data!F369,"mmm")</f>
        <v>Jan</v>
      </c>
      <c r="D369" s="52" t="str">
        <f>Data!O369</f>
        <v>Female</v>
      </c>
      <c r="E369" s="52">
        <f>Data!G369-Data!F369</f>
        <v>1</v>
      </c>
      <c r="F369" s="52">
        <f>IF(Data!J369&lt;=5,Data!J369,IF(Data!J369&lt;=10,"6 TO 10","More than 10"))</f>
        <v>4</v>
      </c>
      <c r="G369" s="52">
        <f t="shared" si="5"/>
        <v>1</v>
      </c>
      <c r="H369" s="52">
        <f>ROUND(Data!C369*Data!D369-Data!E369,2)</f>
        <v>0</v>
      </c>
      <c r="I369" s="52">
        <f>IF(AND(OR(Sel_Mode="All",Data!I369=Sel_Mode),OR(Sel_Gender="All",D369=Sel_Gender),OR(Sel_Category="All",Data!B369=Sel_Category),OR(Sel_Month="All",C369=Sel_Month),OR(Sel_County="All",Data!L369=Sel_County)),1,0)</f>
        <v>1</v>
      </c>
    </row>
    <row r="370" spans="1:9" x14ac:dyDescent="0.25">
      <c r="A370" s="52" t="str">
        <f>Data!A370</f>
        <v>TX500369</v>
      </c>
      <c r="B370" s="52">
        <f>MONTH(Data!F370)</f>
        <v>1</v>
      </c>
      <c r="C370" s="52" t="str">
        <f>TEXT(Data!F370,"mmm")</f>
        <v>Jan</v>
      </c>
      <c r="D370" s="52" t="str">
        <f>Data!O370</f>
        <v>Male</v>
      </c>
      <c r="E370" s="52">
        <f>Data!G370-Data!F370</f>
        <v>5</v>
      </c>
      <c r="F370" s="52">
        <f>IF(Data!J370&lt;=5,Data!J370,IF(Data!J370&lt;=10,"6 TO 10","More than 10"))</f>
        <v>2</v>
      </c>
      <c r="G370" s="52">
        <f t="shared" si="5"/>
        <v>5</v>
      </c>
      <c r="H370" s="52">
        <f>ROUND(Data!C370*Data!D370-Data!E370,2)</f>
        <v>0</v>
      </c>
      <c r="I370" s="52">
        <f>IF(AND(OR(Sel_Mode="All",Data!I370=Sel_Mode),OR(Sel_Gender="All",D370=Sel_Gender),OR(Sel_Category="All",Data!B370=Sel_Category),OR(Sel_Month="All",C370=Sel_Month),OR(Sel_County="All",Data!L370=Sel_County)),1,0)</f>
        <v>1</v>
      </c>
    </row>
    <row r="371" spans="1:9" x14ac:dyDescent="0.25">
      <c r="A371" s="52" t="str">
        <f>Data!A371</f>
        <v>TX500370</v>
      </c>
      <c r="B371" s="52">
        <f>MONTH(Data!F371)</f>
        <v>1</v>
      </c>
      <c r="C371" s="52" t="str">
        <f>TEXT(Data!F371,"mmm")</f>
        <v>Jan</v>
      </c>
      <c r="D371" s="52" t="str">
        <f>Data!O371</f>
        <v>Female</v>
      </c>
      <c r="E371" s="52">
        <f>Data!G371-Data!F371</f>
        <v>1</v>
      </c>
      <c r="F371" s="52">
        <f>IF(Data!J371&lt;=5,Data!J371,IF(Data!J371&lt;=10,"6 TO 10","More than 10"))</f>
        <v>5</v>
      </c>
      <c r="G371" s="52">
        <f t="shared" si="5"/>
        <v>1</v>
      </c>
      <c r="H371" s="52">
        <f>ROUND(Data!C371*Data!D371-Data!E371,2)</f>
        <v>0</v>
      </c>
      <c r="I371" s="52">
        <f>IF(AND(OR(Sel_Mode="All",Data!I371=Sel_Mode),OR(Sel_Gender="All",D371=Sel_Gender),OR(Sel_Category="All",Data!B371=Sel_Category),OR(Sel_Month="All",C371=Sel_Month),OR(Sel_County="All",Data!L371=Sel_County)),1,0)</f>
        <v>1</v>
      </c>
    </row>
    <row r="372" spans="1:9" x14ac:dyDescent="0.25">
      <c r="A372" s="52" t="str">
        <f>Data!A372</f>
        <v>TX500371</v>
      </c>
      <c r="B372" s="52">
        <f>MONTH(Data!F372)</f>
        <v>1</v>
      </c>
      <c r="C372" s="52" t="str">
        <f>TEXT(Data!F372,"mmm")</f>
        <v>Jan</v>
      </c>
      <c r="D372" s="52" t="str">
        <f>Data!O372</f>
        <v>Female</v>
      </c>
      <c r="E372" s="52">
        <f>Data!G372-Data!F372</f>
        <v>2</v>
      </c>
      <c r="F372" s="52">
        <f>IF(Data!J372&lt;=5,Data!J372,IF(Data!J372&lt;=10,"6 TO 10","More than 10"))</f>
        <v>4</v>
      </c>
      <c r="G372" s="52">
        <f t="shared" si="5"/>
        <v>2</v>
      </c>
      <c r="H372" s="52">
        <f>ROUND(Data!C372*Data!D372-Data!E372,2)</f>
        <v>0</v>
      </c>
      <c r="I372" s="52">
        <f>IF(AND(OR(Sel_Mode="All",Data!I372=Sel_Mode),OR(Sel_Gender="All",D372=Sel_Gender),OR(Sel_Category="All",Data!B372=Sel_Category),OR(Sel_Month="All",C372=Sel_Month),OR(Sel_County="All",Data!L372=Sel_County)),1,0)</f>
        <v>1</v>
      </c>
    </row>
    <row r="373" spans="1:9" x14ac:dyDescent="0.25">
      <c r="A373" s="52" t="str">
        <f>Data!A373</f>
        <v>TX500372</v>
      </c>
      <c r="B373" s="52">
        <f>MONTH(Data!F373)</f>
        <v>1</v>
      </c>
      <c r="C373" s="52" t="str">
        <f>TEXT(Data!F373,"mmm")</f>
        <v>Jan</v>
      </c>
      <c r="D373" s="52" t="str">
        <f>Data!O373</f>
        <v>Male</v>
      </c>
      <c r="E373" s="52">
        <f>Data!G373-Data!F373</f>
        <v>1</v>
      </c>
      <c r="F373" s="52">
        <f>IF(Data!J373&lt;=5,Data!J373,IF(Data!J373&lt;=10,"6 TO 10","More than 10"))</f>
        <v>5</v>
      </c>
      <c r="G373" s="52">
        <f t="shared" si="5"/>
        <v>1</v>
      </c>
      <c r="H373" s="52">
        <f>ROUND(Data!C373*Data!D373-Data!E373,2)</f>
        <v>0</v>
      </c>
      <c r="I373" s="52">
        <f>IF(AND(OR(Sel_Mode="All",Data!I373=Sel_Mode),OR(Sel_Gender="All",D373=Sel_Gender),OR(Sel_Category="All",Data!B373=Sel_Category),OR(Sel_Month="All",C373=Sel_Month),OR(Sel_County="All",Data!L373=Sel_County)),1,0)</f>
        <v>1</v>
      </c>
    </row>
    <row r="374" spans="1:9" x14ac:dyDescent="0.25">
      <c r="A374" s="52" t="str">
        <f>Data!A374</f>
        <v>TX500373</v>
      </c>
      <c r="B374" s="52">
        <f>MONTH(Data!F374)</f>
        <v>1</v>
      </c>
      <c r="C374" s="52" t="str">
        <f>TEXT(Data!F374,"mmm")</f>
        <v>Jan</v>
      </c>
      <c r="D374" s="52" t="str">
        <f>Data!O374</f>
        <v>Male</v>
      </c>
      <c r="E374" s="52">
        <f>Data!G374-Data!F374</f>
        <v>10</v>
      </c>
      <c r="F374" s="52">
        <f>IF(Data!J374&lt;=5,Data!J374,IF(Data!J374&lt;=10,"6 TO 10","More than 10"))</f>
        <v>4</v>
      </c>
      <c r="G374" s="52" t="str">
        <f t="shared" si="5"/>
        <v>8+</v>
      </c>
      <c r="H374" s="52">
        <f>ROUND(Data!C374*Data!D374-Data!E374,2)</f>
        <v>0</v>
      </c>
      <c r="I374" s="52">
        <f>IF(AND(OR(Sel_Mode="All",Data!I374=Sel_Mode),OR(Sel_Gender="All",D374=Sel_Gender),OR(Sel_Category="All",Data!B374=Sel_Category),OR(Sel_Month="All",C374=Sel_Month),OR(Sel_County="All",Data!L374=Sel_County)),1,0)</f>
        <v>1</v>
      </c>
    </row>
    <row r="375" spans="1:9" x14ac:dyDescent="0.25">
      <c r="A375" s="52" t="str">
        <f>Data!A375</f>
        <v>TX500374</v>
      </c>
      <c r="B375" s="52">
        <f>MONTH(Data!F375)</f>
        <v>1</v>
      </c>
      <c r="C375" s="52" t="str">
        <f>TEXT(Data!F375,"mmm")</f>
        <v>Jan</v>
      </c>
      <c r="D375" s="52" t="str">
        <f>Data!O375</f>
        <v>Unknown</v>
      </c>
      <c r="E375" s="52">
        <f>Data!G375-Data!F375</f>
        <v>1</v>
      </c>
      <c r="F375" s="52">
        <f>IF(Data!J375&lt;=5,Data!J375,IF(Data!J375&lt;=10,"6 TO 10","More than 10"))</f>
        <v>4</v>
      </c>
      <c r="G375" s="52">
        <f t="shared" si="5"/>
        <v>1</v>
      </c>
      <c r="H375" s="52">
        <f>ROUND(Data!C375*Data!D375-Data!E375,2)</f>
        <v>0</v>
      </c>
      <c r="I375" s="52">
        <f>IF(AND(OR(Sel_Mode="All",Data!I375=Sel_Mode),OR(Sel_Gender="All",D375=Sel_Gender),OR(Sel_Category="All",Data!B375=Sel_Category),OR(Sel_Month="All",C375=Sel_Month),OR(Sel_County="All",Data!L375=Sel_County)),1,0)</f>
        <v>1</v>
      </c>
    </row>
    <row r="376" spans="1:9" x14ac:dyDescent="0.25">
      <c r="A376" s="52" t="str">
        <f>Data!A376</f>
        <v>TX500375</v>
      </c>
      <c r="B376" s="52">
        <f>MONTH(Data!F376)</f>
        <v>1</v>
      </c>
      <c r="C376" s="52" t="str">
        <f>TEXT(Data!F376,"mmm")</f>
        <v>Jan</v>
      </c>
      <c r="D376" s="52" t="str">
        <f>Data!O376</f>
        <v>Male</v>
      </c>
      <c r="E376" s="52">
        <f>Data!G376-Data!F376</f>
        <v>0</v>
      </c>
      <c r="F376" s="52">
        <f>IF(Data!J376&lt;=5,Data!J376,IF(Data!J376&lt;=10,"6 TO 10","More than 10"))</f>
        <v>4</v>
      </c>
      <c r="G376" s="52">
        <f t="shared" si="5"/>
        <v>0</v>
      </c>
      <c r="H376" s="52">
        <f>ROUND(Data!C376*Data!D376-Data!E376,2)</f>
        <v>0</v>
      </c>
      <c r="I376" s="52">
        <f>IF(AND(OR(Sel_Mode="All",Data!I376=Sel_Mode),OR(Sel_Gender="All",D376=Sel_Gender),OR(Sel_Category="All",Data!B376=Sel_Category),OR(Sel_Month="All",C376=Sel_Month),OR(Sel_County="All",Data!L376=Sel_County)),1,0)</f>
        <v>1</v>
      </c>
    </row>
    <row r="377" spans="1:9" x14ac:dyDescent="0.25">
      <c r="A377" s="52" t="str">
        <f>Data!A377</f>
        <v>TX500376</v>
      </c>
      <c r="B377" s="52">
        <f>MONTH(Data!F377)</f>
        <v>1</v>
      </c>
      <c r="C377" s="52" t="str">
        <f>TEXT(Data!F377,"mmm")</f>
        <v>Jan</v>
      </c>
      <c r="D377" s="52" t="str">
        <f>Data!O377</f>
        <v>Female</v>
      </c>
      <c r="E377" s="52">
        <f>Data!G377-Data!F377</f>
        <v>2</v>
      </c>
      <c r="F377" s="52">
        <f>IF(Data!J377&lt;=5,Data!J377,IF(Data!J377&lt;=10,"6 TO 10","More than 10"))</f>
        <v>4</v>
      </c>
      <c r="G377" s="52">
        <f t="shared" si="5"/>
        <v>2</v>
      </c>
      <c r="H377" s="52">
        <f>ROUND(Data!C377*Data!D377-Data!E377,2)</f>
        <v>0</v>
      </c>
      <c r="I377" s="52">
        <f>IF(AND(OR(Sel_Mode="All",Data!I377=Sel_Mode),OR(Sel_Gender="All",D377=Sel_Gender),OR(Sel_Category="All",Data!B377=Sel_Category),OR(Sel_Month="All",C377=Sel_Month),OR(Sel_County="All",Data!L377=Sel_County)),1,0)</f>
        <v>1</v>
      </c>
    </row>
    <row r="378" spans="1:9" x14ac:dyDescent="0.25">
      <c r="A378" s="52" t="str">
        <f>Data!A378</f>
        <v>TX500377</v>
      </c>
      <c r="B378" s="52">
        <f>MONTH(Data!F378)</f>
        <v>1</v>
      </c>
      <c r="C378" s="52" t="str">
        <f>TEXT(Data!F378,"mmm")</f>
        <v>Jan</v>
      </c>
      <c r="D378" s="52" t="str">
        <f>Data!O378</f>
        <v>Other</v>
      </c>
      <c r="E378" s="52">
        <f>Data!G378-Data!F378</f>
        <v>3</v>
      </c>
      <c r="F378" s="52">
        <f>IF(Data!J378&lt;=5,Data!J378,IF(Data!J378&lt;=10,"6 TO 10","More than 10"))</f>
        <v>4</v>
      </c>
      <c r="G378" s="52">
        <f t="shared" si="5"/>
        <v>3</v>
      </c>
      <c r="H378" s="52">
        <f>ROUND(Data!C378*Data!D378-Data!E378,2)</f>
        <v>0</v>
      </c>
      <c r="I378" s="52">
        <f>IF(AND(OR(Sel_Mode="All",Data!I378=Sel_Mode),OR(Sel_Gender="All",D378=Sel_Gender),OR(Sel_Category="All",Data!B378=Sel_Category),OR(Sel_Month="All",C378=Sel_Month),OR(Sel_County="All",Data!L378=Sel_County)),1,0)</f>
        <v>1</v>
      </c>
    </row>
    <row r="379" spans="1:9" x14ac:dyDescent="0.25">
      <c r="A379" s="52" t="str">
        <f>Data!A379</f>
        <v>TX500378</v>
      </c>
      <c r="B379" s="52">
        <f>MONTH(Data!F379)</f>
        <v>1</v>
      </c>
      <c r="C379" s="52" t="str">
        <f>TEXT(Data!F379,"mmm")</f>
        <v>Jan</v>
      </c>
      <c r="D379" s="52" t="str">
        <f>Data!O379</f>
        <v>Female</v>
      </c>
      <c r="E379" s="52">
        <f>Data!G379-Data!F379</f>
        <v>4</v>
      </c>
      <c r="F379" s="52">
        <f>IF(Data!J379&lt;=5,Data!J379,IF(Data!J379&lt;=10,"6 TO 10","More than 10"))</f>
        <v>4</v>
      </c>
      <c r="G379" s="52">
        <f t="shared" si="5"/>
        <v>4</v>
      </c>
      <c r="H379" s="52">
        <f>ROUND(Data!C379*Data!D379-Data!E379,2)</f>
        <v>0</v>
      </c>
      <c r="I379" s="52">
        <f>IF(AND(OR(Sel_Mode="All",Data!I379=Sel_Mode),OR(Sel_Gender="All",D379=Sel_Gender),OR(Sel_Category="All",Data!B379=Sel_Category),OR(Sel_Month="All",C379=Sel_Month),OR(Sel_County="All",Data!L379=Sel_County)),1,0)</f>
        <v>1</v>
      </c>
    </row>
    <row r="380" spans="1:9" x14ac:dyDescent="0.25">
      <c r="A380" s="52" t="str">
        <f>Data!A380</f>
        <v>TX500379</v>
      </c>
      <c r="B380" s="52">
        <f>MONTH(Data!F380)</f>
        <v>1</v>
      </c>
      <c r="C380" s="52" t="str">
        <f>TEXT(Data!F380,"mmm")</f>
        <v>Jan</v>
      </c>
      <c r="D380" s="52" t="str">
        <f>Data!O380</f>
        <v>Female</v>
      </c>
      <c r="E380" s="52">
        <f>Data!G380-Data!F380</f>
        <v>2</v>
      </c>
      <c r="F380" s="52">
        <f>IF(Data!J380&lt;=5,Data!J380,IF(Data!J380&lt;=10,"6 TO 10","More than 10"))</f>
        <v>2</v>
      </c>
      <c r="G380" s="52">
        <f t="shared" si="5"/>
        <v>2</v>
      </c>
      <c r="H380" s="52">
        <f>ROUND(Data!C380*Data!D380-Data!E380,2)</f>
        <v>0</v>
      </c>
      <c r="I380" s="52">
        <f>IF(AND(OR(Sel_Mode="All",Data!I380=Sel_Mode),OR(Sel_Gender="All",D380=Sel_Gender),OR(Sel_Category="All",Data!B380=Sel_Category),OR(Sel_Month="All",C380=Sel_Month),OR(Sel_County="All",Data!L380=Sel_County)),1,0)</f>
        <v>1</v>
      </c>
    </row>
    <row r="381" spans="1:9" x14ac:dyDescent="0.25">
      <c r="A381" s="52" t="str">
        <f>Data!A381</f>
        <v>TX500380</v>
      </c>
      <c r="B381" s="52">
        <f>MONTH(Data!F381)</f>
        <v>1</v>
      </c>
      <c r="C381" s="52" t="str">
        <f>TEXT(Data!F381,"mmm")</f>
        <v>Jan</v>
      </c>
      <c r="D381" s="52" t="str">
        <f>Data!O381</f>
        <v>Female</v>
      </c>
      <c r="E381" s="52">
        <f>Data!G381-Data!F381</f>
        <v>1</v>
      </c>
      <c r="F381" s="52">
        <f>IF(Data!J381&lt;=5,Data!J381,IF(Data!J381&lt;=10,"6 TO 10","More than 10"))</f>
        <v>4</v>
      </c>
      <c r="G381" s="52">
        <f t="shared" si="5"/>
        <v>1</v>
      </c>
      <c r="H381" s="52">
        <f>ROUND(Data!C381*Data!D381-Data!E381,2)</f>
        <v>0</v>
      </c>
      <c r="I381" s="52">
        <f>IF(AND(OR(Sel_Mode="All",Data!I381=Sel_Mode),OR(Sel_Gender="All",D381=Sel_Gender),OR(Sel_Category="All",Data!B381=Sel_Category),OR(Sel_Month="All",C381=Sel_Month),OR(Sel_County="All",Data!L381=Sel_County)),1,0)</f>
        <v>1</v>
      </c>
    </row>
    <row r="382" spans="1:9" x14ac:dyDescent="0.25">
      <c r="A382" s="52" t="str">
        <f>Data!A382</f>
        <v>TX500381</v>
      </c>
      <c r="B382" s="52">
        <f>MONTH(Data!F382)</f>
        <v>1</v>
      </c>
      <c r="C382" s="52" t="str">
        <f>TEXT(Data!F382,"mmm")</f>
        <v>Jan</v>
      </c>
      <c r="D382" s="52" t="str">
        <f>Data!O382</f>
        <v>Male</v>
      </c>
      <c r="E382" s="52">
        <f>Data!G382-Data!F382</f>
        <v>0</v>
      </c>
      <c r="F382" s="52">
        <f>IF(Data!J382&lt;=5,Data!J382,IF(Data!J382&lt;=10,"6 TO 10","More than 10"))</f>
        <v>4</v>
      </c>
      <c r="G382" s="52">
        <f t="shared" si="5"/>
        <v>0</v>
      </c>
      <c r="H382" s="52">
        <f>ROUND(Data!C382*Data!D382-Data!E382,2)</f>
        <v>0</v>
      </c>
      <c r="I382" s="52">
        <f>IF(AND(OR(Sel_Mode="All",Data!I382=Sel_Mode),OR(Sel_Gender="All",D382=Sel_Gender),OR(Sel_Category="All",Data!B382=Sel_Category),OR(Sel_Month="All",C382=Sel_Month),OR(Sel_County="All",Data!L382=Sel_County)),1,0)</f>
        <v>1</v>
      </c>
    </row>
    <row r="383" spans="1:9" x14ac:dyDescent="0.25">
      <c r="A383" s="52" t="str">
        <f>Data!A383</f>
        <v>TX500382</v>
      </c>
      <c r="B383" s="52">
        <f>MONTH(Data!F383)</f>
        <v>1</v>
      </c>
      <c r="C383" s="52" t="str">
        <f>TEXT(Data!F383,"mmm")</f>
        <v>Jan</v>
      </c>
      <c r="D383" s="52" t="str">
        <f>Data!O383</f>
        <v>Other</v>
      </c>
      <c r="E383" s="52">
        <f>Data!G383-Data!F383</f>
        <v>1</v>
      </c>
      <c r="F383" s="52">
        <f>IF(Data!J383&lt;=5,Data!J383,IF(Data!J383&lt;=10,"6 TO 10","More than 10"))</f>
        <v>3</v>
      </c>
      <c r="G383" s="52">
        <f t="shared" si="5"/>
        <v>1</v>
      </c>
      <c r="H383" s="52">
        <f>ROUND(Data!C383*Data!D383-Data!E383,2)</f>
        <v>0</v>
      </c>
      <c r="I383" s="52">
        <f>IF(AND(OR(Sel_Mode="All",Data!I383=Sel_Mode),OR(Sel_Gender="All",D383=Sel_Gender),OR(Sel_Category="All",Data!B383=Sel_Category),OR(Sel_Month="All",C383=Sel_Month),OR(Sel_County="All",Data!L383=Sel_County)),1,0)</f>
        <v>1</v>
      </c>
    </row>
    <row r="384" spans="1:9" x14ac:dyDescent="0.25">
      <c r="A384" s="52" t="str">
        <f>Data!A384</f>
        <v>TX500383</v>
      </c>
      <c r="B384" s="52">
        <f>MONTH(Data!F384)</f>
        <v>1</v>
      </c>
      <c r="C384" s="52" t="str">
        <f>TEXT(Data!F384,"mmm")</f>
        <v>Jan</v>
      </c>
      <c r="D384" s="52" t="str">
        <f>Data!O384</f>
        <v>Male</v>
      </c>
      <c r="E384" s="52">
        <f>Data!G384-Data!F384</f>
        <v>1</v>
      </c>
      <c r="F384" s="52">
        <f>IF(Data!J384&lt;=5,Data!J384,IF(Data!J384&lt;=10,"6 TO 10","More than 10"))</f>
        <v>4</v>
      </c>
      <c r="G384" s="52">
        <f t="shared" si="5"/>
        <v>1</v>
      </c>
      <c r="H384" s="52">
        <f>ROUND(Data!C384*Data!D384-Data!E384,2)</f>
        <v>0</v>
      </c>
      <c r="I384" s="52">
        <f>IF(AND(OR(Sel_Mode="All",Data!I384=Sel_Mode),OR(Sel_Gender="All",D384=Sel_Gender),OR(Sel_Category="All",Data!B384=Sel_Category),OR(Sel_Month="All",C384=Sel_Month),OR(Sel_County="All",Data!L384=Sel_County)),1,0)</f>
        <v>1</v>
      </c>
    </row>
    <row r="385" spans="1:9" x14ac:dyDescent="0.25">
      <c r="A385" s="52" t="str">
        <f>Data!A385</f>
        <v>TX500384</v>
      </c>
      <c r="B385" s="52">
        <f>MONTH(Data!F385)</f>
        <v>1</v>
      </c>
      <c r="C385" s="52" t="str">
        <f>TEXT(Data!F385,"mmm")</f>
        <v>Jan</v>
      </c>
      <c r="D385" s="52" t="str">
        <f>Data!O385</f>
        <v>Female</v>
      </c>
      <c r="E385" s="52">
        <f>Data!G385-Data!F385</f>
        <v>1</v>
      </c>
      <c r="F385" s="52">
        <f>IF(Data!J385&lt;=5,Data!J385,IF(Data!J385&lt;=10,"6 TO 10","More than 10"))</f>
        <v>4</v>
      </c>
      <c r="G385" s="52">
        <f t="shared" si="5"/>
        <v>1</v>
      </c>
      <c r="H385" s="52">
        <f>ROUND(Data!C385*Data!D385-Data!E385,2)</f>
        <v>0</v>
      </c>
      <c r="I385" s="52">
        <f>IF(AND(OR(Sel_Mode="All",Data!I385=Sel_Mode),OR(Sel_Gender="All",D385=Sel_Gender),OR(Sel_Category="All",Data!B385=Sel_Category),OR(Sel_Month="All",C385=Sel_Month),OR(Sel_County="All",Data!L385=Sel_County)),1,0)</f>
        <v>1</v>
      </c>
    </row>
    <row r="386" spans="1:9" x14ac:dyDescent="0.25">
      <c r="A386" s="52" t="str">
        <f>Data!A386</f>
        <v>TX500385</v>
      </c>
      <c r="B386" s="52">
        <f>MONTH(Data!F386)</f>
        <v>1</v>
      </c>
      <c r="C386" s="52" t="str">
        <f>TEXT(Data!F386,"mmm")</f>
        <v>Jan</v>
      </c>
      <c r="D386" s="52" t="str">
        <f>Data!O386</f>
        <v>Female</v>
      </c>
      <c r="E386" s="52">
        <f>Data!G386-Data!F386</f>
        <v>2</v>
      </c>
      <c r="F386" s="52">
        <f>IF(Data!J386&lt;=5,Data!J386,IF(Data!J386&lt;=10,"6 TO 10","More than 10"))</f>
        <v>4</v>
      </c>
      <c r="G386" s="52">
        <f t="shared" ref="G386:G449" si="6">IF(E386&gt;=8,"8+",E386)</f>
        <v>2</v>
      </c>
      <c r="H386" s="52">
        <f>ROUND(Data!C386*Data!D386-Data!E386,2)</f>
        <v>0</v>
      </c>
      <c r="I386" s="52">
        <f>IF(AND(OR(Sel_Mode="All",Data!I386=Sel_Mode),OR(Sel_Gender="All",D386=Sel_Gender),OR(Sel_Category="All",Data!B386=Sel_Category),OR(Sel_Month="All",C386=Sel_Month),OR(Sel_County="All",Data!L386=Sel_County)),1,0)</f>
        <v>1</v>
      </c>
    </row>
    <row r="387" spans="1:9" x14ac:dyDescent="0.25">
      <c r="A387" s="52" t="str">
        <f>Data!A387</f>
        <v>TX500386</v>
      </c>
      <c r="B387" s="52">
        <f>MONTH(Data!F387)</f>
        <v>1</v>
      </c>
      <c r="C387" s="52" t="str">
        <f>TEXT(Data!F387,"mmm")</f>
        <v>Jan</v>
      </c>
      <c r="D387" s="52" t="str">
        <f>Data!O387</f>
        <v>Unknown</v>
      </c>
      <c r="E387" s="52">
        <f>Data!G387-Data!F387</f>
        <v>3</v>
      </c>
      <c r="F387" s="52">
        <f>IF(Data!J387&lt;=5,Data!J387,IF(Data!J387&lt;=10,"6 TO 10","More than 10"))</f>
        <v>4</v>
      </c>
      <c r="G387" s="52">
        <f t="shared" si="6"/>
        <v>3</v>
      </c>
      <c r="H387" s="52">
        <f>ROUND(Data!C387*Data!D387-Data!E387,2)</f>
        <v>0</v>
      </c>
      <c r="I387" s="52">
        <f>IF(AND(OR(Sel_Mode="All",Data!I387=Sel_Mode),OR(Sel_Gender="All",D387=Sel_Gender),OR(Sel_Category="All",Data!B387=Sel_Category),OR(Sel_Month="All",C387=Sel_Month),OR(Sel_County="All",Data!L387=Sel_County)),1,0)</f>
        <v>1</v>
      </c>
    </row>
    <row r="388" spans="1:9" x14ac:dyDescent="0.25">
      <c r="A388" s="52" t="str">
        <f>Data!A388</f>
        <v>TX500387</v>
      </c>
      <c r="B388" s="52">
        <f>MONTH(Data!F388)</f>
        <v>1</v>
      </c>
      <c r="C388" s="52" t="str">
        <f>TEXT(Data!F388,"mmm")</f>
        <v>Jan</v>
      </c>
      <c r="D388" s="52" t="str">
        <f>Data!O388</f>
        <v>Male</v>
      </c>
      <c r="E388" s="52">
        <f>Data!G388-Data!F388</f>
        <v>1</v>
      </c>
      <c r="F388" s="52">
        <f>IF(Data!J388&lt;=5,Data!J388,IF(Data!J388&lt;=10,"6 TO 10","More than 10"))</f>
        <v>3</v>
      </c>
      <c r="G388" s="52">
        <f t="shared" si="6"/>
        <v>1</v>
      </c>
      <c r="H388" s="52">
        <f>ROUND(Data!C388*Data!D388-Data!E388,2)</f>
        <v>0</v>
      </c>
      <c r="I388" s="52">
        <f>IF(AND(OR(Sel_Mode="All",Data!I388=Sel_Mode),OR(Sel_Gender="All",D388=Sel_Gender),OR(Sel_Category="All",Data!B388=Sel_Category),OR(Sel_Month="All",C388=Sel_Month),OR(Sel_County="All",Data!L388=Sel_County)),1,0)</f>
        <v>1</v>
      </c>
    </row>
    <row r="389" spans="1:9" x14ac:dyDescent="0.25">
      <c r="A389" s="52" t="str">
        <f>Data!A389</f>
        <v>TX500388</v>
      </c>
      <c r="B389" s="52">
        <f>MONTH(Data!F389)</f>
        <v>1</v>
      </c>
      <c r="C389" s="52" t="str">
        <f>TEXT(Data!F389,"mmm")</f>
        <v>Jan</v>
      </c>
      <c r="D389" s="52" t="str">
        <f>Data!O389</f>
        <v>Male</v>
      </c>
      <c r="E389" s="52">
        <f>Data!G389-Data!F389</f>
        <v>1</v>
      </c>
      <c r="F389" s="52">
        <f>IF(Data!J389&lt;=5,Data!J389,IF(Data!J389&lt;=10,"6 TO 10","More than 10"))</f>
        <v>4</v>
      </c>
      <c r="G389" s="52">
        <f t="shared" si="6"/>
        <v>1</v>
      </c>
      <c r="H389" s="52">
        <f>ROUND(Data!C389*Data!D389-Data!E389,2)</f>
        <v>0</v>
      </c>
      <c r="I389" s="52">
        <f>IF(AND(OR(Sel_Mode="All",Data!I389=Sel_Mode),OR(Sel_Gender="All",D389=Sel_Gender),OR(Sel_Category="All",Data!B389=Sel_Category),OR(Sel_Month="All",C389=Sel_Month),OR(Sel_County="All",Data!L389=Sel_County)),1,0)</f>
        <v>1</v>
      </c>
    </row>
    <row r="390" spans="1:9" x14ac:dyDescent="0.25">
      <c r="A390" s="52" t="str">
        <f>Data!A390</f>
        <v>TX500389</v>
      </c>
      <c r="B390" s="52">
        <f>MONTH(Data!F390)</f>
        <v>1</v>
      </c>
      <c r="C390" s="52" t="str">
        <f>TEXT(Data!F390,"mmm")</f>
        <v>Jan</v>
      </c>
      <c r="D390" s="52" t="str">
        <f>Data!O390</f>
        <v>Female</v>
      </c>
      <c r="E390" s="52">
        <f>Data!G390-Data!F390</f>
        <v>4</v>
      </c>
      <c r="F390" s="52">
        <f>IF(Data!J390&lt;=5,Data!J390,IF(Data!J390&lt;=10,"6 TO 10","More than 10"))</f>
        <v>4</v>
      </c>
      <c r="G390" s="52">
        <f t="shared" si="6"/>
        <v>4</v>
      </c>
      <c r="H390" s="52">
        <f>ROUND(Data!C390*Data!D390-Data!E390,2)</f>
        <v>0</v>
      </c>
      <c r="I390" s="52">
        <f>IF(AND(OR(Sel_Mode="All",Data!I390=Sel_Mode),OR(Sel_Gender="All",D390=Sel_Gender),OR(Sel_Category="All",Data!B390=Sel_Category),OR(Sel_Month="All",C390=Sel_Month),OR(Sel_County="All",Data!L390=Sel_County)),1,0)</f>
        <v>1</v>
      </c>
    </row>
    <row r="391" spans="1:9" x14ac:dyDescent="0.25">
      <c r="A391" s="52" t="str">
        <f>Data!A391</f>
        <v>TX500390</v>
      </c>
      <c r="B391" s="52">
        <f>MONTH(Data!F391)</f>
        <v>1</v>
      </c>
      <c r="C391" s="52" t="str">
        <f>TEXT(Data!F391,"mmm")</f>
        <v>Jan</v>
      </c>
      <c r="D391" s="52" t="str">
        <f>Data!O391</f>
        <v>Male</v>
      </c>
      <c r="E391" s="52">
        <f>Data!G391-Data!F391</f>
        <v>3</v>
      </c>
      <c r="F391" s="52">
        <f>IF(Data!J391&lt;=5,Data!J391,IF(Data!J391&lt;=10,"6 TO 10","More than 10"))</f>
        <v>4</v>
      </c>
      <c r="G391" s="52">
        <f t="shared" si="6"/>
        <v>3</v>
      </c>
      <c r="H391" s="52">
        <f>ROUND(Data!C391*Data!D391-Data!E391,2)</f>
        <v>0</v>
      </c>
      <c r="I391" s="52">
        <f>IF(AND(OR(Sel_Mode="All",Data!I391=Sel_Mode),OR(Sel_Gender="All",D391=Sel_Gender),OR(Sel_Category="All",Data!B391=Sel_Category),OR(Sel_Month="All",C391=Sel_Month),OR(Sel_County="All",Data!L391=Sel_County)),1,0)</f>
        <v>1</v>
      </c>
    </row>
    <row r="392" spans="1:9" x14ac:dyDescent="0.25">
      <c r="A392" s="52" t="str">
        <f>Data!A392</f>
        <v>TX500391</v>
      </c>
      <c r="B392" s="52">
        <f>MONTH(Data!F392)</f>
        <v>1</v>
      </c>
      <c r="C392" s="52" t="str">
        <f>TEXT(Data!F392,"mmm")</f>
        <v>Jan</v>
      </c>
      <c r="D392" s="52" t="str">
        <f>Data!O392</f>
        <v>Female</v>
      </c>
      <c r="E392" s="52">
        <f>Data!G392-Data!F392</f>
        <v>0</v>
      </c>
      <c r="F392" s="52">
        <f>IF(Data!J392&lt;=5,Data!J392,IF(Data!J392&lt;=10,"6 TO 10","More than 10"))</f>
        <v>3</v>
      </c>
      <c r="G392" s="52">
        <f t="shared" si="6"/>
        <v>0</v>
      </c>
      <c r="H392" s="52">
        <f>ROUND(Data!C392*Data!D392-Data!E392,2)</f>
        <v>0</v>
      </c>
      <c r="I392" s="52">
        <f>IF(AND(OR(Sel_Mode="All",Data!I392=Sel_Mode),OR(Sel_Gender="All",D392=Sel_Gender),OR(Sel_Category="All",Data!B392=Sel_Category),OR(Sel_Month="All",C392=Sel_Month),OR(Sel_County="All",Data!L392=Sel_County)),1,0)</f>
        <v>1</v>
      </c>
    </row>
    <row r="393" spans="1:9" x14ac:dyDescent="0.25">
      <c r="A393" s="52" t="str">
        <f>Data!A393</f>
        <v>TX500392</v>
      </c>
      <c r="B393" s="52">
        <f>MONTH(Data!F393)</f>
        <v>1</v>
      </c>
      <c r="C393" s="52" t="str">
        <f>TEXT(Data!F393,"mmm")</f>
        <v>Jan</v>
      </c>
      <c r="D393" s="52" t="str">
        <f>Data!O393</f>
        <v>Male</v>
      </c>
      <c r="E393" s="52">
        <f>Data!G393-Data!F393</f>
        <v>1</v>
      </c>
      <c r="F393" s="52">
        <f>IF(Data!J393&lt;=5,Data!J393,IF(Data!J393&lt;=10,"6 TO 10","More than 10"))</f>
        <v>4</v>
      </c>
      <c r="G393" s="52">
        <f t="shared" si="6"/>
        <v>1</v>
      </c>
      <c r="H393" s="52">
        <f>ROUND(Data!C393*Data!D393-Data!E393,2)</f>
        <v>0</v>
      </c>
      <c r="I393" s="52">
        <f>IF(AND(OR(Sel_Mode="All",Data!I393=Sel_Mode),OR(Sel_Gender="All",D393=Sel_Gender),OR(Sel_Category="All",Data!B393=Sel_Category),OR(Sel_Month="All",C393=Sel_Month),OR(Sel_County="All",Data!L393=Sel_County)),1,0)</f>
        <v>1</v>
      </c>
    </row>
    <row r="394" spans="1:9" x14ac:dyDescent="0.25">
      <c r="A394" s="52" t="str">
        <f>Data!A394</f>
        <v>TX500393</v>
      </c>
      <c r="B394" s="52">
        <f>MONTH(Data!F394)</f>
        <v>1</v>
      </c>
      <c r="C394" s="52" t="str">
        <f>TEXT(Data!F394,"mmm")</f>
        <v>Jan</v>
      </c>
      <c r="D394" s="52" t="str">
        <f>Data!O394</f>
        <v>Female</v>
      </c>
      <c r="E394" s="52">
        <f>Data!G394-Data!F394</f>
        <v>3</v>
      </c>
      <c r="F394" s="52">
        <f>IF(Data!J394&lt;=5,Data!J394,IF(Data!J394&lt;=10,"6 TO 10","More than 10"))</f>
        <v>2</v>
      </c>
      <c r="G394" s="52">
        <f t="shared" si="6"/>
        <v>3</v>
      </c>
      <c r="H394" s="52">
        <f>ROUND(Data!C394*Data!D394-Data!E394,2)</f>
        <v>0</v>
      </c>
      <c r="I394" s="52">
        <f>IF(AND(OR(Sel_Mode="All",Data!I394=Sel_Mode),OR(Sel_Gender="All",D394=Sel_Gender),OR(Sel_Category="All",Data!B394=Sel_Category),OR(Sel_Month="All",C394=Sel_Month),OR(Sel_County="All",Data!L394=Sel_County)),1,0)</f>
        <v>1</v>
      </c>
    </row>
    <row r="395" spans="1:9" x14ac:dyDescent="0.25">
      <c r="A395" s="52" t="str">
        <f>Data!A395</f>
        <v>TX500394</v>
      </c>
      <c r="B395" s="52">
        <f>MONTH(Data!F395)</f>
        <v>1</v>
      </c>
      <c r="C395" s="52" t="str">
        <f>TEXT(Data!F395,"mmm")</f>
        <v>Jan</v>
      </c>
      <c r="D395" s="52" t="str">
        <f>Data!O395</f>
        <v>Male</v>
      </c>
      <c r="E395" s="52">
        <f>Data!G395-Data!F395</f>
        <v>3</v>
      </c>
      <c r="F395" s="52">
        <f>IF(Data!J395&lt;=5,Data!J395,IF(Data!J395&lt;=10,"6 TO 10","More than 10"))</f>
        <v>3</v>
      </c>
      <c r="G395" s="52">
        <f t="shared" si="6"/>
        <v>3</v>
      </c>
      <c r="H395" s="52">
        <f>ROUND(Data!C395*Data!D395-Data!E395,2)</f>
        <v>0</v>
      </c>
      <c r="I395" s="52">
        <f>IF(AND(OR(Sel_Mode="All",Data!I395=Sel_Mode),OR(Sel_Gender="All",D395=Sel_Gender),OR(Sel_Category="All",Data!B395=Sel_Category),OR(Sel_Month="All",C395=Sel_Month),OR(Sel_County="All",Data!L395=Sel_County)),1,0)</f>
        <v>1</v>
      </c>
    </row>
    <row r="396" spans="1:9" x14ac:dyDescent="0.25">
      <c r="A396" s="52" t="str">
        <f>Data!A396</f>
        <v>TX500395</v>
      </c>
      <c r="B396" s="52">
        <f>MONTH(Data!F396)</f>
        <v>1</v>
      </c>
      <c r="C396" s="52" t="str">
        <f>TEXT(Data!F396,"mmm")</f>
        <v>Jan</v>
      </c>
      <c r="D396" s="52" t="str">
        <f>Data!O396</f>
        <v>Male</v>
      </c>
      <c r="E396" s="52">
        <f>Data!G396-Data!F396</f>
        <v>6</v>
      </c>
      <c r="F396" s="52">
        <f>IF(Data!J396&lt;=5,Data!J396,IF(Data!J396&lt;=10,"6 TO 10","More than 10"))</f>
        <v>4</v>
      </c>
      <c r="G396" s="52">
        <f t="shared" si="6"/>
        <v>6</v>
      </c>
      <c r="H396" s="52">
        <f>ROUND(Data!C396*Data!D396-Data!E396,2)</f>
        <v>0</v>
      </c>
      <c r="I396" s="52">
        <f>IF(AND(OR(Sel_Mode="All",Data!I396=Sel_Mode),OR(Sel_Gender="All",D396=Sel_Gender),OR(Sel_Category="All",Data!B396=Sel_Category),OR(Sel_Month="All",C396=Sel_Month),OR(Sel_County="All",Data!L396=Sel_County)),1,0)</f>
        <v>1</v>
      </c>
    </row>
    <row r="397" spans="1:9" x14ac:dyDescent="0.25">
      <c r="A397" s="52" t="str">
        <f>Data!A397</f>
        <v>TX500396</v>
      </c>
      <c r="B397" s="52">
        <f>MONTH(Data!F397)</f>
        <v>1</v>
      </c>
      <c r="C397" s="52" t="str">
        <f>TEXT(Data!F397,"mmm")</f>
        <v>Jan</v>
      </c>
      <c r="D397" s="52" t="str">
        <f>Data!O397</f>
        <v>Other</v>
      </c>
      <c r="E397" s="52">
        <f>Data!G397-Data!F397</f>
        <v>2</v>
      </c>
      <c r="F397" s="52">
        <f>IF(Data!J397&lt;=5,Data!J397,IF(Data!J397&lt;=10,"6 TO 10","More than 10"))</f>
        <v>4</v>
      </c>
      <c r="G397" s="52">
        <f t="shared" si="6"/>
        <v>2</v>
      </c>
      <c r="H397" s="52">
        <f>ROUND(Data!C397*Data!D397-Data!E397,2)</f>
        <v>0</v>
      </c>
      <c r="I397" s="52">
        <f>IF(AND(OR(Sel_Mode="All",Data!I397=Sel_Mode),OR(Sel_Gender="All",D397=Sel_Gender),OR(Sel_Category="All",Data!B397=Sel_Category),OR(Sel_Month="All",C397=Sel_Month),OR(Sel_County="All",Data!L397=Sel_County)),1,0)</f>
        <v>1</v>
      </c>
    </row>
    <row r="398" spans="1:9" x14ac:dyDescent="0.25">
      <c r="A398" s="52" t="str">
        <f>Data!A398</f>
        <v>TX500397</v>
      </c>
      <c r="B398" s="52">
        <f>MONTH(Data!F398)</f>
        <v>1</v>
      </c>
      <c r="C398" s="52" t="str">
        <f>TEXT(Data!F398,"mmm")</f>
        <v>Jan</v>
      </c>
      <c r="D398" s="52" t="str">
        <f>Data!O398</f>
        <v>Male</v>
      </c>
      <c r="E398" s="52">
        <f>Data!G398-Data!F398</f>
        <v>5</v>
      </c>
      <c r="F398" s="52">
        <f>IF(Data!J398&lt;=5,Data!J398,IF(Data!J398&lt;=10,"6 TO 10","More than 10"))</f>
        <v>4</v>
      </c>
      <c r="G398" s="52">
        <f t="shared" si="6"/>
        <v>5</v>
      </c>
      <c r="H398" s="52">
        <f>ROUND(Data!C398*Data!D398-Data!E398,2)</f>
        <v>0</v>
      </c>
      <c r="I398" s="52">
        <f>IF(AND(OR(Sel_Mode="All",Data!I398=Sel_Mode),OR(Sel_Gender="All",D398=Sel_Gender),OR(Sel_Category="All",Data!B398=Sel_Category),OR(Sel_Month="All",C398=Sel_Month),OR(Sel_County="All",Data!L398=Sel_County)),1,0)</f>
        <v>1</v>
      </c>
    </row>
    <row r="399" spans="1:9" x14ac:dyDescent="0.25">
      <c r="A399" s="52" t="str">
        <f>Data!A399</f>
        <v>TX500398</v>
      </c>
      <c r="B399" s="52">
        <f>MONTH(Data!F399)</f>
        <v>1</v>
      </c>
      <c r="C399" s="52" t="str">
        <f>TEXT(Data!F399,"mmm")</f>
        <v>Jan</v>
      </c>
      <c r="D399" s="52" t="str">
        <f>Data!O399</f>
        <v>Female</v>
      </c>
      <c r="E399" s="52">
        <f>Data!G399-Data!F399</f>
        <v>0</v>
      </c>
      <c r="F399" s="52">
        <f>IF(Data!J399&lt;=5,Data!J399,IF(Data!J399&lt;=10,"6 TO 10","More than 10"))</f>
        <v>4</v>
      </c>
      <c r="G399" s="52">
        <f t="shared" si="6"/>
        <v>0</v>
      </c>
      <c r="H399" s="52">
        <f>ROUND(Data!C399*Data!D399-Data!E399,2)</f>
        <v>0</v>
      </c>
      <c r="I399" s="52">
        <f>IF(AND(OR(Sel_Mode="All",Data!I399=Sel_Mode),OR(Sel_Gender="All",D399=Sel_Gender),OR(Sel_Category="All",Data!B399=Sel_Category),OR(Sel_Month="All",C399=Sel_Month),OR(Sel_County="All",Data!L399=Sel_County)),1,0)</f>
        <v>1</v>
      </c>
    </row>
    <row r="400" spans="1:9" x14ac:dyDescent="0.25">
      <c r="A400" s="52" t="str">
        <f>Data!A400</f>
        <v>TX500399</v>
      </c>
      <c r="B400" s="52">
        <f>MONTH(Data!F400)</f>
        <v>1</v>
      </c>
      <c r="C400" s="52" t="str">
        <f>TEXT(Data!F400,"mmm")</f>
        <v>Jan</v>
      </c>
      <c r="D400" s="52" t="str">
        <f>Data!O400</f>
        <v>Male</v>
      </c>
      <c r="E400" s="52">
        <f>Data!G400-Data!F400</f>
        <v>2</v>
      </c>
      <c r="F400" s="52">
        <f>IF(Data!J400&lt;=5,Data!J400,IF(Data!J400&lt;=10,"6 TO 10","More than 10"))</f>
        <v>2</v>
      </c>
      <c r="G400" s="52">
        <f t="shared" si="6"/>
        <v>2</v>
      </c>
      <c r="H400" s="52">
        <f>ROUND(Data!C400*Data!D400-Data!E400,2)</f>
        <v>0</v>
      </c>
      <c r="I400" s="52">
        <f>IF(AND(OR(Sel_Mode="All",Data!I400=Sel_Mode),OR(Sel_Gender="All",D400=Sel_Gender),OR(Sel_Category="All",Data!B400=Sel_Category),OR(Sel_Month="All",C400=Sel_Month),OR(Sel_County="All",Data!L400=Sel_County)),1,0)</f>
        <v>1</v>
      </c>
    </row>
    <row r="401" spans="1:9" x14ac:dyDescent="0.25">
      <c r="A401" s="52" t="str">
        <f>Data!A401</f>
        <v>TX500400</v>
      </c>
      <c r="B401" s="52">
        <f>MONTH(Data!F401)</f>
        <v>1</v>
      </c>
      <c r="C401" s="52" t="str">
        <f>TEXT(Data!F401,"mmm")</f>
        <v>Jan</v>
      </c>
      <c r="D401" s="52" t="str">
        <f>Data!O401</f>
        <v>Male</v>
      </c>
      <c r="E401" s="52">
        <f>Data!G401-Data!F401</f>
        <v>1</v>
      </c>
      <c r="F401" s="52">
        <f>IF(Data!J401&lt;=5,Data!J401,IF(Data!J401&lt;=10,"6 TO 10","More than 10"))</f>
        <v>4</v>
      </c>
      <c r="G401" s="52">
        <f t="shared" si="6"/>
        <v>1</v>
      </c>
      <c r="H401" s="52">
        <f>ROUND(Data!C401*Data!D401-Data!E401,2)</f>
        <v>0</v>
      </c>
      <c r="I401" s="52">
        <f>IF(AND(OR(Sel_Mode="All",Data!I401=Sel_Mode),OR(Sel_Gender="All",D401=Sel_Gender),OR(Sel_Category="All",Data!B401=Sel_Category),OR(Sel_Month="All",C401=Sel_Month),OR(Sel_County="All",Data!L401=Sel_County)),1,0)</f>
        <v>1</v>
      </c>
    </row>
    <row r="402" spans="1:9" x14ac:dyDescent="0.25">
      <c r="A402" s="52" t="str">
        <f>Data!A402</f>
        <v>TX500401</v>
      </c>
      <c r="B402" s="52">
        <f>MONTH(Data!F402)</f>
        <v>1</v>
      </c>
      <c r="C402" s="52" t="str">
        <f>TEXT(Data!F402,"mmm")</f>
        <v>Jan</v>
      </c>
      <c r="D402" s="52" t="str">
        <f>Data!O402</f>
        <v>Male</v>
      </c>
      <c r="E402" s="52">
        <f>Data!G402-Data!F402</f>
        <v>3</v>
      </c>
      <c r="F402" s="52">
        <f>IF(Data!J402&lt;=5,Data!J402,IF(Data!J402&lt;=10,"6 TO 10","More than 10"))</f>
        <v>5</v>
      </c>
      <c r="G402" s="52">
        <f t="shared" si="6"/>
        <v>3</v>
      </c>
      <c r="H402" s="52">
        <f>ROUND(Data!C402*Data!D402-Data!E402,2)</f>
        <v>0</v>
      </c>
      <c r="I402" s="52">
        <f>IF(AND(OR(Sel_Mode="All",Data!I402=Sel_Mode),OR(Sel_Gender="All",D402=Sel_Gender),OR(Sel_Category="All",Data!B402=Sel_Category),OR(Sel_Month="All",C402=Sel_Month),OR(Sel_County="All",Data!L402=Sel_County)),1,0)</f>
        <v>1</v>
      </c>
    </row>
    <row r="403" spans="1:9" x14ac:dyDescent="0.25">
      <c r="A403" s="52" t="str">
        <f>Data!A403</f>
        <v>TX500402</v>
      </c>
      <c r="B403" s="52">
        <f>MONTH(Data!F403)</f>
        <v>1</v>
      </c>
      <c r="C403" s="52" t="str">
        <f>TEXT(Data!F403,"mmm")</f>
        <v>Jan</v>
      </c>
      <c r="D403" s="52" t="str">
        <f>Data!O403</f>
        <v>Female</v>
      </c>
      <c r="E403" s="52">
        <f>Data!G403-Data!F403</f>
        <v>0</v>
      </c>
      <c r="F403" s="52">
        <f>IF(Data!J403&lt;=5,Data!J403,IF(Data!J403&lt;=10,"6 TO 10","More than 10"))</f>
        <v>3</v>
      </c>
      <c r="G403" s="52">
        <f t="shared" si="6"/>
        <v>0</v>
      </c>
      <c r="H403" s="52">
        <f>ROUND(Data!C403*Data!D403-Data!E403,2)</f>
        <v>0</v>
      </c>
      <c r="I403" s="52">
        <f>IF(AND(OR(Sel_Mode="All",Data!I403=Sel_Mode),OR(Sel_Gender="All",D403=Sel_Gender),OR(Sel_Category="All",Data!B403=Sel_Category),OR(Sel_Month="All",C403=Sel_Month),OR(Sel_County="All",Data!L403=Sel_County)),1,0)</f>
        <v>1</v>
      </c>
    </row>
    <row r="404" spans="1:9" x14ac:dyDescent="0.25">
      <c r="A404" s="52" t="str">
        <f>Data!A404</f>
        <v>TX500403</v>
      </c>
      <c r="B404" s="52">
        <f>MONTH(Data!F404)</f>
        <v>1</v>
      </c>
      <c r="C404" s="52" t="str">
        <f>TEXT(Data!F404,"mmm")</f>
        <v>Jan</v>
      </c>
      <c r="D404" s="52" t="str">
        <f>Data!O404</f>
        <v>Female</v>
      </c>
      <c r="E404" s="52">
        <f>Data!G404-Data!F404</f>
        <v>2</v>
      </c>
      <c r="F404" s="52">
        <f>IF(Data!J404&lt;=5,Data!J404,IF(Data!J404&lt;=10,"6 TO 10","More than 10"))</f>
        <v>5</v>
      </c>
      <c r="G404" s="52">
        <f t="shared" si="6"/>
        <v>2</v>
      </c>
      <c r="H404" s="52">
        <f>ROUND(Data!C404*Data!D404-Data!E404,2)</f>
        <v>0</v>
      </c>
      <c r="I404" s="52">
        <f>IF(AND(OR(Sel_Mode="All",Data!I404=Sel_Mode),OR(Sel_Gender="All",D404=Sel_Gender),OR(Sel_Category="All",Data!B404=Sel_Category),OR(Sel_Month="All",C404=Sel_Month),OR(Sel_County="All",Data!L404=Sel_County)),1,0)</f>
        <v>1</v>
      </c>
    </row>
    <row r="405" spans="1:9" x14ac:dyDescent="0.25">
      <c r="A405" s="52" t="str">
        <f>Data!A405</f>
        <v>TX500404</v>
      </c>
      <c r="B405" s="52">
        <f>MONTH(Data!F405)</f>
        <v>1</v>
      </c>
      <c r="C405" s="52" t="str">
        <f>TEXT(Data!F405,"mmm")</f>
        <v>Jan</v>
      </c>
      <c r="D405" s="52" t="str">
        <f>Data!O405</f>
        <v>Other</v>
      </c>
      <c r="E405" s="52">
        <f>Data!G405-Data!F405</f>
        <v>2</v>
      </c>
      <c r="F405" s="52">
        <f>IF(Data!J405&lt;=5,Data!J405,IF(Data!J405&lt;=10,"6 TO 10","More than 10"))</f>
        <v>4</v>
      </c>
      <c r="G405" s="52">
        <f t="shared" si="6"/>
        <v>2</v>
      </c>
      <c r="H405" s="52">
        <f>ROUND(Data!C405*Data!D405-Data!E405,2)</f>
        <v>0</v>
      </c>
      <c r="I405" s="52">
        <f>IF(AND(OR(Sel_Mode="All",Data!I405=Sel_Mode),OR(Sel_Gender="All",D405=Sel_Gender),OR(Sel_Category="All",Data!B405=Sel_Category),OR(Sel_Month="All",C405=Sel_Month),OR(Sel_County="All",Data!L405=Sel_County)),1,0)</f>
        <v>1</v>
      </c>
    </row>
    <row r="406" spans="1:9" x14ac:dyDescent="0.25">
      <c r="A406" s="52" t="str">
        <f>Data!A406</f>
        <v>TX500405</v>
      </c>
      <c r="B406" s="52">
        <f>MONTH(Data!F406)</f>
        <v>1</v>
      </c>
      <c r="C406" s="52" t="str">
        <f>TEXT(Data!F406,"mmm")</f>
        <v>Jan</v>
      </c>
      <c r="D406" s="52" t="str">
        <f>Data!O406</f>
        <v>Female</v>
      </c>
      <c r="E406" s="52">
        <f>Data!G406-Data!F406</f>
        <v>1</v>
      </c>
      <c r="F406" s="52">
        <f>IF(Data!J406&lt;=5,Data!J406,IF(Data!J406&lt;=10,"6 TO 10","More than 10"))</f>
        <v>4</v>
      </c>
      <c r="G406" s="52">
        <f t="shared" si="6"/>
        <v>1</v>
      </c>
      <c r="H406" s="52">
        <f>ROUND(Data!C406*Data!D406-Data!E406,2)</f>
        <v>0</v>
      </c>
      <c r="I406" s="52">
        <f>IF(AND(OR(Sel_Mode="All",Data!I406=Sel_Mode),OR(Sel_Gender="All",D406=Sel_Gender),OR(Sel_Category="All",Data!B406=Sel_Category),OR(Sel_Month="All",C406=Sel_Month),OR(Sel_County="All",Data!L406=Sel_County)),1,0)</f>
        <v>1</v>
      </c>
    </row>
    <row r="407" spans="1:9" x14ac:dyDescent="0.25">
      <c r="A407" s="52" t="str">
        <f>Data!A407</f>
        <v>TX500406</v>
      </c>
      <c r="B407" s="52">
        <f>MONTH(Data!F407)</f>
        <v>1</v>
      </c>
      <c r="C407" s="52" t="str">
        <f>TEXT(Data!F407,"mmm")</f>
        <v>Jan</v>
      </c>
      <c r="D407" s="52" t="str">
        <f>Data!O407</f>
        <v>Female</v>
      </c>
      <c r="E407" s="52">
        <f>Data!G407-Data!F407</f>
        <v>2</v>
      </c>
      <c r="F407" s="52">
        <f>IF(Data!J407&lt;=5,Data!J407,IF(Data!J407&lt;=10,"6 TO 10","More than 10"))</f>
        <v>5</v>
      </c>
      <c r="G407" s="52">
        <f t="shared" si="6"/>
        <v>2</v>
      </c>
      <c r="H407" s="52">
        <f>ROUND(Data!C407*Data!D407-Data!E407,2)</f>
        <v>0</v>
      </c>
      <c r="I407" s="52">
        <f>IF(AND(OR(Sel_Mode="All",Data!I407=Sel_Mode),OR(Sel_Gender="All",D407=Sel_Gender),OR(Sel_Category="All",Data!B407=Sel_Category),OR(Sel_Month="All",C407=Sel_Month),OR(Sel_County="All",Data!L407=Sel_County)),1,0)</f>
        <v>1</v>
      </c>
    </row>
    <row r="408" spans="1:9" x14ac:dyDescent="0.25">
      <c r="A408" s="52" t="str">
        <f>Data!A408</f>
        <v>TX500407</v>
      </c>
      <c r="B408" s="52">
        <f>MONTH(Data!F408)</f>
        <v>1</v>
      </c>
      <c r="C408" s="52" t="str">
        <f>TEXT(Data!F408,"mmm")</f>
        <v>Jan</v>
      </c>
      <c r="D408" s="52" t="str">
        <f>Data!O408</f>
        <v>Female</v>
      </c>
      <c r="E408" s="52">
        <f>Data!G408-Data!F408</f>
        <v>2</v>
      </c>
      <c r="F408" s="52">
        <f>IF(Data!J408&lt;=5,Data!J408,IF(Data!J408&lt;=10,"6 TO 10","More than 10"))</f>
        <v>4</v>
      </c>
      <c r="G408" s="52">
        <f t="shared" si="6"/>
        <v>2</v>
      </c>
      <c r="H408" s="52">
        <f>ROUND(Data!C408*Data!D408-Data!E408,2)</f>
        <v>0</v>
      </c>
      <c r="I408" s="52">
        <f>IF(AND(OR(Sel_Mode="All",Data!I408=Sel_Mode),OR(Sel_Gender="All",D408=Sel_Gender),OR(Sel_Category="All",Data!B408=Sel_Category),OR(Sel_Month="All",C408=Sel_Month),OR(Sel_County="All",Data!L408=Sel_County)),1,0)</f>
        <v>1</v>
      </c>
    </row>
    <row r="409" spans="1:9" x14ac:dyDescent="0.25">
      <c r="A409" s="52" t="str">
        <f>Data!A409</f>
        <v>TX500408</v>
      </c>
      <c r="B409" s="52">
        <f>MONTH(Data!F409)</f>
        <v>1</v>
      </c>
      <c r="C409" s="52" t="str">
        <f>TEXT(Data!F409,"mmm")</f>
        <v>Jan</v>
      </c>
      <c r="D409" s="52" t="str">
        <f>Data!O409</f>
        <v>Male</v>
      </c>
      <c r="E409" s="52">
        <f>Data!G409-Data!F409</f>
        <v>1</v>
      </c>
      <c r="F409" s="52">
        <f>IF(Data!J409&lt;=5,Data!J409,IF(Data!J409&lt;=10,"6 TO 10","More than 10"))</f>
        <v>5</v>
      </c>
      <c r="G409" s="52">
        <f t="shared" si="6"/>
        <v>1</v>
      </c>
      <c r="H409" s="52">
        <f>ROUND(Data!C409*Data!D409-Data!E409,2)</f>
        <v>0</v>
      </c>
      <c r="I409" s="52">
        <f>IF(AND(OR(Sel_Mode="All",Data!I409=Sel_Mode),OR(Sel_Gender="All",D409=Sel_Gender),OR(Sel_Category="All",Data!B409=Sel_Category),OR(Sel_Month="All",C409=Sel_Month),OR(Sel_County="All",Data!L409=Sel_County)),1,0)</f>
        <v>1</v>
      </c>
    </row>
    <row r="410" spans="1:9" x14ac:dyDescent="0.25">
      <c r="A410" s="52" t="str">
        <f>Data!A410</f>
        <v>TX500409</v>
      </c>
      <c r="B410" s="52">
        <f>MONTH(Data!F410)</f>
        <v>1</v>
      </c>
      <c r="C410" s="52" t="str">
        <f>TEXT(Data!F410,"mmm")</f>
        <v>Jan</v>
      </c>
      <c r="D410" s="52" t="str">
        <f>Data!O410</f>
        <v>Male</v>
      </c>
      <c r="E410" s="52">
        <f>Data!G410-Data!F410</f>
        <v>1</v>
      </c>
      <c r="F410" s="52">
        <f>IF(Data!J410&lt;=5,Data!J410,IF(Data!J410&lt;=10,"6 TO 10","More than 10"))</f>
        <v>3</v>
      </c>
      <c r="G410" s="52">
        <f t="shared" si="6"/>
        <v>1</v>
      </c>
      <c r="H410" s="52">
        <f>ROUND(Data!C410*Data!D410-Data!E410,2)</f>
        <v>0</v>
      </c>
      <c r="I410" s="52">
        <f>IF(AND(OR(Sel_Mode="All",Data!I410=Sel_Mode),OR(Sel_Gender="All",D410=Sel_Gender),OR(Sel_Category="All",Data!B410=Sel_Category),OR(Sel_Month="All",C410=Sel_Month),OR(Sel_County="All",Data!L410=Sel_County)),1,0)</f>
        <v>1</v>
      </c>
    </row>
    <row r="411" spans="1:9" x14ac:dyDescent="0.25">
      <c r="A411" s="52" t="str">
        <f>Data!A411</f>
        <v>TX500410</v>
      </c>
      <c r="B411" s="52">
        <f>MONTH(Data!F411)</f>
        <v>1</v>
      </c>
      <c r="C411" s="52" t="str">
        <f>TEXT(Data!F411,"mmm")</f>
        <v>Jan</v>
      </c>
      <c r="D411" s="52" t="str">
        <f>Data!O411</f>
        <v>Male</v>
      </c>
      <c r="E411" s="52">
        <f>Data!G411-Data!F411</f>
        <v>1</v>
      </c>
      <c r="F411" s="52">
        <f>IF(Data!J411&lt;=5,Data!J411,IF(Data!J411&lt;=10,"6 TO 10","More than 10"))</f>
        <v>4</v>
      </c>
      <c r="G411" s="52">
        <f t="shared" si="6"/>
        <v>1</v>
      </c>
      <c r="H411" s="52">
        <f>ROUND(Data!C411*Data!D411-Data!E411,2)</f>
        <v>0</v>
      </c>
      <c r="I411" s="52">
        <f>IF(AND(OR(Sel_Mode="All",Data!I411=Sel_Mode),OR(Sel_Gender="All",D411=Sel_Gender),OR(Sel_Category="All",Data!B411=Sel_Category),OR(Sel_Month="All",C411=Sel_Month),OR(Sel_County="All",Data!L411=Sel_County)),1,0)</f>
        <v>1</v>
      </c>
    </row>
    <row r="412" spans="1:9" x14ac:dyDescent="0.25">
      <c r="A412" s="52" t="str">
        <f>Data!A412</f>
        <v>TX500411</v>
      </c>
      <c r="B412" s="52">
        <f>MONTH(Data!F412)</f>
        <v>1</v>
      </c>
      <c r="C412" s="52" t="str">
        <f>TEXT(Data!F412,"mmm")</f>
        <v>Jan</v>
      </c>
      <c r="D412" s="52" t="str">
        <f>Data!O412</f>
        <v>Female</v>
      </c>
      <c r="E412" s="52">
        <f>Data!G412-Data!F412</f>
        <v>3</v>
      </c>
      <c r="F412" s="52">
        <f>IF(Data!J412&lt;=5,Data!J412,IF(Data!J412&lt;=10,"6 TO 10","More than 10"))</f>
        <v>3</v>
      </c>
      <c r="G412" s="52">
        <f t="shared" si="6"/>
        <v>3</v>
      </c>
      <c r="H412" s="52">
        <f>ROUND(Data!C412*Data!D412-Data!E412,2)</f>
        <v>0</v>
      </c>
      <c r="I412" s="52">
        <f>IF(AND(OR(Sel_Mode="All",Data!I412=Sel_Mode),OR(Sel_Gender="All",D412=Sel_Gender),OR(Sel_Category="All",Data!B412=Sel_Category),OR(Sel_Month="All",C412=Sel_Month),OR(Sel_County="All",Data!L412=Sel_County)),1,0)</f>
        <v>1</v>
      </c>
    </row>
    <row r="413" spans="1:9" x14ac:dyDescent="0.25">
      <c r="A413" s="52" t="str">
        <f>Data!A413</f>
        <v>TX500412</v>
      </c>
      <c r="B413" s="52">
        <f>MONTH(Data!F413)</f>
        <v>1</v>
      </c>
      <c r="C413" s="52" t="str">
        <f>TEXT(Data!F413,"mmm")</f>
        <v>Jan</v>
      </c>
      <c r="D413" s="52" t="str">
        <f>Data!O413</f>
        <v>Male</v>
      </c>
      <c r="E413" s="52">
        <f>Data!G413-Data!F413</f>
        <v>2</v>
      </c>
      <c r="F413" s="52">
        <f>IF(Data!J413&lt;=5,Data!J413,IF(Data!J413&lt;=10,"6 TO 10","More than 10"))</f>
        <v>5</v>
      </c>
      <c r="G413" s="52">
        <f t="shared" si="6"/>
        <v>2</v>
      </c>
      <c r="H413" s="52">
        <f>ROUND(Data!C413*Data!D413-Data!E413,2)</f>
        <v>0</v>
      </c>
      <c r="I413" s="52">
        <f>IF(AND(OR(Sel_Mode="All",Data!I413=Sel_Mode),OR(Sel_Gender="All",D413=Sel_Gender),OR(Sel_Category="All",Data!B413=Sel_Category),OR(Sel_Month="All",C413=Sel_Month),OR(Sel_County="All",Data!L413=Sel_County)),1,0)</f>
        <v>1</v>
      </c>
    </row>
    <row r="414" spans="1:9" x14ac:dyDescent="0.25">
      <c r="A414" s="52" t="str">
        <f>Data!A414</f>
        <v>TX500413</v>
      </c>
      <c r="B414" s="52">
        <f>MONTH(Data!F414)</f>
        <v>1</v>
      </c>
      <c r="C414" s="52" t="str">
        <f>TEXT(Data!F414,"mmm")</f>
        <v>Jan</v>
      </c>
      <c r="D414" s="52" t="str">
        <f>Data!O414</f>
        <v>Male</v>
      </c>
      <c r="E414" s="52">
        <f>Data!G414-Data!F414</f>
        <v>3</v>
      </c>
      <c r="F414" s="52">
        <f>IF(Data!J414&lt;=5,Data!J414,IF(Data!J414&lt;=10,"6 TO 10","More than 10"))</f>
        <v>4</v>
      </c>
      <c r="G414" s="52">
        <f t="shared" si="6"/>
        <v>3</v>
      </c>
      <c r="H414" s="52">
        <f>ROUND(Data!C414*Data!D414-Data!E414,2)</f>
        <v>0</v>
      </c>
      <c r="I414" s="52">
        <f>IF(AND(OR(Sel_Mode="All",Data!I414=Sel_Mode),OR(Sel_Gender="All",D414=Sel_Gender),OR(Sel_Category="All",Data!B414=Sel_Category),OR(Sel_Month="All",C414=Sel_Month),OR(Sel_County="All",Data!L414=Sel_County)),1,0)</f>
        <v>1</v>
      </c>
    </row>
    <row r="415" spans="1:9" x14ac:dyDescent="0.25">
      <c r="A415" s="52" t="str">
        <f>Data!A415</f>
        <v>TX500414</v>
      </c>
      <c r="B415" s="52">
        <f>MONTH(Data!F415)</f>
        <v>1</v>
      </c>
      <c r="C415" s="52" t="str">
        <f>TEXT(Data!F415,"mmm")</f>
        <v>Jan</v>
      </c>
      <c r="D415" s="52" t="str">
        <f>Data!O415</f>
        <v>Female</v>
      </c>
      <c r="E415" s="52">
        <f>Data!G415-Data!F415</f>
        <v>8</v>
      </c>
      <c r="F415" s="52">
        <f>IF(Data!J415&lt;=5,Data!J415,IF(Data!J415&lt;=10,"6 TO 10","More than 10"))</f>
        <v>4</v>
      </c>
      <c r="G415" s="52" t="str">
        <f t="shared" si="6"/>
        <v>8+</v>
      </c>
      <c r="H415" s="52">
        <f>ROUND(Data!C415*Data!D415-Data!E415,2)</f>
        <v>0</v>
      </c>
      <c r="I415" s="52">
        <f>IF(AND(OR(Sel_Mode="All",Data!I415=Sel_Mode),OR(Sel_Gender="All",D415=Sel_Gender),OR(Sel_Category="All",Data!B415=Sel_Category),OR(Sel_Month="All",C415=Sel_Month),OR(Sel_County="All",Data!L415=Sel_County)),1,0)</f>
        <v>1</v>
      </c>
    </row>
    <row r="416" spans="1:9" x14ac:dyDescent="0.25">
      <c r="A416" s="52" t="str">
        <f>Data!A416</f>
        <v>TX500415</v>
      </c>
      <c r="B416" s="52">
        <f>MONTH(Data!F416)</f>
        <v>1</v>
      </c>
      <c r="C416" s="52" t="str">
        <f>TEXT(Data!F416,"mmm")</f>
        <v>Jan</v>
      </c>
      <c r="D416" s="52" t="str">
        <f>Data!O416</f>
        <v>Unknown</v>
      </c>
      <c r="E416" s="52">
        <f>Data!G416-Data!F416</f>
        <v>3</v>
      </c>
      <c r="F416" s="52">
        <f>IF(Data!J416&lt;=5,Data!J416,IF(Data!J416&lt;=10,"6 TO 10","More than 10"))</f>
        <v>5</v>
      </c>
      <c r="G416" s="52">
        <f t="shared" si="6"/>
        <v>3</v>
      </c>
      <c r="H416" s="52">
        <f>ROUND(Data!C416*Data!D416-Data!E416,2)</f>
        <v>0</v>
      </c>
      <c r="I416" s="52">
        <f>IF(AND(OR(Sel_Mode="All",Data!I416=Sel_Mode),OR(Sel_Gender="All",D416=Sel_Gender),OR(Sel_Category="All",Data!B416=Sel_Category),OR(Sel_Month="All",C416=Sel_Month),OR(Sel_County="All",Data!L416=Sel_County)),1,0)</f>
        <v>1</v>
      </c>
    </row>
    <row r="417" spans="1:9" x14ac:dyDescent="0.25">
      <c r="A417" s="52" t="str">
        <f>Data!A417</f>
        <v>TX500416</v>
      </c>
      <c r="B417" s="52">
        <f>MONTH(Data!F417)</f>
        <v>1</v>
      </c>
      <c r="C417" s="52" t="str">
        <f>TEXT(Data!F417,"mmm")</f>
        <v>Jan</v>
      </c>
      <c r="D417" s="52" t="str">
        <f>Data!O417</f>
        <v>Female</v>
      </c>
      <c r="E417" s="52">
        <f>Data!G417-Data!F417</f>
        <v>2</v>
      </c>
      <c r="F417" s="52">
        <f>IF(Data!J417&lt;=5,Data!J417,IF(Data!J417&lt;=10,"6 TO 10","More than 10"))</f>
        <v>4</v>
      </c>
      <c r="G417" s="52">
        <f t="shared" si="6"/>
        <v>2</v>
      </c>
      <c r="H417" s="52">
        <f>ROUND(Data!C417*Data!D417-Data!E417,2)</f>
        <v>0</v>
      </c>
      <c r="I417" s="52">
        <f>IF(AND(OR(Sel_Mode="All",Data!I417=Sel_Mode),OR(Sel_Gender="All",D417=Sel_Gender),OR(Sel_Category="All",Data!B417=Sel_Category),OR(Sel_Month="All",C417=Sel_Month),OR(Sel_County="All",Data!L417=Sel_County)),1,0)</f>
        <v>1</v>
      </c>
    </row>
    <row r="418" spans="1:9" x14ac:dyDescent="0.25">
      <c r="A418" s="52" t="str">
        <f>Data!A418</f>
        <v>TX500417</v>
      </c>
      <c r="B418" s="52">
        <f>MONTH(Data!F418)</f>
        <v>1</v>
      </c>
      <c r="C418" s="52" t="str">
        <f>TEXT(Data!F418,"mmm")</f>
        <v>Jan</v>
      </c>
      <c r="D418" s="52" t="str">
        <f>Data!O418</f>
        <v>Other</v>
      </c>
      <c r="E418" s="52">
        <f>Data!G418-Data!F418</f>
        <v>1</v>
      </c>
      <c r="F418" s="52">
        <f>IF(Data!J418&lt;=5,Data!J418,IF(Data!J418&lt;=10,"6 TO 10","More than 10"))</f>
        <v>5</v>
      </c>
      <c r="G418" s="52">
        <f t="shared" si="6"/>
        <v>1</v>
      </c>
      <c r="H418" s="52">
        <f>ROUND(Data!C418*Data!D418-Data!E418,2)</f>
        <v>0</v>
      </c>
      <c r="I418" s="52">
        <f>IF(AND(OR(Sel_Mode="All",Data!I418=Sel_Mode),OR(Sel_Gender="All",D418=Sel_Gender),OR(Sel_Category="All",Data!B418=Sel_Category),OR(Sel_Month="All",C418=Sel_Month),OR(Sel_County="All",Data!L418=Sel_County)),1,0)</f>
        <v>1</v>
      </c>
    </row>
    <row r="419" spans="1:9" x14ac:dyDescent="0.25">
      <c r="A419" s="52" t="str">
        <f>Data!A419</f>
        <v>TX500418</v>
      </c>
      <c r="B419" s="52">
        <f>MONTH(Data!F419)</f>
        <v>1</v>
      </c>
      <c r="C419" s="52" t="str">
        <f>TEXT(Data!F419,"mmm")</f>
        <v>Jan</v>
      </c>
      <c r="D419" s="52" t="str">
        <f>Data!O419</f>
        <v>Male</v>
      </c>
      <c r="E419" s="52">
        <f>Data!G419-Data!F419</f>
        <v>1</v>
      </c>
      <c r="F419" s="52">
        <f>IF(Data!J419&lt;=5,Data!J419,IF(Data!J419&lt;=10,"6 TO 10","More than 10"))</f>
        <v>5</v>
      </c>
      <c r="G419" s="52">
        <f t="shared" si="6"/>
        <v>1</v>
      </c>
      <c r="H419" s="52">
        <f>ROUND(Data!C419*Data!D419-Data!E419,2)</f>
        <v>0</v>
      </c>
      <c r="I419" s="52">
        <f>IF(AND(OR(Sel_Mode="All",Data!I419=Sel_Mode),OR(Sel_Gender="All",D419=Sel_Gender),OR(Sel_Category="All",Data!B419=Sel_Category),OR(Sel_Month="All",C419=Sel_Month),OR(Sel_County="All",Data!L419=Sel_County)),1,0)</f>
        <v>1</v>
      </c>
    </row>
    <row r="420" spans="1:9" x14ac:dyDescent="0.25">
      <c r="A420" s="52" t="str">
        <f>Data!A420</f>
        <v>TX500419</v>
      </c>
      <c r="B420" s="52">
        <f>MONTH(Data!F420)</f>
        <v>1</v>
      </c>
      <c r="C420" s="52" t="str">
        <f>TEXT(Data!F420,"mmm")</f>
        <v>Jan</v>
      </c>
      <c r="D420" s="52" t="str">
        <f>Data!O420</f>
        <v>Female</v>
      </c>
      <c r="E420" s="52">
        <f>Data!G420-Data!F420</f>
        <v>0</v>
      </c>
      <c r="F420" s="52">
        <f>IF(Data!J420&lt;=5,Data!J420,IF(Data!J420&lt;=10,"6 TO 10","More than 10"))</f>
        <v>4</v>
      </c>
      <c r="G420" s="52">
        <f t="shared" si="6"/>
        <v>0</v>
      </c>
      <c r="H420" s="52">
        <f>ROUND(Data!C420*Data!D420-Data!E420,2)</f>
        <v>0</v>
      </c>
      <c r="I420" s="52">
        <f>IF(AND(OR(Sel_Mode="All",Data!I420=Sel_Mode),OR(Sel_Gender="All",D420=Sel_Gender),OR(Sel_Category="All",Data!B420=Sel_Category),OR(Sel_Month="All",C420=Sel_Month),OR(Sel_County="All",Data!L420=Sel_County)),1,0)</f>
        <v>1</v>
      </c>
    </row>
    <row r="421" spans="1:9" x14ac:dyDescent="0.25">
      <c r="A421" s="52" t="str">
        <f>Data!A421</f>
        <v>TX500420</v>
      </c>
      <c r="B421" s="52">
        <f>MONTH(Data!F421)</f>
        <v>1</v>
      </c>
      <c r="C421" s="52" t="str">
        <f>TEXT(Data!F421,"mmm")</f>
        <v>Jan</v>
      </c>
      <c r="D421" s="52" t="str">
        <f>Data!O421</f>
        <v>Male</v>
      </c>
      <c r="E421" s="52">
        <f>Data!G421-Data!F421</f>
        <v>4</v>
      </c>
      <c r="F421" s="52">
        <f>IF(Data!J421&lt;=5,Data!J421,IF(Data!J421&lt;=10,"6 TO 10","More than 10"))</f>
        <v>2</v>
      </c>
      <c r="G421" s="52">
        <f t="shared" si="6"/>
        <v>4</v>
      </c>
      <c r="H421" s="52">
        <f>ROUND(Data!C421*Data!D421-Data!E421,2)</f>
        <v>0</v>
      </c>
      <c r="I421" s="52">
        <f>IF(AND(OR(Sel_Mode="All",Data!I421=Sel_Mode),OR(Sel_Gender="All",D421=Sel_Gender),OR(Sel_Category="All",Data!B421=Sel_Category),OR(Sel_Month="All",C421=Sel_Month),OR(Sel_County="All",Data!L421=Sel_County)),1,0)</f>
        <v>1</v>
      </c>
    </row>
    <row r="422" spans="1:9" x14ac:dyDescent="0.25">
      <c r="A422" s="52" t="str">
        <f>Data!A422</f>
        <v>TX500421</v>
      </c>
      <c r="B422" s="52">
        <f>MONTH(Data!F422)</f>
        <v>1</v>
      </c>
      <c r="C422" s="52" t="str">
        <f>TEXT(Data!F422,"mmm")</f>
        <v>Jan</v>
      </c>
      <c r="D422" s="52" t="str">
        <f>Data!O422</f>
        <v>Male</v>
      </c>
      <c r="E422" s="52">
        <f>Data!G422-Data!F422</f>
        <v>1</v>
      </c>
      <c r="F422" s="52">
        <f>IF(Data!J422&lt;=5,Data!J422,IF(Data!J422&lt;=10,"6 TO 10","More than 10"))</f>
        <v>4</v>
      </c>
      <c r="G422" s="52">
        <f t="shared" si="6"/>
        <v>1</v>
      </c>
      <c r="H422" s="52">
        <f>ROUND(Data!C422*Data!D422-Data!E422,2)</f>
        <v>0</v>
      </c>
      <c r="I422" s="52">
        <f>IF(AND(OR(Sel_Mode="All",Data!I422=Sel_Mode),OR(Sel_Gender="All",D422=Sel_Gender),OR(Sel_Category="All",Data!B422=Sel_Category),OR(Sel_Month="All",C422=Sel_Month),OR(Sel_County="All",Data!L422=Sel_County)),1,0)</f>
        <v>1</v>
      </c>
    </row>
    <row r="423" spans="1:9" x14ac:dyDescent="0.25">
      <c r="A423" s="52" t="str">
        <f>Data!A423</f>
        <v>TX500422</v>
      </c>
      <c r="B423" s="52">
        <f>MONTH(Data!F423)</f>
        <v>1</v>
      </c>
      <c r="C423" s="52" t="str">
        <f>TEXT(Data!F423,"mmm")</f>
        <v>Jan</v>
      </c>
      <c r="D423" s="52" t="str">
        <f>Data!O423</f>
        <v>Female</v>
      </c>
      <c r="E423" s="52">
        <f>Data!G423-Data!F423</f>
        <v>1</v>
      </c>
      <c r="F423" s="52">
        <f>IF(Data!J423&lt;=5,Data!J423,IF(Data!J423&lt;=10,"6 TO 10","More than 10"))</f>
        <v>5</v>
      </c>
      <c r="G423" s="52">
        <f t="shared" si="6"/>
        <v>1</v>
      </c>
      <c r="H423" s="52">
        <f>ROUND(Data!C423*Data!D423-Data!E423,2)</f>
        <v>0</v>
      </c>
      <c r="I423" s="52">
        <f>IF(AND(OR(Sel_Mode="All",Data!I423=Sel_Mode),OR(Sel_Gender="All",D423=Sel_Gender),OR(Sel_Category="All",Data!B423=Sel_Category),OR(Sel_Month="All",C423=Sel_Month),OR(Sel_County="All",Data!L423=Sel_County)),1,0)</f>
        <v>1</v>
      </c>
    </row>
    <row r="424" spans="1:9" x14ac:dyDescent="0.25">
      <c r="A424" s="52" t="str">
        <f>Data!A424</f>
        <v>TX500423</v>
      </c>
      <c r="B424" s="52">
        <f>MONTH(Data!F424)</f>
        <v>1</v>
      </c>
      <c r="C424" s="52" t="str">
        <f>TEXT(Data!F424,"mmm")</f>
        <v>Jan</v>
      </c>
      <c r="D424" s="52" t="str">
        <f>Data!O424</f>
        <v>Male</v>
      </c>
      <c r="E424" s="52">
        <f>Data!G424-Data!F424</f>
        <v>3</v>
      </c>
      <c r="F424" s="52">
        <f>IF(Data!J424&lt;=5,Data!J424,IF(Data!J424&lt;=10,"6 TO 10","More than 10"))</f>
        <v>5</v>
      </c>
      <c r="G424" s="52">
        <f t="shared" si="6"/>
        <v>3</v>
      </c>
      <c r="H424" s="52">
        <f>ROUND(Data!C424*Data!D424-Data!E424,2)</f>
        <v>0</v>
      </c>
      <c r="I424" s="52">
        <f>IF(AND(OR(Sel_Mode="All",Data!I424=Sel_Mode),OR(Sel_Gender="All",D424=Sel_Gender),OR(Sel_Category="All",Data!B424=Sel_Category),OR(Sel_Month="All",C424=Sel_Month),OR(Sel_County="All",Data!L424=Sel_County)),1,0)</f>
        <v>1</v>
      </c>
    </row>
    <row r="425" spans="1:9" x14ac:dyDescent="0.25">
      <c r="A425" s="52" t="str">
        <f>Data!A425</f>
        <v>TX500424</v>
      </c>
      <c r="B425" s="52">
        <f>MONTH(Data!F425)</f>
        <v>1</v>
      </c>
      <c r="C425" s="52" t="str">
        <f>TEXT(Data!F425,"mmm")</f>
        <v>Jan</v>
      </c>
      <c r="D425" s="52" t="str">
        <f>Data!O425</f>
        <v>Other</v>
      </c>
      <c r="E425" s="52">
        <f>Data!G425-Data!F425</f>
        <v>6</v>
      </c>
      <c r="F425" s="52">
        <f>IF(Data!J425&lt;=5,Data!J425,IF(Data!J425&lt;=10,"6 TO 10","More than 10"))</f>
        <v>4</v>
      </c>
      <c r="G425" s="52">
        <f t="shared" si="6"/>
        <v>6</v>
      </c>
      <c r="H425" s="52">
        <f>ROUND(Data!C425*Data!D425-Data!E425,2)</f>
        <v>0</v>
      </c>
      <c r="I425" s="52">
        <f>IF(AND(OR(Sel_Mode="All",Data!I425=Sel_Mode),OR(Sel_Gender="All",D425=Sel_Gender),OR(Sel_Category="All",Data!B425=Sel_Category),OR(Sel_Month="All",C425=Sel_Month),OR(Sel_County="All",Data!L425=Sel_County)),1,0)</f>
        <v>1</v>
      </c>
    </row>
    <row r="426" spans="1:9" x14ac:dyDescent="0.25">
      <c r="A426" s="52" t="str">
        <f>Data!A426</f>
        <v>TX500425</v>
      </c>
      <c r="B426" s="52">
        <f>MONTH(Data!F426)</f>
        <v>1</v>
      </c>
      <c r="C426" s="52" t="str">
        <f>TEXT(Data!F426,"mmm")</f>
        <v>Jan</v>
      </c>
      <c r="D426" s="52" t="str">
        <f>Data!O426</f>
        <v>Female</v>
      </c>
      <c r="E426" s="52">
        <f>Data!G426-Data!F426</f>
        <v>3</v>
      </c>
      <c r="F426" s="52">
        <f>IF(Data!J426&lt;=5,Data!J426,IF(Data!J426&lt;=10,"6 TO 10","More than 10"))</f>
        <v>3</v>
      </c>
      <c r="G426" s="52">
        <f t="shared" si="6"/>
        <v>3</v>
      </c>
      <c r="H426" s="52">
        <f>ROUND(Data!C426*Data!D426-Data!E426,2)</f>
        <v>0</v>
      </c>
      <c r="I426" s="52">
        <f>IF(AND(OR(Sel_Mode="All",Data!I426=Sel_Mode),OR(Sel_Gender="All",D426=Sel_Gender),OR(Sel_Category="All",Data!B426=Sel_Category),OR(Sel_Month="All",C426=Sel_Month),OR(Sel_County="All",Data!L426=Sel_County)),1,0)</f>
        <v>1</v>
      </c>
    </row>
    <row r="427" spans="1:9" x14ac:dyDescent="0.25">
      <c r="A427" s="52" t="str">
        <f>Data!A427</f>
        <v>TX500426</v>
      </c>
      <c r="B427" s="52">
        <f>MONTH(Data!F427)</f>
        <v>1</v>
      </c>
      <c r="C427" s="52" t="str">
        <f>TEXT(Data!F427,"mmm")</f>
        <v>Jan</v>
      </c>
      <c r="D427" s="52" t="str">
        <f>Data!O427</f>
        <v>Female</v>
      </c>
      <c r="E427" s="52">
        <f>Data!G427-Data!F427</f>
        <v>2</v>
      </c>
      <c r="F427" s="52">
        <f>IF(Data!J427&lt;=5,Data!J427,IF(Data!J427&lt;=10,"6 TO 10","More than 10"))</f>
        <v>4</v>
      </c>
      <c r="G427" s="52">
        <f t="shared" si="6"/>
        <v>2</v>
      </c>
      <c r="H427" s="52">
        <f>ROUND(Data!C427*Data!D427-Data!E427,2)</f>
        <v>0</v>
      </c>
      <c r="I427" s="52">
        <f>IF(AND(OR(Sel_Mode="All",Data!I427=Sel_Mode),OR(Sel_Gender="All",D427=Sel_Gender),OR(Sel_Category="All",Data!B427=Sel_Category),OR(Sel_Month="All",C427=Sel_Month),OR(Sel_County="All",Data!L427=Sel_County)),1,0)</f>
        <v>1</v>
      </c>
    </row>
    <row r="428" spans="1:9" x14ac:dyDescent="0.25">
      <c r="A428" s="52" t="str">
        <f>Data!A428</f>
        <v>TX500427</v>
      </c>
      <c r="B428" s="52">
        <f>MONTH(Data!F428)</f>
        <v>1</v>
      </c>
      <c r="C428" s="52" t="str">
        <f>TEXT(Data!F428,"mmm")</f>
        <v>Jan</v>
      </c>
      <c r="D428" s="52" t="str">
        <f>Data!O428</f>
        <v>Female</v>
      </c>
      <c r="E428" s="52">
        <f>Data!G428-Data!F428</f>
        <v>3</v>
      </c>
      <c r="F428" s="52">
        <f>IF(Data!J428&lt;=5,Data!J428,IF(Data!J428&lt;=10,"6 TO 10","More than 10"))</f>
        <v>4</v>
      </c>
      <c r="G428" s="52">
        <f t="shared" si="6"/>
        <v>3</v>
      </c>
      <c r="H428" s="52">
        <f>ROUND(Data!C428*Data!D428-Data!E428,2)</f>
        <v>0</v>
      </c>
      <c r="I428" s="52">
        <f>IF(AND(OR(Sel_Mode="All",Data!I428=Sel_Mode),OR(Sel_Gender="All",D428=Sel_Gender),OR(Sel_Category="All",Data!B428=Sel_Category),OR(Sel_Month="All",C428=Sel_Month),OR(Sel_County="All",Data!L428=Sel_County)),1,0)</f>
        <v>1</v>
      </c>
    </row>
    <row r="429" spans="1:9" x14ac:dyDescent="0.25">
      <c r="A429" s="52" t="str">
        <f>Data!A429</f>
        <v>TX500428</v>
      </c>
      <c r="B429" s="52">
        <f>MONTH(Data!F429)</f>
        <v>1</v>
      </c>
      <c r="C429" s="52" t="str">
        <f>TEXT(Data!F429,"mmm")</f>
        <v>Jan</v>
      </c>
      <c r="D429" s="52" t="str">
        <f>Data!O429</f>
        <v>Male</v>
      </c>
      <c r="E429" s="52">
        <f>Data!G429-Data!F429</f>
        <v>2</v>
      </c>
      <c r="F429" s="52">
        <f>IF(Data!J429&lt;=5,Data!J429,IF(Data!J429&lt;=10,"6 TO 10","More than 10"))</f>
        <v>5</v>
      </c>
      <c r="G429" s="52">
        <f t="shared" si="6"/>
        <v>2</v>
      </c>
      <c r="H429" s="52">
        <f>ROUND(Data!C429*Data!D429-Data!E429,2)</f>
        <v>0</v>
      </c>
      <c r="I429" s="52">
        <f>IF(AND(OR(Sel_Mode="All",Data!I429=Sel_Mode),OR(Sel_Gender="All",D429=Sel_Gender),OR(Sel_Category="All",Data!B429=Sel_Category),OR(Sel_Month="All",C429=Sel_Month),OR(Sel_County="All",Data!L429=Sel_County)),1,0)</f>
        <v>1</v>
      </c>
    </row>
    <row r="430" spans="1:9" x14ac:dyDescent="0.25">
      <c r="A430" s="52" t="str">
        <f>Data!A430</f>
        <v>TX500429</v>
      </c>
      <c r="B430" s="52">
        <f>MONTH(Data!F430)</f>
        <v>1</v>
      </c>
      <c r="C430" s="52" t="str">
        <f>TEXT(Data!F430,"mmm")</f>
        <v>Jan</v>
      </c>
      <c r="D430" s="52" t="str">
        <f>Data!O430</f>
        <v>Female</v>
      </c>
      <c r="E430" s="52">
        <f>Data!G430-Data!F430</f>
        <v>1</v>
      </c>
      <c r="F430" s="52">
        <f>IF(Data!J430&lt;=5,Data!J430,IF(Data!J430&lt;=10,"6 TO 10","More than 10"))</f>
        <v>3</v>
      </c>
      <c r="G430" s="52">
        <f t="shared" si="6"/>
        <v>1</v>
      </c>
      <c r="H430" s="52">
        <f>ROUND(Data!C430*Data!D430-Data!E430,2)</f>
        <v>0</v>
      </c>
      <c r="I430" s="52">
        <f>IF(AND(OR(Sel_Mode="All",Data!I430=Sel_Mode),OR(Sel_Gender="All",D430=Sel_Gender),OR(Sel_Category="All",Data!B430=Sel_Category),OR(Sel_Month="All",C430=Sel_Month),OR(Sel_County="All",Data!L430=Sel_County)),1,0)</f>
        <v>1</v>
      </c>
    </row>
    <row r="431" spans="1:9" x14ac:dyDescent="0.25">
      <c r="A431" s="52" t="str">
        <f>Data!A431</f>
        <v>TX500430</v>
      </c>
      <c r="B431" s="52">
        <f>MONTH(Data!F431)</f>
        <v>1</v>
      </c>
      <c r="C431" s="52" t="str">
        <f>TEXT(Data!F431,"mmm")</f>
        <v>Jan</v>
      </c>
      <c r="D431" s="52" t="str">
        <f>Data!O431</f>
        <v>Female</v>
      </c>
      <c r="E431" s="52">
        <f>Data!G431-Data!F431</f>
        <v>1</v>
      </c>
      <c r="F431" s="52">
        <f>IF(Data!J431&lt;=5,Data!J431,IF(Data!J431&lt;=10,"6 TO 10","More than 10"))</f>
        <v>5</v>
      </c>
      <c r="G431" s="52">
        <f t="shared" si="6"/>
        <v>1</v>
      </c>
      <c r="H431" s="52">
        <f>ROUND(Data!C431*Data!D431-Data!E431,2)</f>
        <v>0</v>
      </c>
      <c r="I431" s="52">
        <f>IF(AND(OR(Sel_Mode="All",Data!I431=Sel_Mode),OR(Sel_Gender="All",D431=Sel_Gender),OR(Sel_Category="All",Data!B431=Sel_Category),OR(Sel_Month="All",C431=Sel_Month),OR(Sel_County="All",Data!L431=Sel_County)),1,0)</f>
        <v>1</v>
      </c>
    </row>
    <row r="432" spans="1:9" x14ac:dyDescent="0.25">
      <c r="A432" s="52" t="str">
        <f>Data!A432</f>
        <v>TX500431</v>
      </c>
      <c r="B432" s="52">
        <f>MONTH(Data!F432)</f>
        <v>1</v>
      </c>
      <c r="C432" s="52" t="str">
        <f>TEXT(Data!F432,"mmm")</f>
        <v>Jan</v>
      </c>
      <c r="D432" s="52" t="str">
        <f>Data!O432</f>
        <v>Female</v>
      </c>
      <c r="E432" s="52">
        <f>Data!G432-Data!F432</f>
        <v>4</v>
      </c>
      <c r="F432" s="52">
        <f>IF(Data!J432&lt;=5,Data!J432,IF(Data!J432&lt;=10,"6 TO 10","More than 10"))</f>
        <v>3</v>
      </c>
      <c r="G432" s="52">
        <f t="shared" si="6"/>
        <v>4</v>
      </c>
      <c r="H432" s="52">
        <f>ROUND(Data!C432*Data!D432-Data!E432,2)</f>
        <v>0</v>
      </c>
      <c r="I432" s="52">
        <f>IF(AND(OR(Sel_Mode="All",Data!I432=Sel_Mode),OR(Sel_Gender="All",D432=Sel_Gender),OR(Sel_Category="All",Data!B432=Sel_Category),OR(Sel_Month="All",C432=Sel_Month),OR(Sel_County="All",Data!L432=Sel_County)),1,0)</f>
        <v>1</v>
      </c>
    </row>
    <row r="433" spans="1:9" x14ac:dyDescent="0.25">
      <c r="A433" s="52" t="str">
        <f>Data!A433</f>
        <v>TX500432</v>
      </c>
      <c r="B433" s="52">
        <f>MONTH(Data!F433)</f>
        <v>1</v>
      </c>
      <c r="C433" s="52" t="str">
        <f>TEXT(Data!F433,"mmm")</f>
        <v>Jan</v>
      </c>
      <c r="D433" s="52" t="str">
        <f>Data!O433</f>
        <v>Female</v>
      </c>
      <c r="E433" s="52">
        <f>Data!G433-Data!F433</f>
        <v>5</v>
      </c>
      <c r="F433" s="52">
        <f>IF(Data!J433&lt;=5,Data!J433,IF(Data!J433&lt;=10,"6 TO 10","More than 10"))</f>
        <v>5</v>
      </c>
      <c r="G433" s="52">
        <f t="shared" si="6"/>
        <v>5</v>
      </c>
      <c r="H433" s="52">
        <f>ROUND(Data!C433*Data!D433-Data!E433,2)</f>
        <v>0</v>
      </c>
      <c r="I433" s="52">
        <f>IF(AND(OR(Sel_Mode="All",Data!I433=Sel_Mode),OR(Sel_Gender="All",D433=Sel_Gender),OR(Sel_Category="All",Data!B433=Sel_Category),OR(Sel_Month="All",C433=Sel_Month),OR(Sel_County="All",Data!L433=Sel_County)),1,0)</f>
        <v>1</v>
      </c>
    </row>
    <row r="434" spans="1:9" x14ac:dyDescent="0.25">
      <c r="A434" s="52" t="str">
        <f>Data!A434</f>
        <v>TX500433</v>
      </c>
      <c r="B434" s="52">
        <f>MONTH(Data!F434)</f>
        <v>1</v>
      </c>
      <c r="C434" s="52" t="str">
        <f>TEXT(Data!F434,"mmm")</f>
        <v>Jan</v>
      </c>
      <c r="D434" s="52" t="str">
        <f>Data!O434</f>
        <v>Female</v>
      </c>
      <c r="E434" s="52">
        <f>Data!G434-Data!F434</f>
        <v>7</v>
      </c>
      <c r="F434" s="52">
        <f>IF(Data!J434&lt;=5,Data!J434,IF(Data!J434&lt;=10,"6 TO 10","More than 10"))</f>
        <v>4</v>
      </c>
      <c r="G434" s="52">
        <f t="shared" si="6"/>
        <v>7</v>
      </c>
      <c r="H434" s="52">
        <f>ROUND(Data!C434*Data!D434-Data!E434,2)</f>
        <v>0</v>
      </c>
      <c r="I434" s="52">
        <f>IF(AND(OR(Sel_Mode="All",Data!I434=Sel_Mode),OR(Sel_Gender="All",D434=Sel_Gender),OR(Sel_Category="All",Data!B434=Sel_Category),OR(Sel_Month="All",C434=Sel_Month),OR(Sel_County="All",Data!L434=Sel_County)),1,0)</f>
        <v>1</v>
      </c>
    </row>
    <row r="435" spans="1:9" x14ac:dyDescent="0.25">
      <c r="A435" s="52" t="str">
        <f>Data!A435</f>
        <v>TX500434</v>
      </c>
      <c r="B435" s="52">
        <f>MONTH(Data!F435)</f>
        <v>1</v>
      </c>
      <c r="C435" s="52" t="str">
        <f>TEXT(Data!F435,"mmm")</f>
        <v>Jan</v>
      </c>
      <c r="D435" s="52" t="str">
        <f>Data!O435</f>
        <v>Male</v>
      </c>
      <c r="E435" s="52">
        <f>Data!G435-Data!F435</f>
        <v>3</v>
      </c>
      <c r="F435" s="52">
        <f>IF(Data!J435&lt;=5,Data!J435,IF(Data!J435&lt;=10,"6 TO 10","More than 10"))</f>
        <v>2</v>
      </c>
      <c r="G435" s="52">
        <f t="shared" si="6"/>
        <v>3</v>
      </c>
      <c r="H435" s="52">
        <f>ROUND(Data!C435*Data!D435-Data!E435,2)</f>
        <v>0</v>
      </c>
      <c r="I435" s="52">
        <f>IF(AND(OR(Sel_Mode="All",Data!I435=Sel_Mode),OR(Sel_Gender="All",D435=Sel_Gender),OR(Sel_Category="All",Data!B435=Sel_Category),OR(Sel_Month="All",C435=Sel_Month),OR(Sel_County="All",Data!L435=Sel_County)),1,0)</f>
        <v>1</v>
      </c>
    </row>
    <row r="436" spans="1:9" x14ac:dyDescent="0.25">
      <c r="A436" s="52" t="str">
        <f>Data!A436</f>
        <v>TX500435</v>
      </c>
      <c r="B436" s="52">
        <f>MONTH(Data!F436)</f>
        <v>1</v>
      </c>
      <c r="C436" s="52" t="str">
        <f>TEXT(Data!F436,"mmm")</f>
        <v>Jan</v>
      </c>
      <c r="D436" s="52" t="str">
        <f>Data!O436</f>
        <v>Female</v>
      </c>
      <c r="E436" s="52">
        <f>Data!G436-Data!F436</f>
        <v>1</v>
      </c>
      <c r="F436" s="52">
        <f>IF(Data!J436&lt;=5,Data!J436,IF(Data!J436&lt;=10,"6 TO 10","More than 10"))</f>
        <v>5</v>
      </c>
      <c r="G436" s="52">
        <f t="shared" si="6"/>
        <v>1</v>
      </c>
      <c r="H436" s="52">
        <f>ROUND(Data!C436*Data!D436-Data!E436,2)</f>
        <v>0</v>
      </c>
      <c r="I436" s="52">
        <f>IF(AND(OR(Sel_Mode="All",Data!I436=Sel_Mode),OR(Sel_Gender="All",D436=Sel_Gender),OR(Sel_Category="All",Data!B436=Sel_Category),OR(Sel_Month="All",C436=Sel_Month),OR(Sel_County="All",Data!L436=Sel_County)),1,0)</f>
        <v>1</v>
      </c>
    </row>
    <row r="437" spans="1:9" x14ac:dyDescent="0.25">
      <c r="A437" s="52" t="str">
        <f>Data!A437</f>
        <v>TX500436</v>
      </c>
      <c r="B437" s="52">
        <f>MONTH(Data!F437)</f>
        <v>1</v>
      </c>
      <c r="C437" s="52" t="str">
        <f>TEXT(Data!F437,"mmm")</f>
        <v>Jan</v>
      </c>
      <c r="D437" s="52" t="str">
        <f>Data!O437</f>
        <v>Male</v>
      </c>
      <c r="E437" s="52">
        <f>Data!G437-Data!F437</f>
        <v>1</v>
      </c>
      <c r="F437" s="52">
        <f>IF(Data!J437&lt;=5,Data!J437,IF(Data!J437&lt;=10,"6 TO 10","More than 10"))</f>
        <v>4</v>
      </c>
      <c r="G437" s="52">
        <f t="shared" si="6"/>
        <v>1</v>
      </c>
      <c r="H437" s="52">
        <f>ROUND(Data!C437*Data!D437-Data!E437,2)</f>
        <v>0</v>
      </c>
      <c r="I437" s="52">
        <f>IF(AND(OR(Sel_Mode="All",Data!I437=Sel_Mode),OR(Sel_Gender="All",D437=Sel_Gender),OR(Sel_Category="All",Data!B437=Sel_Category),OR(Sel_Month="All",C437=Sel_Month),OR(Sel_County="All",Data!L437=Sel_County)),1,0)</f>
        <v>1</v>
      </c>
    </row>
    <row r="438" spans="1:9" x14ac:dyDescent="0.25">
      <c r="A438" s="52" t="str">
        <f>Data!A438</f>
        <v>TX500437</v>
      </c>
      <c r="B438" s="52">
        <f>MONTH(Data!F438)</f>
        <v>1</v>
      </c>
      <c r="C438" s="52" t="str">
        <f>TEXT(Data!F438,"mmm")</f>
        <v>Jan</v>
      </c>
      <c r="D438" s="52" t="str">
        <f>Data!O438</f>
        <v>Female</v>
      </c>
      <c r="E438" s="52">
        <f>Data!G438-Data!F438</f>
        <v>1</v>
      </c>
      <c r="F438" s="52">
        <f>IF(Data!J438&lt;=5,Data!J438,IF(Data!J438&lt;=10,"6 TO 10","More than 10"))</f>
        <v>5</v>
      </c>
      <c r="G438" s="52">
        <f t="shared" si="6"/>
        <v>1</v>
      </c>
      <c r="H438" s="52">
        <f>ROUND(Data!C438*Data!D438-Data!E438,2)</f>
        <v>0</v>
      </c>
      <c r="I438" s="52">
        <f>IF(AND(OR(Sel_Mode="All",Data!I438=Sel_Mode),OR(Sel_Gender="All",D438=Sel_Gender),OR(Sel_Category="All",Data!B438=Sel_Category),OR(Sel_Month="All",C438=Sel_Month),OR(Sel_County="All",Data!L438=Sel_County)),1,0)</f>
        <v>1</v>
      </c>
    </row>
    <row r="439" spans="1:9" x14ac:dyDescent="0.25">
      <c r="A439" s="52" t="str">
        <f>Data!A439</f>
        <v>TX500438</v>
      </c>
      <c r="B439" s="52">
        <f>MONTH(Data!F439)</f>
        <v>1</v>
      </c>
      <c r="C439" s="52" t="str">
        <f>TEXT(Data!F439,"mmm")</f>
        <v>Jan</v>
      </c>
      <c r="D439" s="52" t="str">
        <f>Data!O439</f>
        <v>Male</v>
      </c>
      <c r="E439" s="52">
        <f>Data!G439-Data!F439</f>
        <v>11</v>
      </c>
      <c r="F439" s="52">
        <f>IF(Data!J439&lt;=5,Data!J439,IF(Data!J439&lt;=10,"6 TO 10","More than 10"))</f>
        <v>4</v>
      </c>
      <c r="G439" s="52" t="str">
        <f t="shared" si="6"/>
        <v>8+</v>
      </c>
      <c r="H439" s="52">
        <f>ROUND(Data!C439*Data!D439-Data!E439,2)</f>
        <v>0</v>
      </c>
      <c r="I439" s="52">
        <f>IF(AND(OR(Sel_Mode="All",Data!I439=Sel_Mode),OR(Sel_Gender="All",D439=Sel_Gender),OR(Sel_Category="All",Data!B439=Sel_Category),OR(Sel_Month="All",C439=Sel_Month),OR(Sel_County="All",Data!L439=Sel_County)),1,0)</f>
        <v>1</v>
      </c>
    </row>
    <row r="440" spans="1:9" x14ac:dyDescent="0.25">
      <c r="A440" s="52" t="str">
        <f>Data!A440</f>
        <v>TX500439</v>
      </c>
      <c r="B440" s="52">
        <f>MONTH(Data!F440)</f>
        <v>1</v>
      </c>
      <c r="C440" s="52" t="str">
        <f>TEXT(Data!F440,"mmm")</f>
        <v>Jan</v>
      </c>
      <c r="D440" s="52" t="str">
        <f>Data!O440</f>
        <v>Female</v>
      </c>
      <c r="E440" s="52">
        <f>Data!G440-Data!F440</f>
        <v>2</v>
      </c>
      <c r="F440" s="52">
        <f>IF(Data!J440&lt;=5,Data!J440,IF(Data!J440&lt;=10,"6 TO 10","More than 10"))</f>
        <v>4</v>
      </c>
      <c r="G440" s="52">
        <f t="shared" si="6"/>
        <v>2</v>
      </c>
      <c r="H440" s="52">
        <f>ROUND(Data!C440*Data!D440-Data!E440,2)</f>
        <v>0</v>
      </c>
      <c r="I440" s="52">
        <f>IF(AND(OR(Sel_Mode="All",Data!I440=Sel_Mode),OR(Sel_Gender="All",D440=Sel_Gender),OR(Sel_Category="All",Data!B440=Sel_Category),OR(Sel_Month="All",C440=Sel_Month),OR(Sel_County="All",Data!L440=Sel_County)),1,0)</f>
        <v>1</v>
      </c>
    </row>
    <row r="441" spans="1:9" x14ac:dyDescent="0.25">
      <c r="A441" s="52" t="str">
        <f>Data!A441</f>
        <v>TX500440</v>
      </c>
      <c r="B441" s="52">
        <f>MONTH(Data!F441)</f>
        <v>1</v>
      </c>
      <c r="C441" s="52" t="str">
        <f>TEXT(Data!F441,"mmm")</f>
        <v>Jan</v>
      </c>
      <c r="D441" s="52" t="str">
        <f>Data!O441</f>
        <v>Female</v>
      </c>
      <c r="E441" s="52">
        <f>Data!G441-Data!F441</f>
        <v>2</v>
      </c>
      <c r="F441" s="52">
        <f>IF(Data!J441&lt;=5,Data!J441,IF(Data!J441&lt;=10,"6 TO 10","More than 10"))</f>
        <v>5</v>
      </c>
      <c r="G441" s="52">
        <f t="shared" si="6"/>
        <v>2</v>
      </c>
      <c r="H441" s="52">
        <f>ROUND(Data!C441*Data!D441-Data!E441,2)</f>
        <v>0</v>
      </c>
      <c r="I441" s="52">
        <f>IF(AND(OR(Sel_Mode="All",Data!I441=Sel_Mode),OR(Sel_Gender="All",D441=Sel_Gender),OR(Sel_Category="All",Data!B441=Sel_Category),OR(Sel_Month="All",C441=Sel_Month),OR(Sel_County="All",Data!L441=Sel_County)),1,0)</f>
        <v>1</v>
      </c>
    </row>
    <row r="442" spans="1:9" x14ac:dyDescent="0.25">
      <c r="A442" s="52" t="str">
        <f>Data!A442</f>
        <v>TX500441</v>
      </c>
      <c r="B442" s="52">
        <f>MONTH(Data!F442)</f>
        <v>1</v>
      </c>
      <c r="C442" s="52" t="str">
        <f>TEXT(Data!F442,"mmm")</f>
        <v>Jan</v>
      </c>
      <c r="D442" s="52" t="str">
        <f>Data!O442</f>
        <v>Male</v>
      </c>
      <c r="E442" s="52">
        <f>Data!G442-Data!F442</f>
        <v>2</v>
      </c>
      <c r="F442" s="52">
        <f>IF(Data!J442&lt;=5,Data!J442,IF(Data!J442&lt;=10,"6 TO 10","More than 10"))</f>
        <v>3</v>
      </c>
      <c r="G442" s="52">
        <f t="shared" si="6"/>
        <v>2</v>
      </c>
      <c r="H442" s="52">
        <f>ROUND(Data!C442*Data!D442-Data!E442,2)</f>
        <v>0</v>
      </c>
      <c r="I442" s="52">
        <f>IF(AND(OR(Sel_Mode="All",Data!I442=Sel_Mode),OR(Sel_Gender="All",D442=Sel_Gender),OR(Sel_Category="All",Data!B442=Sel_Category),OR(Sel_Month="All",C442=Sel_Month),OR(Sel_County="All",Data!L442=Sel_County)),1,0)</f>
        <v>1</v>
      </c>
    </row>
    <row r="443" spans="1:9" x14ac:dyDescent="0.25">
      <c r="A443" s="52" t="str">
        <f>Data!A443</f>
        <v>TX500442</v>
      </c>
      <c r="B443" s="52">
        <f>MONTH(Data!F443)</f>
        <v>1</v>
      </c>
      <c r="C443" s="52" t="str">
        <f>TEXT(Data!F443,"mmm")</f>
        <v>Jan</v>
      </c>
      <c r="D443" s="52" t="str">
        <f>Data!O443</f>
        <v>Female</v>
      </c>
      <c r="E443" s="52">
        <f>Data!G443-Data!F443</f>
        <v>3</v>
      </c>
      <c r="F443" s="52">
        <f>IF(Data!J443&lt;=5,Data!J443,IF(Data!J443&lt;=10,"6 TO 10","More than 10"))</f>
        <v>3</v>
      </c>
      <c r="G443" s="52">
        <f t="shared" si="6"/>
        <v>3</v>
      </c>
      <c r="H443" s="52">
        <f>ROUND(Data!C443*Data!D443-Data!E443,2)</f>
        <v>0</v>
      </c>
      <c r="I443" s="52">
        <f>IF(AND(OR(Sel_Mode="All",Data!I443=Sel_Mode),OR(Sel_Gender="All",D443=Sel_Gender),OR(Sel_Category="All",Data!B443=Sel_Category),OR(Sel_Month="All",C443=Sel_Month),OR(Sel_County="All",Data!L443=Sel_County)),1,0)</f>
        <v>1</v>
      </c>
    </row>
    <row r="444" spans="1:9" x14ac:dyDescent="0.25">
      <c r="A444" s="52" t="str">
        <f>Data!A444</f>
        <v>TX500443</v>
      </c>
      <c r="B444" s="52">
        <f>MONTH(Data!F444)</f>
        <v>1</v>
      </c>
      <c r="C444" s="52" t="str">
        <f>TEXT(Data!F444,"mmm")</f>
        <v>Jan</v>
      </c>
      <c r="D444" s="52" t="str">
        <f>Data!O444</f>
        <v>Other</v>
      </c>
      <c r="E444" s="52">
        <f>Data!G444-Data!F444</f>
        <v>2</v>
      </c>
      <c r="F444" s="52">
        <f>IF(Data!J444&lt;=5,Data!J444,IF(Data!J444&lt;=10,"6 TO 10","More than 10"))</f>
        <v>3</v>
      </c>
      <c r="G444" s="52">
        <f t="shared" si="6"/>
        <v>2</v>
      </c>
      <c r="H444" s="52">
        <f>ROUND(Data!C444*Data!D444-Data!E444,2)</f>
        <v>0</v>
      </c>
      <c r="I444" s="52">
        <f>IF(AND(OR(Sel_Mode="All",Data!I444=Sel_Mode),OR(Sel_Gender="All",D444=Sel_Gender),OR(Sel_Category="All",Data!B444=Sel_Category),OR(Sel_Month="All",C444=Sel_Month),OR(Sel_County="All",Data!L444=Sel_County)),1,0)</f>
        <v>1</v>
      </c>
    </row>
    <row r="445" spans="1:9" x14ac:dyDescent="0.25">
      <c r="A445" s="52" t="str">
        <f>Data!A445</f>
        <v>TX500444</v>
      </c>
      <c r="B445" s="52">
        <f>MONTH(Data!F445)</f>
        <v>1</v>
      </c>
      <c r="C445" s="52" t="str">
        <f>TEXT(Data!F445,"mmm")</f>
        <v>Jan</v>
      </c>
      <c r="D445" s="52" t="str">
        <f>Data!O445</f>
        <v>Male</v>
      </c>
      <c r="E445" s="52">
        <f>Data!G445-Data!F445</f>
        <v>1</v>
      </c>
      <c r="F445" s="52">
        <f>IF(Data!J445&lt;=5,Data!J445,IF(Data!J445&lt;=10,"6 TO 10","More than 10"))</f>
        <v>4</v>
      </c>
      <c r="G445" s="52">
        <f t="shared" si="6"/>
        <v>1</v>
      </c>
      <c r="H445" s="52">
        <f>ROUND(Data!C445*Data!D445-Data!E445,2)</f>
        <v>0</v>
      </c>
      <c r="I445" s="52">
        <f>IF(AND(OR(Sel_Mode="All",Data!I445=Sel_Mode),OR(Sel_Gender="All",D445=Sel_Gender),OR(Sel_Category="All",Data!B445=Sel_Category),OR(Sel_Month="All",C445=Sel_Month),OR(Sel_County="All",Data!L445=Sel_County)),1,0)</f>
        <v>1</v>
      </c>
    </row>
    <row r="446" spans="1:9" x14ac:dyDescent="0.25">
      <c r="A446" s="52" t="str">
        <f>Data!A446</f>
        <v>TX500445</v>
      </c>
      <c r="B446" s="52">
        <f>MONTH(Data!F446)</f>
        <v>1</v>
      </c>
      <c r="C446" s="52" t="str">
        <f>TEXT(Data!F446,"mmm")</f>
        <v>Jan</v>
      </c>
      <c r="D446" s="52" t="str">
        <f>Data!O446</f>
        <v>Female</v>
      </c>
      <c r="E446" s="52">
        <f>Data!G446-Data!F446</f>
        <v>2</v>
      </c>
      <c r="F446" s="52">
        <f>IF(Data!J446&lt;=5,Data!J446,IF(Data!J446&lt;=10,"6 TO 10","More than 10"))</f>
        <v>5</v>
      </c>
      <c r="G446" s="52">
        <f t="shared" si="6"/>
        <v>2</v>
      </c>
      <c r="H446" s="52">
        <f>ROUND(Data!C446*Data!D446-Data!E446,2)</f>
        <v>0</v>
      </c>
      <c r="I446" s="52">
        <f>IF(AND(OR(Sel_Mode="All",Data!I446=Sel_Mode),OR(Sel_Gender="All",D446=Sel_Gender),OR(Sel_Category="All",Data!B446=Sel_Category),OR(Sel_Month="All",C446=Sel_Month),OR(Sel_County="All",Data!L446=Sel_County)),1,0)</f>
        <v>1</v>
      </c>
    </row>
    <row r="447" spans="1:9" x14ac:dyDescent="0.25">
      <c r="A447" s="52" t="str">
        <f>Data!A447</f>
        <v>TX500446</v>
      </c>
      <c r="B447" s="52">
        <f>MONTH(Data!F447)</f>
        <v>1</v>
      </c>
      <c r="C447" s="52" t="str">
        <f>TEXT(Data!F447,"mmm")</f>
        <v>Jan</v>
      </c>
      <c r="D447" s="52" t="str">
        <f>Data!O447</f>
        <v>Female</v>
      </c>
      <c r="E447" s="52">
        <f>Data!G447-Data!F447</f>
        <v>1</v>
      </c>
      <c r="F447" s="52">
        <f>IF(Data!J447&lt;=5,Data!J447,IF(Data!J447&lt;=10,"6 TO 10","More than 10"))</f>
        <v>3</v>
      </c>
      <c r="G447" s="52">
        <f t="shared" si="6"/>
        <v>1</v>
      </c>
      <c r="H447" s="52">
        <f>ROUND(Data!C447*Data!D447-Data!E447,2)</f>
        <v>0</v>
      </c>
      <c r="I447" s="52">
        <f>IF(AND(OR(Sel_Mode="All",Data!I447=Sel_Mode),OR(Sel_Gender="All",D447=Sel_Gender),OR(Sel_Category="All",Data!B447=Sel_Category),OR(Sel_Month="All",C447=Sel_Month),OR(Sel_County="All",Data!L447=Sel_County)),1,0)</f>
        <v>1</v>
      </c>
    </row>
    <row r="448" spans="1:9" x14ac:dyDescent="0.25">
      <c r="A448" s="52" t="str">
        <f>Data!A448</f>
        <v>TX500447</v>
      </c>
      <c r="B448" s="52">
        <f>MONTH(Data!F448)</f>
        <v>1</v>
      </c>
      <c r="C448" s="52" t="str">
        <f>TEXT(Data!F448,"mmm")</f>
        <v>Jan</v>
      </c>
      <c r="D448" s="52" t="str">
        <f>Data!O448</f>
        <v>Female</v>
      </c>
      <c r="E448" s="52">
        <f>Data!G448-Data!F448</f>
        <v>1</v>
      </c>
      <c r="F448" s="52">
        <f>IF(Data!J448&lt;=5,Data!J448,IF(Data!J448&lt;=10,"6 TO 10","More than 10"))</f>
        <v>4</v>
      </c>
      <c r="G448" s="52">
        <f t="shared" si="6"/>
        <v>1</v>
      </c>
      <c r="H448" s="52">
        <f>ROUND(Data!C448*Data!D448-Data!E448,2)</f>
        <v>0</v>
      </c>
      <c r="I448" s="52">
        <f>IF(AND(OR(Sel_Mode="All",Data!I448=Sel_Mode),OR(Sel_Gender="All",D448=Sel_Gender),OR(Sel_Category="All",Data!B448=Sel_Category),OR(Sel_Month="All",C448=Sel_Month),OR(Sel_County="All",Data!L448=Sel_County)),1,0)</f>
        <v>1</v>
      </c>
    </row>
    <row r="449" spans="1:9" x14ac:dyDescent="0.25">
      <c r="A449" s="52" t="str">
        <f>Data!A449</f>
        <v>TX500448</v>
      </c>
      <c r="B449" s="52">
        <f>MONTH(Data!F449)</f>
        <v>1</v>
      </c>
      <c r="C449" s="52" t="str">
        <f>TEXT(Data!F449,"mmm")</f>
        <v>Jan</v>
      </c>
      <c r="D449" s="52" t="str">
        <f>Data!O449</f>
        <v>Male</v>
      </c>
      <c r="E449" s="52">
        <f>Data!G449-Data!F449</f>
        <v>1</v>
      </c>
      <c r="F449" s="52">
        <f>IF(Data!J449&lt;=5,Data!J449,IF(Data!J449&lt;=10,"6 TO 10","More than 10"))</f>
        <v>5</v>
      </c>
      <c r="G449" s="52">
        <f t="shared" si="6"/>
        <v>1</v>
      </c>
      <c r="H449" s="52">
        <f>ROUND(Data!C449*Data!D449-Data!E449,2)</f>
        <v>0</v>
      </c>
      <c r="I449" s="52">
        <f>IF(AND(OR(Sel_Mode="All",Data!I449=Sel_Mode),OR(Sel_Gender="All",D449=Sel_Gender),OR(Sel_Category="All",Data!B449=Sel_Category),OR(Sel_Month="All",C449=Sel_Month),OR(Sel_County="All",Data!L449=Sel_County)),1,0)</f>
        <v>1</v>
      </c>
    </row>
    <row r="450" spans="1:9" x14ac:dyDescent="0.25">
      <c r="A450" s="52" t="str">
        <f>Data!A450</f>
        <v>TX500449</v>
      </c>
      <c r="B450" s="52">
        <f>MONTH(Data!F450)</f>
        <v>1</v>
      </c>
      <c r="C450" s="52" t="str">
        <f>TEXT(Data!F450,"mmm")</f>
        <v>Jan</v>
      </c>
      <c r="D450" s="52" t="str">
        <f>Data!O450</f>
        <v>Female</v>
      </c>
      <c r="E450" s="52">
        <f>Data!G450-Data!F450</f>
        <v>3</v>
      </c>
      <c r="F450" s="52">
        <f>IF(Data!J450&lt;=5,Data!J450,IF(Data!J450&lt;=10,"6 TO 10","More than 10"))</f>
        <v>5</v>
      </c>
      <c r="G450" s="52">
        <f t="shared" ref="G450:G513" si="7">IF(E450&gt;=8,"8+",E450)</f>
        <v>3</v>
      </c>
      <c r="H450" s="52">
        <f>ROUND(Data!C450*Data!D450-Data!E450,2)</f>
        <v>0</v>
      </c>
      <c r="I450" s="52">
        <f>IF(AND(OR(Sel_Mode="All",Data!I450=Sel_Mode),OR(Sel_Gender="All",D450=Sel_Gender),OR(Sel_Category="All",Data!B450=Sel_Category),OR(Sel_Month="All",C450=Sel_Month),OR(Sel_County="All",Data!L450=Sel_County)),1,0)</f>
        <v>1</v>
      </c>
    </row>
    <row r="451" spans="1:9" x14ac:dyDescent="0.25">
      <c r="A451" s="52" t="str">
        <f>Data!A451</f>
        <v>TX500450</v>
      </c>
      <c r="B451" s="52">
        <f>MONTH(Data!F451)</f>
        <v>1</v>
      </c>
      <c r="C451" s="52" t="str">
        <f>TEXT(Data!F451,"mmm")</f>
        <v>Jan</v>
      </c>
      <c r="D451" s="52" t="str">
        <f>Data!O451</f>
        <v>Female</v>
      </c>
      <c r="E451" s="52">
        <f>Data!G451-Data!F451</f>
        <v>2</v>
      </c>
      <c r="F451" s="52">
        <f>IF(Data!J451&lt;=5,Data!J451,IF(Data!J451&lt;=10,"6 TO 10","More than 10"))</f>
        <v>4</v>
      </c>
      <c r="G451" s="52">
        <f t="shared" si="7"/>
        <v>2</v>
      </c>
      <c r="H451" s="52">
        <f>ROUND(Data!C451*Data!D451-Data!E451,2)</f>
        <v>0</v>
      </c>
      <c r="I451" s="52">
        <f>IF(AND(OR(Sel_Mode="All",Data!I451=Sel_Mode),OR(Sel_Gender="All",D451=Sel_Gender),OR(Sel_Category="All",Data!B451=Sel_Category),OR(Sel_Month="All",C451=Sel_Month),OR(Sel_County="All",Data!L451=Sel_County)),1,0)</f>
        <v>1</v>
      </c>
    </row>
    <row r="452" spans="1:9" x14ac:dyDescent="0.25">
      <c r="A452" s="52" t="str">
        <f>Data!A452</f>
        <v>TX500451</v>
      </c>
      <c r="B452" s="52">
        <f>MONTH(Data!F452)</f>
        <v>1</v>
      </c>
      <c r="C452" s="52" t="str">
        <f>TEXT(Data!F452,"mmm")</f>
        <v>Jan</v>
      </c>
      <c r="D452" s="52" t="str">
        <f>Data!O452</f>
        <v>Unknown</v>
      </c>
      <c r="E452" s="52">
        <f>Data!G452-Data!F452</f>
        <v>2</v>
      </c>
      <c r="F452" s="52">
        <f>IF(Data!J452&lt;=5,Data!J452,IF(Data!J452&lt;=10,"6 TO 10","More than 10"))</f>
        <v>3</v>
      </c>
      <c r="G452" s="52">
        <f t="shared" si="7"/>
        <v>2</v>
      </c>
      <c r="H452" s="52">
        <f>ROUND(Data!C452*Data!D452-Data!E452,2)</f>
        <v>0</v>
      </c>
      <c r="I452" s="52">
        <f>IF(AND(OR(Sel_Mode="All",Data!I452=Sel_Mode),OR(Sel_Gender="All",D452=Sel_Gender),OR(Sel_Category="All",Data!B452=Sel_Category),OR(Sel_Month="All",C452=Sel_Month),OR(Sel_County="All",Data!L452=Sel_County)),1,0)</f>
        <v>1</v>
      </c>
    </row>
    <row r="453" spans="1:9" x14ac:dyDescent="0.25">
      <c r="A453" s="52" t="str">
        <f>Data!A453</f>
        <v>TX500452</v>
      </c>
      <c r="B453" s="52">
        <f>MONTH(Data!F453)</f>
        <v>1</v>
      </c>
      <c r="C453" s="52" t="str">
        <f>TEXT(Data!F453,"mmm")</f>
        <v>Jan</v>
      </c>
      <c r="D453" s="52" t="str">
        <f>Data!O453</f>
        <v>Female</v>
      </c>
      <c r="E453" s="52">
        <f>Data!G453-Data!F453</f>
        <v>6</v>
      </c>
      <c r="F453" s="52">
        <f>IF(Data!J453&lt;=5,Data!J453,IF(Data!J453&lt;=10,"6 TO 10","More than 10"))</f>
        <v>5</v>
      </c>
      <c r="G453" s="52">
        <f t="shared" si="7"/>
        <v>6</v>
      </c>
      <c r="H453" s="52">
        <f>ROUND(Data!C453*Data!D453-Data!E453,2)</f>
        <v>0</v>
      </c>
      <c r="I453" s="52">
        <f>IF(AND(OR(Sel_Mode="All",Data!I453=Sel_Mode),OR(Sel_Gender="All",D453=Sel_Gender),OR(Sel_Category="All",Data!B453=Sel_Category),OR(Sel_Month="All",C453=Sel_Month),OR(Sel_County="All",Data!L453=Sel_County)),1,0)</f>
        <v>1</v>
      </c>
    </row>
    <row r="454" spans="1:9" x14ac:dyDescent="0.25">
      <c r="A454" s="52" t="str">
        <f>Data!A454</f>
        <v>TX500453</v>
      </c>
      <c r="B454" s="52">
        <f>MONTH(Data!F454)</f>
        <v>1</v>
      </c>
      <c r="C454" s="52" t="str">
        <f>TEXT(Data!F454,"mmm")</f>
        <v>Jan</v>
      </c>
      <c r="D454" s="52" t="str">
        <f>Data!O454</f>
        <v>Female</v>
      </c>
      <c r="E454" s="52">
        <f>Data!G454-Data!F454</f>
        <v>1</v>
      </c>
      <c r="F454" s="52">
        <f>IF(Data!J454&lt;=5,Data!J454,IF(Data!J454&lt;=10,"6 TO 10","More than 10"))</f>
        <v>3</v>
      </c>
      <c r="G454" s="52">
        <f t="shared" si="7"/>
        <v>1</v>
      </c>
      <c r="H454" s="52">
        <f>ROUND(Data!C454*Data!D454-Data!E454,2)</f>
        <v>0</v>
      </c>
      <c r="I454" s="52">
        <f>IF(AND(OR(Sel_Mode="All",Data!I454=Sel_Mode),OR(Sel_Gender="All",D454=Sel_Gender),OR(Sel_Category="All",Data!B454=Sel_Category),OR(Sel_Month="All",C454=Sel_Month),OR(Sel_County="All",Data!L454=Sel_County)),1,0)</f>
        <v>1</v>
      </c>
    </row>
    <row r="455" spans="1:9" x14ac:dyDescent="0.25">
      <c r="A455" s="52" t="str">
        <f>Data!A455</f>
        <v>TX500454</v>
      </c>
      <c r="B455" s="52">
        <f>MONTH(Data!F455)</f>
        <v>1</v>
      </c>
      <c r="C455" s="52" t="str">
        <f>TEXT(Data!F455,"mmm")</f>
        <v>Jan</v>
      </c>
      <c r="D455" s="52" t="str">
        <f>Data!O455</f>
        <v>Female</v>
      </c>
      <c r="E455" s="52">
        <f>Data!G455-Data!F455</f>
        <v>2</v>
      </c>
      <c r="F455" s="52">
        <f>IF(Data!J455&lt;=5,Data!J455,IF(Data!J455&lt;=10,"6 TO 10","More than 10"))</f>
        <v>4</v>
      </c>
      <c r="G455" s="52">
        <f t="shared" si="7"/>
        <v>2</v>
      </c>
      <c r="H455" s="52">
        <f>ROUND(Data!C455*Data!D455-Data!E455,2)</f>
        <v>0</v>
      </c>
      <c r="I455" s="52">
        <f>IF(AND(OR(Sel_Mode="All",Data!I455=Sel_Mode),OR(Sel_Gender="All",D455=Sel_Gender),OR(Sel_Category="All",Data!B455=Sel_Category),OR(Sel_Month="All",C455=Sel_Month),OR(Sel_County="All",Data!L455=Sel_County)),1,0)</f>
        <v>1</v>
      </c>
    </row>
    <row r="456" spans="1:9" x14ac:dyDescent="0.25">
      <c r="A456" s="52" t="str">
        <f>Data!A456</f>
        <v>TX500455</v>
      </c>
      <c r="B456" s="52">
        <f>MONTH(Data!F456)</f>
        <v>1</v>
      </c>
      <c r="C456" s="52" t="str">
        <f>TEXT(Data!F456,"mmm")</f>
        <v>Jan</v>
      </c>
      <c r="D456" s="52" t="str">
        <f>Data!O456</f>
        <v>Female</v>
      </c>
      <c r="E456" s="52">
        <f>Data!G456-Data!F456</f>
        <v>1</v>
      </c>
      <c r="F456" s="52">
        <f>IF(Data!J456&lt;=5,Data!J456,IF(Data!J456&lt;=10,"6 TO 10","More than 10"))</f>
        <v>4</v>
      </c>
      <c r="G456" s="52">
        <f t="shared" si="7"/>
        <v>1</v>
      </c>
      <c r="H456" s="52">
        <f>ROUND(Data!C456*Data!D456-Data!E456,2)</f>
        <v>0</v>
      </c>
      <c r="I456" s="52">
        <f>IF(AND(OR(Sel_Mode="All",Data!I456=Sel_Mode),OR(Sel_Gender="All",D456=Sel_Gender),OR(Sel_Category="All",Data!B456=Sel_Category),OR(Sel_Month="All",C456=Sel_Month),OR(Sel_County="All",Data!L456=Sel_County)),1,0)</f>
        <v>1</v>
      </c>
    </row>
    <row r="457" spans="1:9" x14ac:dyDescent="0.25">
      <c r="A457" s="52" t="str">
        <f>Data!A457</f>
        <v>TX500456</v>
      </c>
      <c r="B457" s="52">
        <f>MONTH(Data!F457)</f>
        <v>1</v>
      </c>
      <c r="C457" s="52" t="str">
        <f>TEXT(Data!F457,"mmm")</f>
        <v>Jan</v>
      </c>
      <c r="D457" s="52" t="str">
        <f>Data!O457</f>
        <v>Female</v>
      </c>
      <c r="E457" s="52">
        <f>Data!G457-Data!F457</f>
        <v>11</v>
      </c>
      <c r="F457" s="52">
        <f>IF(Data!J457&lt;=5,Data!J457,IF(Data!J457&lt;=10,"6 TO 10","More than 10"))</f>
        <v>2</v>
      </c>
      <c r="G457" s="52" t="str">
        <f t="shared" si="7"/>
        <v>8+</v>
      </c>
      <c r="H457" s="52">
        <f>ROUND(Data!C457*Data!D457-Data!E457,2)</f>
        <v>0</v>
      </c>
      <c r="I457" s="52">
        <f>IF(AND(OR(Sel_Mode="All",Data!I457=Sel_Mode),OR(Sel_Gender="All",D457=Sel_Gender),OR(Sel_Category="All",Data!B457=Sel_Category),OR(Sel_Month="All",C457=Sel_Month),OR(Sel_County="All",Data!L457=Sel_County)),1,0)</f>
        <v>1</v>
      </c>
    </row>
    <row r="458" spans="1:9" x14ac:dyDescent="0.25">
      <c r="A458" s="52" t="str">
        <f>Data!A458</f>
        <v>TX500457</v>
      </c>
      <c r="B458" s="52">
        <f>MONTH(Data!F458)</f>
        <v>1</v>
      </c>
      <c r="C458" s="52" t="str">
        <f>TEXT(Data!F458,"mmm")</f>
        <v>Jan</v>
      </c>
      <c r="D458" s="52" t="str">
        <f>Data!O458</f>
        <v>Female</v>
      </c>
      <c r="E458" s="52">
        <f>Data!G458-Data!F458</f>
        <v>0</v>
      </c>
      <c r="F458" s="52">
        <f>IF(Data!J458&lt;=5,Data!J458,IF(Data!J458&lt;=10,"6 TO 10","More than 10"))</f>
        <v>3</v>
      </c>
      <c r="G458" s="52">
        <f t="shared" si="7"/>
        <v>0</v>
      </c>
      <c r="H458" s="52">
        <f>ROUND(Data!C458*Data!D458-Data!E458,2)</f>
        <v>0</v>
      </c>
      <c r="I458" s="52">
        <f>IF(AND(OR(Sel_Mode="All",Data!I458=Sel_Mode),OR(Sel_Gender="All",D458=Sel_Gender),OR(Sel_Category="All",Data!B458=Sel_Category),OR(Sel_Month="All",C458=Sel_Month),OR(Sel_County="All",Data!L458=Sel_County)),1,0)</f>
        <v>1</v>
      </c>
    </row>
    <row r="459" spans="1:9" x14ac:dyDescent="0.25">
      <c r="A459" s="52" t="str">
        <f>Data!A459</f>
        <v>TX500458</v>
      </c>
      <c r="B459" s="52">
        <f>MONTH(Data!F459)</f>
        <v>1</v>
      </c>
      <c r="C459" s="52" t="str">
        <f>TEXT(Data!F459,"mmm")</f>
        <v>Jan</v>
      </c>
      <c r="D459" s="52" t="str">
        <f>Data!O459</f>
        <v>Female</v>
      </c>
      <c r="E459" s="52">
        <f>Data!G459-Data!F459</f>
        <v>2</v>
      </c>
      <c r="F459" s="52">
        <f>IF(Data!J459&lt;=5,Data!J459,IF(Data!J459&lt;=10,"6 TO 10","More than 10"))</f>
        <v>4</v>
      </c>
      <c r="G459" s="52">
        <f t="shared" si="7"/>
        <v>2</v>
      </c>
      <c r="H459" s="52">
        <f>ROUND(Data!C459*Data!D459-Data!E459,2)</f>
        <v>0</v>
      </c>
      <c r="I459" s="52">
        <f>IF(AND(OR(Sel_Mode="All",Data!I459=Sel_Mode),OR(Sel_Gender="All",D459=Sel_Gender),OR(Sel_Category="All",Data!B459=Sel_Category),OR(Sel_Month="All",C459=Sel_Month),OR(Sel_County="All",Data!L459=Sel_County)),1,0)</f>
        <v>1</v>
      </c>
    </row>
    <row r="460" spans="1:9" x14ac:dyDescent="0.25">
      <c r="A460" s="52" t="str">
        <f>Data!A460</f>
        <v>TX500459</v>
      </c>
      <c r="B460" s="52">
        <f>MONTH(Data!F460)</f>
        <v>1</v>
      </c>
      <c r="C460" s="52" t="str">
        <f>TEXT(Data!F460,"mmm")</f>
        <v>Jan</v>
      </c>
      <c r="D460" s="52" t="str">
        <f>Data!O460</f>
        <v>Female</v>
      </c>
      <c r="E460" s="52">
        <f>Data!G460-Data!F460</f>
        <v>2</v>
      </c>
      <c r="F460" s="52">
        <f>IF(Data!J460&lt;=5,Data!J460,IF(Data!J460&lt;=10,"6 TO 10","More than 10"))</f>
        <v>5</v>
      </c>
      <c r="G460" s="52">
        <f t="shared" si="7"/>
        <v>2</v>
      </c>
      <c r="H460" s="52">
        <f>ROUND(Data!C460*Data!D460-Data!E460,2)</f>
        <v>0</v>
      </c>
      <c r="I460" s="52">
        <f>IF(AND(OR(Sel_Mode="All",Data!I460=Sel_Mode),OR(Sel_Gender="All",D460=Sel_Gender),OR(Sel_Category="All",Data!B460=Sel_Category),OR(Sel_Month="All",C460=Sel_Month),OR(Sel_County="All",Data!L460=Sel_County)),1,0)</f>
        <v>1</v>
      </c>
    </row>
    <row r="461" spans="1:9" x14ac:dyDescent="0.25">
      <c r="A461" s="52" t="str">
        <f>Data!A461</f>
        <v>TX500460</v>
      </c>
      <c r="B461" s="52">
        <f>MONTH(Data!F461)</f>
        <v>1</v>
      </c>
      <c r="C461" s="52" t="str">
        <f>TEXT(Data!F461,"mmm")</f>
        <v>Jan</v>
      </c>
      <c r="D461" s="52" t="str">
        <f>Data!O461</f>
        <v>Male</v>
      </c>
      <c r="E461" s="52">
        <f>Data!G461-Data!F461</f>
        <v>1</v>
      </c>
      <c r="F461" s="52">
        <f>IF(Data!J461&lt;=5,Data!J461,IF(Data!J461&lt;=10,"6 TO 10","More than 10"))</f>
        <v>4</v>
      </c>
      <c r="G461" s="52">
        <f t="shared" si="7"/>
        <v>1</v>
      </c>
      <c r="H461" s="52">
        <f>ROUND(Data!C461*Data!D461-Data!E461,2)</f>
        <v>0</v>
      </c>
      <c r="I461" s="52">
        <f>IF(AND(OR(Sel_Mode="All",Data!I461=Sel_Mode),OR(Sel_Gender="All",D461=Sel_Gender),OR(Sel_Category="All",Data!B461=Sel_Category),OR(Sel_Month="All",C461=Sel_Month),OR(Sel_County="All",Data!L461=Sel_County)),1,0)</f>
        <v>1</v>
      </c>
    </row>
    <row r="462" spans="1:9" x14ac:dyDescent="0.25">
      <c r="A462" s="52" t="str">
        <f>Data!A462</f>
        <v>TX500461</v>
      </c>
      <c r="B462" s="52">
        <f>MONTH(Data!F462)</f>
        <v>1</v>
      </c>
      <c r="C462" s="52" t="str">
        <f>TEXT(Data!F462,"mmm")</f>
        <v>Jan</v>
      </c>
      <c r="D462" s="52" t="str">
        <f>Data!O462</f>
        <v>Female</v>
      </c>
      <c r="E462" s="52">
        <f>Data!G462-Data!F462</f>
        <v>3</v>
      </c>
      <c r="F462" s="52">
        <f>IF(Data!J462&lt;=5,Data!J462,IF(Data!J462&lt;=10,"6 TO 10","More than 10"))</f>
        <v>5</v>
      </c>
      <c r="G462" s="52">
        <f t="shared" si="7"/>
        <v>3</v>
      </c>
      <c r="H462" s="52">
        <f>ROUND(Data!C462*Data!D462-Data!E462,2)</f>
        <v>0</v>
      </c>
      <c r="I462" s="52">
        <f>IF(AND(OR(Sel_Mode="All",Data!I462=Sel_Mode),OR(Sel_Gender="All",D462=Sel_Gender),OR(Sel_Category="All",Data!B462=Sel_Category),OR(Sel_Month="All",C462=Sel_Month),OR(Sel_County="All",Data!L462=Sel_County)),1,0)</f>
        <v>1</v>
      </c>
    </row>
    <row r="463" spans="1:9" x14ac:dyDescent="0.25">
      <c r="A463" s="52" t="str">
        <f>Data!A463</f>
        <v>TX500462</v>
      </c>
      <c r="B463" s="52">
        <f>MONTH(Data!F463)</f>
        <v>1</v>
      </c>
      <c r="C463" s="52" t="str">
        <f>TEXT(Data!F463,"mmm")</f>
        <v>Jan</v>
      </c>
      <c r="D463" s="52" t="str">
        <f>Data!O463</f>
        <v>Male</v>
      </c>
      <c r="E463" s="52">
        <f>Data!G463-Data!F463</f>
        <v>4</v>
      </c>
      <c r="F463" s="52">
        <f>IF(Data!J463&lt;=5,Data!J463,IF(Data!J463&lt;=10,"6 TO 10","More than 10"))</f>
        <v>4</v>
      </c>
      <c r="G463" s="52">
        <f t="shared" si="7"/>
        <v>4</v>
      </c>
      <c r="H463" s="52">
        <f>ROUND(Data!C463*Data!D463-Data!E463,2)</f>
        <v>0</v>
      </c>
      <c r="I463" s="52">
        <f>IF(AND(OR(Sel_Mode="All",Data!I463=Sel_Mode),OR(Sel_Gender="All",D463=Sel_Gender),OR(Sel_Category="All",Data!B463=Sel_Category),OR(Sel_Month="All",C463=Sel_Month),OR(Sel_County="All",Data!L463=Sel_County)),1,0)</f>
        <v>1</v>
      </c>
    </row>
    <row r="464" spans="1:9" x14ac:dyDescent="0.25">
      <c r="A464" s="52" t="str">
        <f>Data!A464</f>
        <v>TX500463</v>
      </c>
      <c r="B464" s="52">
        <f>MONTH(Data!F464)</f>
        <v>1</v>
      </c>
      <c r="C464" s="52" t="str">
        <f>TEXT(Data!F464,"mmm")</f>
        <v>Jan</v>
      </c>
      <c r="D464" s="52" t="str">
        <f>Data!O464</f>
        <v>Male</v>
      </c>
      <c r="E464" s="52">
        <f>Data!G464-Data!F464</f>
        <v>1</v>
      </c>
      <c r="F464" s="52">
        <f>IF(Data!J464&lt;=5,Data!J464,IF(Data!J464&lt;=10,"6 TO 10","More than 10"))</f>
        <v>4</v>
      </c>
      <c r="G464" s="52">
        <f t="shared" si="7"/>
        <v>1</v>
      </c>
      <c r="H464" s="52">
        <f>ROUND(Data!C464*Data!D464-Data!E464,2)</f>
        <v>0</v>
      </c>
      <c r="I464" s="52">
        <f>IF(AND(OR(Sel_Mode="All",Data!I464=Sel_Mode),OR(Sel_Gender="All",D464=Sel_Gender),OR(Sel_Category="All",Data!B464=Sel_Category),OR(Sel_Month="All",C464=Sel_Month),OR(Sel_County="All",Data!L464=Sel_County)),1,0)</f>
        <v>1</v>
      </c>
    </row>
    <row r="465" spans="1:9" x14ac:dyDescent="0.25">
      <c r="A465" s="52" t="str">
        <f>Data!A465</f>
        <v>TX500464</v>
      </c>
      <c r="B465" s="52">
        <f>MONTH(Data!F465)</f>
        <v>1</v>
      </c>
      <c r="C465" s="52" t="str">
        <f>TEXT(Data!F465,"mmm")</f>
        <v>Jan</v>
      </c>
      <c r="D465" s="52" t="str">
        <f>Data!O465</f>
        <v>Male</v>
      </c>
      <c r="E465" s="52">
        <f>Data!G465-Data!F465</f>
        <v>2</v>
      </c>
      <c r="F465" s="52">
        <f>IF(Data!J465&lt;=5,Data!J465,IF(Data!J465&lt;=10,"6 TO 10","More than 10"))</f>
        <v>4</v>
      </c>
      <c r="G465" s="52">
        <f t="shared" si="7"/>
        <v>2</v>
      </c>
      <c r="H465" s="52">
        <f>ROUND(Data!C465*Data!D465-Data!E465,2)</f>
        <v>0</v>
      </c>
      <c r="I465" s="52">
        <f>IF(AND(OR(Sel_Mode="All",Data!I465=Sel_Mode),OR(Sel_Gender="All",D465=Sel_Gender),OR(Sel_Category="All",Data!B465=Sel_Category),OR(Sel_Month="All",C465=Sel_Month),OR(Sel_County="All",Data!L465=Sel_County)),1,0)</f>
        <v>1</v>
      </c>
    </row>
    <row r="466" spans="1:9" x14ac:dyDescent="0.25">
      <c r="A466" s="52" t="str">
        <f>Data!A466</f>
        <v>TX500465</v>
      </c>
      <c r="B466" s="52">
        <f>MONTH(Data!F466)</f>
        <v>1</v>
      </c>
      <c r="C466" s="52" t="str">
        <f>TEXT(Data!F466,"mmm")</f>
        <v>Jan</v>
      </c>
      <c r="D466" s="52" t="str">
        <f>Data!O466</f>
        <v>Unknown</v>
      </c>
      <c r="E466" s="52">
        <f>Data!G466-Data!F466</f>
        <v>2</v>
      </c>
      <c r="F466" s="52">
        <f>IF(Data!J466&lt;=5,Data!J466,IF(Data!J466&lt;=10,"6 TO 10","More than 10"))</f>
        <v>5</v>
      </c>
      <c r="G466" s="52">
        <f t="shared" si="7"/>
        <v>2</v>
      </c>
      <c r="H466" s="52">
        <f>ROUND(Data!C466*Data!D466-Data!E466,2)</f>
        <v>0</v>
      </c>
      <c r="I466" s="52">
        <f>IF(AND(OR(Sel_Mode="All",Data!I466=Sel_Mode),OR(Sel_Gender="All",D466=Sel_Gender),OR(Sel_Category="All",Data!B466=Sel_Category),OR(Sel_Month="All",C466=Sel_Month),OR(Sel_County="All",Data!L466=Sel_County)),1,0)</f>
        <v>1</v>
      </c>
    </row>
    <row r="467" spans="1:9" x14ac:dyDescent="0.25">
      <c r="A467" s="52" t="str">
        <f>Data!A467</f>
        <v>TX500466</v>
      </c>
      <c r="B467" s="52">
        <f>MONTH(Data!F467)</f>
        <v>1</v>
      </c>
      <c r="C467" s="52" t="str">
        <f>TEXT(Data!F467,"mmm")</f>
        <v>Jan</v>
      </c>
      <c r="D467" s="52" t="str">
        <f>Data!O467</f>
        <v>Male</v>
      </c>
      <c r="E467" s="52">
        <f>Data!G467-Data!F467</f>
        <v>1</v>
      </c>
      <c r="F467" s="52">
        <f>IF(Data!J467&lt;=5,Data!J467,IF(Data!J467&lt;=10,"6 TO 10","More than 10"))</f>
        <v>4</v>
      </c>
      <c r="G467" s="52">
        <f t="shared" si="7"/>
        <v>1</v>
      </c>
      <c r="H467" s="52">
        <f>ROUND(Data!C467*Data!D467-Data!E467,2)</f>
        <v>0</v>
      </c>
      <c r="I467" s="52">
        <f>IF(AND(OR(Sel_Mode="All",Data!I467=Sel_Mode),OR(Sel_Gender="All",D467=Sel_Gender),OR(Sel_Category="All",Data!B467=Sel_Category),OR(Sel_Month="All",C467=Sel_Month),OR(Sel_County="All",Data!L467=Sel_County)),1,0)</f>
        <v>1</v>
      </c>
    </row>
    <row r="468" spans="1:9" x14ac:dyDescent="0.25">
      <c r="A468" s="52" t="str">
        <f>Data!A468</f>
        <v>TX500467</v>
      </c>
      <c r="B468" s="52">
        <f>MONTH(Data!F468)</f>
        <v>1</v>
      </c>
      <c r="C468" s="52" t="str">
        <f>TEXT(Data!F468,"mmm")</f>
        <v>Jan</v>
      </c>
      <c r="D468" s="52" t="str">
        <f>Data!O468</f>
        <v>Female</v>
      </c>
      <c r="E468" s="52">
        <f>Data!G468-Data!F468</f>
        <v>1</v>
      </c>
      <c r="F468" s="52">
        <f>IF(Data!J468&lt;=5,Data!J468,IF(Data!J468&lt;=10,"6 TO 10","More than 10"))</f>
        <v>3</v>
      </c>
      <c r="G468" s="52">
        <f t="shared" si="7"/>
        <v>1</v>
      </c>
      <c r="H468" s="52">
        <f>ROUND(Data!C468*Data!D468-Data!E468,2)</f>
        <v>0</v>
      </c>
      <c r="I468" s="52">
        <f>IF(AND(OR(Sel_Mode="All",Data!I468=Sel_Mode),OR(Sel_Gender="All",D468=Sel_Gender),OR(Sel_Category="All",Data!B468=Sel_Category),OR(Sel_Month="All",C468=Sel_Month),OR(Sel_County="All",Data!L468=Sel_County)),1,0)</f>
        <v>1</v>
      </c>
    </row>
    <row r="469" spans="1:9" x14ac:dyDescent="0.25">
      <c r="A469" s="52" t="str">
        <f>Data!A469</f>
        <v>TX500468</v>
      </c>
      <c r="B469" s="52">
        <f>MONTH(Data!F469)</f>
        <v>1</v>
      </c>
      <c r="C469" s="52" t="str">
        <f>TEXT(Data!F469,"mmm")</f>
        <v>Jan</v>
      </c>
      <c r="D469" s="52" t="str">
        <f>Data!O469</f>
        <v>Female</v>
      </c>
      <c r="E469" s="52">
        <f>Data!G469-Data!F469</f>
        <v>4</v>
      </c>
      <c r="F469" s="52">
        <f>IF(Data!J469&lt;=5,Data!J469,IF(Data!J469&lt;=10,"6 TO 10","More than 10"))</f>
        <v>4</v>
      </c>
      <c r="G469" s="52">
        <f t="shared" si="7"/>
        <v>4</v>
      </c>
      <c r="H469" s="52">
        <f>ROUND(Data!C469*Data!D469-Data!E469,2)</f>
        <v>0</v>
      </c>
      <c r="I469" s="52">
        <f>IF(AND(OR(Sel_Mode="All",Data!I469=Sel_Mode),OR(Sel_Gender="All",D469=Sel_Gender),OR(Sel_Category="All",Data!B469=Sel_Category),OR(Sel_Month="All",C469=Sel_Month),OR(Sel_County="All",Data!L469=Sel_County)),1,0)</f>
        <v>1</v>
      </c>
    </row>
    <row r="470" spans="1:9" x14ac:dyDescent="0.25">
      <c r="A470" s="52" t="str">
        <f>Data!A470</f>
        <v>TX500469</v>
      </c>
      <c r="B470" s="52">
        <f>MONTH(Data!F470)</f>
        <v>1</v>
      </c>
      <c r="C470" s="52" t="str">
        <f>TEXT(Data!F470,"mmm")</f>
        <v>Jan</v>
      </c>
      <c r="D470" s="52" t="str">
        <f>Data!O470</f>
        <v>Male</v>
      </c>
      <c r="E470" s="52">
        <f>Data!G470-Data!F470</f>
        <v>1</v>
      </c>
      <c r="F470" s="52">
        <f>IF(Data!J470&lt;=5,Data!J470,IF(Data!J470&lt;=10,"6 TO 10","More than 10"))</f>
        <v>4</v>
      </c>
      <c r="G470" s="52">
        <f t="shared" si="7"/>
        <v>1</v>
      </c>
      <c r="H470" s="52">
        <f>ROUND(Data!C470*Data!D470-Data!E470,2)</f>
        <v>0</v>
      </c>
      <c r="I470" s="52">
        <f>IF(AND(OR(Sel_Mode="All",Data!I470=Sel_Mode),OR(Sel_Gender="All",D470=Sel_Gender),OR(Sel_Category="All",Data!B470=Sel_Category),OR(Sel_Month="All",C470=Sel_Month),OR(Sel_County="All",Data!L470=Sel_County)),1,0)</f>
        <v>1</v>
      </c>
    </row>
    <row r="471" spans="1:9" x14ac:dyDescent="0.25">
      <c r="A471" s="52" t="str">
        <f>Data!A471</f>
        <v>TX500470</v>
      </c>
      <c r="B471" s="52">
        <f>MONTH(Data!F471)</f>
        <v>1</v>
      </c>
      <c r="C471" s="52" t="str">
        <f>TEXT(Data!F471,"mmm")</f>
        <v>Jan</v>
      </c>
      <c r="D471" s="52" t="str">
        <f>Data!O471</f>
        <v>Male</v>
      </c>
      <c r="E471" s="52">
        <f>Data!G471-Data!F471</f>
        <v>1</v>
      </c>
      <c r="F471" s="52">
        <f>IF(Data!J471&lt;=5,Data!J471,IF(Data!J471&lt;=10,"6 TO 10","More than 10"))</f>
        <v>3</v>
      </c>
      <c r="G471" s="52">
        <f t="shared" si="7"/>
        <v>1</v>
      </c>
      <c r="H471" s="52">
        <f>ROUND(Data!C471*Data!D471-Data!E471,2)</f>
        <v>0</v>
      </c>
      <c r="I471" s="52">
        <f>IF(AND(OR(Sel_Mode="All",Data!I471=Sel_Mode),OR(Sel_Gender="All",D471=Sel_Gender),OR(Sel_Category="All",Data!B471=Sel_Category),OR(Sel_Month="All",C471=Sel_Month),OR(Sel_County="All",Data!L471=Sel_County)),1,0)</f>
        <v>1</v>
      </c>
    </row>
    <row r="472" spans="1:9" x14ac:dyDescent="0.25">
      <c r="A472" s="52" t="str">
        <f>Data!A472</f>
        <v>TX500471</v>
      </c>
      <c r="B472" s="52">
        <f>MONTH(Data!F472)</f>
        <v>1</v>
      </c>
      <c r="C472" s="52" t="str">
        <f>TEXT(Data!F472,"mmm")</f>
        <v>Jan</v>
      </c>
      <c r="D472" s="52" t="str">
        <f>Data!O472</f>
        <v>Female</v>
      </c>
      <c r="E472" s="52">
        <f>Data!G472-Data!F472</f>
        <v>1</v>
      </c>
      <c r="F472" s="52">
        <f>IF(Data!J472&lt;=5,Data!J472,IF(Data!J472&lt;=10,"6 TO 10","More than 10"))</f>
        <v>4</v>
      </c>
      <c r="G472" s="52">
        <f t="shared" si="7"/>
        <v>1</v>
      </c>
      <c r="H472" s="52">
        <f>ROUND(Data!C472*Data!D472-Data!E472,2)</f>
        <v>0</v>
      </c>
      <c r="I472" s="52">
        <f>IF(AND(OR(Sel_Mode="All",Data!I472=Sel_Mode),OR(Sel_Gender="All",D472=Sel_Gender),OR(Sel_Category="All",Data!B472=Sel_Category),OR(Sel_Month="All",C472=Sel_Month),OR(Sel_County="All",Data!L472=Sel_County)),1,0)</f>
        <v>1</v>
      </c>
    </row>
    <row r="473" spans="1:9" x14ac:dyDescent="0.25">
      <c r="A473" s="52" t="str">
        <f>Data!A473</f>
        <v>TX500472</v>
      </c>
      <c r="B473" s="52">
        <f>MONTH(Data!F473)</f>
        <v>1</v>
      </c>
      <c r="C473" s="52" t="str">
        <f>TEXT(Data!F473,"mmm")</f>
        <v>Jan</v>
      </c>
      <c r="D473" s="52" t="str">
        <f>Data!O473</f>
        <v>Other</v>
      </c>
      <c r="E473" s="52">
        <f>Data!G473-Data!F473</f>
        <v>1</v>
      </c>
      <c r="F473" s="52">
        <f>IF(Data!J473&lt;=5,Data!J473,IF(Data!J473&lt;=10,"6 TO 10","More than 10"))</f>
        <v>5</v>
      </c>
      <c r="G473" s="52">
        <f t="shared" si="7"/>
        <v>1</v>
      </c>
      <c r="H473" s="52">
        <f>ROUND(Data!C473*Data!D473-Data!E473,2)</f>
        <v>0</v>
      </c>
      <c r="I473" s="52">
        <f>IF(AND(OR(Sel_Mode="All",Data!I473=Sel_Mode),OR(Sel_Gender="All",D473=Sel_Gender),OR(Sel_Category="All",Data!B473=Sel_Category),OR(Sel_Month="All",C473=Sel_Month),OR(Sel_County="All",Data!L473=Sel_County)),1,0)</f>
        <v>1</v>
      </c>
    </row>
    <row r="474" spans="1:9" x14ac:dyDescent="0.25">
      <c r="A474" s="52" t="str">
        <f>Data!A474</f>
        <v>TX500473</v>
      </c>
      <c r="B474" s="52">
        <f>MONTH(Data!F474)</f>
        <v>1</v>
      </c>
      <c r="C474" s="52" t="str">
        <f>TEXT(Data!F474,"mmm")</f>
        <v>Jan</v>
      </c>
      <c r="D474" s="52" t="str">
        <f>Data!O474</f>
        <v>Male</v>
      </c>
      <c r="E474" s="52">
        <f>Data!G474-Data!F474</f>
        <v>3</v>
      </c>
      <c r="F474" s="52">
        <f>IF(Data!J474&lt;=5,Data!J474,IF(Data!J474&lt;=10,"6 TO 10","More than 10"))</f>
        <v>5</v>
      </c>
      <c r="G474" s="52">
        <f t="shared" si="7"/>
        <v>3</v>
      </c>
      <c r="H474" s="52">
        <f>ROUND(Data!C474*Data!D474-Data!E474,2)</f>
        <v>0</v>
      </c>
      <c r="I474" s="52">
        <f>IF(AND(OR(Sel_Mode="All",Data!I474=Sel_Mode),OR(Sel_Gender="All",D474=Sel_Gender),OR(Sel_Category="All",Data!B474=Sel_Category),OR(Sel_Month="All",C474=Sel_Month),OR(Sel_County="All",Data!L474=Sel_County)),1,0)</f>
        <v>1</v>
      </c>
    </row>
    <row r="475" spans="1:9" x14ac:dyDescent="0.25">
      <c r="A475" s="52" t="str">
        <f>Data!A475</f>
        <v>TX500474</v>
      </c>
      <c r="B475" s="52">
        <f>MONTH(Data!F475)</f>
        <v>1</v>
      </c>
      <c r="C475" s="52" t="str">
        <f>TEXT(Data!F475,"mmm")</f>
        <v>Jan</v>
      </c>
      <c r="D475" s="52" t="str">
        <f>Data!O475</f>
        <v>Unknown</v>
      </c>
      <c r="E475" s="52">
        <f>Data!G475-Data!F475</f>
        <v>1</v>
      </c>
      <c r="F475" s="52">
        <f>IF(Data!J475&lt;=5,Data!J475,IF(Data!J475&lt;=10,"6 TO 10","More than 10"))</f>
        <v>4</v>
      </c>
      <c r="G475" s="52">
        <f t="shared" si="7"/>
        <v>1</v>
      </c>
      <c r="H475" s="52">
        <f>ROUND(Data!C475*Data!D475-Data!E475,2)</f>
        <v>0</v>
      </c>
      <c r="I475" s="52">
        <f>IF(AND(OR(Sel_Mode="All",Data!I475=Sel_Mode),OR(Sel_Gender="All",D475=Sel_Gender),OR(Sel_Category="All",Data!B475=Sel_Category),OR(Sel_Month="All",C475=Sel_Month),OR(Sel_County="All",Data!L475=Sel_County)),1,0)</f>
        <v>1</v>
      </c>
    </row>
    <row r="476" spans="1:9" x14ac:dyDescent="0.25">
      <c r="A476" s="52" t="str">
        <f>Data!A476</f>
        <v>TX500475</v>
      </c>
      <c r="B476" s="52">
        <f>MONTH(Data!F476)</f>
        <v>1</v>
      </c>
      <c r="C476" s="52" t="str">
        <f>TEXT(Data!F476,"mmm")</f>
        <v>Jan</v>
      </c>
      <c r="D476" s="52" t="str">
        <f>Data!O476</f>
        <v>Female</v>
      </c>
      <c r="E476" s="52">
        <f>Data!G476-Data!F476</f>
        <v>1</v>
      </c>
      <c r="F476" s="52">
        <f>IF(Data!J476&lt;=5,Data!J476,IF(Data!J476&lt;=10,"6 TO 10","More than 10"))</f>
        <v>2</v>
      </c>
      <c r="G476" s="52">
        <f t="shared" si="7"/>
        <v>1</v>
      </c>
      <c r="H476" s="52">
        <f>ROUND(Data!C476*Data!D476-Data!E476,2)</f>
        <v>0</v>
      </c>
      <c r="I476" s="52">
        <f>IF(AND(OR(Sel_Mode="All",Data!I476=Sel_Mode),OR(Sel_Gender="All",D476=Sel_Gender),OR(Sel_Category="All",Data!B476=Sel_Category),OR(Sel_Month="All",C476=Sel_Month),OR(Sel_County="All",Data!L476=Sel_County)),1,0)</f>
        <v>1</v>
      </c>
    </row>
    <row r="477" spans="1:9" x14ac:dyDescent="0.25">
      <c r="A477" s="52" t="str">
        <f>Data!A477</f>
        <v>TX500476</v>
      </c>
      <c r="B477" s="52">
        <f>MONTH(Data!F477)</f>
        <v>1</v>
      </c>
      <c r="C477" s="52" t="str">
        <f>TEXT(Data!F477,"mmm")</f>
        <v>Jan</v>
      </c>
      <c r="D477" s="52" t="str">
        <f>Data!O477</f>
        <v>Male</v>
      </c>
      <c r="E477" s="52">
        <f>Data!G477-Data!F477</f>
        <v>3</v>
      </c>
      <c r="F477" s="52">
        <f>IF(Data!J477&lt;=5,Data!J477,IF(Data!J477&lt;=10,"6 TO 10","More than 10"))</f>
        <v>3</v>
      </c>
      <c r="G477" s="52">
        <f t="shared" si="7"/>
        <v>3</v>
      </c>
      <c r="H477" s="52">
        <f>ROUND(Data!C477*Data!D477-Data!E477,2)</f>
        <v>0</v>
      </c>
      <c r="I477" s="52">
        <f>IF(AND(OR(Sel_Mode="All",Data!I477=Sel_Mode),OR(Sel_Gender="All",D477=Sel_Gender),OR(Sel_Category="All",Data!B477=Sel_Category),OR(Sel_Month="All",C477=Sel_Month),OR(Sel_County="All",Data!L477=Sel_County)),1,0)</f>
        <v>1</v>
      </c>
    </row>
    <row r="478" spans="1:9" x14ac:dyDescent="0.25">
      <c r="A478" s="52" t="str">
        <f>Data!A478</f>
        <v>TX500477</v>
      </c>
      <c r="B478" s="52">
        <f>MONTH(Data!F478)</f>
        <v>1</v>
      </c>
      <c r="C478" s="52" t="str">
        <f>TEXT(Data!F478,"mmm")</f>
        <v>Jan</v>
      </c>
      <c r="D478" s="52" t="str">
        <f>Data!O478</f>
        <v>Female</v>
      </c>
      <c r="E478" s="52">
        <f>Data!G478-Data!F478</f>
        <v>3</v>
      </c>
      <c r="F478" s="52">
        <f>IF(Data!J478&lt;=5,Data!J478,IF(Data!J478&lt;=10,"6 TO 10","More than 10"))</f>
        <v>3</v>
      </c>
      <c r="G478" s="52">
        <f t="shared" si="7"/>
        <v>3</v>
      </c>
      <c r="H478" s="52">
        <f>ROUND(Data!C478*Data!D478-Data!E478,2)</f>
        <v>0</v>
      </c>
      <c r="I478" s="52">
        <f>IF(AND(OR(Sel_Mode="All",Data!I478=Sel_Mode),OR(Sel_Gender="All",D478=Sel_Gender),OR(Sel_Category="All",Data!B478=Sel_Category),OR(Sel_Month="All",C478=Sel_Month),OR(Sel_County="All",Data!L478=Sel_County)),1,0)</f>
        <v>1</v>
      </c>
    </row>
    <row r="479" spans="1:9" x14ac:dyDescent="0.25">
      <c r="A479" s="52" t="str">
        <f>Data!A479</f>
        <v>TX500478</v>
      </c>
      <c r="B479" s="52">
        <f>MONTH(Data!F479)</f>
        <v>1</v>
      </c>
      <c r="C479" s="52" t="str">
        <f>TEXT(Data!F479,"mmm")</f>
        <v>Jan</v>
      </c>
      <c r="D479" s="52" t="str">
        <f>Data!O479</f>
        <v>Female</v>
      </c>
      <c r="E479" s="52">
        <f>Data!G479-Data!F479</f>
        <v>1</v>
      </c>
      <c r="F479" s="52">
        <f>IF(Data!J479&lt;=5,Data!J479,IF(Data!J479&lt;=10,"6 TO 10","More than 10"))</f>
        <v>2</v>
      </c>
      <c r="G479" s="52">
        <f t="shared" si="7"/>
        <v>1</v>
      </c>
      <c r="H479" s="52">
        <f>ROUND(Data!C479*Data!D479-Data!E479,2)</f>
        <v>0</v>
      </c>
      <c r="I479" s="52">
        <f>IF(AND(OR(Sel_Mode="All",Data!I479=Sel_Mode),OR(Sel_Gender="All",D479=Sel_Gender),OR(Sel_Category="All",Data!B479=Sel_Category),OR(Sel_Month="All",C479=Sel_Month),OR(Sel_County="All",Data!L479=Sel_County)),1,0)</f>
        <v>1</v>
      </c>
    </row>
    <row r="480" spans="1:9" x14ac:dyDescent="0.25">
      <c r="A480" s="52" t="str">
        <f>Data!A480</f>
        <v>TX500479</v>
      </c>
      <c r="B480" s="52">
        <f>MONTH(Data!F480)</f>
        <v>1</v>
      </c>
      <c r="C480" s="52" t="str">
        <f>TEXT(Data!F480,"mmm")</f>
        <v>Jan</v>
      </c>
      <c r="D480" s="52" t="str">
        <f>Data!O480</f>
        <v>Female</v>
      </c>
      <c r="E480" s="52">
        <f>Data!G480-Data!F480</f>
        <v>4</v>
      </c>
      <c r="F480" s="52">
        <f>IF(Data!J480&lt;=5,Data!J480,IF(Data!J480&lt;=10,"6 TO 10","More than 10"))</f>
        <v>4</v>
      </c>
      <c r="G480" s="52">
        <f t="shared" si="7"/>
        <v>4</v>
      </c>
      <c r="H480" s="52">
        <f>ROUND(Data!C480*Data!D480-Data!E480,2)</f>
        <v>0</v>
      </c>
      <c r="I480" s="52">
        <f>IF(AND(OR(Sel_Mode="All",Data!I480=Sel_Mode),OR(Sel_Gender="All",D480=Sel_Gender),OR(Sel_Category="All",Data!B480=Sel_Category),OR(Sel_Month="All",C480=Sel_Month),OR(Sel_County="All",Data!L480=Sel_County)),1,0)</f>
        <v>1</v>
      </c>
    </row>
    <row r="481" spans="1:9" x14ac:dyDescent="0.25">
      <c r="A481" s="52" t="str">
        <f>Data!A481</f>
        <v>TX500480</v>
      </c>
      <c r="B481" s="52">
        <f>MONTH(Data!F481)</f>
        <v>1</v>
      </c>
      <c r="C481" s="52" t="str">
        <f>TEXT(Data!F481,"mmm")</f>
        <v>Jan</v>
      </c>
      <c r="D481" s="52" t="str">
        <f>Data!O481</f>
        <v>Male</v>
      </c>
      <c r="E481" s="52">
        <f>Data!G481-Data!F481</f>
        <v>1</v>
      </c>
      <c r="F481" s="52">
        <f>IF(Data!J481&lt;=5,Data!J481,IF(Data!J481&lt;=10,"6 TO 10","More than 10"))</f>
        <v>4</v>
      </c>
      <c r="G481" s="52">
        <f t="shared" si="7"/>
        <v>1</v>
      </c>
      <c r="H481" s="52">
        <f>ROUND(Data!C481*Data!D481-Data!E481,2)</f>
        <v>0</v>
      </c>
      <c r="I481" s="52">
        <f>IF(AND(OR(Sel_Mode="All",Data!I481=Sel_Mode),OR(Sel_Gender="All",D481=Sel_Gender),OR(Sel_Category="All",Data!B481=Sel_Category),OR(Sel_Month="All",C481=Sel_Month),OR(Sel_County="All",Data!L481=Sel_County)),1,0)</f>
        <v>1</v>
      </c>
    </row>
    <row r="482" spans="1:9" x14ac:dyDescent="0.25">
      <c r="A482" s="52" t="str">
        <f>Data!A482</f>
        <v>TX500481</v>
      </c>
      <c r="B482" s="52">
        <f>MONTH(Data!F482)</f>
        <v>1</v>
      </c>
      <c r="C482" s="52" t="str">
        <f>TEXT(Data!F482,"mmm")</f>
        <v>Jan</v>
      </c>
      <c r="D482" s="52" t="str">
        <f>Data!O482</f>
        <v>Male</v>
      </c>
      <c r="E482" s="52">
        <f>Data!G482-Data!F482</f>
        <v>3</v>
      </c>
      <c r="F482" s="52">
        <f>IF(Data!J482&lt;=5,Data!J482,IF(Data!J482&lt;=10,"6 TO 10","More than 10"))</f>
        <v>5</v>
      </c>
      <c r="G482" s="52">
        <f t="shared" si="7"/>
        <v>3</v>
      </c>
      <c r="H482" s="52">
        <f>ROUND(Data!C482*Data!D482-Data!E482,2)</f>
        <v>0</v>
      </c>
      <c r="I482" s="52">
        <f>IF(AND(OR(Sel_Mode="All",Data!I482=Sel_Mode),OR(Sel_Gender="All",D482=Sel_Gender),OR(Sel_Category="All",Data!B482=Sel_Category),OR(Sel_Month="All",C482=Sel_Month),OR(Sel_County="All",Data!L482=Sel_County)),1,0)</f>
        <v>1</v>
      </c>
    </row>
    <row r="483" spans="1:9" x14ac:dyDescent="0.25">
      <c r="A483" s="52" t="str">
        <f>Data!A483</f>
        <v>TX500482</v>
      </c>
      <c r="B483" s="52">
        <f>MONTH(Data!F483)</f>
        <v>1</v>
      </c>
      <c r="C483" s="52" t="str">
        <f>TEXT(Data!F483,"mmm")</f>
        <v>Jan</v>
      </c>
      <c r="D483" s="52" t="str">
        <f>Data!O483</f>
        <v>Male</v>
      </c>
      <c r="E483" s="52">
        <f>Data!G483-Data!F483</f>
        <v>1</v>
      </c>
      <c r="F483" s="52">
        <f>IF(Data!J483&lt;=5,Data!J483,IF(Data!J483&lt;=10,"6 TO 10","More than 10"))</f>
        <v>4</v>
      </c>
      <c r="G483" s="52">
        <f t="shared" si="7"/>
        <v>1</v>
      </c>
      <c r="H483" s="52">
        <f>ROUND(Data!C483*Data!D483-Data!E483,2)</f>
        <v>0</v>
      </c>
      <c r="I483" s="52">
        <f>IF(AND(OR(Sel_Mode="All",Data!I483=Sel_Mode),OR(Sel_Gender="All",D483=Sel_Gender),OR(Sel_Category="All",Data!B483=Sel_Category),OR(Sel_Month="All",C483=Sel_Month),OR(Sel_County="All",Data!L483=Sel_County)),1,0)</f>
        <v>1</v>
      </c>
    </row>
    <row r="484" spans="1:9" x14ac:dyDescent="0.25">
      <c r="A484" s="52" t="str">
        <f>Data!A484</f>
        <v>TX500483</v>
      </c>
      <c r="B484" s="52">
        <f>MONTH(Data!F484)</f>
        <v>1</v>
      </c>
      <c r="C484" s="52" t="str">
        <f>TEXT(Data!F484,"mmm")</f>
        <v>Jan</v>
      </c>
      <c r="D484" s="52" t="str">
        <f>Data!O484</f>
        <v>Female</v>
      </c>
      <c r="E484" s="52">
        <f>Data!G484-Data!F484</f>
        <v>3</v>
      </c>
      <c r="F484" s="52">
        <f>IF(Data!J484&lt;=5,Data!J484,IF(Data!J484&lt;=10,"6 TO 10","More than 10"))</f>
        <v>3</v>
      </c>
      <c r="G484" s="52">
        <f t="shared" si="7"/>
        <v>3</v>
      </c>
      <c r="H484" s="52">
        <f>ROUND(Data!C484*Data!D484-Data!E484,2)</f>
        <v>0</v>
      </c>
      <c r="I484" s="52">
        <f>IF(AND(OR(Sel_Mode="All",Data!I484=Sel_Mode),OR(Sel_Gender="All",D484=Sel_Gender),OR(Sel_Category="All",Data!B484=Sel_Category),OR(Sel_Month="All",C484=Sel_Month),OR(Sel_County="All",Data!L484=Sel_County)),1,0)</f>
        <v>1</v>
      </c>
    </row>
    <row r="485" spans="1:9" x14ac:dyDescent="0.25">
      <c r="A485" s="52" t="str">
        <f>Data!A485</f>
        <v>TX500484</v>
      </c>
      <c r="B485" s="52">
        <f>MONTH(Data!F485)</f>
        <v>1</v>
      </c>
      <c r="C485" s="52" t="str">
        <f>TEXT(Data!F485,"mmm")</f>
        <v>Jan</v>
      </c>
      <c r="D485" s="52" t="str">
        <f>Data!O485</f>
        <v>Male</v>
      </c>
      <c r="E485" s="52">
        <f>Data!G485-Data!F485</f>
        <v>3</v>
      </c>
      <c r="F485" s="52">
        <f>IF(Data!J485&lt;=5,Data!J485,IF(Data!J485&lt;=10,"6 TO 10","More than 10"))</f>
        <v>4</v>
      </c>
      <c r="G485" s="52">
        <f t="shared" si="7"/>
        <v>3</v>
      </c>
      <c r="H485" s="52">
        <f>ROUND(Data!C485*Data!D485-Data!E485,2)</f>
        <v>0</v>
      </c>
      <c r="I485" s="52">
        <f>IF(AND(OR(Sel_Mode="All",Data!I485=Sel_Mode),OR(Sel_Gender="All",D485=Sel_Gender),OR(Sel_Category="All",Data!B485=Sel_Category),OR(Sel_Month="All",C485=Sel_Month),OR(Sel_County="All",Data!L485=Sel_County)),1,0)</f>
        <v>1</v>
      </c>
    </row>
    <row r="486" spans="1:9" x14ac:dyDescent="0.25">
      <c r="A486" s="52" t="str">
        <f>Data!A486</f>
        <v>TX500485</v>
      </c>
      <c r="B486" s="52">
        <f>MONTH(Data!F486)</f>
        <v>1</v>
      </c>
      <c r="C486" s="52" t="str">
        <f>TEXT(Data!F486,"mmm")</f>
        <v>Jan</v>
      </c>
      <c r="D486" s="52" t="str">
        <f>Data!O486</f>
        <v>Female</v>
      </c>
      <c r="E486" s="52">
        <f>Data!G486-Data!F486</f>
        <v>7</v>
      </c>
      <c r="F486" s="52">
        <f>IF(Data!J486&lt;=5,Data!J486,IF(Data!J486&lt;=10,"6 TO 10","More than 10"))</f>
        <v>5</v>
      </c>
      <c r="G486" s="52">
        <f t="shared" si="7"/>
        <v>7</v>
      </c>
      <c r="H486" s="52">
        <f>ROUND(Data!C486*Data!D486-Data!E486,2)</f>
        <v>0</v>
      </c>
      <c r="I486" s="52">
        <f>IF(AND(OR(Sel_Mode="All",Data!I486=Sel_Mode),OR(Sel_Gender="All",D486=Sel_Gender),OR(Sel_Category="All",Data!B486=Sel_Category),OR(Sel_Month="All",C486=Sel_Month),OR(Sel_County="All",Data!L486=Sel_County)),1,0)</f>
        <v>1</v>
      </c>
    </row>
    <row r="487" spans="1:9" x14ac:dyDescent="0.25">
      <c r="A487" s="52" t="str">
        <f>Data!A487</f>
        <v>TX500486</v>
      </c>
      <c r="B487" s="52">
        <f>MONTH(Data!F487)</f>
        <v>1</v>
      </c>
      <c r="C487" s="52" t="str">
        <f>TEXT(Data!F487,"mmm")</f>
        <v>Jan</v>
      </c>
      <c r="D487" s="52" t="str">
        <f>Data!O487</f>
        <v>Female</v>
      </c>
      <c r="E487" s="52">
        <f>Data!G487-Data!F487</f>
        <v>5</v>
      </c>
      <c r="F487" s="52">
        <f>IF(Data!J487&lt;=5,Data!J487,IF(Data!J487&lt;=10,"6 TO 10","More than 10"))</f>
        <v>5</v>
      </c>
      <c r="G487" s="52">
        <f t="shared" si="7"/>
        <v>5</v>
      </c>
      <c r="H487" s="52">
        <f>ROUND(Data!C487*Data!D487-Data!E487,2)</f>
        <v>0</v>
      </c>
      <c r="I487" s="52">
        <f>IF(AND(OR(Sel_Mode="All",Data!I487=Sel_Mode),OR(Sel_Gender="All",D487=Sel_Gender),OR(Sel_Category="All",Data!B487=Sel_Category),OR(Sel_Month="All",C487=Sel_Month),OR(Sel_County="All",Data!L487=Sel_County)),1,0)</f>
        <v>1</v>
      </c>
    </row>
    <row r="488" spans="1:9" x14ac:dyDescent="0.25">
      <c r="A488" s="52" t="str">
        <f>Data!A488</f>
        <v>TX500487</v>
      </c>
      <c r="B488" s="52">
        <f>MONTH(Data!F488)</f>
        <v>1</v>
      </c>
      <c r="C488" s="52" t="str">
        <f>TEXT(Data!F488,"mmm")</f>
        <v>Jan</v>
      </c>
      <c r="D488" s="52" t="str">
        <f>Data!O488</f>
        <v>Male</v>
      </c>
      <c r="E488" s="52">
        <f>Data!G488-Data!F488</f>
        <v>1</v>
      </c>
      <c r="F488" s="52">
        <f>IF(Data!J488&lt;=5,Data!J488,IF(Data!J488&lt;=10,"6 TO 10","More than 10"))</f>
        <v>4</v>
      </c>
      <c r="G488" s="52">
        <f t="shared" si="7"/>
        <v>1</v>
      </c>
      <c r="H488" s="52">
        <f>ROUND(Data!C488*Data!D488-Data!E488,2)</f>
        <v>0</v>
      </c>
      <c r="I488" s="52">
        <f>IF(AND(OR(Sel_Mode="All",Data!I488=Sel_Mode),OR(Sel_Gender="All",D488=Sel_Gender),OR(Sel_Category="All",Data!B488=Sel_Category),OR(Sel_Month="All",C488=Sel_Month),OR(Sel_County="All",Data!L488=Sel_County)),1,0)</f>
        <v>1</v>
      </c>
    </row>
    <row r="489" spans="1:9" x14ac:dyDescent="0.25">
      <c r="A489" s="52" t="str">
        <f>Data!A489</f>
        <v>TX500488</v>
      </c>
      <c r="B489" s="52">
        <f>MONTH(Data!F489)</f>
        <v>1</v>
      </c>
      <c r="C489" s="52" t="str">
        <f>TEXT(Data!F489,"mmm")</f>
        <v>Jan</v>
      </c>
      <c r="D489" s="52" t="str">
        <f>Data!O489</f>
        <v>Male</v>
      </c>
      <c r="E489" s="52">
        <f>Data!G489-Data!F489</f>
        <v>1</v>
      </c>
      <c r="F489" s="52">
        <f>IF(Data!J489&lt;=5,Data!J489,IF(Data!J489&lt;=10,"6 TO 10","More than 10"))</f>
        <v>3</v>
      </c>
      <c r="G489" s="52">
        <f t="shared" si="7"/>
        <v>1</v>
      </c>
      <c r="H489" s="52">
        <f>ROUND(Data!C489*Data!D489-Data!E489,2)</f>
        <v>0</v>
      </c>
      <c r="I489" s="52">
        <f>IF(AND(OR(Sel_Mode="All",Data!I489=Sel_Mode),OR(Sel_Gender="All",D489=Sel_Gender),OR(Sel_Category="All",Data!B489=Sel_Category),OR(Sel_Month="All",C489=Sel_Month),OR(Sel_County="All",Data!L489=Sel_County)),1,0)</f>
        <v>1</v>
      </c>
    </row>
    <row r="490" spans="1:9" x14ac:dyDescent="0.25">
      <c r="A490" s="52" t="str">
        <f>Data!A490</f>
        <v>TX500489</v>
      </c>
      <c r="B490" s="52">
        <f>MONTH(Data!F490)</f>
        <v>1</v>
      </c>
      <c r="C490" s="52" t="str">
        <f>TEXT(Data!F490,"mmm")</f>
        <v>Jan</v>
      </c>
      <c r="D490" s="52" t="str">
        <f>Data!O490</f>
        <v>Unknown</v>
      </c>
      <c r="E490" s="52">
        <f>Data!G490-Data!F490</f>
        <v>2</v>
      </c>
      <c r="F490" s="52">
        <f>IF(Data!J490&lt;=5,Data!J490,IF(Data!J490&lt;=10,"6 TO 10","More than 10"))</f>
        <v>4</v>
      </c>
      <c r="G490" s="52">
        <f t="shared" si="7"/>
        <v>2</v>
      </c>
      <c r="H490" s="52">
        <f>ROUND(Data!C490*Data!D490-Data!E490,2)</f>
        <v>0</v>
      </c>
      <c r="I490" s="52">
        <f>IF(AND(OR(Sel_Mode="All",Data!I490=Sel_Mode),OR(Sel_Gender="All",D490=Sel_Gender),OR(Sel_Category="All",Data!B490=Sel_Category),OR(Sel_Month="All",C490=Sel_Month),OR(Sel_County="All",Data!L490=Sel_County)),1,0)</f>
        <v>1</v>
      </c>
    </row>
    <row r="491" spans="1:9" x14ac:dyDescent="0.25">
      <c r="A491" s="52" t="str">
        <f>Data!A491</f>
        <v>TX500490</v>
      </c>
      <c r="B491" s="52">
        <f>MONTH(Data!F491)</f>
        <v>1</v>
      </c>
      <c r="C491" s="52" t="str">
        <f>TEXT(Data!F491,"mmm")</f>
        <v>Jan</v>
      </c>
      <c r="D491" s="52" t="str">
        <f>Data!O491</f>
        <v>Female</v>
      </c>
      <c r="E491" s="52">
        <f>Data!G491-Data!F491</f>
        <v>2</v>
      </c>
      <c r="F491" s="52">
        <f>IF(Data!J491&lt;=5,Data!J491,IF(Data!J491&lt;=10,"6 TO 10","More than 10"))</f>
        <v>4</v>
      </c>
      <c r="G491" s="52">
        <f t="shared" si="7"/>
        <v>2</v>
      </c>
      <c r="H491" s="52">
        <f>ROUND(Data!C491*Data!D491-Data!E491,2)</f>
        <v>0</v>
      </c>
      <c r="I491" s="52">
        <f>IF(AND(OR(Sel_Mode="All",Data!I491=Sel_Mode),OR(Sel_Gender="All",D491=Sel_Gender),OR(Sel_Category="All",Data!B491=Sel_Category),OR(Sel_Month="All",C491=Sel_Month),OR(Sel_County="All",Data!L491=Sel_County)),1,0)</f>
        <v>1</v>
      </c>
    </row>
    <row r="492" spans="1:9" x14ac:dyDescent="0.25">
      <c r="A492" s="52" t="str">
        <f>Data!A492</f>
        <v>TX500491</v>
      </c>
      <c r="B492" s="52">
        <f>MONTH(Data!F492)</f>
        <v>1</v>
      </c>
      <c r="C492" s="52" t="str">
        <f>TEXT(Data!F492,"mmm")</f>
        <v>Jan</v>
      </c>
      <c r="D492" s="52" t="str">
        <f>Data!O492</f>
        <v>Female</v>
      </c>
      <c r="E492" s="52">
        <f>Data!G492-Data!F492</f>
        <v>1</v>
      </c>
      <c r="F492" s="52">
        <f>IF(Data!J492&lt;=5,Data!J492,IF(Data!J492&lt;=10,"6 TO 10","More than 10"))</f>
        <v>4</v>
      </c>
      <c r="G492" s="52">
        <f t="shared" si="7"/>
        <v>1</v>
      </c>
      <c r="H492" s="52">
        <f>ROUND(Data!C492*Data!D492-Data!E492,2)</f>
        <v>0</v>
      </c>
      <c r="I492" s="52">
        <f>IF(AND(OR(Sel_Mode="All",Data!I492=Sel_Mode),OR(Sel_Gender="All",D492=Sel_Gender),OR(Sel_Category="All",Data!B492=Sel_Category),OR(Sel_Month="All",C492=Sel_Month),OR(Sel_County="All",Data!L492=Sel_County)),1,0)</f>
        <v>1</v>
      </c>
    </row>
    <row r="493" spans="1:9" x14ac:dyDescent="0.25">
      <c r="A493" s="52" t="str">
        <f>Data!A493</f>
        <v>TX500492</v>
      </c>
      <c r="B493" s="52">
        <f>MONTH(Data!F493)</f>
        <v>1</v>
      </c>
      <c r="C493" s="52" t="str">
        <f>TEXT(Data!F493,"mmm")</f>
        <v>Jan</v>
      </c>
      <c r="D493" s="52" t="str">
        <f>Data!O493</f>
        <v>Female</v>
      </c>
      <c r="E493" s="52">
        <f>Data!G493-Data!F493</f>
        <v>2</v>
      </c>
      <c r="F493" s="52">
        <f>IF(Data!J493&lt;=5,Data!J493,IF(Data!J493&lt;=10,"6 TO 10","More than 10"))</f>
        <v>1</v>
      </c>
      <c r="G493" s="52">
        <f t="shared" si="7"/>
        <v>2</v>
      </c>
      <c r="H493" s="52">
        <f>ROUND(Data!C493*Data!D493-Data!E493,2)</f>
        <v>0</v>
      </c>
      <c r="I493" s="52">
        <f>IF(AND(OR(Sel_Mode="All",Data!I493=Sel_Mode),OR(Sel_Gender="All",D493=Sel_Gender),OR(Sel_Category="All",Data!B493=Sel_Category),OR(Sel_Month="All",C493=Sel_Month),OR(Sel_County="All",Data!L493=Sel_County)),1,0)</f>
        <v>1</v>
      </c>
    </row>
    <row r="494" spans="1:9" x14ac:dyDescent="0.25">
      <c r="A494" s="52" t="str">
        <f>Data!A494</f>
        <v>TX500493</v>
      </c>
      <c r="B494" s="52">
        <f>MONTH(Data!F494)</f>
        <v>1</v>
      </c>
      <c r="C494" s="52" t="str">
        <f>TEXT(Data!F494,"mmm")</f>
        <v>Jan</v>
      </c>
      <c r="D494" s="52" t="str">
        <f>Data!O494</f>
        <v>Female</v>
      </c>
      <c r="E494" s="52">
        <f>Data!G494-Data!F494</f>
        <v>2</v>
      </c>
      <c r="F494" s="52">
        <f>IF(Data!J494&lt;=5,Data!J494,IF(Data!J494&lt;=10,"6 TO 10","More than 10"))</f>
        <v>4</v>
      </c>
      <c r="G494" s="52">
        <f t="shared" si="7"/>
        <v>2</v>
      </c>
      <c r="H494" s="52">
        <f>ROUND(Data!C494*Data!D494-Data!E494,2)</f>
        <v>0</v>
      </c>
      <c r="I494" s="52">
        <f>IF(AND(OR(Sel_Mode="All",Data!I494=Sel_Mode),OR(Sel_Gender="All",D494=Sel_Gender),OR(Sel_Category="All",Data!B494=Sel_Category),OR(Sel_Month="All",C494=Sel_Month),OR(Sel_County="All",Data!L494=Sel_County)),1,0)</f>
        <v>1</v>
      </c>
    </row>
    <row r="495" spans="1:9" x14ac:dyDescent="0.25">
      <c r="A495" s="52" t="str">
        <f>Data!A495</f>
        <v>TX500494</v>
      </c>
      <c r="B495" s="52">
        <f>MONTH(Data!F495)</f>
        <v>1</v>
      </c>
      <c r="C495" s="52" t="str">
        <f>TEXT(Data!F495,"mmm")</f>
        <v>Jan</v>
      </c>
      <c r="D495" s="52" t="str">
        <f>Data!O495</f>
        <v>Female</v>
      </c>
      <c r="E495" s="52">
        <f>Data!G495-Data!F495</f>
        <v>2</v>
      </c>
      <c r="F495" s="52">
        <f>IF(Data!J495&lt;=5,Data!J495,IF(Data!J495&lt;=10,"6 TO 10","More than 10"))</f>
        <v>4</v>
      </c>
      <c r="G495" s="52">
        <f t="shared" si="7"/>
        <v>2</v>
      </c>
      <c r="H495" s="52">
        <f>ROUND(Data!C495*Data!D495-Data!E495,2)</f>
        <v>0</v>
      </c>
      <c r="I495" s="52">
        <f>IF(AND(OR(Sel_Mode="All",Data!I495=Sel_Mode),OR(Sel_Gender="All",D495=Sel_Gender),OR(Sel_Category="All",Data!B495=Sel_Category),OR(Sel_Month="All",C495=Sel_Month),OR(Sel_County="All",Data!L495=Sel_County)),1,0)</f>
        <v>1</v>
      </c>
    </row>
    <row r="496" spans="1:9" x14ac:dyDescent="0.25">
      <c r="A496" s="52" t="str">
        <f>Data!A496</f>
        <v>TX500495</v>
      </c>
      <c r="B496" s="52">
        <f>MONTH(Data!F496)</f>
        <v>1</v>
      </c>
      <c r="C496" s="52" t="str">
        <f>TEXT(Data!F496,"mmm")</f>
        <v>Jan</v>
      </c>
      <c r="D496" s="52" t="str">
        <f>Data!O496</f>
        <v>Female</v>
      </c>
      <c r="E496" s="52">
        <f>Data!G496-Data!F496</f>
        <v>1</v>
      </c>
      <c r="F496" s="52">
        <f>IF(Data!J496&lt;=5,Data!J496,IF(Data!J496&lt;=10,"6 TO 10","More than 10"))</f>
        <v>3</v>
      </c>
      <c r="G496" s="52">
        <f t="shared" si="7"/>
        <v>1</v>
      </c>
      <c r="H496" s="52">
        <f>ROUND(Data!C496*Data!D496-Data!E496,2)</f>
        <v>0</v>
      </c>
      <c r="I496" s="52">
        <f>IF(AND(OR(Sel_Mode="All",Data!I496=Sel_Mode),OR(Sel_Gender="All",D496=Sel_Gender),OR(Sel_Category="All",Data!B496=Sel_Category),OR(Sel_Month="All",C496=Sel_Month),OR(Sel_County="All",Data!L496=Sel_County)),1,0)</f>
        <v>1</v>
      </c>
    </row>
    <row r="497" spans="1:9" x14ac:dyDescent="0.25">
      <c r="A497" s="52" t="str">
        <f>Data!A497</f>
        <v>TX500496</v>
      </c>
      <c r="B497" s="52">
        <f>MONTH(Data!F497)</f>
        <v>1</v>
      </c>
      <c r="C497" s="52" t="str">
        <f>TEXT(Data!F497,"mmm")</f>
        <v>Jan</v>
      </c>
      <c r="D497" s="52" t="str">
        <f>Data!O497</f>
        <v>Female</v>
      </c>
      <c r="E497" s="52">
        <f>Data!G497-Data!F497</f>
        <v>1</v>
      </c>
      <c r="F497" s="52">
        <f>IF(Data!J497&lt;=5,Data!J497,IF(Data!J497&lt;=10,"6 TO 10","More than 10"))</f>
        <v>3</v>
      </c>
      <c r="G497" s="52">
        <f t="shared" si="7"/>
        <v>1</v>
      </c>
      <c r="H497" s="52">
        <f>ROUND(Data!C497*Data!D497-Data!E497,2)</f>
        <v>0</v>
      </c>
      <c r="I497" s="52">
        <f>IF(AND(OR(Sel_Mode="All",Data!I497=Sel_Mode),OR(Sel_Gender="All",D497=Sel_Gender),OR(Sel_Category="All",Data!B497=Sel_Category),OR(Sel_Month="All",C497=Sel_Month),OR(Sel_County="All",Data!L497=Sel_County)),1,0)</f>
        <v>1</v>
      </c>
    </row>
    <row r="498" spans="1:9" x14ac:dyDescent="0.25">
      <c r="A498" s="52" t="str">
        <f>Data!A498</f>
        <v>TX500497</v>
      </c>
      <c r="B498" s="52">
        <f>MONTH(Data!F498)</f>
        <v>1</v>
      </c>
      <c r="C498" s="52" t="str">
        <f>TEXT(Data!F498,"mmm")</f>
        <v>Jan</v>
      </c>
      <c r="D498" s="52" t="str">
        <f>Data!O498</f>
        <v>Male</v>
      </c>
      <c r="E498" s="52">
        <f>Data!G498-Data!F498</f>
        <v>1</v>
      </c>
      <c r="F498" s="52">
        <f>IF(Data!J498&lt;=5,Data!J498,IF(Data!J498&lt;=10,"6 TO 10","More than 10"))</f>
        <v>4</v>
      </c>
      <c r="G498" s="52">
        <f t="shared" si="7"/>
        <v>1</v>
      </c>
      <c r="H498" s="52">
        <f>ROUND(Data!C498*Data!D498-Data!E498,2)</f>
        <v>0</v>
      </c>
      <c r="I498" s="52">
        <f>IF(AND(OR(Sel_Mode="All",Data!I498=Sel_Mode),OR(Sel_Gender="All",D498=Sel_Gender),OR(Sel_Category="All",Data!B498=Sel_Category),OR(Sel_Month="All",C498=Sel_Month),OR(Sel_County="All",Data!L498=Sel_County)),1,0)</f>
        <v>1</v>
      </c>
    </row>
    <row r="499" spans="1:9" x14ac:dyDescent="0.25">
      <c r="A499" s="52" t="str">
        <f>Data!A499</f>
        <v>TX500498</v>
      </c>
      <c r="B499" s="52">
        <f>MONTH(Data!F499)</f>
        <v>1</v>
      </c>
      <c r="C499" s="52" t="str">
        <f>TEXT(Data!F499,"mmm")</f>
        <v>Jan</v>
      </c>
      <c r="D499" s="52" t="str">
        <f>Data!O499</f>
        <v>Female</v>
      </c>
      <c r="E499" s="52">
        <f>Data!G499-Data!F499</f>
        <v>4</v>
      </c>
      <c r="F499" s="52">
        <f>IF(Data!J499&lt;=5,Data!J499,IF(Data!J499&lt;=10,"6 TO 10","More than 10"))</f>
        <v>5</v>
      </c>
      <c r="G499" s="52">
        <f t="shared" si="7"/>
        <v>4</v>
      </c>
      <c r="H499" s="52">
        <f>ROUND(Data!C499*Data!D499-Data!E499,2)</f>
        <v>0</v>
      </c>
      <c r="I499" s="52">
        <f>IF(AND(OR(Sel_Mode="All",Data!I499=Sel_Mode),OR(Sel_Gender="All",D499=Sel_Gender),OR(Sel_Category="All",Data!B499=Sel_Category),OR(Sel_Month="All",C499=Sel_Month),OR(Sel_County="All",Data!L499=Sel_County)),1,0)</f>
        <v>1</v>
      </c>
    </row>
    <row r="500" spans="1:9" x14ac:dyDescent="0.25">
      <c r="A500" s="52" t="str">
        <f>Data!A500</f>
        <v>TX500499</v>
      </c>
      <c r="B500" s="52">
        <f>MONTH(Data!F500)</f>
        <v>1</v>
      </c>
      <c r="C500" s="52" t="str">
        <f>TEXT(Data!F500,"mmm")</f>
        <v>Jan</v>
      </c>
      <c r="D500" s="52" t="str">
        <f>Data!O500</f>
        <v>Male</v>
      </c>
      <c r="E500" s="52">
        <f>Data!G500-Data!F500</f>
        <v>1</v>
      </c>
      <c r="F500" s="52">
        <f>IF(Data!J500&lt;=5,Data!J500,IF(Data!J500&lt;=10,"6 TO 10","More than 10"))</f>
        <v>5</v>
      </c>
      <c r="G500" s="52">
        <f t="shared" si="7"/>
        <v>1</v>
      </c>
      <c r="H500" s="52">
        <f>ROUND(Data!C500*Data!D500-Data!E500,2)</f>
        <v>0</v>
      </c>
      <c r="I500" s="52">
        <f>IF(AND(OR(Sel_Mode="All",Data!I500=Sel_Mode),OR(Sel_Gender="All",D500=Sel_Gender),OR(Sel_Category="All",Data!B500=Sel_Category),OR(Sel_Month="All",C500=Sel_Month),OR(Sel_County="All",Data!L500=Sel_County)),1,0)</f>
        <v>1</v>
      </c>
    </row>
    <row r="501" spans="1:9" x14ac:dyDescent="0.25">
      <c r="A501" s="52" t="str">
        <f>Data!A501</f>
        <v>TX500500</v>
      </c>
      <c r="B501" s="52">
        <f>MONTH(Data!F501)</f>
        <v>1</v>
      </c>
      <c r="C501" s="52" t="str">
        <f>TEXT(Data!F501,"mmm")</f>
        <v>Jan</v>
      </c>
      <c r="D501" s="52" t="str">
        <f>Data!O501</f>
        <v>Other</v>
      </c>
      <c r="E501" s="52">
        <f>Data!G501-Data!F501</f>
        <v>1</v>
      </c>
      <c r="F501" s="52">
        <f>IF(Data!J501&lt;=5,Data!J501,IF(Data!J501&lt;=10,"6 TO 10","More than 10"))</f>
        <v>1</v>
      </c>
      <c r="G501" s="52">
        <f t="shared" si="7"/>
        <v>1</v>
      </c>
      <c r="H501" s="52">
        <f>ROUND(Data!C501*Data!D501-Data!E501,2)</f>
        <v>0</v>
      </c>
      <c r="I501" s="52">
        <f>IF(AND(OR(Sel_Mode="All",Data!I501=Sel_Mode),OR(Sel_Gender="All",D501=Sel_Gender),OR(Sel_Category="All",Data!B501=Sel_Category),OR(Sel_Month="All",C501=Sel_Month),OR(Sel_County="All",Data!L501=Sel_County)),1,0)</f>
        <v>1</v>
      </c>
    </row>
    <row r="502" spans="1:9" x14ac:dyDescent="0.25">
      <c r="A502" s="52" t="str">
        <f>Data!A502</f>
        <v>TX500501</v>
      </c>
      <c r="B502" s="52">
        <f>MONTH(Data!F502)</f>
        <v>1</v>
      </c>
      <c r="C502" s="52" t="str">
        <f>TEXT(Data!F502,"mmm")</f>
        <v>Jan</v>
      </c>
      <c r="D502" s="52" t="str">
        <f>Data!O502</f>
        <v>Unknown</v>
      </c>
      <c r="E502" s="52">
        <f>Data!G502-Data!F502</f>
        <v>0</v>
      </c>
      <c r="F502" s="52">
        <f>IF(Data!J502&lt;=5,Data!J502,IF(Data!J502&lt;=10,"6 TO 10","More than 10"))</f>
        <v>3</v>
      </c>
      <c r="G502" s="52">
        <f t="shared" si="7"/>
        <v>0</v>
      </c>
      <c r="H502" s="52">
        <f>ROUND(Data!C502*Data!D502-Data!E502,2)</f>
        <v>0</v>
      </c>
      <c r="I502" s="52">
        <f>IF(AND(OR(Sel_Mode="All",Data!I502=Sel_Mode),OR(Sel_Gender="All",D502=Sel_Gender),OR(Sel_Category="All",Data!B502=Sel_Category),OR(Sel_Month="All",C502=Sel_Month),OR(Sel_County="All",Data!L502=Sel_County)),1,0)</f>
        <v>1</v>
      </c>
    </row>
    <row r="503" spans="1:9" x14ac:dyDescent="0.25">
      <c r="A503" s="52" t="str">
        <f>Data!A503</f>
        <v>TX500502</v>
      </c>
      <c r="B503" s="52">
        <f>MONTH(Data!F503)</f>
        <v>1</v>
      </c>
      <c r="C503" s="52" t="str">
        <f>TEXT(Data!F503,"mmm")</f>
        <v>Jan</v>
      </c>
      <c r="D503" s="52" t="str">
        <f>Data!O503</f>
        <v>Male</v>
      </c>
      <c r="E503" s="52">
        <f>Data!G503-Data!F503</f>
        <v>1</v>
      </c>
      <c r="F503" s="52">
        <f>IF(Data!J503&lt;=5,Data!J503,IF(Data!J503&lt;=10,"6 TO 10","More than 10"))</f>
        <v>3</v>
      </c>
      <c r="G503" s="52">
        <f t="shared" si="7"/>
        <v>1</v>
      </c>
      <c r="H503" s="52">
        <f>ROUND(Data!C503*Data!D503-Data!E503,2)</f>
        <v>0</v>
      </c>
      <c r="I503" s="52">
        <f>IF(AND(OR(Sel_Mode="All",Data!I503=Sel_Mode),OR(Sel_Gender="All",D503=Sel_Gender),OR(Sel_Category="All",Data!B503=Sel_Category),OR(Sel_Month="All",C503=Sel_Month),OR(Sel_County="All",Data!L503=Sel_County)),1,0)</f>
        <v>1</v>
      </c>
    </row>
    <row r="504" spans="1:9" x14ac:dyDescent="0.25">
      <c r="A504" s="52" t="str">
        <f>Data!A504</f>
        <v>TX500503</v>
      </c>
      <c r="B504" s="52">
        <f>MONTH(Data!F504)</f>
        <v>1</v>
      </c>
      <c r="C504" s="52" t="str">
        <f>TEXT(Data!F504,"mmm")</f>
        <v>Jan</v>
      </c>
      <c r="D504" s="52" t="str">
        <f>Data!O504</f>
        <v>Female</v>
      </c>
      <c r="E504" s="52">
        <f>Data!G504-Data!F504</f>
        <v>4</v>
      </c>
      <c r="F504" s="52">
        <f>IF(Data!J504&lt;=5,Data!J504,IF(Data!J504&lt;=10,"6 TO 10","More than 10"))</f>
        <v>4</v>
      </c>
      <c r="G504" s="52">
        <f t="shared" si="7"/>
        <v>4</v>
      </c>
      <c r="H504" s="52">
        <f>ROUND(Data!C504*Data!D504-Data!E504,2)</f>
        <v>0</v>
      </c>
      <c r="I504" s="52">
        <f>IF(AND(OR(Sel_Mode="All",Data!I504=Sel_Mode),OR(Sel_Gender="All",D504=Sel_Gender),OR(Sel_Category="All",Data!B504=Sel_Category),OR(Sel_Month="All",C504=Sel_Month),OR(Sel_County="All",Data!L504=Sel_County)),1,0)</f>
        <v>1</v>
      </c>
    </row>
    <row r="505" spans="1:9" x14ac:dyDescent="0.25">
      <c r="A505" s="52" t="str">
        <f>Data!A505</f>
        <v>TX500504</v>
      </c>
      <c r="B505" s="52">
        <f>MONTH(Data!F505)</f>
        <v>1</v>
      </c>
      <c r="C505" s="52" t="str">
        <f>TEXT(Data!F505,"mmm")</f>
        <v>Jan</v>
      </c>
      <c r="D505" s="52" t="str">
        <f>Data!O505</f>
        <v>Female</v>
      </c>
      <c r="E505" s="52">
        <f>Data!G505-Data!F505</f>
        <v>3</v>
      </c>
      <c r="F505" s="52">
        <f>IF(Data!J505&lt;=5,Data!J505,IF(Data!J505&lt;=10,"6 TO 10","More than 10"))</f>
        <v>3</v>
      </c>
      <c r="G505" s="52">
        <f t="shared" si="7"/>
        <v>3</v>
      </c>
      <c r="H505" s="52">
        <f>ROUND(Data!C505*Data!D505-Data!E505,2)</f>
        <v>0</v>
      </c>
      <c r="I505" s="52">
        <f>IF(AND(OR(Sel_Mode="All",Data!I505=Sel_Mode),OR(Sel_Gender="All",D505=Sel_Gender),OR(Sel_Category="All",Data!B505=Sel_Category),OR(Sel_Month="All",C505=Sel_Month),OR(Sel_County="All",Data!L505=Sel_County)),1,0)</f>
        <v>1</v>
      </c>
    </row>
    <row r="506" spans="1:9" x14ac:dyDescent="0.25">
      <c r="A506" s="52" t="str">
        <f>Data!A506</f>
        <v>TX500505</v>
      </c>
      <c r="B506" s="52">
        <f>MONTH(Data!F506)</f>
        <v>1</v>
      </c>
      <c r="C506" s="52" t="str">
        <f>TEXT(Data!F506,"mmm")</f>
        <v>Jan</v>
      </c>
      <c r="D506" s="52" t="str">
        <f>Data!O506</f>
        <v>Female</v>
      </c>
      <c r="E506" s="52">
        <f>Data!G506-Data!F506</f>
        <v>3</v>
      </c>
      <c r="F506" s="52">
        <f>IF(Data!J506&lt;=5,Data!J506,IF(Data!J506&lt;=10,"6 TO 10","More than 10"))</f>
        <v>5</v>
      </c>
      <c r="G506" s="52">
        <f t="shared" si="7"/>
        <v>3</v>
      </c>
      <c r="H506" s="52">
        <f>ROUND(Data!C506*Data!D506-Data!E506,2)</f>
        <v>0</v>
      </c>
      <c r="I506" s="52">
        <f>IF(AND(OR(Sel_Mode="All",Data!I506=Sel_Mode),OR(Sel_Gender="All",D506=Sel_Gender),OR(Sel_Category="All",Data!B506=Sel_Category),OR(Sel_Month="All",C506=Sel_Month),OR(Sel_County="All",Data!L506=Sel_County)),1,0)</f>
        <v>1</v>
      </c>
    </row>
    <row r="507" spans="1:9" x14ac:dyDescent="0.25">
      <c r="A507" s="52" t="str">
        <f>Data!A507</f>
        <v>TX500506</v>
      </c>
      <c r="B507" s="52">
        <f>MONTH(Data!F507)</f>
        <v>1</v>
      </c>
      <c r="C507" s="52" t="str">
        <f>TEXT(Data!F507,"mmm")</f>
        <v>Jan</v>
      </c>
      <c r="D507" s="52" t="str">
        <f>Data!O507</f>
        <v>Female</v>
      </c>
      <c r="E507" s="52">
        <f>Data!G507-Data!F507</f>
        <v>4</v>
      </c>
      <c r="F507" s="52">
        <f>IF(Data!J507&lt;=5,Data!J507,IF(Data!J507&lt;=10,"6 TO 10","More than 10"))</f>
        <v>4</v>
      </c>
      <c r="G507" s="52">
        <f t="shared" si="7"/>
        <v>4</v>
      </c>
      <c r="H507" s="52">
        <f>ROUND(Data!C507*Data!D507-Data!E507,2)</f>
        <v>0</v>
      </c>
      <c r="I507" s="52">
        <f>IF(AND(OR(Sel_Mode="All",Data!I507=Sel_Mode),OR(Sel_Gender="All",D507=Sel_Gender),OR(Sel_Category="All",Data!B507=Sel_Category),OR(Sel_Month="All",C507=Sel_Month),OR(Sel_County="All",Data!L507=Sel_County)),1,0)</f>
        <v>1</v>
      </c>
    </row>
    <row r="508" spans="1:9" x14ac:dyDescent="0.25">
      <c r="A508" s="52" t="str">
        <f>Data!A508</f>
        <v>TX500507</v>
      </c>
      <c r="B508" s="52">
        <f>MONTH(Data!F508)</f>
        <v>1</v>
      </c>
      <c r="C508" s="52" t="str">
        <f>TEXT(Data!F508,"mmm")</f>
        <v>Jan</v>
      </c>
      <c r="D508" s="52" t="str">
        <f>Data!O508</f>
        <v>Female</v>
      </c>
      <c r="E508" s="52">
        <f>Data!G508-Data!F508</f>
        <v>3</v>
      </c>
      <c r="F508" s="52">
        <f>IF(Data!J508&lt;=5,Data!J508,IF(Data!J508&lt;=10,"6 TO 10","More than 10"))</f>
        <v>4</v>
      </c>
      <c r="G508" s="52">
        <f t="shared" si="7"/>
        <v>3</v>
      </c>
      <c r="H508" s="52">
        <f>ROUND(Data!C508*Data!D508-Data!E508,2)</f>
        <v>0</v>
      </c>
      <c r="I508" s="52">
        <f>IF(AND(OR(Sel_Mode="All",Data!I508=Sel_Mode),OR(Sel_Gender="All",D508=Sel_Gender),OR(Sel_Category="All",Data!B508=Sel_Category),OR(Sel_Month="All",C508=Sel_Month),OR(Sel_County="All",Data!L508=Sel_County)),1,0)</f>
        <v>1</v>
      </c>
    </row>
    <row r="509" spans="1:9" x14ac:dyDescent="0.25">
      <c r="A509" s="52" t="str">
        <f>Data!A509</f>
        <v>TX500508</v>
      </c>
      <c r="B509" s="52">
        <f>MONTH(Data!F509)</f>
        <v>1</v>
      </c>
      <c r="C509" s="52" t="str">
        <f>TEXT(Data!F509,"mmm")</f>
        <v>Jan</v>
      </c>
      <c r="D509" s="52" t="str">
        <f>Data!O509</f>
        <v>Male</v>
      </c>
      <c r="E509" s="52">
        <f>Data!G509-Data!F509</f>
        <v>2</v>
      </c>
      <c r="F509" s="52">
        <f>IF(Data!J509&lt;=5,Data!J509,IF(Data!J509&lt;=10,"6 TO 10","More than 10"))</f>
        <v>4</v>
      </c>
      <c r="G509" s="52">
        <f t="shared" si="7"/>
        <v>2</v>
      </c>
      <c r="H509" s="52">
        <f>ROUND(Data!C509*Data!D509-Data!E509,2)</f>
        <v>0</v>
      </c>
      <c r="I509" s="52">
        <f>IF(AND(OR(Sel_Mode="All",Data!I509=Sel_Mode),OR(Sel_Gender="All",D509=Sel_Gender),OR(Sel_Category="All",Data!B509=Sel_Category),OR(Sel_Month="All",C509=Sel_Month),OR(Sel_County="All",Data!L509=Sel_County)),1,0)</f>
        <v>1</v>
      </c>
    </row>
    <row r="510" spans="1:9" x14ac:dyDescent="0.25">
      <c r="A510" s="52" t="str">
        <f>Data!A510</f>
        <v>TX500509</v>
      </c>
      <c r="B510" s="52">
        <f>MONTH(Data!F510)</f>
        <v>1</v>
      </c>
      <c r="C510" s="52" t="str">
        <f>TEXT(Data!F510,"mmm")</f>
        <v>Jan</v>
      </c>
      <c r="D510" s="52" t="str">
        <f>Data!O510</f>
        <v>Male</v>
      </c>
      <c r="E510" s="52">
        <f>Data!G510-Data!F510</f>
        <v>1</v>
      </c>
      <c r="F510" s="52">
        <f>IF(Data!J510&lt;=5,Data!J510,IF(Data!J510&lt;=10,"6 TO 10","More than 10"))</f>
        <v>4</v>
      </c>
      <c r="G510" s="52">
        <f t="shared" si="7"/>
        <v>1</v>
      </c>
      <c r="H510" s="52">
        <f>ROUND(Data!C510*Data!D510-Data!E510,2)</f>
        <v>0</v>
      </c>
      <c r="I510" s="52">
        <f>IF(AND(OR(Sel_Mode="All",Data!I510=Sel_Mode),OR(Sel_Gender="All",D510=Sel_Gender),OR(Sel_Category="All",Data!B510=Sel_Category),OR(Sel_Month="All",C510=Sel_Month),OR(Sel_County="All",Data!L510=Sel_County)),1,0)</f>
        <v>1</v>
      </c>
    </row>
    <row r="511" spans="1:9" x14ac:dyDescent="0.25">
      <c r="A511" s="52" t="str">
        <f>Data!A511</f>
        <v>TX500510</v>
      </c>
      <c r="B511" s="52">
        <f>MONTH(Data!F511)</f>
        <v>1</v>
      </c>
      <c r="C511" s="52" t="str">
        <f>TEXT(Data!F511,"mmm")</f>
        <v>Jan</v>
      </c>
      <c r="D511" s="52" t="str">
        <f>Data!O511</f>
        <v>Female</v>
      </c>
      <c r="E511" s="52">
        <f>Data!G511-Data!F511</f>
        <v>2</v>
      </c>
      <c r="F511" s="52">
        <f>IF(Data!J511&lt;=5,Data!J511,IF(Data!J511&lt;=10,"6 TO 10","More than 10"))</f>
        <v>3</v>
      </c>
      <c r="G511" s="52">
        <f t="shared" si="7"/>
        <v>2</v>
      </c>
      <c r="H511" s="52">
        <f>ROUND(Data!C511*Data!D511-Data!E511,2)</f>
        <v>0</v>
      </c>
      <c r="I511" s="52">
        <f>IF(AND(OR(Sel_Mode="All",Data!I511=Sel_Mode),OR(Sel_Gender="All",D511=Sel_Gender),OR(Sel_Category="All",Data!B511=Sel_Category),OR(Sel_Month="All",C511=Sel_Month),OR(Sel_County="All",Data!L511=Sel_County)),1,0)</f>
        <v>1</v>
      </c>
    </row>
    <row r="512" spans="1:9" x14ac:dyDescent="0.25">
      <c r="A512" s="52" t="str">
        <f>Data!A512</f>
        <v>TX500511</v>
      </c>
      <c r="B512" s="52">
        <f>MONTH(Data!F512)</f>
        <v>1</v>
      </c>
      <c r="C512" s="52" t="str">
        <f>TEXT(Data!F512,"mmm")</f>
        <v>Jan</v>
      </c>
      <c r="D512" s="52" t="str">
        <f>Data!O512</f>
        <v>Female</v>
      </c>
      <c r="E512" s="52">
        <f>Data!G512-Data!F512</f>
        <v>2</v>
      </c>
      <c r="F512" s="52">
        <f>IF(Data!J512&lt;=5,Data!J512,IF(Data!J512&lt;=10,"6 TO 10","More than 10"))</f>
        <v>3</v>
      </c>
      <c r="G512" s="52">
        <f t="shared" si="7"/>
        <v>2</v>
      </c>
      <c r="H512" s="52">
        <f>ROUND(Data!C512*Data!D512-Data!E512,2)</f>
        <v>0</v>
      </c>
      <c r="I512" s="52">
        <f>IF(AND(OR(Sel_Mode="All",Data!I512=Sel_Mode),OR(Sel_Gender="All",D512=Sel_Gender),OR(Sel_Category="All",Data!B512=Sel_Category),OR(Sel_Month="All",C512=Sel_Month),OR(Sel_County="All",Data!L512=Sel_County)),1,0)</f>
        <v>1</v>
      </c>
    </row>
    <row r="513" spans="1:9" x14ac:dyDescent="0.25">
      <c r="A513" s="52" t="str">
        <f>Data!A513</f>
        <v>TX500512</v>
      </c>
      <c r="B513" s="52">
        <f>MONTH(Data!F513)</f>
        <v>1</v>
      </c>
      <c r="C513" s="52" t="str">
        <f>TEXT(Data!F513,"mmm")</f>
        <v>Jan</v>
      </c>
      <c r="D513" s="52" t="str">
        <f>Data!O513</f>
        <v>Unknown</v>
      </c>
      <c r="E513" s="52">
        <f>Data!G513-Data!F513</f>
        <v>0</v>
      </c>
      <c r="F513" s="52">
        <f>IF(Data!J513&lt;=5,Data!J513,IF(Data!J513&lt;=10,"6 TO 10","More than 10"))</f>
        <v>4</v>
      </c>
      <c r="G513" s="52">
        <f t="shared" si="7"/>
        <v>0</v>
      </c>
      <c r="H513" s="52">
        <f>ROUND(Data!C513*Data!D513-Data!E513,2)</f>
        <v>0</v>
      </c>
      <c r="I513" s="52">
        <f>IF(AND(OR(Sel_Mode="All",Data!I513=Sel_Mode),OR(Sel_Gender="All",D513=Sel_Gender),OR(Sel_Category="All",Data!B513=Sel_Category),OR(Sel_Month="All",C513=Sel_Month),OR(Sel_County="All",Data!L513=Sel_County)),1,0)</f>
        <v>1</v>
      </c>
    </row>
    <row r="514" spans="1:9" x14ac:dyDescent="0.25">
      <c r="A514" s="52" t="str">
        <f>Data!A514</f>
        <v>TX500513</v>
      </c>
      <c r="B514" s="52">
        <f>MONTH(Data!F514)</f>
        <v>1</v>
      </c>
      <c r="C514" s="52" t="str">
        <f>TEXT(Data!F514,"mmm")</f>
        <v>Jan</v>
      </c>
      <c r="D514" s="52" t="str">
        <f>Data!O514</f>
        <v>Female</v>
      </c>
      <c r="E514" s="52">
        <f>Data!G514-Data!F514</f>
        <v>1</v>
      </c>
      <c r="F514" s="52">
        <f>IF(Data!J514&lt;=5,Data!J514,IF(Data!J514&lt;=10,"6 TO 10","More than 10"))</f>
        <v>4</v>
      </c>
      <c r="G514" s="52">
        <f t="shared" ref="G514:G577" si="8">IF(E514&gt;=8,"8+",E514)</f>
        <v>1</v>
      </c>
      <c r="H514" s="52">
        <f>ROUND(Data!C514*Data!D514-Data!E514,2)</f>
        <v>0</v>
      </c>
      <c r="I514" s="52">
        <f>IF(AND(OR(Sel_Mode="All",Data!I514=Sel_Mode),OR(Sel_Gender="All",D514=Sel_Gender),OR(Sel_Category="All",Data!B514=Sel_Category),OR(Sel_Month="All",C514=Sel_Month),OR(Sel_County="All",Data!L514=Sel_County)),1,0)</f>
        <v>1</v>
      </c>
    </row>
    <row r="515" spans="1:9" x14ac:dyDescent="0.25">
      <c r="A515" s="52" t="str">
        <f>Data!A515</f>
        <v>TX500514</v>
      </c>
      <c r="B515" s="52">
        <f>MONTH(Data!F515)</f>
        <v>1</v>
      </c>
      <c r="C515" s="52" t="str">
        <f>TEXT(Data!F515,"mmm")</f>
        <v>Jan</v>
      </c>
      <c r="D515" s="52" t="str">
        <f>Data!O515</f>
        <v>Male</v>
      </c>
      <c r="E515" s="52">
        <f>Data!G515-Data!F515</f>
        <v>2</v>
      </c>
      <c r="F515" s="52">
        <f>IF(Data!J515&lt;=5,Data!J515,IF(Data!J515&lt;=10,"6 TO 10","More than 10"))</f>
        <v>3</v>
      </c>
      <c r="G515" s="52">
        <f t="shared" si="8"/>
        <v>2</v>
      </c>
      <c r="H515" s="52">
        <f>ROUND(Data!C515*Data!D515-Data!E515,2)</f>
        <v>0</v>
      </c>
      <c r="I515" s="52">
        <f>IF(AND(OR(Sel_Mode="All",Data!I515=Sel_Mode),OR(Sel_Gender="All",D515=Sel_Gender),OR(Sel_Category="All",Data!B515=Sel_Category),OR(Sel_Month="All",C515=Sel_Month),OR(Sel_County="All",Data!L515=Sel_County)),1,0)</f>
        <v>1</v>
      </c>
    </row>
    <row r="516" spans="1:9" x14ac:dyDescent="0.25">
      <c r="A516" s="52" t="str">
        <f>Data!A516</f>
        <v>TX500515</v>
      </c>
      <c r="B516" s="52">
        <f>MONTH(Data!F516)</f>
        <v>1</v>
      </c>
      <c r="C516" s="52" t="str">
        <f>TEXT(Data!F516,"mmm")</f>
        <v>Jan</v>
      </c>
      <c r="D516" s="52" t="str">
        <f>Data!O516</f>
        <v>Male</v>
      </c>
      <c r="E516" s="52">
        <f>Data!G516-Data!F516</f>
        <v>2</v>
      </c>
      <c r="F516" s="52">
        <f>IF(Data!J516&lt;=5,Data!J516,IF(Data!J516&lt;=10,"6 TO 10","More than 10"))</f>
        <v>5</v>
      </c>
      <c r="G516" s="52">
        <f t="shared" si="8"/>
        <v>2</v>
      </c>
      <c r="H516" s="52">
        <f>ROUND(Data!C516*Data!D516-Data!E516,2)</f>
        <v>0</v>
      </c>
      <c r="I516" s="52">
        <f>IF(AND(OR(Sel_Mode="All",Data!I516=Sel_Mode),OR(Sel_Gender="All",D516=Sel_Gender),OR(Sel_Category="All",Data!B516=Sel_Category),OR(Sel_Month="All",C516=Sel_Month),OR(Sel_County="All",Data!L516=Sel_County)),1,0)</f>
        <v>1</v>
      </c>
    </row>
    <row r="517" spans="1:9" x14ac:dyDescent="0.25">
      <c r="A517" s="52" t="str">
        <f>Data!A517</f>
        <v>TX500516</v>
      </c>
      <c r="B517" s="52">
        <f>MONTH(Data!F517)</f>
        <v>1</v>
      </c>
      <c r="C517" s="52" t="str">
        <f>TEXT(Data!F517,"mmm")</f>
        <v>Jan</v>
      </c>
      <c r="D517" s="52" t="str">
        <f>Data!O517</f>
        <v>Unknown</v>
      </c>
      <c r="E517" s="52">
        <f>Data!G517-Data!F517</f>
        <v>1</v>
      </c>
      <c r="F517" s="52">
        <f>IF(Data!J517&lt;=5,Data!J517,IF(Data!J517&lt;=10,"6 TO 10","More than 10"))</f>
        <v>5</v>
      </c>
      <c r="G517" s="52">
        <f t="shared" si="8"/>
        <v>1</v>
      </c>
      <c r="H517" s="52">
        <f>ROUND(Data!C517*Data!D517-Data!E517,2)</f>
        <v>0</v>
      </c>
      <c r="I517" s="52">
        <f>IF(AND(OR(Sel_Mode="All",Data!I517=Sel_Mode),OR(Sel_Gender="All",D517=Sel_Gender),OR(Sel_Category="All",Data!B517=Sel_Category),OR(Sel_Month="All",C517=Sel_Month),OR(Sel_County="All",Data!L517=Sel_County)),1,0)</f>
        <v>1</v>
      </c>
    </row>
    <row r="518" spans="1:9" x14ac:dyDescent="0.25">
      <c r="A518" s="52" t="str">
        <f>Data!A518</f>
        <v>TX500517</v>
      </c>
      <c r="B518" s="52">
        <f>MONTH(Data!F518)</f>
        <v>1</v>
      </c>
      <c r="C518" s="52" t="str">
        <f>TEXT(Data!F518,"mmm")</f>
        <v>Jan</v>
      </c>
      <c r="D518" s="52" t="str">
        <f>Data!O518</f>
        <v>Female</v>
      </c>
      <c r="E518" s="52">
        <f>Data!G518-Data!F518</f>
        <v>2</v>
      </c>
      <c r="F518" s="52">
        <f>IF(Data!J518&lt;=5,Data!J518,IF(Data!J518&lt;=10,"6 TO 10","More than 10"))</f>
        <v>4</v>
      </c>
      <c r="G518" s="52">
        <f t="shared" si="8"/>
        <v>2</v>
      </c>
      <c r="H518" s="52">
        <f>ROUND(Data!C518*Data!D518-Data!E518,2)</f>
        <v>0</v>
      </c>
      <c r="I518" s="52">
        <f>IF(AND(OR(Sel_Mode="All",Data!I518=Sel_Mode),OR(Sel_Gender="All",D518=Sel_Gender),OR(Sel_Category="All",Data!B518=Sel_Category),OR(Sel_Month="All",C518=Sel_Month),OR(Sel_County="All",Data!L518=Sel_County)),1,0)</f>
        <v>1</v>
      </c>
    </row>
    <row r="519" spans="1:9" x14ac:dyDescent="0.25">
      <c r="A519" s="52" t="str">
        <f>Data!A519</f>
        <v>TX500518</v>
      </c>
      <c r="B519" s="52">
        <f>MONTH(Data!F519)</f>
        <v>1</v>
      </c>
      <c r="C519" s="52" t="str">
        <f>TEXT(Data!F519,"mmm")</f>
        <v>Jan</v>
      </c>
      <c r="D519" s="52" t="str">
        <f>Data!O519</f>
        <v>Female</v>
      </c>
      <c r="E519" s="52">
        <f>Data!G519-Data!F519</f>
        <v>3</v>
      </c>
      <c r="F519" s="52">
        <f>IF(Data!J519&lt;=5,Data!J519,IF(Data!J519&lt;=10,"6 TO 10","More than 10"))</f>
        <v>5</v>
      </c>
      <c r="G519" s="52">
        <f t="shared" si="8"/>
        <v>3</v>
      </c>
      <c r="H519" s="52">
        <f>ROUND(Data!C519*Data!D519-Data!E519,2)</f>
        <v>0</v>
      </c>
      <c r="I519" s="52">
        <f>IF(AND(OR(Sel_Mode="All",Data!I519=Sel_Mode),OR(Sel_Gender="All",D519=Sel_Gender),OR(Sel_Category="All",Data!B519=Sel_Category),OR(Sel_Month="All",C519=Sel_Month),OR(Sel_County="All",Data!L519=Sel_County)),1,0)</f>
        <v>1</v>
      </c>
    </row>
    <row r="520" spans="1:9" x14ac:dyDescent="0.25">
      <c r="A520" s="52" t="str">
        <f>Data!A520</f>
        <v>TX500519</v>
      </c>
      <c r="B520" s="52">
        <f>MONTH(Data!F520)</f>
        <v>1</v>
      </c>
      <c r="C520" s="52" t="str">
        <f>TEXT(Data!F520,"mmm")</f>
        <v>Jan</v>
      </c>
      <c r="D520" s="52" t="str">
        <f>Data!O520</f>
        <v>Female</v>
      </c>
      <c r="E520" s="52">
        <f>Data!G520-Data!F520</f>
        <v>4</v>
      </c>
      <c r="F520" s="52">
        <f>IF(Data!J520&lt;=5,Data!J520,IF(Data!J520&lt;=10,"6 TO 10","More than 10"))</f>
        <v>4</v>
      </c>
      <c r="G520" s="52">
        <f t="shared" si="8"/>
        <v>4</v>
      </c>
      <c r="H520" s="52">
        <f>ROUND(Data!C520*Data!D520-Data!E520,2)</f>
        <v>0</v>
      </c>
      <c r="I520" s="52">
        <f>IF(AND(OR(Sel_Mode="All",Data!I520=Sel_Mode),OR(Sel_Gender="All",D520=Sel_Gender),OR(Sel_Category="All",Data!B520=Sel_Category),OR(Sel_Month="All",C520=Sel_Month),OR(Sel_County="All",Data!L520=Sel_County)),1,0)</f>
        <v>1</v>
      </c>
    </row>
    <row r="521" spans="1:9" x14ac:dyDescent="0.25">
      <c r="A521" s="52" t="str">
        <f>Data!A521</f>
        <v>TX500520</v>
      </c>
      <c r="B521" s="52">
        <f>MONTH(Data!F521)</f>
        <v>1</v>
      </c>
      <c r="C521" s="52" t="str">
        <f>TEXT(Data!F521,"mmm")</f>
        <v>Jan</v>
      </c>
      <c r="D521" s="52" t="str">
        <f>Data!O521</f>
        <v>Female</v>
      </c>
      <c r="E521" s="52">
        <f>Data!G521-Data!F521</f>
        <v>3</v>
      </c>
      <c r="F521" s="52">
        <f>IF(Data!J521&lt;=5,Data!J521,IF(Data!J521&lt;=10,"6 TO 10","More than 10"))</f>
        <v>3</v>
      </c>
      <c r="G521" s="52">
        <f t="shared" si="8"/>
        <v>3</v>
      </c>
      <c r="H521" s="52">
        <f>ROUND(Data!C521*Data!D521-Data!E521,2)</f>
        <v>0</v>
      </c>
      <c r="I521" s="52">
        <f>IF(AND(OR(Sel_Mode="All",Data!I521=Sel_Mode),OR(Sel_Gender="All",D521=Sel_Gender),OR(Sel_Category="All",Data!B521=Sel_Category),OR(Sel_Month="All",C521=Sel_Month),OR(Sel_County="All",Data!L521=Sel_County)),1,0)</f>
        <v>1</v>
      </c>
    </row>
    <row r="522" spans="1:9" x14ac:dyDescent="0.25">
      <c r="A522" s="52" t="str">
        <f>Data!A522</f>
        <v>TX500521</v>
      </c>
      <c r="B522" s="52">
        <f>MONTH(Data!F522)</f>
        <v>1</v>
      </c>
      <c r="C522" s="52" t="str">
        <f>TEXT(Data!F522,"mmm")</f>
        <v>Jan</v>
      </c>
      <c r="D522" s="52" t="str">
        <f>Data!O522</f>
        <v>Male</v>
      </c>
      <c r="E522" s="52">
        <f>Data!G522-Data!F522</f>
        <v>1</v>
      </c>
      <c r="F522" s="52">
        <f>IF(Data!J522&lt;=5,Data!J522,IF(Data!J522&lt;=10,"6 TO 10","More than 10"))</f>
        <v>3</v>
      </c>
      <c r="G522" s="52">
        <f t="shared" si="8"/>
        <v>1</v>
      </c>
      <c r="H522" s="52">
        <f>ROUND(Data!C522*Data!D522-Data!E522,2)</f>
        <v>0</v>
      </c>
      <c r="I522" s="52">
        <f>IF(AND(OR(Sel_Mode="All",Data!I522=Sel_Mode),OR(Sel_Gender="All",D522=Sel_Gender),OR(Sel_Category="All",Data!B522=Sel_Category),OR(Sel_Month="All",C522=Sel_Month),OR(Sel_County="All",Data!L522=Sel_County)),1,0)</f>
        <v>1</v>
      </c>
    </row>
    <row r="523" spans="1:9" x14ac:dyDescent="0.25">
      <c r="A523" s="52" t="str">
        <f>Data!A523</f>
        <v>TX500522</v>
      </c>
      <c r="B523" s="52">
        <f>MONTH(Data!F523)</f>
        <v>1</v>
      </c>
      <c r="C523" s="52" t="str">
        <f>TEXT(Data!F523,"mmm")</f>
        <v>Jan</v>
      </c>
      <c r="D523" s="52" t="str">
        <f>Data!O523</f>
        <v>Female</v>
      </c>
      <c r="E523" s="52">
        <f>Data!G523-Data!F523</f>
        <v>0</v>
      </c>
      <c r="F523" s="52">
        <f>IF(Data!J523&lt;=5,Data!J523,IF(Data!J523&lt;=10,"6 TO 10","More than 10"))</f>
        <v>3</v>
      </c>
      <c r="G523" s="52">
        <f t="shared" si="8"/>
        <v>0</v>
      </c>
      <c r="H523" s="52">
        <f>ROUND(Data!C523*Data!D523-Data!E523,2)</f>
        <v>0</v>
      </c>
      <c r="I523" s="52">
        <f>IF(AND(OR(Sel_Mode="All",Data!I523=Sel_Mode),OR(Sel_Gender="All",D523=Sel_Gender),OR(Sel_Category="All",Data!B523=Sel_Category),OR(Sel_Month="All",C523=Sel_Month),OR(Sel_County="All",Data!L523=Sel_County)),1,0)</f>
        <v>1</v>
      </c>
    </row>
    <row r="524" spans="1:9" x14ac:dyDescent="0.25">
      <c r="A524" s="52" t="str">
        <f>Data!A524</f>
        <v>TX500523</v>
      </c>
      <c r="B524" s="52">
        <f>MONTH(Data!F524)</f>
        <v>1</v>
      </c>
      <c r="C524" s="52" t="str">
        <f>TEXT(Data!F524,"mmm")</f>
        <v>Jan</v>
      </c>
      <c r="D524" s="52" t="str">
        <f>Data!O524</f>
        <v>Unknown</v>
      </c>
      <c r="E524" s="52">
        <f>Data!G524-Data!F524</f>
        <v>0</v>
      </c>
      <c r="F524" s="52">
        <f>IF(Data!J524&lt;=5,Data!J524,IF(Data!J524&lt;=10,"6 TO 10","More than 10"))</f>
        <v>4</v>
      </c>
      <c r="G524" s="52">
        <f t="shared" si="8"/>
        <v>0</v>
      </c>
      <c r="H524" s="52">
        <f>ROUND(Data!C524*Data!D524-Data!E524,2)</f>
        <v>0</v>
      </c>
      <c r="I524" s="52">
        <f>IF(AND(OR(Sel_Mode="All",Data!I524=Sel_Mode),OR(Sel_Gender="All",D524=Sel_Gender),OR(Sel_Category="All",Data!B524=Sel_Category),OR(Sel_Month="All",C524=Sel_Month),OR(Sel_County="All",Data!L524=Sel_County)),1,0)</f>
        <v>1</v>
      </c>
    </row>
    <row r="525" spans="1:9" x14ac:dyDescent="0.25">
      <c r="A525" s="52" t="str">
        <f>Data!A525</f>
        <v>TX500524</v>
      </c>
      <c r="B525" s="52">
        <f>MONTH(Data!F525)</f>
        <v>1</v>
      </c>
      <c r="C525" s="52" t="str">
        <f>TEXT(Data!F525,"mmm")</f>
        <v>Jan</v>
      </c>
      <c r="D525" s="52" t="str">
        <f>Data!O525</f>
        <v>Female</v>
      </c>
      <c r="E525" s="52">
        <f>Data!G525-Data!F525</f>
        <v>1</v>
      </c>
      <c r="F525" s="52">
        <f>IF(Data!J525&lt;=5,Data!J525,IF(Data!J525&lt;=10,"6 TO 10","More than 10"))</f>
        <v>5</v>
      </c>
      <c r="G525" s="52">
        <f t="shared" si="8"/>
        <v>1</v>
      </c>
      <c r="H525" s="52">
        <f>ROUND(Data!C525*Data!D525-Data!E525,2)</f>
        <v>0</v>
      </c>
      <c r="I525" s="52">
        <f>IF(AND(OR(Sel_Mode="All",Data!I525=Sel_Mode),OR(Sel_Gender="All",D525=Sel_Gender),OR(Sel_Category="All",Data!B525=Sel_Category),OR(Sel_Month="All",C525=Sel_Month),OR(Sel_County="All",Data!L525=Sel_County)),1,0)</f>
        <v>1</v>
      </c>
    </row>
    <row r="526" spans="1:9" x14ac:dyDescent="0.25">
      <c r="A526" s="52" t="str">
        <f>Data!A526</f>
        <v>TX500525</v>
      </c>
      <c r="B526" s="52">
        <f>MONTH(Data!F526)</f>
        <v>1</v>
      </c>
      <c r="C526" s="52" t="str">
        <f>TEXT(Data!F526,"mmm")</f>
        <v>Jan</v>
      </c>
      <c r="D526" s="52" t="str">
        <f>Data!O526</f>
        <v>Female</v>
      </c>
      <c r="E526" s="52">
        <f>Data!G526-Data!F526</f>
        <v>1</v>
      </c>
      <c r="F526" s="52">
        <f>IF(Data!J526&lt;=5,Data!J526,IF(Data!J526&lt;=10,"6 TO 10","More than 10"))</f>
        <v>4</v>
      </c>
      <c r="G526" s="52">
        <f t="shared" si="8"/>
        <v>1</v>
      </c>
      <c r="H526" s="52">
        <f>ROUND(Data!C526*Data!D526-Data!E526,2)</f>
        <v>0</v>
      </c>
      <c r="I526" s="52">
        <f>IF(AND(OR(Sel_Mode="All",Data!I526=Sel_Mode),OR(Sel_Gender="All",D526=Sel_Gender),OR(Sel_Category="All",Data!B526=Sel_Category),OR(Sel_Month="All",C526=Sel_Month),OR(Sel_County="All",Data!L526=Sel_County)),1,0)</f>
        <v>1</v>
      </c>
    </row>
    <row r="527" spans="1:9" x14ac:dyDescent="0.25">
      <c r="A527" s="52" t="str">
        <f>Data!A527</f>
        <v>TX500526</v>
      </c>
      <c r="B527" s="52">
        <f>MONTH(Data!F527)</f>
        <v>1</v>
      </c>
      <c r="C527" s="52" t="str">
        <f>TEXT(Data!F527,"mmm")</f>
        <v>Jan</v>
      </c>
      <c r="D527" s="52" t="str">
        <f>Data!O527</f>
        <v>Male</v>
      </c>
      <c r="E527" s="52">
        <f>Data!G527-Data!F527</f>
        <v>1</v>
      </c>
      <c r="F527" s="52">
        <f>IF(Data!J527&lt;=5,Data!J527,IF(Data!J527&lt;=10,"6 TO 10","More than 10"))</f>
        <v>4</v>
      </c>
      <c r="G527" s="52">
        <f t="shared" si="8"/>
        <v>1</v>
      </c>
      <c r="H527" s="52">
        <f>ROUND(Data!C527*Data!D527-Data!E527,2)</f>
        <v>0</v>
      </c>
      <c r="I527" s="52">
        <f>IF(AND(OR(Sel_Mode="All",Data!I527=Sel_Mode),OR(Sel_Gender="All",D527=Sel_Gender),OR(Sel_Category="All",Data!B527=Sel_Category),OR(Sel_Month="All",C527=Sel_Month),OR(Sel_County="All",Data!L527=Sel_County)),1,0)</f>
        <v>1</v>
      </c>
    </row>
    <row r="528" spans="1:9" x14ac:dyDescent="0.25">
      <c r="A528" s="52" t="str">
        <f>Data!A528</f>
        <v>TX500527</v>
      </c>
      <c r="B528" s="52">
        <f>MONTH(Data!F528)</f>
        <v>1</v>
      </c>
      <c r="C528" s="52" t="str">
        <f>TEXT(Data!F528,"mmm")</f>
        <v>Jan</v>
      </c>
      <c r="D528" s="52" t="str">
        <f>Data!O528</f>
        <v>Male</v>
      </c>
      <c r="E528" s="52">
        <f>Data!G528-Data!F528</f>
        <v>1</v>
      </c>
      <c r="F528" s="52">
        <f>IF(Data!J528&lt;=5,Data!J528,IF(Data!J528&lt;=10,"6 TO 10","More than 10"))</f>
        <v>5</v>
      </c>
      <c r="G528" s="52">
        <f t="shared" si="8"/>
        <v>1</v>
      </c>
      <c r="H528" s="52">
        <f>ROUND(Data!C528*Data!D528-Data!E528,2)</f>
        <v>0</v>
      </c>
      <c r="I528" s="52">
        <f>IF(AND(OR(Sel_Mode="All",Data!I528=Sel_Mode),OR(Sel_Gender="All",D528=Sel_Gender),OR(Sel_Category="All",Data!B528=Sel_Category),OR(Sel_Month="All",C528=Sel_Month),OR(Sel_County="All",Data!L528=Sel_County)),1,0)</f>
        <v>1</v>
      </c>
    </row>
    <row r="529" spans="1:9" x14ac:dyDescent="0.25">
      <c r="A529" s="52" t="str">
        <f>Data!A529</f>
        <v>TX500528</v>
      </c>
      <c r="B529" s="52">
        <f>MONTH(Data!F529)</f>
        <v>1</v>
      </c>
      <c r="C529" s="52" t="str">
        <f>TEXT(Data!F529,"mmm")</f>
        <v>Jan</v>
      </c>
      <c r="D529" s="52" t="str">
        <f>Data!O529</f>
        <v>Female</v>
      </c>
      <c r="E529" s="52">
        <f>Data!G529-Data!F529</f>
        <v>2</v>
      </c>
      <c r="F529" s="52">
        <f>IF(Data!J529&lt;=5,Data!J529,IF(Data!J529&lt;=10,"6 TO 10","More than 10"))</f>
        <v>4</v>
      </c>
      <c r="G529" s="52">
        <f t="shared" si="8"/>
        <v>2</v>
      </c>
      <c r="H529" s="52">
        <f>ROUND(Data!C529*Data!D529-Data!E529,2)</f>
        <v>0</v>
      </c>
      <c r="I529" s="52">
        <f>IF(AND(OR(Sel_Mode="All",Data!I529=Sel_Mode),OR(Sel_Gender="All",D529=Sel_Gender),OR(Sel_Category="All",Data!B529=Sel_Category),OR(Sel_Month="All",C529=Sel_Month),OR(Sel_County="All",Data!L529=Sel_County)),1,0)</f>
        <v>1</v>
      </c>
    </row>
    <row r="530" spans="1:9" x14ac:dyDescent="0.25">
      <c r="A530" s="52" t="str">
        <f>Data!A530</f>
        <v>TX500529</v>
      </c>
      <c r="B530" s="52">
        <f>MONTH(Data!F530)</f>
        <v>1</v>
      </c>
      <c r="C530" s="52" t="str">
        <f>TEXT(Data!F530,"mmm")</f>
        <v>Jan</v>
      </c>
      <c r="D530" s="52" t="str">
        <f>Data!O530</f>
        <v>Female</v>
      </c>
      <c r="E530" s="52">
        <f>Data!G530-Data!F530</f>
        <v>1</v>
      </c>
      <c r="F530" s="52">
        <f>IF(Data!J530&lt;=5,Data!J530,IF(Data!J530&lt;=10,"6 TO 10","More than 10"))</f>
        <v>3</v>
      </c>
      <c r="G530" s="52">
        <f t="shared" si="8"/>
        <v>1</v>
      </c>
      <c r="H530" s="52">
        <f>ROUND(Data!C530*Data!D530-Data!E530,2)</f>
        <v>0</v>
      </c>
      <c r="I530" s="52">
        <f>IF(AND(OR(Sel_Mode="All",Data!I530=Sel_Mode),OR(Sel_Gender="All",D530=Sel_Gender),OR(Sel_Category="All",Data!B530=Sel_Category),OR(Sel_Month="All",C530=Sel_Month),OR(Sel_County="All",Data!L530=Sel_County)),1,0)</f>
        <v>1</v>
      </c>
    </row>
    <row r="531" spans="1:9" x14ac:dyDescent="0.25">
      <c r="A531" s="52" t="str">
        <f>Data!A531</f>
        <v>TX500530</v>
      </c>
      <c r="B531" s="52">
        <f>MONTH(Data!F531)</f>
        <v>1</v>
      </c>
      <c r="C531" s="52" t="str">
        <f>TEXT(Data!F531,"mmm")</f>
        <v>Jan</v>
      </c>
      <c r="D531" s="52" t="str">
        <f>Data!O531</f>
        <v>Female</v>
      </c>
      <c r="E531" s="52">
        <f>Data!G531-Data!F531</f>
        <v>1</v>
      </c>
      <c r="F531" s="52">
        <f>IF(Data!J531&lt;=5,Data!J531,IF(Data!J531&lt;=10,"6 TO 10","More than 10"))</f>
        <v>4</v>
      </c>
      <c r="G531" s="52">
        <f t="shared" si="8"/>
        <v>1</v>
      </c>
      <c r="H531" s="52">
        <f>ROUND(Data!C531*Data!D531-Data!E531,2)</f>
        <v>0</v>
      </c>
      <c r="I531" s="52">
        <f>IF(AND(OR(Sel_Mode="All",Data!I531=Sel_Mode),OR(Sel_Gender="All",D531=Sel_Gender),OR(Sel_Category="All",Data!B531=Sel_Category),OR(Sel_Month="All",C531=Sel_Month),OR(Sel_County="All",Data!L531=Sel_County)),1,0)</f>
        <v>1</v>
      </c>
    </row>
    <row r="532" spans="1:9" x14ac:dyDescent="0.25">
      <c r="A532" s="52" t="str">
        <f>Data!A532</f>
        <v>TX500531</v>
      </c>
      <c r="B532" s="52">
        <f>MONTH(Data!F532)</f>
        <v>1</v>
      </c>
      <c r="C532" s="52" t="str">
        <f>TEXT(Data!F532,"mmm")</f>
        <v>Jan</v>
      </c>
      <c r="D532" s="52" t="str">
        <f>Data!O532</f>
        <v>Female</v>
      </c>
      <c r="E532" s="52">
        <f>Data!G532-Data!F532</f>
        <v>1</v>
      </c>
      <c r="F532" s="52">
        <f>IF(Data!J532&lt;=5,Data!J532,IF(Data!J532&lt;=10,"6 TO 10","More than 10"))</f>
        <v>3</v>
      </c>
      <c r="G532" s="52">
        <f t="shared" si="8"/>
        <v>1</v>
      </c>
      <c r="H532" s="52">
        <f>ROUND(Data!C532*Data!D532-Data!E532,2)</f>
        <v>0</v>
      </c>
      <c r="I532" s="52">
        <f>IF(AND(OR(Sel_Mode="All",Data!I532=Sel_Mode),OR(Sel_Gender="All",D532=Sel_Gender),OR(Sel_Category="All",Data!B532=Sel_Category),OR(Sel_Month="All",C532=Sel_Month),OR(Sel_County="All",Data!L532=Sel_County)),1,0)</f>
        <v>1</v>
      </c>
    </row>
    <row r="533" spans="1:9" x14ac:dyDescent="0.25">
      <c r="A533" s="52" t="str">
        <f>Data!A533</f>
        <v>TX500532</v>
      </c>
      <c r="B533" s="52">
        <f>MONTH(Data!F533)</f>
        <v>1</v>
      </c>
      <c r="C533" s="52" t="str">
        <f>TEXT(Data!F533,"mmm")</f>
        <v>Jan</v>
      </c>
      <c r="D533" s="52" t="str">
        <f>Data!O533</f>
        <v>Female</v>
      </c>
      <c r="E533" s="52">
        <f>Data!G533-Data!F533</f>
        <v>1</v>
      </c>
      <c r="F533" s="52">
        <f>IF(Data!J533&lt;=5,Data!J533,IF(Data!J533&lt;=10,"6 TO 10","More than 10"))</f>
        <v>4</v>
      </c>
      <c r="G533" s="52">
        <f t="shared" si="8"/>
        <v>1</v>
      </c>
      <c r="H533" s="52">
        <f>ROUND(Data!C533*Data!D533-Data!E533,2)</f>
        <v>0</v>
      </c>
      <c r="I533" s="52">
        <f>IF(AND(OR(Sel_Mode="All",Data!I533=Sel_Mode),OR(Sel_Gender="All",D533=Sel_Gender),OR(Sel_Category="All",Data!B533=Sel_Category),OR(Sel_Month="All",C533=Sel_Month),OR(Sel_County="All",Data!L533=Sel_County)),1,0)</f>
        <v>1</v>
      </c>
    </row>
    <row r="534" spans="1:9" x14ac:dyDescent="0.25">
      <c r="A534" s="52" t="str">
        <f>Data!A534</f>
        <v>TX500533</v>
      </c>
      <c r="B534" s="52">
        <f>MONTH(Data!F534)</f>
        <v>1</v>
      </c>
      <c r="C534" s="52" t="str">
        <f>TEXT(Data!F534,"mmm")</f>
        <v>Jan</v>
      </c>
      <c r="D534" s="52" t="str">
        <f>Data!O534</f>
        <v>Female</v>
      </c>
      <c r="E534" s="52">
        <f>Data!G534-Data!F534</f>
        <v>3</v>
      </c>
      <c r="F534" s="52">
        <f>IF(Data!J534&lt;=5,Data!J534,IF(Data!J534&lt;=10,"6 TO 10","More than 10"))</f>
        <v>4</v>
      </c>
      <c r="G534" s="52">
        <f t="shared" si="8"/>
        <v>3</v>
      </c>
      <c r="H534" s="52">
        <f>ROUND(Data!C534*Data!D534-Data!E534,2)</f>
        <v>0</v>
      </c>
      <c r="I534" s="52">
        <f>IF(AND(OR(Sel_Mode="All",Data!I534=Sel_Mode),OR(Sel_Gender="All",D534=Sel_Gender),OR(Sel_Category="All",Data!B534=Sel_Category),OR(Sel_Month="All",C534=Sel_Month),OR(Sel_County="All",Data!L534=Sel_County)),1,0)</f>
        <v>1</v>
      </c>
    </row>
    <row r="535" spans="1:9" x14ac:dyDescent="0.25">
      <c r="A535" s="52" t="str">
        <f>Data!A535</f>
        <v>TX500534</v>
      </c>
      <c r="B535" s="52">
        <f>MONTH(Data!F535)</f>
        <v>1</v>
      </c>
      <c r="C535" s="52" t="str">
        <f>TEXT(Data!F535,"mmm")</f>
        <v>Jan</v>
      </c>
      <c r="D535" s="52" t="str">
        <f>Data!O535</f>
        <v>Female</v>
      </c>
      <c r="E535" s="52">
        <f>Data!G535-Data!F535</f>
        <v>1</v>
      </c>
      <c r="F535" s="52">
        <f>IF(Data!J535&lt;=5,Data!J535,IF(Data!J535&lt;=10,"6 TO 10","More than 10"))</f>
        <v>5</v>
      </c>
      <c r="G535" s="52">
        <f t="shared" si="8"/>
        <v>1</v>
      </c>
      <c r="H535" s="52">
        <f>ROUND(Data!C535*Data!D535-Data!E535,2)</f>
        <v>0</v>
      </c>
      <c r="I535" s="52">
        <f>IF(AND(OR(Sel_Mode="All",Data!I535=Sel_Mode),OR(Sel_Gender="All",D535=Sel_Gender),OR(Sel_Category="All",Data!B535=Sel_Category),OR(Sel_Month="All",C535=Sel_Month),OR(Sel_County="All",Data!L535=Sel_County)),1,0)</f>
        <v>1</v>
      </c>
    </row>
    <row r="536" spans="1:9" x14ac:dyDescent="0.25">
      <c r="A536" s="52" t="str">
        <f>Data!A536</f>
        <v>TX500535</v>
      </c>
      <c r="B536" s="52">
        <f>MONTH(Data!F536)</f>
        <v>1</v>
      </c>
      <c r="C536" s="52" t="str">
        <f>TEXT(Data!F536,"mmm")</f>
        <v>Jan</v>
      </c>
      <c r="D536" s="52" t="str">
        <f>Data!O536</f>
        <v>Female</v>
      </c>
      <c r="E536" s="52">
        <f>Data!G536-Data!F536</f>
        <v>4</v>
      </c>
      <c r="F536" s="52">
        <f>IF(Data!J536&lt;=5,Data!J536,IF(Data!J536&lt;=10,"6 TO 10","More than 10"))</f>
        <v>4</v>
      </c>
      <c r="G536" s="52">
        <f t="shared" si="8"/>
        <v>4</v>
      </c>
      <c r="H536" s="52">
        <f>ROUND(Data!C536*Data!D536-Data!E536,2)</f>
        <v>0</v>
      </c>
      <c r="I536" s="52">
        <f>IF(AND(OR(Sel_Mode="All",Data!I536=Sel_Mode),OR(Sel_Gender="All",D536=Sel_Gender),OR(Sel_Category="All",Data!B536=Sel_Category),OR(Sel_Month="All",C536=Sel_Month),OR(Sel_County="All",Data!L536=Sel_County)),1,0)</f>
        <v>1</v>
      </c>
    </row>
    <row r="537" spans="1:9" x14ac:dyDescent="0.25">
      <c r="A537" s="52" t="str">
        <f>Data!A537</f>
        <v>TX500536</v>
      </c>
      <c r="B537" s="52">
        <f>MONTH(Data!F537)</f>
        <v>1</v>
      </c>
      <c r="C537" s="52" t="str">
        <f>TEXT(Data!F537,"mmm")</f>
        <v>Jan</v>
      </c>
      <c r="D537" s="52" t="str">
        <f>Data!O537</f>
        <v>Female</v>
      </c>
      <c r="E537" s="52">
        <f>Data!G537-Data!F537</f>
        <v>3</v>
      </c>
      <c r="F537" s="52">
        <f>IF(Data!J537&lt;=5,Data!J537,IF(Data!J537&lt;=10,"6 TO 10","More than 10"))</f>
        <v>4</v>
      </c>
      <c r="G537" s="52">
        <f t="shared" si="8"/>
        <v>3</v>
      </c>
      <c r="H537" s="52">
        <f>ROUND(Data!C537*Data!D537-Data!E537,2)</f>
        <v>0</v>
      </c>
      <c r="I537" s="52">
        <f>IF(AND(OR(Sel_Mode="All",Data!I537=Sel_Mode),OR(Sel_Gender="All",D537=Sel_Gender),OR(Sel_Category="All",Data!B537=Sel_Category),OR(Sel_Month="All",C537=Sel_Month),OR(Sel_County="All",Data!L537=Sel_County)),1,0)</f>
        <v>1</v>
      </c>
    </row>
    <row r="538" spans="1:9" x14ac:dyDescent="0.25">
      <c r="A538" s="52" t="str">
        <f>Data!A538</f>
        <v>TX500537</v>
      </c>
      <c r="B538" s="52">
        <f>MONTH(Data!F538)</f>
        <v>1</v>
      </c>
      <c r="C538" s="52" t="str">
        <f>TEXT(Data!F538,"mmm")</f>
        <v>Jan</v>
      </c>
      <c r="D538" s="52" t="str">
        <f>Data!O538</f>
        <v>Male</v>
      </c>
      <c r="E538" s="52">
        <f>Data!G538-Data!F538</f>
        <v>1</v>
      </c>
      <c r="F538" s="52">
        <f>IF(Data!J538&lt;=5,Data!J538,IF(Data!J538&lt;=10,"6 TO 10","More than 10"))</f>
        <v>3</v>
      </c>
      <c r="G538" s="52">
        <f t="shared" si="8"/>
        <v>1</v>
      </c>
      <c r="H538" s="52">
        <f>ROUND(Data!C538*Data!D538-Data!E538,2)</f>
        <v>0</v>
      </c>
      <c r="I538" s="52">
        <f>IF(AND(OR(Sel_Mode="All",Data!I538=Sel_Mode),OR(Sel_Gender="All",D538=Sel_Gender),OR(Sel_Category="All",Data!B538=Sel_Category),OR(Sel_Month="All",C538=Sel_Month),OR(Sel_County="All",Data!L538=Sel_County)),1,0)</f>
        <v>1</v>
      </c>
    </row>
    <row r="539" spans="1:9" x14ac:dyDescent="0.25">
      <c r="A539" s="52" t="str">
        <f>Data!A539</f>
        <v>TX500538</v>
      </c>
      <c r="B539" s="52">
        <f>MONTH(Data!F539)</f>
        <v>1</v>
      </c>
      <c r="C539" s="52" t="str">
        <f>TEXT(Data!F539,"mmm")</f>
        <v>Jan</v>
      </c>
      <c r="D539" s="52" t="str">
        <f>Data!O539</f>
        <v>Female</v>
      </c>
      <c r="E539" s="52">
        <f>Data!G539-Data!F539</f>
        <v>2</v>
      </c>
      <c r="F539" s="52">
        <f>IF(Data!J539&lt;=5,Data!J539,IF(Data!J539&lt;=10,"6 TO 10","More than 10"))</f>
        <v>2</v>
      </c>
      <c r="G539" s="52">
        <f t="shared" si="8"/>
        <v>2</v>
      </c>
      <c r="H539" s="52">
        <f>ROUND(Data!C539*Data!D539-Data!E539,2)</f>
        <v>0</v>
      </c>
      <c r="I539" s="52">
        <f>IF(AND(OR(Sel_Mode="All",Data!I539=Sel_Mode),OR(Sel_Gender="All",D539=Sel_Gender),OR(Sel_Category="All",Data!B539=Sel_Category),OR(Sel_Month="All",C539=Sel_Month),OR(Sel_County="All",Data!L539=Sel_County)),1,0)</f>
        <v>1</v>
      </c>
    </row>
    <row r="540" spans="1:9" x14ac:dyDescent="0.25">
      <c r="A540" s="52" t="str">
        <f>Data!A540</f>
        <v>TX500539</v>
      </c>
      <c r="B540" s="52">
        <f>MONTH(Data!F540)</f>
        <v>1</v>
      </c>
      <c r="C540" s="52" t="str">
        <f>TEXT(Data!F540,"mmm")</f>
        <v>Jan</v>
      </c>
      <c r="D540" s="52" t="str">
        <f>Data!O540</f>
        <v>Male</v>
      </c>
      <c r="E540" s="52">
        <f>Data!G540-Data!F540</f>
        <v>1</v>
      </c>
      <c r="F540" s="52">
        <f>IF(Data!J540&lt;=5,Data!J540,IF(Data!J540&lt;=10,"6 TO 10","More than 10"))</f>
        <v>3</v>
      </c>
      <c r="G540" s="52">
        <f t="shared" si="8"/>
        <v>1</v>
      </c>
      <c r="H540" s="52">
        <f>ROUND(Data!C540*Data!D540-Data!E540,2)</f>
        <v>0</v>
      </c>
      <c r="I540" s="52">
        <f>IF(AND(OR(Sel_Mode="All",Data!I540=Sel_Mode),OR(Sel_Gender="All",D540=Sel_Gender),OR(Sel_Category="All",Data!B540=Sel_Category),OR(Sel_Month="All",C540=Sel_Month),OR(Sel_County="All",Data!L540=Sel_County)),1,0)</f>
        <v>1</v>
      </c>
    </row>
    <row r="541" spans="1:9" x14ac:dyDescent="0.25">
      <c r="A541" s="52" t="str">
        <f>Data!A541</f>
        <v>TX500540</v>
      </c>
      <c r="B541" s="52">
        <f>MONTH(Data!F541)</f>
        <v>1</v>
      </c>
      <c r="C541" s="52" t="str">
        <f>TEXT(Data!F541,"mmm")</f>
        <v>Jan</v>
      </c>
      <c r="D541" s="52" t="str">
        <f>Data!O541</f>
        <v>Female</v>
      </c>
      <c r="E541" s="52">
        <f>Data!G541-Data!F541</f>
        <v>1</v>
      </c>
      <c r="F541" s="52">
        <f>IF(Data!J541&lt;=5,Data!J541,IF(Data!J541&lt;=10,"6 TO 10","More than 10"))</f>
        <v>4</v>
      </c>
      <c r="G541" s="52">
        <f t="shared" si="8"/>
        <v>1</v>
      </c>
      <c r="H541" s="52">
        <f>ROUND(Data!C541*Data!D541-Data!E541,2)</f>
        <v>0</v>
      </c>
      <c r="I541" s="52">
        <f>IF(AND(OR(Sel_Mode="All",Data!I541=Sel_Mode),OR(Sel_Gender="All",D541=Sel_Gender),OR(Sel_Category="All",Data!B541=Sel_Category),OR(Sel_Month="All",C541=Sel_Month),OR(Sel_County="All",Data!L541=Sel_County)),1,0)</f>
        <v>1</v>
      </c>
    </row>
    <row r="542" spans="1:9" x14ac:dyDescent="0.25">
      <c r="A542" s="52" t="str">
        <f>Data!A542</f>
        <v>TX500541</v>
      </c>
      <c r="B542" s="52">
        <f>MONTH(Data!F542)</f>
        <v>1</v>
      </c>
      <c r="C542" s="52" t="str">
        <f>TEXT(Data!F542,"mmm")</f>
        <v>Jan</v>
      </c>
      <c r="D542" s="52" t="str">
        <f>Data!O542</f>
        <v>Male</v>
      </c>
      <c r="E542" s="52">
        <f>Data!G542-Data!F542</f>
        <v>2</v>
      </c>
      <c r="F542" s="52">
        <f>IF(Data!J542&lt;=5,Data!J542,IF(Data!J542&lt;=10,"6 TO 10","More than 10"))</f>
        <v>5</v>
      </c>
      <c r="G542" s="52">
        <f t="shared" si="8"/>
        <v>2</v>
      </c>
      <c r="H542" s="52">
        <f>ROUND(Data!C542*Data!D542-Data!E542,2)</f>
        <v>0</v>
      </c>
      <c r="I542" s="52">
        <f>IF(AND(OR(Sel_Mode="All",Data!I542=Sel_Mode),OR(Sel_Gender="All",D542=Sel_Gender),OR(Sel_Category="All",Data!B542=Sel_Category),OR(Sel_Month="All",C542=Sel_Month),OR(Sel_County="All",Data!L542=Sel_County)),1,0)</f>
        <v>1</v>
      </c>
    </row>
    <row r="543" spans="1:9" x14ac:dyDescent="0.25">
      <c r="A543" s="52" t="str">
        <f>Data!A543</f>
        <v>TX500542</v>
      </c>
      <c r="B543" s="52">
        <f>MONTH(Data!F543)</f>
        <v>1</v>
      </c>
      <c r="C543" s="52" t="str">
        <f>TEXT(Data!F543,"mmm")</f>
        <v>Jan</v>
      </c>
      <c r="D543" s="52" t="str">
        <f>Data!O543</f>
        <v>Male</v>
      </c>
      <c r="E543" s="52">
        <f>Data!G543-Data!F543</f>
        <v>1</v>
      </c>
      <c r="F543" s="52">
        <f>IF(Data!J543&lt;=5,Data!J543,IF(Data!J543&lt;=10,"6 TO 10","More than 10"))</f>
        <v>4</v>
      </c>
      <c r="G543" s="52">
        <f t="shared" si="8"/>
        <v>1</v>
      </c>
      <c r="H543" s="52">
        <f>ROUND(Data!C543*Data!D543-Data!E543,2)</f>
        <v>0</v>
      </c>
      <c r="I543" s="52">
        <f>IF(AND(OR(Sel_Mode="All",Data!I543=Sel_Mode),OR(Sel_Gender="All",D543=Sel_Gender),OR(Sel_Category="All",Data!B543=Sel_Category),OR(Sel_Month="All",C543=Sel_Month),OR(Sel_County="All",Data!L543=Sel_County)),1,0)</f>
        <v>1</v>
      </c>
    </row>
    <row r="544" spans="1:9" x14ac:dyDescent="0.25">
      <c r="A544" s="52" t="str">
        <f>Data!A544</f>
        <v>TX500543</v>
      </c>
      <c r="B544" s="52">
        <f>MONTH(Data!F544)</f>
        <v>1</v>
      </c>
      <c r="C544" s="52" t="str">
        <f>TEXT(Data!F544,"mmm")</f>
        <v>Jan</v>
      </c>
      <c r="D544" s="52" t="str">
        <f>Data!O544</f>
        <v>Female</v>
      </c>
      <c r="E544" s="52">
        <f>Data!G544-Data!F544</f>
        <v>2</v>
      </c>
      <c r="F544" s="52">
        <f>IF(Data!J544&lt;=5,Data!J544,IF(Data!J544&lt;=10,"6 TO 10","More than 10"))</f>
        <v>3</v>
      </c>
      <c r="G544" s="52">
        <f t="shared" si="8"/>
        <v>2</v>
      </c>
      <c r="H544" s="52">
        <f>ROUND(Data!C544*Data!D544-Data!E544,2)</f>
        <v>0</v>
      </c>
      <c r="I544" s="52">
        <f>IF(AND(OR(Sel_Mode="All",Data!I544=Sel_Mode),OR(Sel_Gender="All",D544=Sel_Gender),OR(Sel_Category="All",Data!B544=Sel_Category),OR(Sel_Month="All",C544=Sel_Month),OR(Sel_County="All",Data!L544=Sel_County)),1,0)</f>
        <v>1</v>
      </c>
    </row>
    <row r="545" spans="1:9" x14ac:dyDescent="0.25">
      <c r="A545" s="52" t="str">
        <f>Data!A545</f>
        <v>TX500544</v>
      </c>
      <c r="B545" s="52">
        <f>MONTH(Data!F545)</f>
        <v>1</v>
      </c>
      <c r="C545" s="52" t="str">
        <f>TEXT(Data!F545,"mmm")</f>
        <v>Jan</v>
      </c>
      <c r="D545" s="52" t="str">
        <f>Data!O545</f>
        <v>Female</v>
      </c>
      <c r="E545" s="52">
        <f>Data!G545-Data!F545</f>
        <v>2</v>
      </c>
      <c r="F545" s="52">
        <f>IF(Data!J545&lt;=5,Data!J545,IF(Data!J545&lt;=10,"6 TO 10","More than 10"))</f>
        <v>5</v>
      </c>
      <c r="G545" s="52">
        <f t="shared" si="8"/>
        <v>2</v>
      </c>
      <c r="H545" s="52">
        <f>ROUND(Data!C545*Data!D545-Data!E545,2)</f>
        <v>0</v>
      </c>
      <c r="I545" s="52">
        <f>IF(AND(OR(Sel_Mode="All",Data!I545=Sel_Mode),OR(Sel_Gender="All",D545=Sel_Gender),OR(Sel_Category="All",Data!B545=Sel_Category),OR(Sel_Month="All",C545=Sel_Month),OR(Sel_County="All",Data!L545=Sel_County)),1,0)</f>
        <v>1</v>
      </c>
    </row>
    <row r="546" spans="1:9" x14ac:dyDescent="0.25">
      <c r="A546" s="52" t="str">
        <f>Data!A546</f>
        <v>TX500545</v>
      </c>
      <c r="B546" s="52">
        <f>MONTH(Data!F546)</f>
        <v>1</v>
      </c>
      <c r="C546" s="52" t="str">
        <f>TEXT(Data!F546,"mmm")</f>
        <v>Jan</v>
      </c>
      <c r="D546" s="52" t="str">
        <f>Data!O546</f>
        <v>Female</v>
      </c>
      <c r="E546" s="52">
        <f>Data!G546-Data!F546</f>
        <v>2</v>
      </c>
      <c r="F546" s="52">
        <f>IF(Data!J546&lt;=5,Data!J546,IF(Data!J546&lt;=10,"6 TO 10","More than 10"))</f>
        <v>5</v>
      </c>
      <c r="G546" s="52">
        <f t="shared" si="8"/>
        <v>2</v>
      </c>
      <c r="H546" s="52">
        <f>ROUND(Data!C546*Data!D546-Data!E546,2)</f>
        <v>0</v>
      </c>
      <c r="I546" s="52">
        <f>IF(AND(OR(Sel_Mode="All",Data!I546=Sel_Mode),OR(Sel_Gender="All",D546=Sel_Gender),OR(Sel_Category="All",Data!B546=Sel_Category),OR(Sel_Month="All",C546=Sel_Month),OR(Sel_County="All",Data!L546=Sel_County)),1,0)</f>
        <v>1</v>
      </c>
    </row>
    <row r="547" spans="1:9" x14ac:dyDescent="0.25">
      <c r="A547" s="52" t="str">
        <f>Data!A547</f>
        <v>TX500546</v>
      </c>
      <c r="B547" s="52">
        <f>MONTH(Data!F547)</f>
        <v>1</v>
      </c>
      <c r="C547" s="52" t="str">
        <f>TEXT(Data!F547,"mmm")</f>
        <v>Jan</v>
      </c>
      <c r="D547" s="52" t="str">
        <f>Data!O547</f>
        <v>Female</v>
      </c>
      <c r="E547" s="52">
        <f>Data!G547-Data!F547</f>
        <v>3</v>
      </c>
      <c r="F547" s="52">
        <f>IF(Data!J547&lt;=5,Data!J547,IF(Data!J547&lt;=10,"6 TO 10","More than 10"))</f>
        <v>5</v>
      </c>
      <c r="G547" s="52">
        <f t="shared" si="8"/>
        <v>3</v>
      </c>
      <c r="H547" s="52">
        <f>ROUND(Data!C547*Data!D547-Data!E547,2)</f>
        <v>0</v>
      </c>
      <c r="I547" s="52">
        <f>IF(AND(OR(Sel_Mode="All",Data!I547=Sel_Mode),OR(Sel_Gender="All",D547=Sel_Gender),OR(Sel_Category="All",Data!B547=Sel_Category),OR(Sel_Month="All",C547=Sel_Month),OR(Sel_County="All",Data!L547=Sel_County)),1,0)</f>
        <v>1</v>
      </c>
    </row>
    <row r="548" spans="1:9" x14ac:dyDescent="0.25">
      <c r="A548" s="52" t="str">
        <f>Data!A548</f>
        <v>TX500547</v>
      </c>
      <c r="B548" s="52">
        <f>MONTH(Data!F548)</f>
        <v>1</v>
      </c>
      <c r="C548" s="52" t="str">
        <f>TEXT(Data!F548,"mmm")</f>
        <v>Jan</v>
      </c>
      <c r="D548" s="52" t="str">
        <f>Data!O548</f>
        <v>Unknown</v>
      </c>
      <c r="E548" s="52">
        <f>Data!G548-Data!F548</f>
        <v>1</v>
      </c>
      <c r="F548" s="52">
        <f>IF(Data!J548&lt;=5,Data!J548,IF(Data!J548&lt;=10,"6 TO 10","More than 10"))</f>
        <v>4</v>
      </c>
      <c r="G548" s="52">
        <f t="shared" si="8"/>
        <v>1</v>
      </c>
      <c r="H548" s="52">
        <f>ROUND(Data!C548*Data!D548-Data!E548,2)</f>
        <v>0</v>
      </c>
      <c r="I548" s="52">
        <f>IF(AND(OR(Sel_Mode="All",Data!I548=Sel_Mode),OR(Sel_Gender="All",D548=Sel_Gender),OR(Sel_Category="All",Data!B548=Sel_Category),OR(Sel_Month="All",C548=Sel_Month),OR(Sel_County="All",Data!L548=Sel_County)),1,0)</f>
        <v>1</v>
      </c>
    </row>
    <row r="549" spans="1:9" x14ac:dyDescent="0.25">
      <c r="A549" s="52" t="str">
        <f>Data!A549</f>
        <v>TX500548</v>
      </c>
      <c r="B549" s="52">
        <f>MONTH(Data!F549)</f>
        <v>1</v>
      </c>
      <c r="C549" s="52" t="str">
        <f>TEXT(Data!F549,"mmm")</f>
        <v>Jan</v>
      </c>
      <c r="D549" s="52" t="str">
        <f>Data!O549</f>
        <v>Male</v>
      </c>
      <c r="E549" s="52">
        <f>Data!G549-Data!F549</f>
        <v>3</v>
      </c>
      <c r="F549" s="52">
        <f>IF(Data!J549&lt;=5,Data!J549,IF(Data!J549&lt;=10,"6 TO 10","More than 10"))</f>
        <v>5</v>
      </c>
      <c r="G549" s="52">
        <f t="shared" si="8"/>
        <v>3</v>
      </c>
      <c r="H549" s="52">
        <f>ROUND(Data!C549*Data!D549-Data!E549,2)</f>
        <v>0</v>
      </c>
      <c r="I549" s="52">
        <f>IF(AND(OR(Sel_Mode="All",Data!I549=Sel_Mode),OR(Sel_Gender="All",D549=Sel_Gender),OR(Sel_Category="All",Data!B549=Sel_Category),OR(Sel_Month="All",C549=Sel_Month),OR(Sel_County="All",Data!L549=Sel_County)),1,0)</f>
        <v>1</v>
      </c>
    </row>
    <row r="550" spans="1:9" x14ac:dyDescent="0.25">
      <c r="A550" s="52" t="str">
        <f>Data!A550</f>
        <v>TX500549</v>
      </c>
      <c r="B550" s="52">
        <f>MONTH(Data!F550)</f>
        <v>1</v>
      </c>
      <c r="C550" s="52" t="str">
        <f>TEXT(Data!F550,"mmm")</f>
        <v>Jan</v>
      </c>
      <c r="D550" s="52" t="str">
        <f>Data!O550</f>
        <v>Female</v>
      </c>
      <c r="E550" s="52">
        <f>Data!G550-Data!F550</f>
        <v>0</v>
      </c>
      <c r="F550" s="52">
        <f>IF(Data!J550&lt;=5,Data!J550,IF(Data!J550&lt;=10,"6 TO 10","More than 10"))</f>
        <v>4</v>
      </c>
      <c r="G550" s="52">
        <f t="shared" si="8"/>
        <v>0</v>
      </c>
      <c r="H550" s="52">
        <f>ROUND(Data!C550*Data!D550-Data!E550,2)</f>
        <v>0</v>
      </c>
      <c r="I550" s="52">
        <f>IF(AND(OR(Sel_Mode="All",Data!I550=Sel_Mode),OR(Sel_Gender="All",D550=Sel_Gender),OR(Sel_Category="All",Data!B550=Sel_Category),OR(Sel_Month="All",C550=Sel_Month),OR(Sel_County="All",Data!L550=Sel_County)),1,0)</f>
        <v>1</v>
      </c>
    </row>
    <row r="551" spans="1:9" x14ac:dyDescent="0.25">
      <c r="A551" s="52" t="str">
        <f>Data!A551</f>
        <v>TX500550</v>
      </c>
      <c r="B551" s="52">
        <f>MONTH(Data!F551)</f>
        <v>1</v>
      </c>
      <c r="C551" s="52" t="str">
        <f>TEXT(Data!F551,"mmm")</f>
        <v>Jan</v>
      </c>
      <c r="D551" s="52" t="str">
        <f>Data!O551</f>
        <v>Other</v>
      </c>
      <c r="E551" s="52">
        <f>Data!G551-Data!F551</f>
        <v>1</v>
      </c>
      <c r="F551" s="52">
        <f>IF(Data!J551&lt;=5,Data!J551,IF(Data!J551&lt;=10,"6 TO 10","More than 10"))</f>
        <v>3</v>
      </c>
      <c r="G551" s="52">
        <f t="shared" si="8"/>
        <v>1</v>
      </c>
      <c r="H551" s="52">
        <f>ROUND(Data!C551*Data!D551-Data!E551,2)</f>
        <v>0</v>
      </c>
      <c r="I551" s="52">
        <f>IF(AND(OR(Sel_Mode="All",Data!I551=Sel_Mode),OR(Sel_Gender="All",D551=Sel_Gender),OR(Sel_Category="All",Data!B551=Sel_Category),OR(Sel_Month="All",C551=Sel_Month),OR(Sel_County="All",Data!L551=Sel_County)),1,0)</f>
        <v>1</v>
      </c>
    </row>
    <row r="552" spans="1:9" x14ac:dyDescent="0.25">
      <c r="A552" s="52" t="str">
        <f>Data!A552</f>
        <v>TX500551</v>
      </c>
      <c r="B552" s="52">
        <f>MONTH(Data!F552)</f>
        <v>1</v>
      </c>
      <c r="C552" s="52" t="str">
        <f>TEXT(Data!F552,"mmm")</f>
        <v>Jan</v>
      </c>
      <c r="D552" s="52" t="str">
        <f>Data!O552</f>
        <v>Male</v>
      </c>
      <c r="E552" s="52">
        <f>Data!G552-Data!F552</f>
        <v>1</v>
      </c>
      <c r="F552" s="52">
        <f>IF(Data!J552&lt;=5,Data!J552,IF(Data!J552&lt;=10,"6 TO 10","More than 10"))</f>
        <v>3</v>
      </c>
      <c r="G552" s="52">
        <f t="shared" si="8"/>
        <v>1</v>
      </c>
      <c r="H552" s="52">
        <f>ROUND(Data!C552*Data!D552-Data!E552,2)</f>
        <v>0</v>
      </c>
      <c r="I552" s="52">
        <f>IF(AND(OR(Sel_Mode="All",Data!I552=Sel_Mode),OR(Sel_Gender="All",D552=Sel_Gender),OR(Sel_Category="All",Data!B552=Sel_Category),OR(Sel_Month="All",C552=Sel_Month),OR(Sel_County="All",Data!L552=Sel_County)),1,0)</f>
        <v>1</v>
      </c>
    </row>
    <row r="553" spans="1:9" x14ac:dyDescent="0.25">
      <c r="A553" s="52" t="str">
        <f>Data!A553</f>
        <v>TX500552</v>
      </c>
      <c r="B553" s="52">
        <f>MONTH(Data!F553)</f>
        <v>1</v>
      </c>
      <c r="C553" s="52" t="str">
        <f>TEXT(Data!F553,"mmm")</f>
        <v>Jan</v>
      </c>
      <c r="D553" s="52" t="str">
        <f>Data!O553</f>
        <v>Female</v>
      </c>
      <c r="E553" s="52">
        <f>Data!G553-Data!F553</f>
        <v>1</v>
      </c>
      <c r="F553" s="52">
        <f>IF(Data!J553&lt;=5,Data!J553,IF(Data!J553&lt;=10,"6 TO 10","More than 10"))</f>
        <v>4</v>
      </c>
      <c r="G553" s="52">
        <f t="shared" si="8"/>
        <v>1</v>
      </c>
      <c r="H553" s="52">
        <f>ROUND(Data!C553*Data!D553-Data!E553,2)</f>
        <v>0</v>
      </c>
      <c r="I553" s="52">
        <f>IF(AND(OR(Sel_Mode="All",Data!I553=Sel_Mode),OR(Sel_Gender="All",D553=Sel_Gender),OR(Sel_Category="All",Data!B553=Sel_Category),OR(Sel_Month="All",C553=Sel_Month),OR(Sel_County="All",Data!L553=Sel_County)),1,0)</f>
        <v>1</v>
      </c>
    </row>
    <row r="554" spans="1:9" x14ac:dyDescent="0.25">
      <c r="A554" s="52" t="str">
        <f>Data!A554</f>
        <v>TX500553</v>
      </c>
      <c r="B554" s="52">
        <f>MONTH(Data!F554)</f>
        <v>1</v>
      </c>
      <c r="C554" s="52" t="str">
        <f>TEXT(Data!F554,"mmm")</f>
        <v>Jan</v>
      </c>
      <c r="D554" s="52" t="str">
        <f>Data!O554</f>
        <v>Female</v>
      </c>
      <c r="E554" s="52">
        <f>Data!G554-Data!F554</f>
        <v>1</v>
      </c>
      <c r="F554" s="52">
        <f>IF(Data!J554&lt;=5,Data!J554,IF(Data!J554&lt;=10,"6 TO 10","More than 10"))</f>
        <v>4</v>
      </c>
      <c r="G554" s="52">
        <f t="shared" si="8"/>
        <v>1</v>
      </c>
      <c r="H554" s="52">
        <f>ROUND(Data!C554*Data!D554-Data!E554,2)</f>
        <v>0</v>
      </c>
      <c r="I554" s="52">
        <f>IF(AND(OR(Sel_Mode="All",Data!I554=Sel_Mode),OR(Sel_Gender="All",D554=Sel_Gender),OR(Sel_Category="All",Data!B554=Sel_Category),OR(Sel_Month="All",C554=Sel_Month),OR(Sel_County="All",Data!L554=Sel_County)),1,0)</f>
        <v>1</v>
      </c>
    </row>
    <row r="555" spans="1:9" x14ac:dyDescent="0.25">
      <c r="A555" s="52" t="str">
        <f>Data!A555</f>
        <v>TX500554</v>
      </c>
      <c r="B555" s="52">
        <f>MONTH(Data!F555)</f>
        <v>1</v>
      </c>
      <c r="C555" s="52" t="str">
        <f>TEXT(Data!F555,"mmm")</f>
        <v>Jan</v>
      </c>
      <c r="D555" s="52" t="str">
        <f>Data!O555</f>
        <v>Female</v>
      </c>
      <c r="E555" s="52">
        <f>Data!G555-Data!F555</f>
        <v>0</v>
      </c>
      <c r="F555" s="52">
        <f>IF(Data!J555&lt;=5,Data!J555,IF(Data!J555&lt;=10,"6 TO 10","More than 10"))</f>
        <v>3</v>
      </c>
      <c r="G555" s="52">
        <f t="shared" si="8"/>
        <v>0</v>
      </c>
      <c r="H555" s="52">
        <f>ROUND(Data!C555*Data!D555-Data!E555,2)</f>
        <v>0</v>
      </c>
      <c r="I555" s="52">
        <f>IF(AND(OR(Sel_Mode="All",Data!I555=Sel_Mode),OR(Sel_Gender="All",D555=Sel_Gender),OR(Sel_Category="All",Data!B555=Sel_Category),OR(Sel_Month="All",C555=Sel_Month),OR(Sel_County="All",Data!L555=Sel_County)),1,0)</f>
        <v>1</v>
      </c>
    </row>
    <row r="556" spans="1:9" x14ac:dyDescent="0.25">
      <c r="A556" s="52" t="str">
        <f>Data!A556</f>
        <v>TX500555</v>
      </c>
      <c r="B556" s="52">
        <f>MONTH(Data!F556)</f>
        <v>1</v>
      </c>
      <c r="C556" s="52" t="str">
        <f>TEXT(Data!F556,"mmm")</f>
        <v>Jan</v>
      </c>
      <c r="D556" s="52" t="str">
        <f>Data!O556</f>
        <v>Female</v>
      </c>
      <c r="E556" s="52">
        <f>Data!G556-Data!F556</f>
        <v>1</v>
      </c>
      <c r="F556" s="52">
        <f>IF(Data!J556&lt;=5,Data!J556,IF(Data!J556&lt;=10,"6 TO 10","More than 10"))</f>
        <v>5</v>
      </c>
      <c r="G556" s="52">
        <f t="shared" si="8"/>
        <v>1</v>
      </c>
      <c r="H556" s="52">
        <f>ROUND(Data!C556*Data!D556-Data!E556,2)</f>
        <v>0</v>
      </c>
      <c r="I556" s="52">
        <f>IF(AND(OR(Sel_Mode="All",Data!I556=Sel_Mode),OR(Sel_Gender="All",D556=Sel_Gender),OR(Sel_Category="All",Data!B556=Sel_Category),OR(Sel_Month="All",C556=Sel_Month),OR(Sel_County="All",Data!L556=Sel_County)),1,0)</f>
        <v>1</v>
      </c>
    </row>
    <row r="557" spans="1:9" x14ac:dyDescent="0.25">
      <c r="A557" s="52" t="str">
        <f>Data!A557</f>
        <v>TX500556</v>
      </c>
      <c r="B557" s="52">
        <f>MONTH(Data!F557)</f>
        <v>1</v>
      </c>
      <c r="C557" s="52" t="str">
        <f>TEXT(Data!F557,"mmm")</f>
        <v>Jan</v>
      </c>
      <c r="D557" s="52" t="str">
        <f>Data!O557</f>
        <v>Female</v>
      </c>
      <c r="E557" s="52">
        <f>Data!G557-Data!F557</f>
        <v>1</v>
      </c>
      <c r="F557" s="52">
        <f>IF(Data!J557&lt;=5,Data!J557,IF(Data!J557&lt;=10,"6 TO 10","More than 10"))</f>
        <v>4</v>
      </c>
      <c r="G557" s="52">
        <f t="shared" si="8"/>
        <v>1</v>
      </c>
      <c r="H557" s="52">
        <f>ROUND(Data!C557*Data!D557-Data!E557,2)</f>
        <v>0</v>
      </c>
      <c r="I557" s="52">
        <f>IF(AND(OR(Sel_Mode="All",Data!I557=Sel_Mode),OR(Sel_Gender="All",D557=Sel_Gender),OR(Sel_Category="All",Data!B557=Sel_Category),OR(Sel_Month="All",C557=Sel_Month),OR(Sel_County="All",Data!L557=Sel_County)),1,0)</f>
        <v>1</v>
      </c>
    </row>
    <row r="558" spans="1:9" x14ac:dyDescent="0.25">
      <c r="A558" s="52" t="str">
        <f>Data!A558</f>
        <v>TX500557</v>
      </c>
      <c r="B558" s="52">
        <f>MONTH(Data!F558)</f>
        <v>1</v>
      </c>
      <c r="C558" s="52" t="str">
        <f>TEXT(Data!F558,"mmm")</f>
        <v>Jan</v>
      </c>
      <c r="D558" s="52" t="str">
        <f>Data!O558</f>
        <v>Female</v>
      </c>
      <c r="E558" s="52">
        <f>Data!G558-Data!F558</f>
        <v>3</v>
      </c>
      <c r="F558" s="52">
        <f>IF(Data!J558&lt;=5,Data!J558,IF(Data!J558&lt;=10,"6 TO 10","More than 10"))</f>
        <v>4</v>
      </c>
      <c r="G558" s="52">
        <f t="shared" si="8"/>
        <v>3</v>
      </c>
      <c r="H558" s="52">
        <f>ROUND(Data!C558*Data!D558-Data!E558,2)</f>
        <v>0</v>
      </c>
      <c r="I558" s="52">
        <f>IF(AND(OR(Sel_Mode="All",Data!I558=Sel_Mode),OR(Sel_Gender="All",D558=Sel_Gender),OR(Sel_Category="All",Data!B558=Sel_Category),OR(Sel_Month="All",C558=Sel_Month),OR(Sel_County="All",Data!L558=Sel_County)),1,0)</f>
        <v>1</v>
      </c>
    </row>
    <row r="559" spans="1:9" x14ac:dyDescent="0.25">
      <c r="A559" s="52" t="str">
        <f>Data!A559</f>
        <v>TX500558</v>
      </c>
      <c r="B559" s="52">
        <f>MONTH(Data!F559)</f>
        <v>1</v>
      </c>
      <c r="C559" s="52" t="str">
        <f>TEXT(Data!F559,"mmm")</f>
        <v>Jan</v>
      </c>
      <c r="D559" s="52" t="str">
        <f>Data!O559</f>
        <v>Female</v>
      </c>
      <c r="E559" s="52">
        <f>Data!G559-Data!F559</f>
        <v>2</v>
      </c>
      <c r="F559" s="52">
        <f>IF(Data!J559&lt;=5,Data!J559,IF(Data!J559&lt;=10,"6 TO 10","More than 10"))</f>
        <v>4</v>
      </c>
      <c r="G559" s="52">
        <f t="shared" si="8"/>
        <v>2</v>
      </c>
      <c r="H559" s="52">
        <f>ROUND(Data!C559*Data!D559-Data!E559,2)</f>
        <v>0</v>
      </c>
      <c r="I559" s="52">
        <f>IF(AND(OR(Sel_Mode="All",Data!I559=Sel_Mode),OR(Sel_Gender="All",D559=Sel_Gender),OR(Sel_Category="All",Data!B559=Sel_Category),OR(Sel_Month="All",C559=Sel_Month),OR(Sel_County="All",Data!L559=Sel_County)),1,0)</f>
        <v>1</v>
      </c>
    </row>
    <row r="560" spans="1:9" x14ac:dyDescent="0.25">
      <c r="A560" s="52" t="str">
        <f>Data!A560</f>
        <v>TX500559</v>
      </c>
      <c r="B560" s="52">
        <f>MONTH(Data!F560)</f>
        <v>1</v>
      </c>
      <c r="C560" s="52" t="str">
        <f>TEXT(Data!F560,"mmm")</f>
        <v>Jan</v>
      </c>
      <c r="D560" s="52" t="str">
        <f>Data!O560</f>
        <v>Male</v>
      </c>
      <c r="E560" s="52">
        <f>Data!G560-Data!F560</f>
        <v>1</v>
      </c>
      <c r="F560" s="52">
        <f>IF(Data!J560&lt;=5,Data!J560,IF(Data!J560&lt;=10,"6 TO 10","More than 10"))</f>
        <v>3</v>
      </c>
      <c r="G560" s="52">
        <f t="shared" si="8"/>
        <v>1</v>
      </c>
      <c r="H560" s="52">
        <f>ROUND(Data!C560*Data!D560-Data!E560,2)</f>
        <v>0</v>
      </c>
      <c r="I560" s="52">
        <f>IF(AND(OR(Sel_Mode="All",Data!I560=Sel_Mode),OR(Sel_Gender="All",D560=Sel_Gender),OR(Sel_Category="All",Data!B560=Sel_Category),OR(Sel_Month="All",C560=Sel_Month),OR(Sel_County="All",Data!L560=Sel_County)),1,0)</f>
        <v>1</v>
      </c>
    </row>
    <row r="561" spans="1:9" x14ac:dyDescent="0.25">
      <c r="A561" s="52" t="str">
        <f>Data!A561</f>
        <v>TX500560</v>
      </c>
      <c r="B561" s="52">
        <f>MONTH(Data!F561)</f>
        <v>1</v>
      </c>
      <c r="C561" s="52" t="str">
        <f>TEXT(Data!F561,"mmm")</f>
        <v>Jan</v>
      </c>
      <c r="D561" s="52" t="str">
        <f>Data!O561</f>
        <v>Male</v>
      </c>
      <c r="E561" s="52">
        <f>Data!G561-Data!F561</f>
        <v>5</v>
      </c>
      <c r="F561" s="52">
        <f>IF(Data!J561&lt;=5,Data!J561,IF(Data!J561&lt;=10,"6 TO 10","More than 10"))</f>
        <v>5</v>
      </c>
      <c r="G561" s="52">
        <f t="shared" si="8"/>
        <v>5</v>
      </c>
      <c r="H561" s="52">
        <f>ROUND(Data!C561*Data!D561-Data!E561,2)</f>
        <v>0</v>
      </c>
      <c r="I561" s="52">
        <f>IF(AND(OR(Sel_Mode="All",Data!I561=Sel_Mode),OR(Sel_Gender="All",D561=Sel_Gender),OR(Sel_Category="All",Data!B561=Sel_Category),OR(Sel_Month="All",C561=Sel_Month),OR(Sel_County="All",Data!L561=Sel_County)),1,0)</f>
        <v>1</v>
      </c>
    </row>
    <row r="562" spans="1:9" x14ac:dyDescent="0.25">
      <c r="A562" s="52" t="str">
        <f>Data!A562</f>
        <v>TX500561</v>
      </c>
      <c r="B562" s="52">
        <f>MONTH(Data!F562)</f>
        <v>1</v>
      </c>
      <c r="C562" s="52" t="str">
        <f>TEXT(Data!F562,"mmm")</f>
        <v>Jan</v>
      </c>
      <c r="D562" s="52" t="str">
        <f>Data!O562</f>
        <v>Female</v>
      </c>
      <c r="E562" s="52">
        <f>Data!G562-Data!F562</f>
        <v>1</v>
      </c>
      <c r="F562" s="52">
        <f>IF(Data!J562&lt;=5,Data!J562,IF(Data!J562&lt;=10,"6 TO 10","More than 10"))</f>
        <v>3</v>
      </c>
      <c r="G562" s="52">
        <f t="shared" si="8"/>
        <v>1</v>
      </c>
      <c r="H562" s="52">
        <f>ROUND(Data!C562*Data!D562-Data!E562,2)</f>
        <v>0</v>
      </c>
      <c r="I562" s="52">
        <f>IF(AND(OR(Sel_Mode="All",Data!I562=Sel_Mode),OR(Sel_Gender="All",D562=Sel_Gender),OR(Sel_Category="All",Data!B562=Sel_Category),OR(Sel_Month="All",C562=Sel_Month),OR(Sel_County="All",Data!L562=Sel_County)),1,0)</f>
        <v>1</v>
      </c>
    </row>
    <row r="563" spans="1:9" x14ac:dyDescent="0.25">
      <c r="A563" s="52" t="str">
        <f>Data!A563</f>
        <v>TX500562</v>
      </c>
      <c r="B563" s="52">
        <f>MONTH(Data!F563)</f>
        <v>1</v>
      </c>
      <c r="C563" s="52" t="str">
        <f>TEXT(Data!F563,"mmm")</f>
        <v>Jan</v>
      </c>
      <c r="D563" s="52" t="str">
        <f>Data!O563</f>
        <v>Male</v>
      </c>
      <c r="E563" s="52">
        <f>Data!G563-Data!F563</f>
        <v>2</v>
      </c>
      <c r="F563" s="52">
        <f>IF(Data!J563&lt;=5,Data!J563,IF(Data!J563&lt;=10,"6 TO 10","More than 10"))</f>
        <v>4</v>
      </c>
      <c r="G563" s="52">
        <f t="shared" si="8"/>
        <v>2</v>
      </c>
      <c r="H563" s="52">
        <f>ROUND(Data!C563*Data!D563-Data!E563,2)</f>
        <v>0</v>
      </c>
      <c r="I563" s="52">
        <f>IF(AND(OR(Sel_Mode="All",Data!I563=Sel_Mode),OR(Sel_Gender="All",D563=Sel_Gender),OR(Sel_Category="All",Data!B563=Sel_Category),OR(Sel_Month="All",C563=Sel_Month),OR(Sel_County="All",Data!L563=Sel_County)),1,0)</f>
        <v>1</v>
      </c>
    </row>
    <row r="564" spans="1:9" x14ac:dyDescent="0.25">
      <c r="A564" s="52" t="str">
        <f>Data!A564</f>
        <v>TX500563</v>
      </c>
      <c r="B564" s="52">
        <f>MONTH(Data!F564)</f>
        <v>1</v>
      </c>
      <c r="C564" s="52" t="str">
        <f>TEXT(Data!F564,"mmm")</f>
        <v>Jan</v>
      </c>
      <c r="D564" s="52" t="str">
        <f>Data!O564</f>
        <v>Male</v>
      </c>
      <c r="E564" s="52">
        <f>Data!G564-Data!F564</f>
        <v>3</v>
      </c>
      <c r="F564" s="52">
        <f>IF(Data!J564&lt;=5,Data!J564,IF(Data!J564&lt;=10,"6 TO 10","More than 10"))</f>
        <v>5</v>
      </c>
      <c r="G564" s="52">
        <f t="shared" si="8"/>
        <v>3</v>
      </c>
      <c r="H564" s="52">
        <f>ROUND(Data!C564*Data!D564-Data!E564,2)</f>
        <v>0</v>
      </c>
      <c r="I564" s="52">
        <f>IF(AND(OR(Sel_Mode="All",Data!I564=Sel_Mode),OR(Sel_Gender="All",D564=Sel_Gender),OR(Sel_Category="All",Data!B564=Sel_Category),OR(Sel_Month="All",C564=Sel_Month),OR(Sel_County="All",Data!L564=Sel_County)),1,0)</f>
        <v>1</v>
      </c>
    </row>
    <row r="565" spans="1:9" x14ac:dyDescent="0.25">
      <c r="A565" s="52" t="str">
        <f>Data!A565</f>
        <v>TX500564</v>
      </c>
      <c r="B565" s="52">
        <f>MONTH(Data!F565)</f>
        <v>1</v>
      </c>
      <c r="C565" s="52" t="str">
        <f>TEXT(Data!F565,"mmm")</f>
        <v>Jan</v>
      </c>
      <c r="D565" s="52" t="str">
        <f>Data!O565</f>
        <v>Male</v>
      </c>
      <c r="E565" s="52">
        <f>Data!G565-Data!F565</f>
        <v>3</v>
      </c>
      <c r="F565" s="52">
        <f>IF(Data!J565&lt;=5,Data!J565,IF(Data!J565&lt;=10,"6 TO 10","More than 10"))</f>
        <v>3</v>
      </c>
      <c r="G565" s="52">
        <f t="shared" si="8"/>
        <v>3</v>
      </c>
      <c r="H565" s="52">
        <f>ROUND(Data!C565*Data!D565-Data!E565,2)</f>
        <v>0</v>
      </c>
      <c r="I565" s="52">
        <f>IF(AND(OR(Sel_Mode="All",Data!I565=Sel_Mode),OR(Sel_Gender="All",D565=Sel_Gender),OR(Sel_Category="All",Data!B565=Sel_Category),OR(Sel_Month="All",C565=Sel_Month),OR(Sel_County="All",Data!L565=Sel_County)),1,0)</f>
        <v>1</v>
      </c>
    </row>
    <row r="566" spans="1:9" x14ac:dyDescent="0.25">
      <c r="A566" s="52" t="str">
        <f>Data!A566</f>
        <v>TX500565</v>
      </c>
      <c r="B566" s="52">
        <f>MONTH(Data!F566)</f>
        <v>1</v>
      </c>
      <c r="C566" s="52" t="str">
        <f>TEXT(Data!F566,"mmm")</f>
        <v>Jan</v>
      </c>
      <c r="D566" s="52" t="str">
        <f>Data!O566</f>
        <v>Female</v>
      </c>
      <c r="E566" s="52">
        <f>Data!G566-Data!F566</f>
        <v>2</v>
      </c>
      <c r="F566" s="52">
        <f>IF(Data!J566&lt;=5,Data!J566,IF(Data!J566&lt;=10,"6 TO 10","More than 10"))</f>
        <v>4</v>
      </c>
      <c r="G566" s="52">
        <f t="shared" si="8"/>
        <v>2</v>
      </c>
      <c r="H566" s="52">
        <f>ROUND(Data!C566*Data!D566-Data!E566,2)</f>
        <v>0</v>
      </c>
      <c r="I566" s="52">
        <f>IF(AND(OR(Sel_Mode="All",Data!I566=Sel_Mode),OR(Sel_Gender="All",D566=Sel_Gender),OR(Sel_Category="All",Data!B566=Sel_Category),OR(Sel_Month="All",C566=Sel_Month),OR(Sel_County="All",Data!L566=Sel_County)),1,0)</f>
        <v>1</v>
      </c>
    </row>
    <row r="567" spans="1:9" x14ac:dyDescent="0.25">
      <c r="A567" s="52" t="str">
        <f>Data!A567</f>
        <v>TX500566</v>
      </c>
      <c r="B567" s="52">
        <f>MONTH(Data!F567)</f>
        <v>1</v>
      </c>
      <c r="C567" s="52" t="str">
        <f>TEXT(Data!F567,"mmm")</f>
        <v>Jan</v>
      </c>
      <c r="D567" s="52" t="str">
        <f>Data!O567</f>
        <v>Male</v>
      </c>
      <c r="E567" s="52">
        <f>Data!G567-Data!F567</f>
        <v>7</v>
      </c>
      <c r="F567" s="52">
        <f>IF(Data!J567&lt;=5,Data!J567,IF(Data!J567&lt;=10,"6 TO 10","More than 10"))</f>
        <v>4</v>
      </c>
      <c r="G567" s="52">
        <f t="shared" si="8"/>
        <v>7</v>
      </c>
      <c r="H567" s="52">
        <f>ROUND(Data!C567*Data!D567-Data!E567,2)</f>
        <v>0</v>
      </c>
      <c r="I567" s="52">
        <f>IF(AND(OR(Sel_Mode="All",Data!I567=Sel_Mode),OR(Sel_Gender="All",D567=Sel_Gender),OR(Sel_Category="All",Data!B567=Sel_Category),OR(Sel_Month="All",C567=Sel_Month),OR(Sel_County="All",Data!L567=Sel_County)),1,0)</f>
        <v>1</v>
      </c>
    </row>
    <row r="568" spans="1:9" x14ac:dyDescent="0.25">
      <c r="A568" s="52" t="str">
        <f>Data!A568</f>
        <v>TX500567</v>
      </c>
      <c r="B568" s="52">
        <f>MONTH(Data!F568)</f>
        <v>1</v>
      </c>
      <c r="C568" s="52" t="str">
        <f>TEXT(Data!F568,"mmm")</f>
        <v>Jan</v>
      </c>
      <c r="D568" s="52" t="str">
        <f>Data!O568</f>
        <v>Female</v>
      </c>
      <c r="E568" s="52">
        <f>Data!G568-Data!F568</f>
        <v>1</v>
      </c>
      <c r="F568" s="52">
        <f>IF(Data!J568&lt;=5,Data!J568,IF(Data!J568&lt;=10,"6 TO 10","More than 10"))</f>
        <v>3</v>
      </c>
      <c r="G568" s="52">
        <f t="shared" si="8"/>
        <v>1</v>
      </c>
      <c r="H568" s="52">
        <f>ROUND(Data!C568*Data!D568-Data!E568,2)</f>
        <v>0</v>
      </c>
      <c r="I568" s="52">
        <f>IF(AND(OR(Sel_Mode="All",Data!I568=Sel_Mode),OR(Sel_Gender="All",D568=Sel_Gender),OR(Sel_Category="All",Data!B568=Sel_Category),OR(Sel_Month="All",C568=Sel_Month),OR(Sel_County="All",Data!L568=Sel_County)),1,0)</f>
        <v>1</v>
      </c>
    </row>
    <row r="569" spans="1:9" x14ac:dyDescent="0.25">
      <c r="A569" s="52" t="str">
        <f>Data!A569</f>
        <v>TX500568</v>
      </c>
      <c r="B569" s="52">
        <f>MONTH(Data!F569)</f>
        <v>1</v>
      </c>
      <c r="C569" s="52" t="str">
        <f>TEXT(Data!F569,"mmm")</f>
        <v>Jan</v>
      </c>
      <c r="D569" s="52" t="str">
        <f>Data!O569</f>
        <v>Female</v>
      </c>
      <c r="E569" s="52">
        <f>Data!G569-Data!F569</f>
        <v>13</v>
      </c>
      <c r="F569" s="52">
        <f>IF(Data!J569&lt;=5,Data!J569,IF(Data!J569&lt;=10,"6 TO 10","More than 10"))</f>
        <v>3</v>
      </c>
      <c r="G569" s="52" t="str">
        <f t="shared" si="8"/>
        <v>8+</v>
      </c>
      <c r="H569" s="52">
        <f>ROUND(Data!C569*Data!D569-Data!E569,2)</f>
        <v>0</v>
      </c>
      <c r="I569" s="52">
        <f>IF(AND(OR(Sel_Mode="All",Data!I569=Sel_Mode),OR(Sel_Gender="All",D569=Sel_Gender),OR(Sel_Category="All",Data!B569=Sel_Category),OR(Sel_Month="All",C569=Sel_Month),OR(Sel_County="All",Data!L569=Sel_County)),1,0)</f>
        <v>1</v>
      </c>
    </row>
    <row r="570" spans="1:9" x14ac:dyDescent="0.25">
      <c r="A570" s="52" t="str">
        <f>Data!A570</f>
        <v>TX500569</v>
      </c>
      <c r="B570" s="52">
        <f>MONTH(Data!F570)</f>
        <v>1</v>
      </c>
      <c r="C570" s="52" t="str">
        <f>TEXT(Data!F570,"mmm")</f>
        <v>Jan</v>
      </c>
      <c r="D570" s="52" t="str">
        <f>Data!O570</f>
        <v>Female</v>
      </c>
      <c r="E570" s="52">
        <f>Data!G570-Data!F570</f>
        <v>3</v>
      </c>
      <c r="F570" s="52">
        <f>IF(Data!J570&lt;=5,Data!J570,IF(Data!J570&lt;=10,"6 TO 10","More than 10"))</f>
        <v>3</v>
      </c>
      <c r="G570" s="52">
        <f t="shared" si="8"/>
        <v>3</v>
      </c>
      <c r="H570" s="52">
        <f>ROUND(Data!C570*Data!D570-Data!E570,2)</f>
        <v>0</v>
      </c>
      <c r="I570" s="52">
        <f>IF(AND(OR(Sel_Mode="All",Data!I570=Sel_Mode),OR(Sel_Gender="All",D570=Sel_Gender),OR(Sel_Category="All",Data!B570=Sel_Category),OR(Sel_Month="All",C570=Sel_Month),OR(Sel_County="All",Data!L570=Sel_County)),1,0)</f>
        <v>1</v>
      </c>
    </row>
    <row r="571" spans="1:9" x14ac:dyDescent="0.25">
      <c r="A571" s="52" t="str">
        <f>Data!A571</f>
        <v>TX500570</v>
      </c>
      <c r="B571" s="52">
        <f>MONTH(Data!F571)</f>
        <v>1</v>
      </c>
      <c r="C571" s="52" t="str">
        <f>TEXT(Data!F571,"mmm")</f>
        <v>Jan</v>
      </c>
      <c r="D571" s="52" t="str">
        <f>Data!O571</f>
        <v>Male</v>
      </c>
      <c r="E571" s="52">
        <f>Data!G571-Data!F571</f>
        <v>2</v>
      </c>
      <c r="F571" s="52">
        <f>IF(Data!J571&lt;=5,Data!J571,IF(Data!J571&lt;=10,"6 TO 10","More than 10"))</f>
        <v>4</v>
      </c>
      <c r="G571" s="52">
        <f t="shared" si="8"/>
        <v>2</v>
      </c>
      <c r="H571" s="52">
        <f>ROUND(Data!C571*Data!D571-Data!E571,2)</f>
        <v>0</v>
      </c>
      <c r="I571" s="52">
        <f>IF(AND(OR(Sel_Mode="All",Data!I571=Sel_Mode),OR(Sel_Gender="All",D571=Sel_Gender),OR(Sel_Category="All",Data!B571=Sel_Category),OR(Sel_Month="All",C571=Sel_Month),OR(Sel_County="All",Data!L571=Sel_County)),1,0)</f>
        <v>1</v>
      </c>
    </row>
    <row r="572" spans="1:9" x14ac:dyDescent="0.25">
      <c r="A572" s="52" t="str">
        <f>Data!A572</f>
        <v>TX500571</v>
      </c>
      <c r="B572" s="52">
        <f>MONTH(Data!F572)</f>
        <v>1</v>
      </c>
      <c r="C572" s="52" t="str">
        <f>TEXT(Data!F572,"mmm")</f>
        <v>Jan</v>
      </c>
      <c r="D572" s="52" t="str">
        <f>Data!O572</f>
        <v>Male</v>
      </c>
      <c r="E572" s="52">
        <f>Data!G572-Data!F572</f>
        <v>2</v>
      </c>
      <c r="F572" s="52">
        <f>IF(Data!J572&lt;=5,Data!J572,IF(Data!J572&lt;=10,"6 TO 10","More than 10"))</f>
        <v>4</v>
      </c>
      <c r="G572" s="52">
        <f t="shared" si="8"/>
        <v>2</v>
      </c>
      <c r="H572" s="52">
        <f>ROUND(Data!C572*Data!D572-Data!E572,2)</f>
        <v>0</v>
      </c>
      <c r="I572" s="52">
        <f>IF(AND(OR(Sel_Mode="All",Data!I572=Sel_Mode),OR(Sel_Gender="All",D572=Sel_Gender),OR(Sel_Category="All",Data!B572=Sel_Category),OR(Sel_Month="All",C572=Sel_Month),OR(Sel_County="All",Data!L572=Sel_County)),1,0)</f>
        <v>1</v>
      </c>
    </row>
    <row r="573" spans="1:9" x14ac:dyDescent="0.25">
      <c r="A573" s="52" t="str">
        <f>Data!A573</f>
        <v>TX500572</v>
      </c>
      <c r="B573" s="52">
        <f>MONTH(Data!F573)</f>
        <v>1</v>
      </c>
      <c r="C573" s="52" t="str">
        <f>TEXT(Data!F573,"mmm")</f>
        <v>Jan</v>
      </c>
      <c r="D573" s="52" t="str">
        <f>Data!O573</f>
        <v>Female</v>
      </c>
      <c r="E573" s="52">
        <f>Data!G573-Data!F573</f>
        <v>1</v>
      </c>
      <c r="F573" s="52">
        <f>IF(Data!J573&lt;=5,Data!J573,IF(Data!J573&lt;=10,"6 TO 10","More than 10"))</f>
        <v>3</v>
      </c>
      <c r="G573" s="52">
        <f t="shared" si="8"/>
        <v>1</v>
      </c>
      <c r="H573" s="52">
        <f>ROUND(Data!C573*Data!D573-Data!E573,2)</f>
        <v>0</v>
      </c>
      <c r="I573" s="52">
        <f>IF(AND(OR(Sel_Mode="All",Data!I573=Sel_Mode),OR(Sel_Gender="All",D573=Sel_Gender),OR(Sel_Category="All",Data!B573=Sel_Category),OR(Sel_Month="All",C573=Sel_Month),OR(Sel_County="All",Data!L573=Sel_County)),1,0)</f>
        <v>1</v>
      </c>
    </row>
    <row r="574" spans="1:9" x14ac:dyDescent="0.25">
      <c r="A574" s="52" t="str">
        <f>Data!A574</f>
        <v>TX500573</v>
      </c>
      <c r="B574" s="52">
        <f>MONTH(Data!F574)</f>
        <v>1</v>
      </c>
      <c r="C574" s="52" t="str">
        <f>TEXT(Data!F574,"mmm")</f>
        <v>Jan</v>
      </c>
      <c r="D574" s="52" t="str">
        <f>Data!O574</f>
        <v>Male</v>
      </c>
      <c r="E574" s="52">
        <f>Data!G574-Data!F574</f>
        <v>1</v>
      </c>
      <c r="F574" s="52">
        <f>IF(Data!J574&lt;=5,Data!J574,IF(Data!J574&lt;=10,"6 TO 10","More than 10"))</f>
        <v>4</v>
      </c>
      <c r="G574" s="52">
        <f t="shared" si="8"/>
        <v>1</v>
      </c>
      <c r="H574" s="52">
        <f>ROUND(Data!C574*Data!D574-Data!E574,2)</f>
        <v>0</v>
      </c>
      <c r="I574" s="52">
        <f>IF(AND(OR(Sel_Mode="All",Data!I574=Sel_Mode),OR(Sel_Gender="All",D574=Sel_Gender),OR(Sel_Category="All",Data!B574=Sel_Category),OR(Sel_Month="All",C574=Sel_Month),OR(Sel_County="All",Data!L574=Sel_County)),1,0)</f>
        <v>1</v>
      </c>
    </row>
    <row r="575" spans="1:9" x14ac:dyDescent="0.25">
      <c r="A575" s="52" t="str">
        <f>Data!A575</f>
        <v>TX500574</v>
      </c>
      <c r="B575" s="52">
        <f>MONTH(Data!F575)</f>
        <v>1</v>
      </c>
      <c r="C575" s="52" t="str">
        <f>TEXT(Data!F575,"mmm")</f>
        <v>Jan</v>
      </c>
      <c r="D575" s="52" t="str">
        <f>Data!O575</f>
        <v>Female</v>
      </c>
      <c r="E575" s="52">
        <f>Data!G575-Data!F575</f>
        <v>5</v>
      </c>
      <c r="F575" s="52">
        <f>IF(Data!J575&lt;=5,Data!J575,IF(Data!J575&lt;=10,"6 TO 10","More than 10"))</f>
        <v>3</v>
      </c>
      <c r="G575" s="52">
        <f t="shared" si="8"/>
        <v>5</v>
      </c>
      <c r="H575" s="52">
        <f>ROUND(Data!C575*Data!D575-Data!E575,2)</f>
        <v>0</v>
      </c>
      <c r="I575" s="52">
        <f>IF(AND(OR(Sel_Mode="All",Data!I575=Sel_Mode),OR(Sel_Gender="All",D575=Sel_Gender),OR(Sel_Category="All",Data!B575=Sel_Category),OR(Sel_Month="All",C575=Sel_Month),OR(Sel_County="All",Data!L575=Sel_County)),1,0)</f>
        <v>1</v>
      </c>
    </row>
    <row r="576" spans="1:9" x14ac:dyDescent="0.25">
      <c r="A576" s="52" t="str">
        <f>Data!A576</f>
        <v>TX500575</v>
      </c>
      <c r="B576" s="52">
        <f>MONTH(Data!F576)</f>
        <v>1</v>
      </c>
      <c r="C576" s="52" t="str">
        <f>TEXT(Data!F576,"mmm")</f>
        <v>Jan</v>
      </c>
      <c r="D576" s="52" t="str">
        <f>Data!O576</f>
        <v>Female</v>
      </c>
      <c r="E576" s="52">
        <f>Data!G576-Data!F576</f>
        <v>0</v>
      </c>
      <c r="F576" s="52">
        <f>IF(Data!J576&lt;=5,Data!J576,IF(Data!J576&lt;=10,"6 TO 10","More than 10"))</f>
        <v>3</v>
      </c>
      <c r="G576" s="52">
        <f t="shared" si="8"/>
        <v>0</v>
      </c>
      <c r="H576" s="52">
        <f>ROUND(Data!C576*Data!D576-Data!E576,2)</f>
        <v>0</v>
      </c>
      <c r="I576" s="52">
        <f>IF(AND(OR(Sel_Mode="All",Data!I576=Sel_Mode),OR(Sel_Gender="All",D576=Sel_Gender),OR(Sel_Category="All",Data!B576=Sel_Category),OR(Sel_Month="All",C576=Sel_Month),OR(Sel_County="All",Data!L576=Sel_County)),1,0)</f>
        <v>1</v>
      </c>
    </row>
    <row r="577" spans="1:9" x14ac:dyDescent="0.25">
      <c r="A577" s="52" t="str">
        <f>Data!A577</f>
        <v>TX500576</v>
      </c>
      <c r="B577" s="52">
        <f>MONTH(Data!F577)</f>
        <v>1</v>
      </c>
      <c r="C577" s="52" t="str">
        <f>TEXT(Data!F577,"mmm")</f>
        <v>Jan</v>
      </c>
      <c r="D577" s="52" t="str">
        <f>Data!O577</f>
        <v>Male</v>
      </c>
      <c r="E577" s="52">
        <f>Data!G577-Data!F577</f>
        <v>3</v>
      </c>
      <c r="F577" s="52">
        <f>IF(Data!J577&lt;=5,Data!J577,IF(Data!J577&lt;=10,"6 TO 10","More than 10"))</f>
        <v>4</v>
      </c>
      <c r="G577" s="52">
        <f t="shared" si="8"/>
        <v>3</v>
      </c>
      <c r="H577" s="52">
        <f>ROUND(Data!C577*Data!D577-Data!E577,2)</f>
        <v>0</v>
      </c>
      <c r="I577" s="52">
        <f>IF(AND(OR(Sel_Mode="All",Data!I577=Sel_Mode),OR(Sel_Gender="All",D577=Sel_Gender),OR(Sel_Category="All",Data!B577=Sel_Category),OR(Sel_Month="All",C577=Sel_Month),OR(Sel_County="All",Data!L577=Sel_County)),1,0)</f>
        <v>1</v>
      </c>
    </row>
    <row r="578" spans="1:9" x14ac:dyDescent="0.25">
      <c r="A578" s="52" t="str">
        <f>Data!A578</f>
        <v>TX500577</v>
      </c>
      <c r="B578" s="52">
        <f>MONTH(Data!F578)</f>
        <v>1</v>
      </c>
      <c r="C578" s="52" t="str">
        <f>TEXT(Data!F578,"mmm")</f>
        <v>Jan</v>
      </c>
      <c r="D578" s="52" t="str">
        <f>Data!O578</f>
        <v>Male</v>
      </c>
      <c r="E578" s="52">
        <f>Data!G578-Data!F578</f>
        <v>2</v>
      </c>
      <c r="F578" s="52">
        <f>IF(Data!J578&lt;=5,Data!J578,IF(Data!J578&lt;=10,"6 TO 10","More than 10"))</f>
        <v>2</v>
      </c>
      <c r="G578" s="52">
        <f t="shared" ref="G578:G641" si="9">IF(E578&gt;=8,"8+",E578)</f>
        <v>2</v>
      </c>
      <c r="H578" s="52">
        <f>ROUND(Data!C578*Data!D578-Data!E578,2)</f>
        <v>0</v>
      </c>
      <c r="I578" s="52">
        <f>IF(AND(OR(Sel_Mode="All",Data!I578=Sel_Mode),OR(Sel_Gender="All",D578=Sel_Gender),OR(Sel_Category="All",Data!B578=Sel_Category),OR(Sel_Month="All",C578=Sel_Month),OR(Sel_County="All",Data!L578=Sel_County)),1,0)</f>
        <v>1</v>
      </c>
    </row>
    <row r="579" spans="1:9" x14ac:dyDescent="0.25">
      <c r="A579" s="52" t="str">
        <f>Data!A579</f>
        <v>TX500578</v>
      </c>
      <c r="B579" s="52">
        <f>MONTH(Data!F579)</f>
        <v>1</v>
      </c>
      <c r="C579" s="52" t="str">
        <f>TEXT(Data!F579,"mmm")</f>
        <v>Jan</v>
      </c>
      <c r="D579" s="52" t="str">
        <f>Data!O579</f>
        <v>Female</v>
      </c>
      <c r="E579" s="52">
        <f>Data!G579-Data!F579</f>
        <v>1</v>
      </c>
      <c r="F579" s="52">
        <f>IF(Data!J579&lt;=5,Data!J579,IF(Data!J579&lt;=10,"6 TO 10","More than 10"))</f>
        <v>4</v>
      </c>
      <c r="G579" s="52">
        <f t="shared" si="9"/>
        <v>1</v>
      </c>
      <c r="H579" s="52">
        <f>ROUND(Data!C579*Data!D579-Data!E579,2)</f>
        <v>0</v>
      </c>
      <c r="I579" s="52">
        <f>IF(AND(OR(Sel_Mode="All",Data!I579=Sel_Mode),OR(Sel_Gender="All",D579=Sel_Gender),OR(Sel_Category="All",Data!B579=Sel_Category),OR(Sel_Month="All",C579=Sel_Month),OR(Sel_County="All",Data!L579=Sel_County)),1,0)</f>
        <v>1</v>
      </c>
    </row>
    <row r="580" spans="1:9" x14ac:dyDescent="0.25">
      <c r="A580" s="52" t="str">
        <f>Data!A580</f>
        <v>TX500579</v>
      </c>
      <c r="B580" s="52">
        <f>MONTH(Data!F580)</f>
        <v>1</v>
      </c>
      <c r="C580" s="52" t="str">
        <f>TEXT(Data!F580,"mmm")</f>
        <v>Jan</v>
      </c>
      <c r="D580" s="52" t="str">
        <f>Data!O580</f>
        <v>Female</v>
      </c>
      <c r="E580" s="52">
        <f>Data!G580-Data!F580</f>
        <v>4</v>
      </c>
      <c r="F580" s="52">
        <f>IF(Data!J580&lt;=5,Data!J580,IF(Data!J580&lt;=10,"6 TO 10","More than 10"))</f>
        <v>4</v>
      </c>
      <c r="G580" s="52">
        <f t="shared" si="9"/>
        <v>4</v>
      </c>
      <c r="H580" s="52">
        <f>ROUND(Data!C580*Data!D580-Data!E580,2)</f>
        <v>0</v>
      </c>
      <c r="I580" s="52">
        <f>IF(AND(OR(Sel_Mode="All",Data!I580=Sel_Mode),OR(Sel_Gender="All",D580=Sel_Gender),OR(Sel_Category="All",Data!B580=Sel_Category),OR(Sel_Month="All",C580=Sel_Month),OR(Sel_County="All",Data!L580=Sel_County)),1,0)</f>
        <v>1</v>
      </c>
    </row>
    <row r="581" spans="1:9" x14ac:dyDescent="0.25">
      <c r="A581" s="52" t="str">
        <f>Data!A581</f>
        <v>TX500580</v>
      </c>
      <c r="B581" s="52">
        <f>MONTH(Data!F581)</f>
        <v>1</v>
      </c>
      <c r="C581" s="52" t="str">
        <f>TEXT(Data!F581,"mmm")</f>
        <v>Jan</v>
      </c>
      <c r="D581" s="52" t="str">
        <f>Data!O581</f>
        <v>Female</v>
      </c>
      <c r="E581" s="52">
        <f>Data!G581-Data!F581</f>
        <v>3</v>
      </c>
      <c r="F581" s="52">
        <f>IF(Data!J581&lt;=5,Data!J581,IF(Data!J581&lt;=10,"6 TO 10","More than 10"))</f>
        <v>4</v>
      </c>
      <c r="G581" s="52">
        <f t="shared" si="9"/>
        <v>3</v>
      </c>
      <c r="H581" s="52">
        <f>ROUND(Data!C581*Data!D581-Data!E581,2)</f>
        <v>0</v>
      </c>
      <c r="I581" s="52">
        <f>IF(AND(OR(Sel_Mode="All",Data!I581=Sel_Mode),OR(Sel_Gender="All",D581=Sel_Gender),OR(Sel_Category="All",Data!B581=Sel_Category),OR(Sel_Month="All",C581=Sel_Month),OR(Sel_County="All",Data!L581=Sel_County)),1,0)</f>
        <v>1</v>
      </c>
    </row>
    <row r="582" spans="1:9" x14ac:dyDescent="0.25">
      <c r="A582" s="52" t="str">
        <f>Data!A582</f>
        <v>TX500581</v>
      </c>
      <c r="B582" s="52">
        <f>MONTH(Data!F582)</f>
        <v>1</v>
      </c>
      <c r="C582" s="52" t="str">
        <f>TEXT(Data!F582,"mmm")</f>
        <v>Jan</v>
      </c>
      <c r="D582" s="52" t="str">
        <f>Data!O582</f>
        <v>Female</v>
      </c>
      <c r="E582" s="52">
        <f>Data!G582-Data!F582</f>
        <v>0</v>
      </c>
      <c r="F582" s="52">
        <f>IF(Data!J582&lt;=5,Data!J582,IF(Data!J582&lt;=10,"6 TO 10","More than 10"))</f>
        <v>5</v>
      </c>
      <c r="G582" s="52">
        <f t="shared" si="9"/>
        <v>0</v>
      </c>
      <c r="H582" s="52">
        <f>ROUND(Data!C582*Data!D582-Data!E582,2)</f>
        <v>0</v>
      </c>
      <c r="I582" s="52">
        <f>IF(AND(OR(Sel_Mode="All",Data!I582=Sel_Mode),OR(Sel_Gender="All",D582=Sel_Gender),OR(Sel_Category="All",Data!B582=Sel_Category),OR(Sel_Month="All",C582=Sel_Month),OR(Sel_County="All",Data!L582=Sel_County)),1,0)</f>
        <v>1</v>
      </c>
    </row>
    <row r="583" spans="1:9" x14ac:dyDescent="0.25">
      <c r="A583" s="52" t="str">
        <f>Data!A583</f>
        <v>TX500582</v>
      </c>
      <c r="B583" s="52">
        <f>MONTH(Data!F583)</f>
        <v>1</v>
      </c>
      <c r="C583" s="52" t="str">
        <f>TEXT(Data!F583,"mmm")</f>
        <v>Jan</v>
      </c>
      <c r="D583" s="52" t="str">
        <f>Data!O583</f>
        <v>Female</v>
      </c>
      <c r="E583" s="52">
        <f>Data!G583-Data!F583</f>
        <v>2</v>
      </c>
      <c r="F583" s="52">
        <f>IF(Data!J583&lt;=5,Data!J583,IF(Data!J583&lt;=10,"6 TO 10","More than 10"))</f>
        <v>2</v>
      </c>
      <c r="G583" s="52">
        <f t="shared" si="9"/>
        <v>2</v>
      </c>
      <c r="H583" s="52">
        <f>ROUND(Data!C583*Data!D583-Data!E583,2)</f>
        <v>0</v>
      </c>
      <c r="I583" s="52">
        <f>IF(AND(OR(Sel_Mode="All",Data!I583=Sel_Mode),OR(Sel_Gender="All",D583=Sel_Gender),OR(Sel_Category="All",Data!B583=Sel_Category),OR(Sel_Month="All",C583=Sel_Month),OR(Sel_County="All",Data!L583=Sel_County)),1,0)</f>
        <v>1</v>
      </c>
    </row>
    <row r="584" spans="1:9" x14ac:dyDescent="0.25">
      <c r="A584" s="52" t="str">
        <f>Data!A584</f>
        <v>TX500583</v>
      </c>
      <c r="B584" s="52">
        <f>MONTH(Data!F584)</f>
        <v>1</v>
      </c>
      <c r="C584" s="52" t="str">
        <f>TEXT(Data!F584,"mmm")</f>
        <v>Jan</v>
      </c>
      <c r="D584" s="52" t="str">
        <f>Data!O584</f>
        <v>Female</v>
      </c>
      <c r="E584" s="52">
        <f>Data!G584-Data!F584</f>
        <v>0</v>
      </c>
      <c r="F584" s="52">
        <f>IF(Data!J584&lt;=5,Data!J584,IF(Data!J584&lt;=10,"6 TO 10","More than 10"))</f>
        <v>3</v>
      </c>
      <c r="G584" s="52">
        <f t="shared" si="9"/>
        <v>0</v>
      </c>
      <c r="H584" s="52">
        <f>ROUND(Data!C584*Data!D584-Data!E584,2)</f>
        <v>0</v>
      </c>
      <c r="I584" s="52">
        <f>IF(AND(OR(Sel_Mode="All",Data!I584=Sel_Mode),OR(Sel_Gender="All",D584=Sel_Gender),OR(Sel_Category="All",Data!B584=Sel_Category),OR(Sel_Month="All",C584=Sel_Month),OR(Sel_County="All",Data!L584=Sel_County)),1,0)</f>
        <v>1</v>
      </c>
    </row>
    <row r="585" spans="1:9" x14ac:dyDescent="0.25">
      <c r="A585" s="52" t="str">
        <f>Data!A585</f>
        <v>TX500584</v>
      </c>
      <c r="B585" s="52">
        <f>MONTH(Data!F585)</f>
        <v>1</v>
      </c>
      <c r="C585" s="52" t="str">
        <f>TEXT(Data!F585,"mmm")</f>
        <v>Jan</v>
      </c>
      <c r="D585" s="52" t="str">
        <f>Data!O585</f>
        <v>Male</v>
      </c>
      <c r="E585" s="52">
        <f>Data!G585-Data!F585</f>
        <v>0</v>
      </c>
      <c r="F585" s="52">
        <f>IF(Data!J585&lt;=5,Data!J585,IF(Data!J585&lt;=10,"6 TO 10","More than 10"))</f>
        <v>3</v>
      </c>
      <c r="G585" s="52">
        <f t="shared" si="9"/>
        <v>0</v>
      </c>
      <c r="H585" s="52">
        <f>ROUND(Data!C585*Data!D585-Data!E585,2)</f>
        <v>0</v>
      </c>
      <c r="I585" s="52">
        <f>IF(AND(OR(Sel_Mode="All",Data!I585=Sel_Mode),OR(Sel_Gender="All",D585=Sel_Gender),OR(Sel_Category="All",Data!B585=Sel_Category),OR(Sel_Month="All",C585=Sel_Month),OR(Sel_County="All",Data!L585=Sel_County)),1,0)</f>
        <v>1</v>
      </c>
    </row>
    <row r="586" spans="1:9" x14ac:dyDescent="0.25">
      <c r="A586" s="52" t="str">
        <f>Data!A586</f>
        <v>TX500585</v>
      </c>
      <c r="B586" s="52">
        <f>MONTH(Data!F586)</f>
        <v>1</v>
      </c>
      <c r="C586" s="52" t="str">
        <f>TEXT(Data!F586,"mmm")</f>
        <v>Jan</v>
      </c>
      <c r="D586" s="52" t="str">
        <f>Data!O586</f>
        <v>Female</v>
      </c>
      <c r="E586" s="52">
        <f>Data!G586-Data!F586</f>
        <v>2</v>
      </c>
      <c r="F586" s="52">
        <f>IF(Data!J586&lt;=5,Data!J586,IF(Data!J586&lt;=10,"6 TO 10","More than 10"))</f>
        <v>3</v>
      </c>
      <c r="G586" s="52">
        <f t="shared" si="9"/>
        <v>2</v>
      </c>
      <c r="H586" s="52">
        <f>ROUND(Data!C586*Data!D586-Data!E586,2)</f>
        <v>0</v>
      </c>
      <c r="I586" s="52">
        <f>IF(AND(OR(Sel_Mode="All",Data!I586=Sel_Mode),OR(Sel_Gender="All",D586=Sel_Gender),OR(Sel_Category="All",Data!B586=Sel_Category),OR(Sel_Month="All",C586=Sel_Month),OR(Sel_County="All",Data!L586=Sel_County)),1,0)</f>
        <v>1</v>
      </c>
    </row>
    <row r="587" spans="1:9" x14ac:dyDescent="0.25">
      <c r="A587" s="52" t="str">
        <f>Data!A587</f>
        <v>TX500586</v>
      </c>
      <c r="B587" s="52">
        <f>MONTH(Data!F587)</f>
        <v>1</v>
      </c>
      <c r="C587" s="52" t="str">
        <f>TEXT(Data!F587,"mmm")</f>
        <v>Jan</v>
      </c>
      <c r="D587" s="52" t="str">
        <f>Data!O587</f>
        <v>Female</v>
      </c>
      <c r="E587" s="52">
        <f>Data!G587-Data!F587</f>
        <v>3</v>
      </c>
      <c r="F587" s="52">
        <f>IF(Data!J587&lt;=5,Data!J587,IF(Data!J587&lt;=10,"6 TO 10","More than 10"))</f>
        <v>3</v>
      </c>
      <c r="G587" s="52">
        <f t="shared" si="9"/>
        <v>3</v>
      </c>
      <c r="H587" s="52">
        <f>ROUND(Data!C587*Data!D587-Data!E587,2)</f>
        <v>0</v>
      </c>
      <c r="I587" s="52">
        <f>IF(AND(OR(Sel_Mode="All",Data!I587=Sel_Mode),OR(Sel_Gender="All",D587=Sel_Gender),OR(Sel_Category="All",Data!B587=Sel_Category),OR(Sel_Month="All",C587=Sel_Month),OR(Sel_County="All",Data!L587=Sel_County)),1,0)</f>
        <v>1</v>
      </c>
    </row>
    <row r="588" spans="1:9" x14ac:dyDescent="0.25">
      <c r="A588" s="52" t="str">
        <f>Data!A588</f>
        <v>TX500587</v>
      </c>
      <c r="B588" s="52">
        <f>MONTH(Data!F588)</f>
        <v>1</v>
      </c>
      <c r="C588" s="52" t="str">
        <f>TEXT(Data!F588,"mmm")</f>
        <v>Jan</v>
      </c>
      <c r="D588" s="52" t="str">
        <f>Data!O588</f>
        <v>Female</v>
      </c>
      <c r="E588" s="52">
        <f>Data!G588-Data!F588</f>
        <v>5</v>
      </c>
      <c r="F588" s="52">
        <f>IF(Data!J588&lt;=5,Data!J588,IF(Data!J588&lt;=10,"6 TO 10","More than 10"))</f>
        <v>5</v>
      </c>
      <c r="G588" s="52">
        <f t="shared" si="9"/>
        <v>5</v>
      </c>
      <c r="H588" s="52">
        <f>ROUND(Data!C588*Data!D588-Data!E588,2)</f>
        <v>0</v>
      </c>
      <c r="I588" s="52">
        <f>IF(AND(OR(Sel_Mode="All",Data!I588=Sel_Mode),OR(Sel_Gender="All",D588=Sel_Gender),OR(Sel_Category="All",Data!B588=Sel_Category),OR(Sel_Month="All",C588=Sel_Month),OR(Sel_County="All",Data!L588=Sel_County)),1,0)</f>
        <v>1</v>
      </c>
    </row>
    <row r="589" spans="1:9" x14ac:dyDescent="0.25">
      <c r="A589" s="52" t="str">
        <f>Data!A589</f>
        <v>TX500588</v>
      </c>
      <c r="B589" s="52">
        <f>MONTH(Data!F589)</f>
        <v>1</v>
      </c>
      <c r="C589" s="52" t="str">
        <f>TEXT(Data!F589,"mmm")</f>
        <v>Jan</v>
      </c>
      <c r="D589" s="52" t="str">
        <f>Data!O589</f>
        <v>Male</v>
      </c>
      <c r="E589" s="52">
        <f>Data!G589-Data!F589</f>
        <v>1</v>
      </c>
      <c r="F589" s="52">
        <f>IF(Data!J589&lt;=5,Data!J589,IF(Data!J589&lt;=10,"6 TO 10","More than 10"))</f>
        <v>4</v>
      </c>
      <c r="G589" s="52">
        <f t="shared" si="9"/>
        <v>1</v>
      </c>
      <c r="H589" s="52">
        <f>ROUND(Data!C589*Data!D589-Data!E589,2)</f>
        <v>0</v>
      </c>
      <c r="I589" s="52">
        <f>IF(AND(OR(Sel_Mode="All",Data!I589=Sel_Mode),OR(Sel_Gender="All",D589=Sel_Gender),OR(Sel_Category="All",Data!B589=Sel_Category),OR(Sel_Month="All",C589=Sel_Month),OR(Sel_County="All",Data!L589=Sel_County)),1,0)</f>
        <v>1</v>
      </c>
    </row>
    <row r="590" spans="1:9" x14ac:dyDescent="0.25">
      <c r="A590" s="52" t="str">
        <f>Data!A590</f>
        <v>TX500589</v>
      </c>
      <c r="B590" s="52">
        <f>MONTH(Data!F590)</f>
        <v>1</v>
      </c>
      <c r="C590" s="52" t="str">
        <f>TEXT(Data!F590,"mmm")</f>
        <v>Jan</v>
      </c>
      <c r="D590" s="52" t="str">
        <f>Data!O590</f>
        <v>Female</v>
      </c>
      <c r="E590" s="52">
        <f>Data!G590-Data!F590</f>
        <v>1</v>
      </c>
      <c r="F590" s="52">
        <f>IF(Data!J590&lt;=5,Data!J590,IF(Data!J590&lt;=10,"6 TO 10","More than 10"))</f>
        <v>3</v>
      </c>
      <c r="G590" s="52">
        <f t="shared" si="9"/>
        <v>1</v>
      </c>
      <c r="H590" s="52">
        <f>ROUND(Data!C590*Data!D590-Data!E590,2)</f>
        <v>0</v>
      </c>
      <c r="I590" s="52">
        <f>IF(AND(OR(Sel_Mode="All",Data!I590=Sel_Mode),OR(Sel_Gender="All",D590=Sel_Gender),OR(Sel_Category="All",Data!B590=Sel_Category),OR(Sel_Month="All",C590=Sel_Month),OR(Sel_County="All",Data!L590=Sel_County)),1,0)</f>
        <v>1</v>
      </c>
    </row>
    <row r="591" spans="1:9" x14ac:dyDescent="0.25">
      <c r="A591" s="52" t="str">
        <f>Data!A591</f>
        <v>TX500590</v>
      </c>
      <c r="B591" s="52">
        <f>MONTH(Data!F591)</f>
        <v>1</v>
      </c>
      <c r="C591" s="52" t="str">
        <f>TEXT(Data!F591,"mmm")</f>
        <v>Jan</v>
      </c>
      <c r="D591" s="52" t="str">
        <f>Data!O591</f>
        <v>Female</v>
      </c>
      <c r="E591" s="52">
        <f>Data!G591-Data!F591</f>
        <v>1</v>
      </c>
      <c r="F591" s="52">
        <f>IF(Data!J591&lt;=5,Data!J591,IF(Data!J591&lt;=10,"6 TO 10","More than 10"))</f>
        <v>3</v>
      </c>
      <c r="G591" s="52">
        <f t="shared" si="9"/>
        <v>1</v>
      </c>
      <c r="H591" s="52">
        <f>ROUND(Data!C591*Data!D591-Data!E591,2)</f>
        <v>0</v>
      </c>
      <c r="I591" s="52">
        <f>IF(AND(OR(Sel_Mode="All",Data!I591=Sel_Mode),OR(Sel_Gender="All",D591=Sel_Gender),OR(Sel_Category="All",Data!B591=Sel_Category),OR(Sel_Month="All",C591=Sel_Month),OR(Sel_County="All",Data!L591=Sel_County)),1,0)</f>
        <v>1</v>
      </c>
    </row>
    <row r="592" spans="1:9" x14ac:dyDescent="0.25">
      <c r="A592" s="52" t="str">
        <f>Data!A592</f>
        <v>TX500591</v>
      </c>
      <c r="B592" s="52">
        <f>MONTH(Data!F592)</f>
        <v>1</v>
      </c>
      <c r="C592" s="52" t="str">
        <f>TEXT(Data!F592,"mmm")</f>
        <v>Jan</v>
      </c>
      <c r="D592" s="52" t="str">
        <f>Data!O592</f>
        <v>Male</v>
      </c>
      <c r="E592" s="52">
        <f>Data!G592-Data!F592</f>
        <v>1</v>
      </c>
      <c r="F592" s="52">
        <f>IF(Data!J592&lt;=5,Data!J592,IF(Data!J592&lt;=10,"6 TO 10","More than 10"))</f>
        <v>4</v>
      </c>
      <c r="G592" s="52">
        <f t="shared" si="9"/>
        <v>1</v>
      </c>
      <c r="H592" s="52">
        <f>ROUND(Data!C592*Data!D592-Data!E592,2)</f>
        <v>0</v>
      </c>
      <c r="I592" s="52">
        <f>IF(AND(OR(Sel_Mode="All",Data!I592=Sel_Mode),OR(Sel_Gender="All",D592=Sel_Gender),OR(Sel_Category="All",Data!B592=Sel_Category),OR(Sel_Month="All",C592=Sel_Month),OR(Sel_County="All",Data!L592=Sel_County)),1,0)</f>
        <v>1</v>
      </c>
    </row>
    <row r="593" spans="1:9" x14ac:dyDescent="0.25">
      <c r="A593" s="52" t="str">
        <f>Data!A593</f>
        <v>TX500592</v>
      </c>
      <c r="B593" s="52">
        <f>MONTH(Data!F593)</f>
        <v>1</v>
      </c>
      <c r="C593" s="52" t="str">
        <f>TEXT(Data!F593,"mmm")</f>
        <v>Jan</v>
      </c>
      <c r="D593" s="52" t="str">
        <f>Data!O593</f>
        <v>Female</v>
      </c>
      <c r="E593" s="52">
        <f>Data!G593-Data!F593</f>
        <v>1</v>
      </c>
      <c r="F593" s="52">
        <f>IF(Data!J593&lt;=5,Data!J593,IF(Data!J593&lt;=10,"6 TO 10","More than 10"))</f>
        <v>4</v>
      </c>
      <c r="G593" s="52">
        <f t="shared" si="9"/>
        <v>1</v>
      </c>
      <c r="H593" s="52">
        <f>ROUND(Data!C593*Data!D593-Data!E593,2)</f>
        <v>0</v>
      </c>
      <c r="I593" s="52">
        <f>IF(AND(OR(Sel_Mode="All",Data!I593=Sel_Mode),OR(Sel_Gender="All",D593=Sel_Gender),OR(Sel_Category="All",Data!B593=Sel_Category),OR(Sel_Month="All",C593=Sel_Month),OR(Sel_County="All",Data!L593=Sel_County)),1,0)</f>
        <v>1</v>
      </c>
    </row>
    <row r="594" spans="1:9" x14ac:dyDescent="0.25">
      <c r="A594" s="52" t="str">
        <f>Data!A594</f>
        <v>TX500593</v>
      </c>
      <c r="B594" s="52">
        <f>MONTH(Data!F594)</f>
        <v>1</v>
      </c>
      <c r="C594" s="52" t="str">
        <f>TEXT(Data!F594,"mmm")</f>
        <v>Jan</v>
      </c>
      <c r="D594" s="52" t="str">
        <f>Data!O594</f>
        <v>Female</v>
      </c>
      <c r="E594" s="52">
        <f>Data!G594-Data!F594</f>
        <v>0</v>
      </c>
      <c r="F594" s="52">
        <f>IF(Data!J594&lt;=5,Data!J594,IF(Data!J594&lt;=10,"6 TO 10","More than 10"))</f>
        <v>5</v>
      </c>
      <c r="G594" s="52">
        <f t="shared" si="9"/>
        <v>0</v>
      </c>
      <c r="H594" s="52">
        <f>ROUND(Data!C594*Data!D594-Data!E594,2)</f>
        <v>0</v>
      </c>
      <c r="I594" s="52">
        <f>IF(AND(OR(Sel_Mode="All",Data!I594=Sel_Mode),OR(Sel_Gender="All",D594=Sel_Gender),OR(Sel_Category="All",Data!B594=Sel_Category),OR(Sel_Month="All",C594=Sel_Month),OR(Sel_County="All",Data!L594=Sel_County)),1,0)</f>
        <v>1</v>
      </c>
    </row>
    <row r="595" spans="1:9" x14ac:dyDescent="0.25">
      <c r="A595" s="52" t="str">
        <f>Data!A595</f>
        <v>TX500594</v>
      </c>
      <c r="B595" s="52">
        <f>MONTH(Data!F595)</f>
        <v>1</v>
      </c>
      <c r="C595" s="52" t="str">
        <f>TEXT(Data!F595,"mmm")</f>
        <v>Jan</v>
      </c>
      <c r="D595" s="52" t="str">
        <f>Data!O595</f>
        <v>Female</v>
      </c>
      <c r="E595" s="52">
        <f>Data!G595-Data!F595</f>
        <v>1</v>
      </c>
      <c r="F595" s="52">
        <f>IF(Data!J595&lt;=5,Data!J595,IF(Data!J595&lt;=10,"6 TO 10","More than 10"))</f>
        <v>4</v>
      </c>
      <c r="G595" s="52">
        <f t="shared" si="9"/>
        <v>1</v>
      </c>
      <c r="H595" s="52">
        <f>ROUND(Data!C595*Data!D595-Data!E595,2)</f>
        <v>0</v>
      </c>
      <c r="I595" s="52">
        <f>IF(AND(OR(Sel_Mode="All",Data!I595=Sel_Mode),OR(Sel_Gender="All",D595=Sel_Gender),OR(Sel_Category="All",Data!B595=Sel_Category),OR(Sel_Month="All",C595=Sel_Month),OR(Sel_County="All",Data!L595=Sel_County)),1,0)</f>
        <v>1</v>
      </c>
    </row>
    <row r="596" spans="1:9" x14ac:dyDescent="0.25">
      <c r="A596" s="52" t="str">
        <f>Data!A596</f>
        <v>TX500595</v>
      </c>
      <c r="B596" s="52">
        <f>MONTH(Data!F596)</f>
        <v>1</v>
      </c>
      <c r="C596" s="52" t="str">
        <f>TEXT(Data!F596,"mmm")</f>
        <v>Jan</v>
      </c>
      <c r="D596" s="52" t="str">
        <f>Data!O596</f>
        <v>Male</v>
      </c>
      <c r="E596" s="52">
        <f>Data!G596-Data!F596</f>
        <v>4</v>
      </c>
      <c r="F596" s="52">
        <f>IF(Data!J596&lt;=5,Data!J596,IF(Data!J596&lt;=10,"6 TO 10","More than 10"))</f>
        <v>5</v>
      </c>
      <c r="G596" s="52">
        <f t="shared" si="9"/>
        <v>4</v>
      </c>
      <c r="H596" s="52">
        <f>ROUND(Data!C596*Data!D596-Data!E596,2)</f>
        <v>0</v>
      </c>
      <c r="I596" s="52">
        <f>IF(AND(OR(Sel_Mode="All",Data!I596=Sel_Mode),OR(Sel_Gender="All",D596=Sel_Gender),OR(Sel_Category="All",Data!B596=Sel_Category),OR(Sel_Month="All",C596=Sel_Month),OR(Sel_County="All",Data!L596=Sel_County)),1,0)</f>
        <v>1</v>
      </c>
    </row>
    <row r="597" spans="1:9" x14ac:dyDescent="0.25">
      <c r="A597" s="52" t="str">
        <f>Data!A597</f>
        <v>TX500596</v>
      </c>
      <c r="B597" s="52">
        <f>MONTH(Data!F597)</f>
        <v>1</v>
      </c>
      <c r="C597" s="52" t="str">
        <f>TEXT(Data!F597,"mmm")</f>
        <v>Jan</v>
      </c>
      <c r="D597" s="52" t="str">
        <f>Data!O597</f>
        <v>Male</v>
      </c>
      <c r="E597" s="52">
        <f>Data!G597-Data!F597</f>
        <v>2</v>
      </c>
      <c r="F597" s="52">
        <f>IF(Data!J597&lt;=5,Data!J597,IF(Data!J597&lt;=10,"6 TO 10","More than 10"))</f>
        <v>5</v>
      </c>
      <c r="G597" s="52">
        <f t="shared" si="9"/>
        <v>2</v>
      </c>
      <c r="H597" s="52">
        <f>ROUND(Data!C597*Data!D597-Data!E597,2)</f>
        <v>0</v>
      </c>
      <c r="I597" s="52">
        <f>IF(AND(OR(Sel_Mode="All",Data!I597=Sel_Mode),OR(Sel_Gender="All",D597=Sel_Gender),OR(Sel_Category="All",Data!B597=Sel_Category),OR(Sel_Month="All",C597=Sel_Month),OR(Sel_County="All",Data!L597=Sel_County)),1,0)</f>
        <v>1</v>
      </c>
    </row>
    <row r="598" spans="1:9" x14ac:dyDescent="0.25">
      <c r="A598" s="52" t="str">
        <f>Data!A598</f>
        <v>TX500597</v>
      </c>
      <c r="B598" s="52">
        <f>MONTH(Data!F598)</f>
        <v>1</v>
      </c>
      <c r="C598" s="52" t="str">
        <f>TEXT(Data!F598,"mmm")</f>
        <v>Jan</v>
      </c>
      <c r="D598" s="52" t="str">
        <f>Data!O598</f>
        <v>Female</v>
      </c>
      <c r="E598" s="52">
        <f>Data!G598-Data!F598</f>
        <v>1</v>
      </c>
      <c r="F598" s="52">
        <f>IF(Data!J598&lt;=5,Data!J598,IF(Data!J598&lt;=10,"6 TO 10","More than 10"))</f>
        <v>4</v>
      </c>
      <c r="G598" s="52">
        <f t="shared" si="9"/>
        <v>1</v>
      </c>
      <c r="H598" s="52">
        <f>ROUND(Data!C598*Data!D598-Data!E598,2)</f>
        <v>0</v>
      </c>
      <c r="I598" s="52">
        <f>IF(AND(OR(Sel_Mode="All",Data!I598=Sel_Mode),OR(Sel_Gender="All",D598=Sel_Gender),OR(Sel_Category="All",Data!B598=Sel_Category),OR(Sel_Month="All",C598=Sel_Month),OR(Sel_County="All",Data!L598=Sel_County)),1,0)</f>
        <v>1</v>
      </c>
    </row>
    <row r="599" spans="1:9" x14ac:dyDescent="0.25">
      <c r="A599" s="52" t="str">
        <f>Data!A599</f>
        <v>TX500598</v>
      </c>
      <c r="B599" s="52">
        <f>MONTH(Data!F599)</f>
        <v>1</v>
      </c>
      <c r="C599" s="52" t="str">
        <f>TEXT(Data!F599,"mmm")</f>
        <v>Jan</v>
      </c>
      <c r="D599" s="52" t="str">
        <f>Data!O599</f>
        <v>Female</v>
      </c>
      <c r="E599" s="52">
        <f>Data!G599-Data!F599</f>
        <v>0</v>
      </c>
      <c r="F599" s="52">
        <f>IF(Data!J599&lt;=5,Data!J599,IF(Data!J599&lt;=10,"6 TO 10","More than 10"))</f>
        <v>5</v>
      </c>
      <c r="G599" s="52">
        <f t="shared" si="9"/>
        <v>0</v>
      </c>
      <c r="H599" s="52">
        <f>ROUND(Data!C599*Data!D599-Data!E599,2)</f>
        <v>0</v>
      </c>
      <c r="I599" s="52">
        <f>IF(AND(OR(Sel_Mode="All",Data!I599=Sel_Mode),OR(Sel_Gender="All",D599=Sel_Gender),OR(Sel_Category="All",Data!B599=Sel_Category),OR(Sel_Month="All",C599=Sel_Month),OR(Sel_County="All",Data!L599=Sel_County)),1,0)</f>
        <v>1</v>
      </c>
    </row>
    <row r="600" spans="1:9" x14ac:dyDescent="0.25">
      <c r="A600" s="52" t="str">
        <f>Data!A600</f>
        <v>TX500599</v>
      </c>
      <c r="B600" s="52">
        <f>MONTH(Data!F600)</f>
        <v>1</v>
      </c>
      <c r="C600" s="52" t="str">
        <f>TEXT(Data!F600,"mmm")</f>
        <v>Jan</v>
      </c>
      <c r="D600" s="52" t="str">
        <f>Data!O600</f>
        <v>Male</v>
      </c>
      <c r="E600" s="52">
        <f>Data!G600-Data!F600</f>
        <v>2</v>
      </c>
      <c r="F600" s="52">
        <f>IF(Data!J600&lt;=5,Data!J600,IF(Data!J600&lt;=10,"6 TO 10","More than 10"))</f>
        <v>4</v>
      </c>
      <c r="G600" s="52">
        <f t="shared" si="9"/>
        <v>2</v>
      </c>
      <c r="H600" s="52">
        <f>ROUND(Data!C600*Data!D600-Data!E600,2)</f>
        <v>0</v>
      </c>
      <c r="I600" s="52">
        <f>IF(AND(OR(Sel_Mode="All",Data!I600=Sel_Mode),OR(Sel_Gender="All",D600=Sel_Gender),OR(Sel_Category="All",Data!B600=Sel_Category),OR(Sel_Month="All",C600=Sel_Month),OR(Sel_County="All",Data!L600=Sel_County)),1,0)</f>
        <v>1</v>
      </c>
    </row>
    <row r="601" spans="1:9" x14ac:dyDescent="0.25">
      <c r="A601" s="52" t="str">
        <f>Data!A601</f>
        <v>TX500600</v>
      </c>
      <c r="B601" s="52">
        <f>MONTH(Data!F601)</f>
        <v>1</v>
      </c>
      <c r="C601" s="52" t="str">
        <f>TEXT(Data!F601,"mmm")</f>
        <v>Jan</v>
      </c>
      <c r="D601" s="52" t="str">
        <f>Data!O601</f>
        <v>Female</v>
      </c>
      <c r="E601" s="52">
        <f>Data!G601-Data!F601</f>
        <v>1</v>
      </c>
      <c r="F601" s="52">
        <f>IF(Data!J601&lt;=5,Data!J601,IF(Data!J601&lt;=10,"6 TO 10","More than 10"))</f>
        <v>3</v>
      </c>
      <c r="G601" s="52">
        <f t="shared" si="9"/>
        <v>1</v>
      </c>
      <c r="H601" s="52">
        <f>ROUND(Data!C601*Data!D601-Data!E601,2)</f>
        <v>0</v>
      </c>
      <c r="I601" s="52">
        <f>IF(AND(OR(Sel_Mode="All",Data!I601=Sel_Mode),OR(Sel_Gender="All",D601=Sel_Gender),OR(Sel_Category="All",Data!B601=Sel_Category),OR(Sel_Month="All",C601=Sel_Month),OR(Sel_County="All",Data!L601=Sel_County)),1,0)</f>
        <v>1</v>
      </c>
    </row>
    <row r="602" spans="1:9" x14ac:dyDescent="0.25">
      <c r="A602" s="52" t="str">
        <f>Data!A602</f>
        <v>TX500601</v>
      </c>
      <c r="B602" s="52">
        <f>MONTH(Data!F602)</f>
        <v>1</v>
      </c>
      <c r="C602" s="52" t="str">
        <f>TEXT(Data!F602,"mmm")</f>
        <v>Jan</v>
      </c>
      <c r="D602" s="52" t="str">
        <f>Data!O602</f>
        <v>Male</v>
      </c>
      <c r="E602" s="52">
        <f>Data!G602-Data!F602</f>
        <v>3</v>
      </c>
      <c r="F602" s="52">
        <f>IF(Data!J602&lt;=5,Data!J602,IF(Data!J602&lt;=10,"6 TO 10","More than 10"))</f>
        <v>5</v>
      </c>
      <c r="G602" s="52">
        <f t="shared" si="9"/>
        <v>3</v>
      </c>
      <c r="H602" s="52">
        <f>ROUND(Data!C602*Data!D602-Data!E602,2)</f>
        <v>0</v>
      </c>
      <c r="I602" s="52">
        <f>IF(AND(OR(Sel_Mode="All",Data!I602=Sel_Mode),OR(Sel_Gender="All",D602=Sel_Gender),OR(Sel_Category="All",Data!B602=Sel_Category),OR(Sel_Month="All",C602=Sel_Month),OR(Sel_County="All",Data!L602=Sel_County)),1,0)</f>
        <v>1</v>
      </c>
    </row>
    <row r="603" spans="1:9" x14ac:dyDescent="0.25">
      <c r="A603" s="52" t="str">
        <f>Data!A603</f>
        <v>TX500602</v>
      </c>
      <c r="B603" s="52">
        <f>MONTH(Data!F603)</f>
        <v>1</v>
      </c>
      <c r="C603" s="52" t="str">
        <f>TEXT(Data!F603,"mmm")</f>
        <v>Jan</v>
      </c>
      <c r="D603" s="52" t="str">
        <f>Data!O603</f>
        <v>Female</v>
      </c>
      <c r="E603" s="52">
        <f>Data!G603-Data!F603</f>
        <v>1</v>
      </c>
      <c r="F603" s="52">
        <f>IF(Data!J603&lt;=5,Data!J603,IF(Data!J603&lt;=10,"6 TO 10","More than 10"))</f>
        <v>3</v>
      </c>
      <c r="G603" s="52">
        <f t="shared" si="9"/>
        <v>1</v>
      </c>
      <c r="H603" s="52">
        <f>ROUND(Data!C603*Data!D603-Data!E603,2)</f>
        <v>0</v>
      </c>
      <c r="I603" s="52">
        <f>IF(AND(OR(Sel_Mode="All",Data!I603=Sel_Mode),OR(Sel_Gender="All",D603=Sel_Gender),OR(Sel_Category="All",Data!B603=Sel_Category),OR(Sel_Month="All",C603=Sel_Month),OR(Sel_County="All",Data!L603=Sel_County)),1,0)</f>
        <v>1</v>
      </c>
    </row>
    <row r="604" spans="1:9" x14ac:dyDescent="0.25">
      <c r="A604" s="52" t="str">
        <f>Data!A604</f>
        <v>TX500603</v>
      </c>
      <c r="B604" s="52">
        <f>MONTH(Data!F604)</f>
        <v>1</v>
      </c>
      <c r="C604" s="52" t="str">
        <f>TEXT(Data!F604,"mmm")</f>
        <v>Jan</v>
      </c>
      <c r="D604" s="52" t="str">
        <f>Data!O604</f>
        <v>Female</v>
      </c>
      <c r="E604" s="52">
        <f>Data!G604-Data!F604</f>
        <v>1</v>
      </c>
      <c r="F604" s="52">
        <f>IF(Data!J604&lt;=5,Data!J604,IF(Data!J604&lt;=10,"6 TO 10","More than 10"))</f>
        <v>4</v>
      </c>
      <c r="G604" s="52">
        <f t="shared" si="9"/>
        <v>1</v>
      </c>
      <c r="H604" s="52">
        <f>ROUND(Data!C604*Data!D604-Data!E604,2)</f>
        <v>0</v>
      </c>
      <c r="I604" s="52">
        <f>IF(AND(OR(Sel_Mode="All",Data!I604=Sel_Mode),OR(Sel_Gender="All",D604=Sel_Gender),OR(Sel_Category="All",Data!B604=Sel_Category),OR(Sel_Month="All",C604=Sel_Month),OR(Sel_County="All",Data!L604=Sel_County)),1,0)</f>
        <v>1</v>
      </c>
    </row>
    <row r="605" spans="1:9" x14ac:dyDescent="0.25">
      <c r="A605" s="52" t="str">
        <f>Data!A605</f>
        <v>TX500604</v>
      </c>
      <c r="B605" s="52">
        <f>MONTH(Data!F605)</f>
        <v>1</v>
      </c>
      <c r="C605" s="52" t="str">
        <f>TEXT(Data!F605,"mmm")</f>
        <v>Jan</v>
      </c>
      <c r="D605" s="52" t="str">
        <f>Data!O605</f>
        <v>Male</v>
      </c>
      <c r="E605" s="52">
        <f>Data!G605-Data!F605</f>
        <v>2</v>
      </c>
      <c r="F605" s="52">
        <f>IF(Data!J605&lt;=5,Data!J605,IF(Data!J605&lt;=10,"6 TO 10","More than 10"))</f>
        <v>5</v>
      </c>
      <c r="G605" s="52">
        <f t="shared" si="9"/>
        <v>2</v>
      </c>
      <c r="H605" s="52">
        <f>ROUND(Data!C605*Data!D605-Data!E605,2)</f>
        <v>0</v>
      </c>
      <c r="I605" s="52">
        <f>IF(AND(OR(Sel_Mode="All",Data!I605=Sel_Mode),OR(Sel_Gender="All",D605=Sel_Gender),OR(Sel_Category="All",Data!B605=Sel_Category),OR(Sel_Month="All",C605=Sel_Month),OR(Sel_County="All",Data!L605=Sel_County)),1,0)</f>
        <v>1</v>
      </c>
    </row>
    <row r="606" spans="1:9" x14ac:dyDescent="0.25">
      <c r="A606" s="52" t="str">
        <f>Data!A606</f>
        <v>TX500605</v>
      </c>
      <c r="B606" s="52">
        <f>MONTH(Data!F606)</f>
        <v>1</v>
      </c>
      <c r="C606" s="52" t="str">
        <f>TEXT(Data!F606,"mmm")</f>
        <v>Jan</v>
      </c>
      <c r="D606" s="52" t="str">
        <f>Data!O606</f>
        <v>Male</v>
      </c>
      <c r="E606" s="52">
        <f>Data!G606-Data!F606</f>
        <v>1</v>
      </c>
      <c r="F606" s="52">
        <f>IF(Data!J606&lt;=5,Data!J606,IF(Data!J606&lt;=10,"6 TO 10","More than 10"))</f>
        <v>5</v>
      </c>
      <c r="G606" s="52">
        <f t="shared" si="9"/>
        <v>1</v>
      </c>
      <c r="H606" s="52">
        <f>ROUND(Data!C606*Data!D606-Data!E606,2)</f>
        <v>0</v>
      </c>
      <c r="I606" s="52">
        <f>IF(AND(OR(Sel_Mode="All",Data!I606=Sel_Mode),OR(Sel_Gender="All",D606=Sel_Gender),OR(Sel_Category="All",Data!B606=Sel_Category),OR(Sel_Month="All",C606=Sel_Month),OR(Sel_County="All",Data!L606=Sel_County)),1,0)</f>
        <v>1</v>
      </c>
    </row>
    <row r="607" spans="1:9" x14ac:dyDescent="0.25">
      <c r="A607" s="52" t="str">
        <f>Data!A607</f>
        <v>TX500606</v>
      </c>
      <c r="B607" s="52">
        <f>MONTH(Data!F607)</f>
        <v>1</v>
      </c>
      <c r="C607" s="52" t="str">
        <f>TEXT(Data!F607,"mmm")</f>
        <v>Jan</v>
      </c>
      <c r="D607" s="52" t="str">
        <f>Data!O607</f>
        <v>Female</v>
      </c>
      <c r="E607" s="52">
        <f>Data!G607-Data!F607</f>
        <v>2</v>
      </c>
      <c r="F607" s="52">
        <f>IF(Data!J607&lt;=5,Data!J607,IF(Data!J607&lt;=10,"6 TO 10","More than 10"))</f>
        <v>4</v>
      </c>
      <c r="G607" s="52">
        <f t="shared" si="9"/>
        <v>2</v>
      </c>
      <c r="H607" s="52">
        <f>ROUND(Data!C607*Data!D607-Data!E607,2)</f>
        <v>0</v>
      </c>
      <c r="I607" s="52">
        <f>IF(AND(OR(Sel_Mode="All",Data!I607=Sel_Mode),OR(Sel_Gender="All",D607=Sel_Gender),OR(Sel_Category="All",Data!B607=Sel_Category),OR(Sel_Month="All",C607=Sel_Month),OR(Sel_County="All",Data!L607=Sel_County)),1,0)</f>
        <v>1</v>
      </c>
    </row>
    <row r="608" spans="1:9" x14ac:dyDescent="0.25">
      <c r="A608" s="52" t="str">
        <f>Data!A608</f>
        <v>TX500607</v>
      </c>
      <c r="B608" s="52">
        <f>MONTH(Data!F608)</f>
        <v>1</v>
      </c>
      <c r="C608" s="52" t="str">
        <f>TEXT(Data!F608,"mmm")</f>
        <v>Jan</v>
      </c>
      <c r="D608" s="52" t="str">
        <f>Data!O608</f>
        <v>Female</v>
      </c>
      <c r="E608" s="52">
        <f>Data!G608-Data!F608</f>
        <v>0</v>
      </c>
      <c r="F608" s="52">
        <f>IF(Data!J608&lt;=5,Data!J608,IF(Data!J608&lt;=10,"6 TO 10","More than 10"))</f>
        <v>4</v>
      </c>
      <c r="G608" s="52">
        <f t="shared" si="9"/>
        <v>0</v>
      </c>
      <c r="H608" s="52">
        <f>ROUND(Data!C608*Data!D608-Data!E608,2)</f>
        <v>0</v>
      </c>
      <c r="I608" s="52">
        <f>IF(AND(OR(Sel_Mode="All",Data!I608=Sel_Mode),OR(Sel_Gender="All",D608=Sel_Gender),OR(Sel_Category="All",Data!B608=Sel_Category),OR(Sel_Month="All",C608=Sel_Month),OR(Sel_County="All",Data!L608=Sel_County)),1,0)</f>
        <v>1</v>
      </c>
    </row>
    <row r="609" spans="1:9" x14ac:dyDescent="0.25">
      <c r="A609" s="52" t="str">
        <f>Data!A609</f>
        <v>TX500608</v>
      </c>
      <c r="B609" s="52">
        <f>MONTH(Data!F609)</f>
        <v>1</v>
      </c>
      <c r="C609" s="52" t="str">
        <f>TEXT(Data!F609,"mmm")</f>
        <v>Jan</v>
      </c>
      <c r="D609" s="52" t="str">
        <f>Data!O609</f>
        <v>Male</v>
      </c>
      <c r="E609" s="52">
        <f>Data!G609-Data!F609</f>
        <v>3</v>
      </c>
      <c r="F609" s="52">
        <f>IF(Data!J609&lt;=5,Data!J609,IF(Data!J609&lt;=10,"6 TO 10","More than 10"))</f>
        <v>4</v>
      </c>
      <c r="G609" s="52">
        <f t="shared" si="9"/>
        <v>3</v>
      </c>
      <c r="H609" s="52">
        <f>ROUND(Data!C609*Data!D609-Data!E609,2)</f>
        <v>0</v>
      </c>
      <c r="I609" s="52">
        <f>IF(AND(OR(Sel_Mode="All",Data!I609=Sel_Mode),OR(Sel_Gender="All",D609=Sel_Gender),OR(Sel_Category="All",Data!B609=Sel_Category),OR(Sel_Month="All",C609=Sel_Month),OR(Sel_County="All",Data!L609=Sel_County)),1,0)</f>
        <v>1</v>
      </c>
    </row>
    <row r="610" spans="1:9" x14ac:dyDescent="0.25">
      <c r="A610" s="52" t="str">
        <f>Data!A610</f>
        <v>TX500609</v>
      </c>
      <c r="B610" s="52">
        <f>MONTH(Data!F610)</f>
        <v>1</v>
      </c>
      <c r="C610" s="52" t="str">
        <f>TEXT(Data!F610,"mmm")</f>
        <v>Jan</v>
      </c>
      <c r="D610" s="52" t="str">
        <f>Data!O610</f>
        <v>Female</v>
      </c>
      <c r="E610" s="52">
        <f>Data!G610-Data!F610</f>
        <v>2</v>
      </c>
      <c r="F610" s="52">
        <f>IF(Data!J610&lt;=5,Data!J610,IF(Data!J610&lt;=10,"6 TO 10","More than 10"))</f>
        <v>4</v>
      </c>
      <c r="G610" s="52">
        <f t="shared" si="9"/>
        <v>2</v>
      </c>
      <c r="H610" s="52">
        <f>ROUND(Data!C610*Data!D610-Data!E610,2)</f>
        <v>0</v>
      </c>
      <c r="I610" s="52">
        <f>IF(AND(OR(Sel_Mode="All",Data!I610=Sel_Mode),OR(Sel_Gender="All",D610=Sel_Gender),OR(Sel_Category="All",Data!B610=Sel_Category),OR(Sel_Month="All",C610=Sel_Month),OR(Sel_County="All",Data!L610=Sel_County)),1,0)</f>
        <v>1</v>
      </c>
    </row>
    <row r="611" spans="1:9" x14ac:dyDescent="0.25">
      <c r="A611" s="52" t="str">
        <f>Data!A611</f>
        <v>TX500610</v>
      </c>
      <c r="B611" s="52">
        <f>MONTH(Data!F611)</f>
        <v>1</v>
      </c>
      <c r="C611" s="52" t="str">
        <f>TEXT(Data!F611,"mmm")</f>
        <v>Jan</v>
      </c>
      <c r="D611" s="52" t="str">
        <f>Data!O611</f>
        <v>Female</v>
      </c>
      <c r="E611" s="52">
        <f>Data!G611-Data!F611</f>
        <v>4</v>
      </c>
      <c r="F611" s="52">
        <f>IF(Data!J611&lt;=5,Data!J611,IF(Data!J611&lt;=10,"6 TO 10","More than 10"))</f>
        <v>3</v>
      </c>
      <c r="G611" s="52">
        <f t="shared" si="9"/>
        <v>4</v>
      </c>
      <c r="H611" s="52">
        <f>ROUND(Data!C611*Data!D611-Data!E611,2)</f>
        <v>0</v>
      </c>
      <c r="I611" s="52">
        <f>IF(AND(OR(Sel_Mode="All",Data!I611=Sel_Mode),OR(Sel_Gender="All",D611=Sel_Gender),OR(Sel_Category="All",Data!B611=Sel_Category),OR(Sel_Month="All",C611=Sel_Month),OR(Sel_County="All",Data!L611=Sel_County)),1,0)</f>
        <v>1</v>
      </c>
    </row>
    <row r="612" spans="1:9" x14ac:dyDescent="0.25">
      <c r="A612" s="52" t="str">
        <f>Data!A612</f>
        <v>TX500611</v>
      </c>
      <c r="B612" s="52">
        <f>MONTH(Data!F612)</f>
        <v>1</v>
      </c>
      <c r="C612" s="52" t="str">
        <f>TEXT(Data!F612,"mmm")</f>
        <v>Jan</v>
      </c>
      <c r="D612" s="52" t="str">
        <f>Data!O612</f>
        <v>Female</v>
      </c>
      <c r="E612" s="52">
        <f>Data!G612-Data!F612</f>
        <v>1</v>
      </c>
      <c r="F612" s="52">
        <f>IF(Data!J612&lt;=5,Data!J612,IF(Data!J612&lt;=10,"6 TO 10","More than 10"))</f>
        <v>4</v>
      </c>
      <c r="G612" s="52">
        <f t="shared" si="9"/>
        <v>1</v>
      </c>
      <c r="H612" s="52">
        <f>ROUND(Data!C612*Data!D612-Data!E612,2)</f>
        <v>0</v>
      </c>
      <c r="I612" s="52">
        <f>IF(AND(OR(Sel_Mode="All",Data!I612=Sel_Mode),OR(Sel_Gender="All",D612=Sel_Gender),OR(Sel_Category="All",Data!B612=Sel_Category),OR(Sel_Month="All",C612=Sel_Month),OR(Sel_County="All",Data!L612=Sel_County)),1,0)</f>
        <v>1</v>
      </c>
    </row>
    <row r="613" spans="1:9" x14ac:dyDescent="0.25">
      <c r="A613" s="52" t="str">
        <f>Data!A613</f>
        <v>TX500612</v>
      </c>
      <c r="B613" s="52">
        <f>MONTH(Data!F613)</f>
        <v>1</v>
      </c>
      <c r="C613" s="52" t="str">
        <f>TEXT(Data!F613,"mmm")</f>
        <v>Jan</v>
      </c>
      <c r="D613" s="52" t="str">
        <f>Data!O613</f>
        <v>Female</v>
      </c>
      <c r="E613" s="52">
        <f>Data!G613-Data!F613</f>
        <v>1</v>
      </c>
      <c r="F613" s="52">
        <f>IF(Data!J613&lt;=5,Data!J613,IF(Data!J613&lt;=10,"6 TO 10","More than 10"))</f>
        <v>5</v>
      </c>
      <c r="G613" s="52">
        <f t="shared" si="9"/>
        <v>1</v>
      </c>
      <c r="H613" s="52">
        <f>ROUND(Data!C613*Data!D613-Data!E613,2)</f>
        <v>0</v>
      </c>
      <c r="I613" s="52">
        <f>IF(AND(OR(Sel_Mode="All",Data!I613=Sel_Mode),OR(Sel_Gender="All",D613=Sel_Gender),OR(Sel_Category="All",Data!B613=Sel_Category),OR(Sel_Month="All",C613=Sel_Month),OR(Sel_County="All",Data!L613=Sel_County)),1,0)</f>
        <v>1</v>
      </c>
    </row>
    <row r="614" spans="1:9" x14ac:dyDescent="0.25">
      <c r="A614" s="52" t="str">
        <f>Data!A614</f>
        <v>TX500613</v>
      </c>
      <c r="B614" s="52">
        <f>MONTH(Data!F614)</f>
        <v>1</v>
      </c>
      <c r="C614" s="52" t="str">
        <f>TEXT(Data!F614,"mmm")</f>
        <v>Jan</v>
      </c>
      <c r="D614" s="52" t="str">
        <f>Data!O614</f>
        <v>Female</v>
      </c>
      <c r="E614" s="52">
        <f>Data!G614-Data!F614</f>
        <v>1</v>
      </c>
      <c r="F614" s="52">
        <f>IF(Data!J614&lt;=5,Data!J614,IF(Data!J614&lt;=10,"6 TO 10","More than 10"))</f>
        <v>4</v>
      </c>
      <c r="G614" s="52">
        <f t="shared" si="9"/>
        <v>1</v>
      </c>
      <c r="H614" s="52">
        <f>ROUND(Data!C614*Data!D614-Data!E614,2)</f>
        <v>0</v>
      </c>
      <c r="I614" s="52">
        <f>IF(AND(OR(Sel_Mode="All",Data!I614=Sel_Mode),OR(Sel_Gender="All",D614=Sel_Gender),OR(Sel_Category="All",Data!B614=Sel_Category),OR(Sel_Month="All",C614=Sel_Month),OR(Sel_County="All",Data!L614=Sel_County)),1,0)</f>
        <v>1</v>
      </c>
    </row>
    <row r="615" spans="1:9" x14ac:dyDescent="0.25">
      <c r="A615" s="52" t="str">
        <f>Data!A615</f>
        <v>TX500614</v>
      </c>
      <c r="B615" s="52">
        <f>MONTH(Data!F615)</f>
        <v>1</v>
      </c>
      <c r="C615" s="52" t="str">
        <f>TEXT(Data!F615,"mmm")</f>
        <v>Jan</v>
      </c>
      <c r="D615" s="52" t="str">
        <f>Data!O615</f>
        <v>Female</v>
      </c>
      <c r="E615" s="52">
        <f>Data!G615-Data!F615</f>
        <v>2</v>
      </c>
      <c r="F615" s="52">
        <f>IF(Data!J615&lt;=5,Data!J615,IF(Data!J615&lt;=10,"6 TO 10","More than 10"))</f>
        <v>3</v>
      </c>
      <c r="G615" s="52">
        <f t="shared" si="9"/>
        <v>2</v>
      </c>
      <c r="H615" s="52">
        <f>ROUND(Data!C615*Data!D615-Data!E615,2)</f>
        <v>0</v>
      </c>
      <c r="I615" s="52">
        <f>IF(AND(OR(Sel_Mode="All",Data!I615=Sel_Mode),OR(Sel_Gender="All",D615=Sel_Gender),OR(Sel_Category="All",Data!B615=Sel_Category),OR(Sel_Month="All",C615=Sel_Month),OR(Sel_County="All",Data!L615=Sel_County)),1,0)</f>
        <v>1</v>
      </c>
    </row>
    <row r="616" spans="1:9" x14ac:dyDescent="0.25">
      <c r="A616" s="52" t="str">
        <f>Data!A616</f>
        <v>TX500615</v>
      </c>
      <c r="B616" s="52">
        <f>MONTH(Data!F616)</f>
        <v>1</v>
      </c>
      <c r="C616" s="52" t="str">
        <f>TEXT(Data!F616,"mmm")</f>
        <v>Jan</v>
      </c>
      <c r="D616" s="52" t="str">
        <f>Data!O616</f>
        <v>Male</v>
      </c>
      <c r="E616" s="52">
        <f>Data!G616-Data!F616</f>
        <v>2</v>
      </c>
      <c r="F616" s="52">
        <f>IF(Data!J616&lt;=5,Data!J616,IF(Data!J616&lt;=10,"6 TO 10","More than 10"))</f>
        <v>2</v>
      </c>
      <c r="G616" s="52">
        <f t="shared" si="9"/>
        <v>2</v>
      </c>
      <c r="H616" s="52">
        <f>ROUND(Data!C616*Data!D616-Data!E616,2)</f>
        <v>0</v>
      </c>
      <c r="I616" s="52">
        <f>IF(AND(OR(Sel_Mode="All",Data!I616=Sel_Mode),OR(Sel_Gender="All",D616=Sel_Gender),OR(Sel_Category="All",Data!B616=Sel_Category),OR(Sel_Month="All",C616=Sel_Month),OR(Sel_County="All",Data!L616=Sel_County)),1,0)</f>
        <v>1</v>
      </c>
    </row>
    <row r="617" spans="1:9" x14ac:dyDescent="0.25">
      <c r="A617" s="52" t="str">
        <f>Data!A617</f>
        <v>TX500616</v>
      </c>
      <c r="B617" s="52">
        <f>MONTH(Data!F617)</f>
        <v>1</v>
      </c>
      <c r="C617" s="52" t="str">
        <f>TEXT(Data!F617,"mmm")</f>
        <v>Jan</v>
      </c>
      <c r="D617" s="52" t="str">
        <f>Data!O617</f>
        <v>Male</v>
      </c>
      <c r="E617" s="52">
        <f>Data!G617-Data!F617</f>
        <v>1</v>
      </c>
      <c r="F617" s="52">
        <f>IF(Data!J617&lt;=5,Data!J617,IF(Data!J617&lt;=10,"6 TO 10","More than 10"))</f>
        <v>3</v>
      </c>
      <c r="G617" s="52">
        <f t="shared" si="9"/>
        <v>1</v>
      </c>
      <c r="H617" s="52">
        <f>ROUND(Data!C617*Data!D617-Data!E617,2)</f>
        <v>0</v>
      </c>
      <c r="I617" s="52">
        <f>IF(AND(OR(Sel_Mode="All",Data!I617=Sel_Mode),OR(Sel_Gender="All",D617=Sel_Gender),OR(Sel_Category="All",Data!B617=Sel_Category),OR(Sel_Month="All",C617=Sel_Month),OR(Sel_County="All",Data!L617=Sel_County)),1,0)</f>
        <v>1</v>
      </c>
    </row>
    <row r="618" spans="1:9" x14ac:dyDescent="0.25">
      <c r="A618" s="52" t="str">
        <f>Data!A618</f>
        <v>TX500617</v>
      </c>
      <c r="B618" s="52">
        <f>MONTH(Data!F618)</f>
        <v>1</v>
      </c>
      <c r="C618" s="52" t="str">
        <f>TEXT(Data!F618,"mmm")</f>
        <v>Jan</v>
      </c>
      <c r="D618" s="52" t="str">
        <f>Data!O618</f>
        <v>Male</v>
      </c>
      <c r="E618" s="52">
        <f>Data!G618-Data!F618</f>
        <v>1</v>
      </c>
      <c r="F618" s="52">
        <f>IF(Data!J618&lt;=5,Data!J618,IF(Data!J618&lt;=10,"6 TO 10","More than 10"))</f>
        <v>5</v>
      </c>
      <c r="G618" s="52">
        <f t="shared" si="9"/>
        <v>1</v>
      </c>
      <c r="H618" s="52">
        <f>ROUND(Data!C618*Data!D618-Data!E618,2)</f>
        <v>0</v>
      </c>
      <c r="I618" s="52">
        <f>IF(AND(OR(Sel_Mode="All",Data!I618=Sel_Mode),OR(Sel_Gender="All",D618=Sel_Gender),OR(Sel_Category="All",Data!B618=Sel_Category),OR(Sel_Month="All",C618=Sel_Month),OR(Sel_County="All",Data!L618=Sel_County)),1,0)</f>
        <v>1</v>
      </c>
    </row>
    <row r="619" spans="1:9" x14ac:dyDescent="0.25">
      <c r="A619" s="52" t="str">
        <f>Data!A619</f>
        <v>TX500618</v>
      </c>
      <c r="B619" s="52">
        <f>MONTH(Data!F619)</f>
        <v>1</v>
      </c>
      <c r="C619" s="52" t="str">
        <f>TEXT(Data!F619,"mmm")</f>
        <v>Jan</v>
      </c>
      <c r="D619" s="52" t="str">
        <f>Data!O619</f>
        <v>Female</v>
      </c>
      <c r="E619" s="52">
        <f>Data!G619-Data!F619</f>
        <v>1</v>
      </c>
      <c r="F619" s="52">
        <f>IF(Data!J619&lt;=5,Data!J619,IF(Data!J619&lt;=10,"6 TO 10","More than 10"))</f>
        <v>3</v>
      </c>
      <c r="G619" s="52">
        <f t="shared" si="9"/>
        <v>1</v>
      </c>
      <c r="H619" s="52">
        <f>ROUND(Data!C619*Data!D619-Data!E619,2)</f>
        <v>0</v>
      </c>
      <c r="I619" s="52">
        <f>IF(AND(OR(Sel_Mode="All",Data!I619=Sel_Mode),OR(Sel_Gender="All",D619=Sel_Gender),OR(Sel_Category="All",Data!B619=Sel_Category),OR(Sel_Month="All",C619=Sel_Month),OR(Sel_County="All",Data!L619=Sel_County)),1,0)</f>
        <v>1</v>
      </c>
    </row>
    <row r="620" spans="1:9" x14ac:dyDescent="0.25">
      <c r="A620" s="52" t="str">
        <f>Data!A620</f>
        <v>TX500619</v>
      </c>
      <c r="B620" s="52">
        <f>MONTH(Data!F620)</f>
        <v>1</v>
      </c>
      <c r="C620" s="52" t="str">
        <f>TEXT(Data!F620,"mmm")</f>
        <v>Jan</v>
      </c>
      <c r="D620" s="52" t="str">
        <f>Data!O620</f>
        <v>Male</v>
      </c>
      <c r="E620" s="52">
        <f>Data!G620-Data!F620</f>
        <v>1</v>
      </c>
      <c r="F620" s="52">
        <f>IF(Data!J620&lt;=5,Data!J620,IF(Data!J620&lt;=10,"6 TO 10","More than 10"))</f>
        <v>5</v>
      </c>
      <c r="G620" s="52">
        <f t="shared" si="9"/>
        <v>1</v>
      </c>
      <c r="H620" s="52">
        <f>ROUND(Data!C620*Data!D620-Data!E620,2)</f>
        <v>0</v>
      </c>
      <c r="I620" s="52">
        <f>IF(AND(OR(Sel_Mode="All",Data!I620=Sel_Mode),OR(Sel_Gender="All",D620=Sel_Gender),OR(Sel_Category="All",Data!B620=Sel_Category),OR(Sel_Month="All",C620=Sel_Month),OR(Sel_County="All",Data!L620=Sel_County)),1,0)</f>
        <v>1</v>
      </c>
    </row>
    <row r="621" spans="1:9" x14ac:dyDescent="0.25">
      <c r="A621" s="52" t="str">
        <f>Data!A621</f>
        <v>TX500620</v>
      </c>
      <c r="B621" s="52">
        <f>MONTH(Data!F621)</f>
        <v>1</v>
      </c>
      <c r="C621" s="52" t="str">
        <f>TEXT(Data!F621,"mmm")</f>
        <v>Jan</v>
      </c>
      <c r="D621" s="52" t="str">
        <f>Data!O621</f>
        <v>Male</v>
      </c>
      <c r="E621" s="52">
        <f>Data!G621-Data!F621</f>
        <v>0</v>
      </c>
      <c r="F621" s="52">
        <f>IF(Data!J621&lt;=5,Data!J621,IF(Data!J621&lt;=10,"6 TO 10","More than 10"))</f>
        <v>5</v>
      </c>
      <c r="G621" s="52">
        <f t="shared" si="9"/>
        <v>0</v>
      </c>
      <c r="H621" s="52">
        <f>ROUND(Data!C621*Data!D621-Data!E621,2)</f>
        <v>0</v>
      </c>
      <c r="I621" s="52">
        <f>IF(AND(OR(Sel_Mode="All",Data!I621=Sel_Mode),OR(Sel_Gender="All",D621=Sel_Gender),OR(Sel_Category="All",Data!B621=Sel_Category),OR(Sel_Month="All",C621=Sel_Month),OR(Sel_County="All",Data!L621=Sel_County)),1,0)</f>
        <v>1</v>
      </c>
    </row>
    <row r="622" spans="1:9" x14ac:dyDescent="0.25">
      <c r="A622" s="52" t="str">
        <f>Data!A622</f>
        <v>TX500621</v>
      </c>
      <c r="B622" s="52">
        <f>MONTH(Data!F622)</f>
        <v>1</v>
      </c>
      <c r="C622" s="52" t="str">
        <f>TEXT(Data!F622,"mmm")</f>
        <v>Jan</v>
      </c>
      <c r="D622" s="52" t="str">
        <f>Data!O622</f>
        <v>Female</v>
      </c>
      <c r="E622" s="52">
        <f>Data!G622-Data!F622</f>
        <v>4</v>
      </c>
      <c r="F622" s="52">
        <f>IF(Data!J622&lt;=5,Data!J622,IF(Data!J622&lt;=10,"6 TO 10","More than 10"))</f>
        <v>5</v>
      </c>
      <c r="G622" s="52">
        <f t="shared" si="9"/>
        <v>4</v>
      </c>
      <c r="H622" s="52">
        <f>ROUND(Data!C622*Data!D622-Data!E622,2)</f>
        <v>0</v>
      </c>
      <c r="I622" s="52">
        <f>IF(AND(OR(Sel_Mode="All",Data!I622=Sel_Mode),OR(Sel_Gender="All",D622=Sel_Gender),OR(Sel_Category="All",Data!B622=Sel_Category),OR(Sel_Month="All",C622=Sel_Month),OR(Sel_County="All",Data!L622=Sel_County)),1,0)</f>
        <v>1</v>
      </c>
    </row>
    <row r="623" spans="1:9" x14ac:dyDescent="0.25">
      <c r="A623" s="52" t="str">
        <f>Data!A623</f>
        <v>TX500622</v>
      </c>
      <c r="B623" s="52">
        <f>MONTH(Data!F623)</f>
        <v>1</v>
      </c>
      <c r="C623" s="52" t="str">
        <f>TEXT(Data!F623,"mmm")</f>
        <v>Jan</v>
      </c>
      <c r="D623" s="52" t="str">
        <f>Data!O623</f>
        <v>Male</v>
      </c>
      <c r="E623" s="52">
        <f>Data!G623-Data!F623</f>
        <v>0</v>
      </c>
      <c r="F623" s="52">
        <f>IF(Data!J623&lt;=5,Data!J623,IF(Data!J623&lt;=10,"6 TO 10","More than 10"))</f>
        <v>2</v>
      </c>
      <c r="G623" s="52">
        <f t="shared" si="9"/>
        <v>0</v>
      </c>
      <c r="H623" s="52">
        <f>ROUND(Data!C623*Data!D623-Data!E623,2)</f>
        <v>0</v>
      </c>
      <c r="I623" s="52">
        <f>IF(AND(OR(Sel_Mode="All",Data!I623=Sel_Mode),OR(Sel_Gender="All",D623=Sel_Gender),OR(Sel_Category="All",Data!B623=Sel_Category),OR(Sel_Month="All",C623=Sel_Month),OR(Sel_County="All",Data!L623=Sel_County)),1,0)</f>
        <v>1</v>
      </c>
    </row>
    <row r="624" spans="1:9" x14ac:dyDescent="0.25">
      <c r="A624" s="52" t="str">
        <f>Data!A624</f>
        <v>TX500623</v>
      </c>
      <c r="B624" s="52">
        <f>MONTH(Data!F624)</f>
        <v>1</v>
      </c>
      <c r="C624" s="52" t="str">
        <f>TEXT(Data!F624,"mmm")</f>
        <v>Jan</v>
      </c>
      <c r="D624" s="52" t="str">
        <f>Data!O624</f>
        <v>Female</v>
      </c>
      <c r="E624" s="52">
        <f>Data!G624-Data!F624</f>
        <v>5</v>
      </c>
      <c r="F624" s="52">
        <f>IF(Data!J624&lt;=5,Data!J624,IF(Data!J624&lt;=10,"6 TO 10","More than 10"))</f>
        <v>4</v>
      </c>
      <c r="G624" s="52">
        <f t="shared" si="9"/>
        <v>5</v>
      </c>
      <c r="H624" s="52">
        <f>ROUND(Data!C624*Data!D624-Data!E624,2)</f>
        <v>0</v>
      </c>
      <c r="I624" s="52">
        <f>IF(AND(OR(Sel_Mode="All",Data!I624=Sel_Mode),OR(Sel_Gender="All",D624=Sel_Gender),OR(Sel_Category="All",Data!B624=Sel_Category),OR(Sel_Month="All",C624=Sel_Month),OR(Sel_County="All",Data!L624=Sel_County)),1,0)</f>
        <v>1</v>
      </c>
    </row>
    <row r="625" spans="1:9" x14ac:dyDescent="0.25">
      <c r="A625" s="52" t="str">
        <f>Data!A625</f>
        <v>TX500624</v>
      </c>
      <c r="B625" s="52">
        <f>MONTH(Data!F625)</f>
        <v>1</v>
      </c>
      <c r="C625" s="52" t="str">
        <f>TEXT(Data!F625,"mmm")</f>
        <v>Jan</v>
      </c>
      <c r="D625" s="52" t="str">
        <f>Data!O625</f>
        <v>Unknown</v>
      </c>
      <c r="E625" s="52">
        <f>Data!G625-Data!F625</f>
        <v>1</v>
      </c>
      <c r="F625" s="52">
        <f>IF(Data!J625&lt;=5,Data!J625,IF(Data!J625&lt;=10,"6 TO 10","More than 10"))</f>
        <v>5</v>
      </c>
      <c r="G625" s="52">
        <f t="shared" si="9"/>
        <v>1</v>
      </c>
      <c r="H625" s="52">
        <f>ROUND(Data!C625*Data!D625-Data!E625,2)</f>
        <v>0</v>
      </c>
      <c r="I625" s="52">
        <f>IF(AND(OR(Sel_Mode="All",Data!I625=Sel_Mode),OR(Sel_Gender="All",D625=Sel_Gender),OR(Sel_Category="All",Data!B625=Sel_Category),OR(Sel_Month="All",C625=Sel_Month),OR(Sel_County="All",Data!L625=Sel_County)),1,0)</f>
        <v>1</v>
      </c>
    </row>
    <row r="626" spans="1:9" x14ac:dyDescent="0.25">
      <c r="A626" s="52" t="str">
        <f>Data!A626</f>
        <v>TX500625</v>
      </c>
      <c r="B626" s="52">
        <f>MONTH(Data!F626)</f>
        <v>1</v>
      </c>
      <c r="C626" s="52" t="str">
        <f>TEXT(Data!F626,"mmm")</f>
        <v>Jan</v>
      </c>
      <c r="D626" s="52" t="str">
        <f>Data!O626</f>
        <v>Female</v>
      </c>
      <c r="E626" s="52">
        <f>Data!G626-Data!F626</f>
        <v>2</v>
      </c>
      <c r="F626" s="52">
        <f>IF(Data!J626&lt;=5,Data!J626,IF(Data!J626&lt;=10,"6 TO 10","More than 10"))</f>
        <v>5</v>
      </c>
      <c r="G626" s="52">
        <f t="shared" si="9"/>
        <v>2</v>
      </c>
      <c r="H626" s="52">
        <f>ROUND(Data!C626*Data!D626-Data!E626,2)</f>
        <v>0</v>
      </c>
      <c r="I626" s="52">
        <f>IF(AND(OR(Sel_Mode="All",Data!I626=Sel_Mode),OR(Sel_Gender="All",D626=Sel_Gender),OR(Sel_Category="All",Data!B626=Sel_Category),OR(Sel_Month="All",C626=Sel_Month),OR(Sel_County="All",Data!L626=Sel_County)),1,0)</f>
        <v>1</v>
      </c>
    </row>
    <row r="627" spans="1:9" x14ac:dyDescent="0.25">
      <c r="A627" s="52" t="str">
        <f>Data!A627</f>
        <v>TX500626</v>
      </c>
      <c r="B627" s="52">
        <f>MONTH(Data!F627)</f>
        <v>1</v>
      </c>
      <c r="C627" s="52" t="str">
        <f>TEXT(Data!F627,"mmm")</f>
        <v>Jan</v>
      </c>
      <c r="D627" s="52" t="str">
        <f>Data!O627</f>
        <v>Female</v>
      </c>
      <c r="E627" s="52">
        <f>Data!G627-Data!F627</f>
        <v>2</v>
      </c>
      <c r="F627" s="52">
        <f>IF(Data!J627&lt;=5,Data!J627,IF(Data!J627&lt;=10,"6 TO 10","More than 10"))</f>
        <v>5</v>
      </c>
      <c r="G627" s="52">
        <f t="shared" si="9"/>
        <v>2</v>
      </c>
      <c r="H627" s="52">
        <f>ROUND(Data!C627*Data!D627-Data!E627,2)</f>
        <v>0</v>
      </c>
      <c r="I627" s="52">
        <f>IF(AND(OR(Sel_Mode="All",Data!I627=Sel_Mode),OR(Sel_Gender="All",D627=Sel_Gender),OR(Sel_Category="All",Data!B627=Sel_Category),OR(Sel_Month="All",C627=Sel_Month),OR(Sel_County="All",Data!L627=Sel_County)),1,0)</f>
        <v>1</v>
      </c>
    </row>
    <row r="628" spans="1:9" x14ac:dyDescent="0.25">
      <c r="A628" s="52" t="str">
        <f>Data!A628</f>
        <v>TX500627</v>
      </c>
      <c r="B628" s="52">
        <f>MONTH(Data!F628)</f>
        <v>1</v>
      </c>
      <c r="C628" s="52" t="str">
        <f>TEXT(Data!F628,"mmm")</f>
        <v>Jan</v>
      </c>
      <c r="D628" s="52" t="str">
        <f>Data!O628</f>
        <v>Female</v>
      </c>
      <c r="E628" s="52">
        <f>Data!G628-Data!F628</f>
        <v>1</v>
      </c>
      <c r="F628" s="52">
        <f>IF(Data!J628&lt;=5,Data!J628,IF(Data!J628&lt;=10,"6 TO 10","More than 10"))</f>
        <v>4</v>
      </c>
      <c r="G628" s="52">
        <f t="shared" si="9"/>
        <v>1</v>
      </c>
      <c r="H628" s="52">
        <f>ROUND(Data!C628*Data!D628-Data!E628,2)</f>
        <v>0</v>
      </c>
      <c r="I628" s="52">
        <f>IF(AND(OR(Sel_Mode="All",Data!I628=Sel_Mode),OR(Sel_Gender="All",D628=Sel_Gender),OR(Sel_Category="All",Data!B628=Sel_Category),OR(Sel_Month="All",C628=Sel_Month),OR(Sel_County="All",Data!L628=Sel_County)),1,0)</f>
        <v>1</v>
      </c>
    </row>
    <row r="629" spans="1:9" x14ac:dyDescent="0.25">
      <c r="A629" s="52" t="str">
        <f>Data!A629</f>
        <v>TX500628</v>
      </c>
      <c r="B629" s="52">
        <f>MONTH(Data!F629)</f>
        <v>1</v>
      </c>
      <c r="C629" s="52" t="str">
        <f>TEXT(Data!F629,"mmm")</f>
        <v>Jan</v>
      </c>
      <c r="D629" s="52" t="str">
        <f>Data!O629</f>
        <v>Female</v>
      </c>
      <c r="E629" s="52">
        <f>Data!G629-Data!F629</f>
        <v>1</v>
      </c>
      <c r="F629" s="52">
        <f>IF(Data!J629&lt;=5,Data!J629,IF(Data!J629&lt;=10,"6 TO 10","More than 10"))</f>
        <v>4</v>
      </c>
      <c r="G629" s="52">
        <f t="shared" si="9"/>
        <v>1</v>
      </c>
      <c r="H629" s="52">
        <f>ROUND(Data!C629*Data!D629-Data!E629,2)</f>
        <v>0</v>
      </c>
      <c r="I629" s="52">
        <f>IF(AND(OR(Sel_Mode="All",Data!I629=Sel_Mode),OR(Sel_Gender="All",D629=Sel_Gender),OR(Sel_Category="All",Data!B629=Sel_Category),OR(Sel_Month="All",C629=Sel_Month),OR(Sel_County="All",Data!L629=Sel_County)),1,0)</f>
        <v>1</v>
      </c>
    </row>
    <row r="630" spans="1:9" x14ac:dyDescent="0.25">
      <c r="A630" s="52" t="str">
        <f>Data!A630</f>
        <v>TX500629</v>
      </c>
      <c r="B630" s="52">
        <f>MONTH(Data!F630)</f>
        <v>1</v>
      </c>
      <c r="C630" s="52" t="str">
        <f>TEXT(Data!F630,"mmm")</f>
        <v>Jan</v>
      </c>
      <c r="D630" s="52" t="str">
        <f>Data!O630</f>
        <v>Female</v>
      </c>
      <c r="E630" s="52">
        <f>Data!G630-Data!F630</f>
        <v>2</v>
      </c>
      <c r="F630" s="52">
        <f>IF(Data!J630&lt;=5,Data!J630,IF(Data!J630&lt;=10,"6 TO 10","More than 10"))</f>
        <v>3</v>
      </c>
      <c r="G630" s="52">
        <f t="shared" si="9"/>
        <v>2</v>
      </c>
      <c r="H630" s="52">
        <f>ROUND(Data!C630*Data!D630-Data!E630,2)</f>
        <v>0</v>
      </c>
      <c r="I630" s="52">
        <f>IF(AND(OR(Sel_Mode="All",Data!I630=Sel_Mode),OR(Sel_Gender="All",D630=Sel_Gender),OR(Sel_Category="All",Data!B630=Sel_Category),OR(Sel_Month="All",C630=Sel_Month),OR(Sel_County="All",Data!L630=Sel_County)),1,0)</f>
        <v>1</v>
      </c>
    </row>
    <row r="631" spans="1:9" x14ac:dyDescent="0.25">
      <c r="A631" s="52" t="str">
        <f>Data!A631</f>
        <v>TX500630</v>
      </c>
      <c r="B631" s="52">
        <f>MONTH(Data!F631)</f>
        <v>1</v>
      </c>
      <c r="C631" s="52" t="str">
        <f>TEXT(Data!F631,"mmm")</f>
        <v>Jan</v>
      </c>
      <c r="D631" s="52" t="str">
        <f>Data!O631</f>
        <v>Male</v>
      </c>
      <c r="E631" s="52">
        <f>Data!G631-Data!F631</f>
        <v>3</v>
      </c>
      <c r="F631" s="52">
        <f>IF(Data!J631&lt;=5,Data!J631,IF(Data!J631&lt;=10,"6 TO 10","More than 10"))</f>
        <v>5</v>
      </c>
      <c r="G631" s="52">
        <f t="shared" si="9"/>
        <v>3</v>
      </c>
      <c r="H631" s="52">
        <f>ROUND(Data!C631*Data!D631-Data!E631,2)</f>
        <v>0</v>
      </c>
      <c r="I631" s="52">
        <f>IF(AND(OR(Sel_Mode="All",Data!I631=Sel_Mode),OR(Sel_Gender="All",D631=Sel_Gender),OR(Sel_Category="All",Data!B631=Sel_Category),OR(Sel_Month="All",C631=Sel_Month),OR(Sel_County="All",Data!L631=Sel_County)),1,0)</f>
        <v>1</v>
      </c>
    </row>
    <row r="632" spans="1:9" x14ac:dyDescent="0.25">
      <c r="A632" s="52" t="str">
        <f>Data!A632</f>
        <v>TX500631</v>
      </c>
      <c r="B632" s="52">
        <f>MONTH(Data!F632)</f>
        <v>1</v>
      </c>
      <c r="C632" s="52" t="str">
        <f>TEXT(Data!F632,"mmm")</f>
        <v>Jan</v>
      </c>
      <c r="D632" s="52" t="str">
        <f>Data!O632</f>
        <v>Female</v>
      </c>
      <c r="E632" s="52">
        <f>Data!G632-Data!F632</f>
        <v>1</v>
      </c>
      <c r="F632" s="52">
        <f>IF(Data!J632&lt;=5,Data!J632,IF(Data!J632&lt;=10,"6 TO 10","More than 10"))</f>
        <v>3</v>
      </c>
      <c r="G632" s="52">
        <f t="shared" si="9"/>
        <v>1</v>
      </c>
      <c r="H632" s="52">
        <f>ROUND(Data!C632*Data!D632-Data!E632,2)</f>
        <v>0</v>
      </c>
      <c r="I632" s="52">
        <f>IF(AND(OR(Sel_Mode="All",Data!I632=Sel_Mode),OR(Sel_Gender="All",D632=Sel_Gender),OR(Sel_Category="All",Data!B632=Sel_Category),OR(Sel_Month="All",C632=Sel_Month),OR(Sel_County="All",Data!L632=Sel_County)),1,0)</f>
        <v>1</v>
      </c>
    </row>
    <row r="633" spans="1:9" x14ac:dyDescent="0.25">
      <c r="A633" s="52" t="str">
        <f>Data!A633</f>
        <v>TX500632</v>
      </c>
      <c r="B633" s="52">
        <f>MONTH(Data!F633)</f>
        <v>1</v>
      </c>
      <c r="C633" s="52" t="str">
        <f>TEXT(Data!F633,"mmm")</f>
        <v>Jan</v>
      </c>
      <c r="D633" s="52" t="str">
        <f>Data!O633</f>
        <v>Male</v>
      </c>
      <c r="E633" s="52">
        <f>Data!G633-Data!F633</f>
        <v>1</v>
      </c>
      <c r="F633" s="52">
        <f>IF(Data!J633&lt;=5,Data!J633,IF(Data!J633&lt;=10,"6 TO 10","More than 10"))</f>
        <v>5</v>
      </c>
      <c r="G633" s="52">
        <f t="shared" si="9"/>
        <v>1</v>
      </c>
      <c r="H633" s="52">
        <f>ROUND(Data!C633*Data!D633-Data!E633,2)</f>
        <v>0</v>
      </c>
      <c r="I633" s="52">
        <f>IF(AND(OR(Sel_Mode="All",Data!I633=Sel_Mode),OR(Sel_Gender="All",D633=Sel_Gender),OR(Sel_Category="All",Data!B633=Sel_Category),OR(Sel_Month="All",C633=Sel_Month),OR(Sel_County="All",Data!L633=Sel_County)),1,0)</f>
        <v>1</v>
      </c>
    </row>
    <row r="634" spans="1:9" x14ac:dyDescent="0.25">
      <c r="A634" s="52" t="str">
        <f>Data!A634</f>
        <v>TX500633</v>
      </c>
      <c r="B634" s="52">
        <f>MONTH(Data!F634)</f>
        <v>1</v>
      </c>
      <c r="C634" s="52" t="str">
        <f>TEXT(Data!F634,"mmm")</f>
        <v>Jan</v>
      </c>
      <c r="D634" s="52" t="str">
        <f>Data!O634</f>
        <v>Male</v>
      </c>
      <c r="E634" s="52">
        <f>Data!G634-Data!F634</f>
        <v>1</v>
      </c>
      <c r="F634" s="52">
        <f>IF(Data!J634&lt;=5,Data!J634,IF(Data!J634&lt;=10,"6 TO 10","More than 10"))</f>
        <v>5</v>
      </c>
      <c r="G634" s="52">
        <f t="shared" si="9"/>
        <v>1</v>
      </c>
      <c r="H634" s="52">
        <f>ROUND(Data!C634*Data!D634-Data!E634,2)</f>
        <v>0</v>
      </c>
      <c r="I634" s="52">
        <f>IF(AND(OR(Sel_Mode="All",Data!I634=Sel_Mode),OR(Sel_Gender="All",D634=Sel_Gender),OR(Sel_Category="All",Data!B634=Sel_Category),OR(Sel_Month="All",C634=Sel_Month),OR(Sel_County="All",Data!L634=Sel_County)),1,0)</f>
        <v>1</v>
      </c>
    </row>
    <row r="635" spans="1:9" x14ac:dyDescent="0.25">
      <c r="A635" s="52" t="str">
        <f>Data!A635</f>
        <v>TX500634</v>
      </c>
      <c r="B635" s="52">
        <f>MONTH(Data!F635)</f>
        <v>1</v>
      </c>
      <c r="C635" s="52" t="str">
        <f>TEXT(Data!F635,"mmm")</f>
        <v>Jan</v>
      </c>
      <c r="D635" s="52" t="str">
        <f>Data!O635</f>
        <v>Female</v>
      </c>
      <c r="E635" s="52">
        <f>Data!G635-Data!F635</f>
        <v>1</v>
      </c>
      <c r="F635" s="52">
        <f>IF(Data!J635&lt;=5,Data!J635,IF(Data!J635&lt;=10,"6 TO 10","More than 10"))</f>
        <v>3</v>
      </c>
      <c r="G635" s="52">
        <f t="shared" si="9"/>
        <v>1</v>
      </c>
      <c r="H635" s="52">
        <f>ROUND(Data!C635*Data!D635-Data!E635,2)</f>
        <v>0</v>
      </c>
      <c r="I635" s="52">
        <f>IF(AND(OR(Sel_Mode="All",Data!I635=Sel_Mode),OR(Sel_Gender="All",D635=Sel_Gender),OR(Sel_Category="All",Data!B635=Sel_Category),OR(Sel_Month="All",C635=Sel_Month),OR(Sel_County="All",Data!L635=Sel_County)),1,0)</f>
        <v>1</v>
      </c>
    </row>
    <row r="636" spans="1:9" x14ac:dyDescent="0.25">
      <c r="A636" s="52" t="str">
        <f>Data!A636</f>
        <v>TX500635</v>
      </c>
      <c r="B636" s="52">
        <f>MONTH(Data!F636)</f>
        <v>1</v>
      </c>
      <c r="C636" s="52" t="str">
        <f>TEXT(Data!F636,"mmm")</f>
        <v>Jan</v>
      </c>
      <c r="D636" s="52" t="str">
        <f>Data!O636</f>
        <v>Female</v>
      </c>
      <c r="E636" s="52">
        <f>Data!G636-Data!F636</f>
        <v>7</v>
      </c>
      <c r="F636" s="52">
        <f>IF(Data!J636&lt;=5,Data!J636,IF(Data!J636&lt;=10,"6 TO 10","More than 10"))</f>
        <v>5</v>
      </c>
      <c r="G636" s="52">
        <f t="shared" si="9"/>
        <v>7</v>
      </c>
      <c r="H636" s="52">
        <f>ROUND(Data!C636*Data!D636-Data!E636,2)</f>
        <v>0</v>
      </c>
      <c r="I636" s="52">
        <f>IF(AND(OR(Sel_Mode="All",Data!I636=Sel_Mode),OR(Sel_Gender="All",D636=Sel_Gender),OR(Sel_Category="All",Data!B636=Sel_Category),OR(Sel_Month="All",C636=Sel_Month),OR(Sel_County="All",Data!L636=Sel_County)),1,0)</f>
        <v>1</v>
      </c>
    </row>
    <row r="637" spans="1:9" x14ac:dyDescent="0.25">
      <c r="A637" s="52" t="str">
        <f>Data!A637</f>
        <v>TX500636</v>
      </c>
      <c r="B637" s="52">
        <f>MONTH(Data!F637)</f>
        <v>1</v>
      </c>
      <c r="C637" s="52" t="str">
        <f>TEXT(Data!F637,"mmm")</f>
        <v>Jan</v>
      </c>
      <c r="D637" s="52" t="str">
        <f>Data!O637</f>
        <v>Male</v>
      </c>
      <c r="E637" s="52">
        <f>Data!G637-Data!F637</f>
        <v>0</v>
      </c>
      <c r="F637" s="52">
        <f>IF(Data!J637&lt;=5,Data!J637,IF(Data!J637&lt;=10,"6 TO 10","More than 10"))</f>
        <v>3</v>
      </c>
      <c r="G637" s="52">
        <f t="shared" si="9"/>
        <v>0</v>
      </c>
      <c r="H637" s="52">
        <f>ROUND(Data!C637*Data!D637-Data!E637,2)</f>
        <v>0</v>
      </c>
      <c r="I637" s="52">
        <f>IF(AND(OR(Sel_Mode="All",Data!I637=Sel_Mode),OR(Sel_Gender="All",D637=Sel_Gender),OR(Sel_Category="All",Data!B637=Sel_Category),OR(Sel_Month="All",C637=Sel_Month),OR(Sel_County="All",Data!L637=Sel_County)),1,0)</f>
        <v>1</v>
      </c>
    </row>
    <row r="638" spans="1:9" x14ac:dyDescent="0.25">
      <c r="A638" s="52" t="str">
        <f>Data!A638</f>
        <v>TX500637</v>
      </c>
      <c r="B638" s="52">
        <f>MONTH(Data!F638)</f>
        <v>1</v>
      </c>
      <c r="C638" s="52" t="str">
        <f>TEXT(Data!F638,"mmm")</f>
        <v>Jan</v>
      </c>
      <c r="D638" s="52" t="str">
        <f>Data!O638</f>
        <v>Male</v>
      </c>
      <c r="E638" s="52">
        <f>Data!G638-Data!F638</f>
        <v>5</v>
      </c>
      <c r="F638" s="52">
        <f>IF(Data!J638&lt;=5,Data!J638,IF(Data!J638&lt;=10,"6 TO 10","More than 10"))</f>
        <v>4</v>
      </c>
      <c r="G638" s="52">
        <f t="shared" si="9"/>
        <v>5</v>
      </c>
      <c r="H638" s="52">
        <f>ROUND(Data!C638*Data!D638-Data!E638,2)</f>
        <v>0</v>
      </c>
      <c r="I638" s="52">
        <f>IF(AND(OR(Sel_Mode="All",Data!I638=Sel_Mode),OR(Sel_Gender="All",D638=Sel_Gender),OR(Sel_Category="All",Data!B638=Sel_Category),OR(Sel_Month="All",C638=Sel_Month),OR(Sel_County="All",Data!L638=Sel_County)),1,0)</f>
        <v>1</v>
      </c>
    </row>
    <row r="639" spans="1:9" x14ac:dyDescent="0.25">
      <c r="A639" s="52" t="str">
        <f>Data!A639</f>
        <v>TX500638</v>
      </c>
      <c r="B639" s="52">
        <f>MONTH(Data!F639)</f>
        <v>1</v>
      </c>
      <c r="C639" s="52" t="str">
        <f>TEXT(Data!F639,"mmm")</f>
        <v>Jan</v>
      </c>
      <c r="D639" s="52" t="str">
        <f>Data!O639</f>
        <v>Female</v>
      </c>
      <c r="E639" s="52">
        <f>Data!G639-Data!F639</f>
        <v>2</v>
      </c>
      <c r="F639" s="52">
        <f>IF(Data!J639&lt;=5,Data!J639,IF(Data!J639&lt;=10,"6 TO 10","More than 10"))</f>
        <v>4</v>
      </c>
      <c r="G639" s="52">
        <f t="shared" si="9"/>
        <v>2</v>
      </c>
      <c r="H639" s="52">
        <f>ROUND(Data!C639*Data!D639-Data!E639,2)</f>
        <v>0</v>
      </c>
      <c r="I639" s="52">
        <f>IF(AND(OR(Sel_Mode="All",Data!I639=Sel_Mode),OR(Sel_Gender="All",D639=Sel_Gender),OR(Sel_Category="All",Data!B639=Sel_Category),OR(Sel_Month="All",C639=Sel_Month),OR(Sel_County="All",Data!L639=Sel_County)),1,0)</f>
        <v>1</v>
      </c>
    </row>
    <row r="640" spans="1:9" x14ac:dyDescent="0.25">
      <c r="A640" s="52" t="str">
        <f>Data!A640</f>
        <v>TX500639</v>
      </c>
      <c r="B640" s="52">
        <f>MONTH(Data!F640)</f>
        <v>1</v>
      </c>
      <c r="C640" s="52" t="str">
        <f>TEXT(Data!F640,"mmm")</f>
        <v>Jan</v>
      </c>
      <c r="D640" s="52" t="str">
        <f>Data!O640</f>
        <v>Female</v>
      </c>
      <c r="E640" s="52">
        <f>Data!G640-Data!F640</f>
        <v>2</v>
      </c>
      <c r="F640" s="52">
        <f>IF(Data!J640&lt;=5,Data!J640,IF(Data!J640&lt;=10,"6 TO 10","More than 10"))</f>
        <v>4</v>
      </c>
      <c r="G640" s="52">
        <f t="shared" si="9"/>
        <v>2</v>
      </c>
      <c r="H640" s="52">
        <f>ROUND(Data!C640*Data!D640-Data!E640,2)</f>
        <v>0</v>
      </c>
      <c r="I640" s="52">
        <f>IF(AND(OR(Sel_Mode="All",Data!I640=Sel_Mode),OR(Sel_Gender="All",D640=Sel_Gender),OR(Sel_Category="All",Data!B640=Sel_Category),OR(Sel_Month="All",C640=Sel_Month),OR(Sel_County="All",Data!L640=Sel_County)),1,0)</f>
        <v>1</v>
      </c>
    </row>
    <row r="641" spans="1:9" x14ac:dyDescent="0.25">
      <c r="A641" s="52" t="str">
        <f>Data!A641</f>
        <v>TX500640</v>
      </c>
      <c r="B641" s="52">
        <f>MONTH(Data!F641)</f>
        <v>1</v>
      </c>
      <c r="C641" s="52" t="str">
        <f>TEXT(Data!F641,"mmm")</f>
        <v>Jan</v>
      </c>
      <c r="D641" s="52" t="str">
        <f>Data!O641</f>
        <v>Female</v>
      </c>
      <c r="E641" s="52">
        <f>Data!G641-Data!F641</f>
        <v>2</v>
      </c>
      <c r="F641" s="52">
        <f>IF(Data!J641&lt;=5,Data!J641,IF(Data!J641&lt;=10,"6 TO 10","More than 10"))</f>
        <v>5</v>
      </c>
      <c r="G641" s="52">
        <f t="shared" si="9"/>
        <v>2</v>
      </c>
      <c r="H641" s="52">
        <f>ROUND(Data!C641*Data!D641-Data!E641,2)</f>
        <v>0</v>
      </c>
      <c r="I641" s="52">
        <f>IF(AND(OR(Sel_Mode="All",Data!I641=Sel_Mode),OR(Sel_Gender="All",D641=Sel_Gender),OR(Sel_Category="All",Data!B641=Sel_Category),OR(Sel_Month="All",C641=Sel_Month),OR(Sel_County="All",Data!L641=Sel_County)),1,0)</f>
        <v>1</v>
      </c>
    </row>
    <row r="642" spans="1:9" x14ac:dyDescent="0.25">
      <c r="A642" s="52" t="str">
        <f>Data!A642</f>
        <v>TX500641</v>
      </c>
      <c r="B642" s="52">
        <f>MONTH(Data!F642)</f>
        <v>1</v>
      </c>
      <c r="C642" s="52" t="str">
        <f>TEXT(Data!F642,"mmm")</f>
        <v>Jan</v>
      </c>
      <c r="D642" s="52" t="str">
        <f>Data!O642</f>
        <v>Male</v>
      </c>
      <c r="E642" s="52">
        <f>Data!G642-Data!F642</f>
        <v>3</v>
      </c>
      <c r="F642" s="52">
        <f>IF(Data!J642&lt;=5,Data!J642,IF(Data!J642&lt;=10,"6 TO 10","More than 10"))</f>
        <v>4</v>
      </c>
      <c r="G642" s="52">
        <f t="shared" ref="G642:G705" si="10">IF(E642&gt;=8,"8+",E642)</f>
        <v>3</v>
      </c>
      <c r="H642" s="52">
        <f>ROUND(Data!C642*Data!D642-Data!E642,2)</f>
        <v>0</v>
      </c>
      <c r="I642" s="52">
        <f>IF(AND(OR(Sel_Mode="All",Data!I642=Sel_Mode),OR(Sel_Gender="All",D642=Sel_Gender),OR(Sel_Category="All",Data!B642=Sel_Category),OR(Sel_Month="All",C642=Sel_Month),OR(Sel_County="All",Data!L642=Sel_County)),1,0)</f>
        <v>1</v>
      </c>
    </row>
    <row r="643" spans="1:9" x14ac:dyDescent="0.25">
      <c r="A643" s="52" t="str">
        <f>Data!A643</f>
        <v>TX500642</v>
      </c>
      <c r="B643" s="52">
        <f>MONTH(Data!F643)</f>
        <v>1</v>
      </c>
      <c r="C643" s="52" t="str">
        <f>TEXT(Data!F643,"mmm")</f>
        <v>Jan</v>
      </c>
      <c r="D643" s="52" t="str">
        <f>Data!O643</f>
        <v>Female</v>
      </c>
      <c r="E643" s="52">
        <f>Data!G643-Data!F643</f>
        <v>2</v>
      </c>
      <c r="F643" s="52">
        <f>IF(Data!J643&lt;=5,Data!J643,IF(Data!J643&lt;=10,"6 TO 10","More than 10"))</f>
        <v>4</v>
      </c>
      <c r="G643" s="52">
        <f t="shared" si="10"/>
        <v>2</v>
      </c>
      <c r="H643" s="52">
        <f>ROUND(Data!C643*Data!D643-Data!E643,2)</f>
        <v>0</v>
      </c>
      <c r="I643" s="52">
        <f>IF(AND(OR(Sel_Mode="All",Data!I643=Sel_Mode),OR(Sel_Gender="All",D643=Sel_Gender),OR(Sel_Category="All",Data!B643=Sel_Category),OR(Sel_Month="All",C643=Sel_Month),OR(Sel_County="All",Data!L643=Sel_County)),1,0)</f>
        <v>1</v>
      </c>
    </row>
    <row r="644" spans="1:9" x14ac:dyDescent="0.25">
      <c r="A644" s="52" t="str">
        <f>Data!A644</f>
        <v>TX500643</v>
      </c>
      <c r="B644" s="52">
        <f>MONTH(Data!F644)</f>
        <v>1</v>
      </c>
      <c r="C644" s="52" t="str">
        <f>TEXT(Data!F644,"mmm")</f>
        <v>Jan</v>
      </c>
      <c r="D644" s="52" t="str">
        <f>Data!O644</f>
        <v>Male</v>
      </c>
      <c r="E644" s="52">
        <f>Data!G644-Data!F644</f>
        <v>2</v>
      </c>
      <c r="F644" s="52">
        <f>IF(Data!J644&lt;=5,Data!J644,IF(Data!J644&lt;=10,"6 TO 10","More than 10"))</f>
        <v>3</v>
      </c>
      <c r="G644" s="52">
        <f t="shared" si="10"/>
        <v>2</v>
      </c>
      <c r="H644" s="52">
        <f>ROUND(Data!C644*Data!D644-Data!E644,2)</f>
        <v>0</v>
      </c>
      <c r="I644" s="52">
        <f>IF(AND(OR(Sel_Mode="All",Data!I644=Sel_Mode),OR(Sel_Gender="All",D644=Sel_Gender),OR(Sel_Category="All",Data!B644=Sel_Category),OR(Sel_Month="All",C644=Sel_Month),OR(Sel_County="All",Data!L644=Sel_County)),1,0)</f>
        <v>1</v>
      </c>
    </row>
    <row r="645" spans="1:9" x14ac:dyDescent="0.25">
      <c r="A645" s="52" t="str">
        <f>Data!A645</f>
        <v>TX500644</v>
      </c>
      <c r="B645" s="52">
        <f>MONTH(Data!F645)</f>
        <v>1</v>
      </c>
      <c r="C645" s="52" t="str">
        <f>TEXT(Data!F645,"mmm")</f>
        <v>Jan</v>
      </c>
      <c r="D645" s="52" t="str">
        <f>Data!O645</f>
        <v>Female</v>
      </c>
      <c r="E645" s="52">
        <f>Data!G645-Data!F645</f>
        <v>1</v>
      </c>
      <c r="F645" s="52">
        <f>IF(Data!J645&lt;=5,Data!J645,IF(Data!J645&lt;=10,"6 TO 10","More than 10"))</f>
        <v>4</v>
      </c>
      <c r="G645" s="52">
        <f t="shared" si="10"/>
        <v>1</v>
      </c>
      <c r="H645" s="52">
        <f>ROUND(Data!C645*Data!D645-Data!E645,2)</f>
        <v>0</v>
      </c>
      <c r="I645" s="52">
        <f>IF(AND(OR(Sel_Mode="All",Data!I645=Sel_Mode),OR(Sel_Gender="All",D645=Sel_Gender),OR(Sel_Category="All",Data!B645=Sel_Category),OR(Sel_Month="All",C645=Sel_Month),OR(Sel_County="All",Data!L645=Sel_County)),1,0)</f>
        <v>1</v>
      </c>
    </row>
    <row r="646" spans="1:9" x14ac:dyDescent="0.25">
      <c r="A646" s="52" t="str">
        <f>Data!A646</f>
        <v>TX500645</v>
      </c>
      <c r="B646" s="52">
        <f>MONTH(Data!F646)</f>
        <v>1</v>
      </c>
      <c r="C646" s="52" t="str">
        <f>TEXT(Data!F646,"mmm")</f>
        <v>Jan</v>
      </c>
      <c r="D646" s="52" t="str">
        <f>Data!O646</f>
        <v>Female</v>
      </c>
      <c r="E646" s="52">
        <f>Data!G646-Data!F646</f>
        <v>2</v>
      </c>
      <c r="F646" s="52">
        <f>IF(Data!J646&lt;=5,Data!J646,IF(Data!J646&lt;=10,"6 TO 10","More than 10"))</f>
        <v>4</v>
      </c>
      <c r="G646" s="52">
        <f t="shared" si="10"/>
        <v>2</v>
      </c>
      <c r="H646" s="52">
        <f>ROUND(Data!C646*Data!D646-Data!E646,2)</f>
        <v>0</v>
      </c>
      <c r="I646" s="52">
        <f>IF(AND(OR(Sel_Mode="All",Data!I646=Sel_Mode),OR(Sel_Gender="All",D646=Sel_Gender),OR(Sel_Category="All",Data!B646=Sel_Category),OR(Sel_Month="All",C646=Sel_Month),OR(Sel_County="All",Data!L646=Sel_County)),1,0)</f>
        <v>1</v>
      </c>
    </row>
    <row r="647" spans="1:9" x14ac:dyDescent="0.25">
      <c r="A647" s="52" t="str">
        <f>Data!A647</f>
        <v>TX500646</v>
      </c>
      <c r="B647" s="52">
        <f>MONTH(Data!F647)</f>
        <v>1</v>
      </c>
      <c r="C647" s="52" t="str">
        <f>TEXT(Data!F647,"mmm")</f>
        <v>Jan</v>
      </c>
      <c r="D647" s="52" t="str">
        <f>Data!O647</f>
        <v>Female</v>
      </c>
      <c r="E647" s="52">
        <f>Data!G647-Data!F647</f>
        <v>5</v>
      </c>
      <c r="F647" s="52">
        <f>IF(Data!J647&lt;=5,Data!J647,IF(Data!J647&lt;=10,"6 TO 10","More than 10"))</f>
        <v>5</v>
      </c>
      <c r="G647" s="52">
        <f t="shared" si="10"/>
        <v>5</v>
      </c>
      <c r="H647" s="52">
        <f>ROUND(Data!C647*Data!D647-Data!E647,2)</f>
        <v>0</v>
      </c>
      <c r="I647" s="52">
        <f>IF(AND(OR(Sel_Mode="All",Data!I647=Sel_Mode),OR(Sel_Gender="All",D647=Sel_Gender),OR(Sel_Category="All",Data!B647=Sel_Category),OR(Sel_Month="All",C647=Sel_Month),OR(Sel_County="All",Data!L647=Sel_County)),1,0)</f>
        <v>1</v>
      </c>
    </row>
    <row r="648" spans="1:9" x14ac:dyDescent="0.25">
      <c r="A648" s="52" t="str">
        <f>Data!A648</f>
        <v>TX500647</v>
      </c>
      <c r="B648" s="52">
        <f>MONTH(Data!F648)</f>
        <v>1</v>
      </c>
      <c r="C648" s="52" t="str">
        <f>TEXT(Data!F648,"mmm")</f>
        <v>Jan</v>
      </c>
      <c r="D648" s="52" t="str">
        <f>Data!O648</f>
        <v>Unknown</v>
      </c>
      <c r="E648" s="52">
        <f>Data!G648-Data!F648</f>
        <v>0</v>
      </c>
      <c r="F648" s="52">
        <f>IF(Data!J648&lt;=5,Data!J648,IF(Data!J648&lt;=10,"6 TO 10","More than 10"))</f>
        <v>5</v>
      </c>
      <c r="G648" s="52">
        <f t="shared" si="10"/>
        <v>0</v>
      </c>
      <c r="H648" s="52">
        <f>ROUND(Data!C648*Data!D648-Data!E648,2)</f>
        <v>0</v>
      </c>
      <c r="I648" s="52">
        <f>IF(AND(OR(Sel_Mode="All",Data!I648=Sel_Mode),OR(Sel_Gender="All",D648=Sel_Gender),OR(Sel_Category="All",Data!B648=Sel_Category),OR(Sel_Month="All",C648=Sel_Month),OR(Sel_County="All",Data!L648=Sel_County)),1,0)</f>
        <v>1</v>
      </c>
    </row>
    <row r="649" spans="1:9" x14ac:dyDescent="0.25">
      <c r="A649" s="52" t="str">
        <f>Data!A649</f>
        <v>TX500648</v>
      </c>
      <c r="B649" s="52">
        <f>MONTH(Data!F649)</f>
        <v>1</v>
      </c>
      <c r="C649" s="52" t="str">
        <f>TEXT(Data!F649,"mmm")</f>
        <v>Jan</v>
      </c>
      <c r="D649" s="52" t="str">
        <f>Data!O649</f>
        <v>Female</v>
      </c>
      <c r="E649" s="52">
        <f>Data!G649-Data!F649</f>
        <v>4</v>
      </c>
      <c r="F649" s="52">
        <f>IF(Data!J649&lt;=5,Data!J649,IF(Data!J649&lt;=10,"6 TO 10","More than 10"))</f>
        <v>5</v>
      </c>
      <c r="G649" s="52">
        <f t="shared" si="10"/>
        <v>4</v>
      </c>
      <c r="H649" s="52">
        <f>ROUND(Data!C649*Data!D649-Data!E649,2)</f>
        <v>0</v>
      </c>
      <c r="I649" s="52">
        <f>IF(AND(OR(Sel_Mode="All",Data!I649=Sel_Mode),OR(Sel_Gender="All",D649=Sel_Gender),OR(Sel_Category="All",Data!B649=Sel_Category),OR(Sel_Month="All",C649=Sel_Month),OR(Sel_County="All",Data!L649=Sel_County)),1,0)</f>
        <v>1</v>
      </c>
    </row>
    <row r="650" spans="1:9" x14ac:dyDescent="0.25">
      <c r="A650" s="52" t="str">
        <f>Data!A650</f>
        <v>TX500649</v>
      </c>
      <c r="B650" s="52">
        <f>MONTH(Data!F650)</f>
        <v>1</v>
      </c>
      <c r="C650" s="52" t="str">
        <f>TEXT(Data!F650,"mmm")</f>
        <v>Jan</v>
      </c>
      <c r="D650" s="52" t="str">
        <f>Data!O650</f>
        <v>Female</v>
      </c>
      <c r="E650" s="52">
        <f>Data!G650-Data!F650</f>
        <v>5</v>
      </c>
      <c r="F650" s="52">
        <f>IF(Data!J650&lt;=5,Data!J650,IF(Data!J650&lt;=10,"6 TO 10","More than 10"))</f>
        <v>4</v>
      </c>
      <c r="G650" s="52">
        <f t="shared" si="10"/>
        <v>5</v>
      </c>
      <c r="H650" s="52">
        <f>ROUND(Data!C650*Data!D650-Data!E650,2)</f>
        <v>0</v>
      </c>
      <c r="I650" s="52">
        <f>IF(AND(OR(Sel_Mode="All",Data!I650=Sel_Mode),OR(Sel_Gender="All",D650=Sel_Gender),OR(Sel_Category="All",Data!B650=Sel_Category),OR(Sel_Month="All",C650=Sel_Month),OR(Sel_County="All",Data!L650=Sel_County)),1,0)</f>
        <v>1</v>
      </c>
    </row>
    <row r="651" spans="1:9" x14ac:dyDescent="0.25">
      <c r="A651" s="52" t="str">
        <f>Data!A651</f>
        <v>TX500650</v>
      </c>
      <c r="B651" s="52">
        <f>MONTH(Data!F651)</f>
        <v>1</v>
      </c>
      <c r="C651" s="52" t="str">
        <f>TEXT(Data!F651,"mmm")</f>
        <v>Jan</v>
      </c>
      <c r="D651" s="52" t="str">
        <f>Data!O651</f>
        <v>Male</v>
      </c>
      <c r="E651" s="52">
        <f>Data!G651-Data!F651</f>
        <v>1</v>
      </c>
      <c r="F651" s="52">
        <f>IF(Data!J651&lt;=5,Data!J651,IF(Data!J651&lt;=10,"6 TO 10","More than 10"))</f>
        <v>3</v>
      </c>
      <c r="G651" s="52">
        <f t="shared" si="10"/>
        <v>1</v>
      </c>
      <c r="H651" s="52">
        <f>ROUND(Data!C651*Data!D651-Data!E651,2)</f>
        <v>0</v>
      </c>
      <c r="I651" s="52">
        <f>IF(AND(OR(Sel_Mode="All",Data!I651=Sel_Mode),OR(Sel_Gender="All",D651=Sel_Gender),OR(Sel_Category="All",Data!B651=Sel_Category),OR(Sel_Month="All",C651=Sel_Month),OR(Sel_County="All",Data!L651=Sel_County)),1,0)</f>
        <v>1</v>
      </c>
    </row>
    <row r="652" spans="1:9" x14ac:dyDescent="0.25">
      <c r="A652" s="52" t="str">
        <f>Data!A652</f>
        <v>TX500651</v>
      </c>
      <c r="B652" s="52">
        <f>MONTH(Data!F652)</f>
        <v>1</v>
      </c>
      <c r="C652" s="52" t="str">
        <f>TEXT(Data!F652,"mmm")</f>
        <v>Jan</v>
      </c>
      <c r="D652" s="52" t="str">
        <f>Data!O652</f>
        <v>Female</v>
      </c>
      <c r="E652" s="52">
        <f>Data!G652-Data!F652</f>
        <v>11</v>
      </c>
      <c r="F652" s="52">
        <f>IF(Data!J652&lt;=5,Data!J652,IF(Data!J652&lt;=10,"6 TO 10","More than 10"))</f>
        <v>5</v>
      </c>
      <c r="G652" s="52" t="str">
        <f t="shared" si="10"/>
        <v>8+</v>
      </c>
      <c r="H652" s="52">
        <f>ROUND(Data!C652*Data!D652-Data!E652,2)</f>
        <v>0</v>
      </c>
      <c r="I652" s="52">
        <f>IF(AND(OR(Sel_Mode="All",Data!I652=Sel_Mode),OR(Sel_Gender="All",D652=Sel_Gender),OR(Sel_Category="All",Data!B652=Sel_Category),OR(Sel_Month="All",C652=Sel_Month),OR(Sel_County="All",Data!L652=Sel_County)),1,0)</f>
        <v>1</v>
      </c>
    </row>
    <row r="653" spans="1:9" x14ac:dyDescent="0.25">
      <c r="A653" s="52" t="str">
        <f>Data!A653</f>
        <v>TX500652</v>
      </c>
      <c r="B653" s="52">
        <f>MONTH(Data!F653)</f>
        <v>1</v>
      </c>
      <c r="C653" s="52" t="str">
        <f>TEXT(Data!F653,"mmm")</f>
        <v>Jan</v>
      </c>
      <c r="D653" s="52" t="str">
        <f>Data!O653</f>
        <v>Female</v>
      </c>
      <c r="E653" s="52">
        <f>Data!G653-Data!F653</f>
        <v>3</v>
      </c>
      <c r="F653" s="52">
        <f>IF(Data!J653&lt;=5,Data!J653,IF(Data!J653&lt;=10,"6 TO 10","More than 10"))</f>
        <v>4</v>
      </c>
      <c r="G653" s="52">
        <f t="shared" si="10"/>
        <v>3</v>
      </c>
      <c r="H653" s="52">
        <f>ROUND(Data!C653*Data!D653-Data!E653,2)</f>
        <v>0</v>
      </c>
      <c r="I653" s="52">
        <f>IF(AND(OR(Sel_Mode="All",Data!I653=Sel_Mode),OR(Sel_Gender="All",D653=Sel_Gender),OR(Sel_Category="All",Data!B653=Sel_Category),OR(Sel_Month="All",C653=Sel_Month),OR(Sel_County="All",Data!L653=Sel_County)),1,0)</f>
        <v>1</v>
      </c>
    </row>
    <row r="654" spans="1:9" x14ac:dyDescent="0.25">
      <c r="A654" s="52" t="str">
        <f>Data!A654</f>
        <v>TX500653</v>
      </c>
      <c r="B654" s="52">
        <f>MONTH(Data!F654)</f>
        <v>1</v>
      </c>
      <c r="C654" s="52" t="str">
        <f>TEXT(Data!F654,"mmm")</f>
        <v>Jan</v>
      </c>
      <c r="D654" s="52" t="str">
        <f>Data!O654</f>
        <v>Male</v>
      </c>
      <c r="E654" s="52">
        <f>Data!G654-Data!F654</f>
        <v>1</v>
      </c>
      <c r="F654" s="52">
        <f>IF(Data!J654&lt;=5,Data!J654,IF(Data!J654&lt;=10,"6 TO 10","More than 10"))</f>
        <v>5</v>
      </c>
      <c r="G654" s="52">
        <f t="shared" si="10"/>
        <v>1</v>
      </c>
      <c r="H654" s="52">
        <f>ROUND(Data!C654*Data!D654-Data!E654,2)</f>
        <v>0</v>
      </c>
      <c r="I654" s="52">
        <f>IF(AND(OR(Sel_Mode="All",Data!I654=Sel_Mode),OR(Sel_Gender="All",D654=Sel_Gender),OR(Sel_Category="All",Data!B654=Sel_Category),OR(Sel_Month="All",C654=Sel_Month),OR(Sel_County="All",Data!L654=Sel_County)),1,0)</f>
        <v>1</v>
      </c>
    </row>
    <row r="655" spans="1:9" x14ac:dyDescent="0.25">
      <c r="A655" s="52" t="str">
        <f>Data!A655</f>
        <v>TX500654</v>
      </c>
      <c r="B655" s="52">
        <f>MONTH(Data!F655)</f>
        <v>1</v>
      </c>
      <c r="C655" s="52" t="str">
        <f>TEXT(Data!F655,"mmm")</f>
        <v>Jan</v>
      </c>
      <c r="D655" s="52" t="str">
        <f>Data!O655</f>
        <v>Female</v>
      </c>
      <c r="E655" s="52">
        <f>Data!G655-Data!F655</f>
        <v>6</v>
      </c>
      <c r="F655" s="52">
        <f>IF(Data!J655&lt;=5,Data!J655,IF(Data!J655&lt;=10,"6 TO 10","More than 10"))</f>
        <v>4</v>
      </c>
      <c r="G655" s="52">
        <f t="shared" si="10"/>
        <v>6</v>
      </c>
      <c r="H655" s="52">
        <f>ROUND(Data!C655*Data!D655-Data!E655,2)</f>
        <v>0</v>
      </c>
      <c r="I655" s="52">
        <f>IF(AND(OR(Sel_Mode="All",Data!I655=Sel_Mode),OR(Sel_Gender="All",D655=Sel_Gender),OR(Sel_Category="All",Data!B655=Sel_Category),OR(Sel_Month="All",C655=Sel_Month),OR(Sel_County="All",Data!L655=Sel_County)),1,0)</f>
        <v>1</v>
      </c>
    </row>
    <row r="656" spans="1:9" x14ac:dyDescent="0.25">
      <c r="A656" s="52" t="str">
        <f>Data!A656</f>
        <v>TX500655</v>
      </c>
      <c r="B656" s="52">
        <f>MONTH(Data!F656)</f>
        <v>1</v>
      </c>
      <c r="C656" s="52" t="str">
        <f>TEXT(Data!F656,"mmm")</f>
        <v>Jan</v>
      </c>
      <c r="D656" s="52" t="str">
        <f>Data!O656</f>
        <v>Male</v>
      </c>
      <c r="E656" s="52">
        <f>Data!G656-Data!F656</f>
        <v>1</v>
      </c>
      <c r="F656" s="52">
        <f>IF(Data!J656&lt;=5,Data!J656,IF(Data!J656&lt;=10,"6 TO 10","More than 10"))</f>
        <v>5</v>
      </c>
      <c r="G656" s="52">
        <f t="shared" si="10"/>
        <v>1</v>
      </c>
      <c r="H656" s="52">
        <f>ROUND(Data!C656*Data!D656-Data!E656,2)</f>
        <v>0</v>
      </c>
      <c r="I656" s="52">
        <f>IF(AND(OR(Sel_Mode="All",Data!I656=Sel_Mode),OR(Sel_Gender="All",D656=Sel_Gender),OR(Sel_Category="All",Data!B656=Sel_Category),OR(Sel_Month="All",C656=Sel_Month),OR(Sel_County="All",Data!L656=Sel_County)),1,0)</f>
        <v>1</v>
      </c>
    </row>
    <row r="657" spans="1:9" x14ac:dyDescent="0.25">
      <c r="A657" s="52" t="str">
        <f>Data!A657</f>
        <v>TX500656</v>
      </c>
      <c r="B657" s="52">
        <f>MONTH(Data!F657)</f>
        <v>1</v>
      </c>
      <c r="C657" s="52" t="str">
        <f>TEXT(Data!F657,"mmm")</f>
        <v>Jan</v>
      </c>
      <c r="D657" s="52" t="str">
        <f>Data!O657</f>
        <v>Female</v>
      </c>
      <c r="E657" s="52">
        <f>Data!G657-Data!F657</f>
        <v>4</v>
      </c>
      <c r="F657" s="52">
        <f>IF(Data!J657&lt;=5,Data!J657,IF(Data!J657&lt;=10,"6 TO 10","More than 10"))</f>
        <v>5</v>
      </c>
      <c r="G657" s="52">
        <f t="shared" si="10"/>
        <v>4</v>
      </c>
      <c r="H657" s="52">
        <f>ROUND(Data!C657*Data!D657-Data!E657,2)</f>
        <v>0</v>
      </c>
      <c r="I657" s="52">
        <f>IF(AND(OR(Sel_Mode="All",Data!I657=Sel_Mode),OR(Sel_Gender="All",D657=Sel_Gender),OR(Sel_Category="All",Data!B657=Sel_Category),OR(Sel_Month="All",C657=Sel_Month),OR(Sel_County="All",Data!L657=Sel_County)),1,0)</f>
        <v>1</v>
      </c>
    </row>
    <row r="658" spans="1:9" x14ac:dyDescent="0.25">
      <c r="A658" s="52" t="str">
        <f>Data!A658</f>
        <v>TX500657</v>
      </c>
      <c r="B658" s="52">
        <f>MONTH(Data!F658)</f>
        <v>1</v>
      </c>
      <c r="C658" s="52" t="str">
        <f>TEXT(Data!F658,"mmm")</f>
        <v>Jan</v>
      </c>
      <c r="D658" s="52" t="str">
        <f>Data!O658</f>
        <v>Male</v>
      </c>
      <c r="E658" s="52">
        <f>Data!G658-Data!F658</f>
        <v>2</v>
      </c>
      <c r="F658" s="52">
        <f>IF(Data!J658&lt;=5,Data!J658,IF(Data!J658&lt;=10,"6 TO 10","More than 10"))</f>
        <v>4</v>
      </c>
      <c r="G658" s="52">
        <f t="shared" si="10"/>
        <v>2</v>
      </c>
      <c r="H658" s="52">
        <f>ROUND(Data!C658*Data!D658-Data!E658,2)</f>
        <v>0</v>
      </c>
      <c r="I658" s="52">
        <f>IF(AND(OR(Sel_Mode="All",Data!I658=Sel_Mode),OR(Sel_Gender="All",D658=Sel_Gender),OR(Sel_Category="All",Data!B658=Sel_Category),OR(Sel_Month="All",C658=Sel_Month),OR(Sel_County="All",Data!L658=Sel_County)),1,0)</f>
        <v>1</v>
      </c>
    </row>
    <row r="659" spans="1:9" x14ac:dyDescent="0.25">
      <c r="A659" s="52" t="str">
        <f>Data!A659</f>
        <v>TX500658</v>
      </c>
      <c r="B659" s="52">
        <f>MONTH(Data!F659)</f>
        <v>1</v>
      </c>
      <c r="C659" s="52" t="str">
        <f>TEXT(Data!F659,"mmm")</f>
        <v>Jan</v>
      </c>
      <c r="D659" s="52" t="str">
        <f>Data!O659</f>
        <v>Male</v>
      </c>
      <c r="E659" s="52">
        <f>Data!G659-Data!F659</f>
        <v>1</v>
      </c>
      <c r="F659" s="52">
        <f>IF(Data!J659&lt;=5,Data!J659,IF(Data!J659&lt;=10,"6 TO 10","More than 10"))</f>
        <v>4</v>
      </c>
      <c r="G659" s="52">
        <f t="shared" si="10"/>
        <v>1</v>
      </c>
      <c r="H659" s="52">
        <f>ROUND(Data!C659*Data!D659-Data!E659,2)</f>
        <v>0</v>
      </c>
      <c r="I659" s="52">
        <f>IF(AND(OR(Sel_Mode="All",Data!I659=Sel_Mode),OR(Sel_Gender="All",D659=Sel_Gender),OR(Sel_Category="All",Data!B659=Sel_Category),OR(Sel_Month="All",C659=Sel_Month),OR(Sel_County="All",Data!L659=Sel_County)),1,0)</f>
        <v>1</v>
      </c>
    </row>
    <row r="660" spans="1:9" x14ac:dyDescent="0.25">
      <c r="A660" s="52" t="str">
        <f>Data!A660</f>
        <v>TX500659</v>
      </c>
      <c r="B660" s="52">
        <f>MONTH(Data!F660)</f>
        <v>1</v>
      </c>
      <c r="C660" s="52" t="str">
        <f>TEXT(Data!F660,"mmm")</f>
        <v>Jan</v>
      </c>
      <c r="D660" s="52" t="str">
        <f>Data!O660</f>
        <v>Female</v>
      </c>
      <c r="E660" s="52">
        <f>Data!G660-Data!F660</f>
        <v>6</v>
      </c>
      <c r="F660" s="52">
        <f>IF(Data!J660&lt;=5,Data!J660,IF(Data!J660&lt;=10,"6 TO 10","More than 10"))</f>
        <v>5</v>
      </c>
      <c r="G660" s="52">
        <f t="shared" si="10"/>
        <v>6</v>
      </c>
      <c r="H660" s="52">
        <f>ROUND(Data!C660*Data!D660-Data!E660,2)</f>
        <v>0</v>
      </c>
      <c r="I660" s="52">
        <f>IF(AND(OR(Sel_Mode="All",Data!I660=Sel_Mode),OR(Sel_Gender="All",D660=Sel_Gender),OR(Sel_Category="All",Data!B660=Sel_Category),OR(Sel_Month="All",C660=Sel_Month),OR(Sel_County="All",Data!L660=Sel_County)),1,0)</f>
        <v>1</v>
      </c>
    </row>
    <row r="661" spans="1:9" x14ac:dyDescent="0.25">
      <c r="A661" s="52" t="str">
        <f>Data!A661</f>
        <v>TX500660</v>
      </c>
      <c r="B661" s="52">
        <f>MONTH(Data!F661)</f>
        <v>1</v>
      </c>
      <c r="C661" s="52" t="str">
        <f>TEXT(Data!F661,"mmm")</f>
        <v>Jan</v>
      </c>
      <c r="D661" s="52" t="str">
        <f>Data!O661</f>
        <v>Female</v>
      </c>
      <c r="E661" s="52">
        <f>Data!G661-Data!F661</f>
        <v>2</v>
      </c>
      <c r="F661" s="52">
        <f>IF(Data!J661&lt;=5,Data!J661,IF(Data!J661&lt;=10,"6 TO 10","More than 10"))</f>
        <v>5</v>
      </c>
      <c r="G661" s="52">
        <f t="shared" si="10"/>
        <v>2</v>
      </c>
      <c r="H661" s="52">
        <f>ROUND(Data!C661*Data!D661-Data!E661,2)</f>
        <v>0</v>
      </c>
      <c r="I661" s="52">
        <f>IF(AND(OR(Sel_Mode="All",Data!I661=Sel_Mode),OR(Sel_Gender="All",D661=Sel_Gender),OR(Sel_Category="All",Data!B661=Sel_Category),OR(Sel_Month="All",C661=Sel_Month),OR(Sel_County="All",Data!L661=Sel_County)),1,0)</f>
        <v>1</v>
      </c>
    </row>
    <row r="662" spans="1:9" x14ac:dyDescent="0.25">
      <c r="A662" s="52" t="str">
        <f>Data!A662</f>
        <v>TX500661</v>
      </c>
      <c r="B662" s="52">
        <f>MONTH(Data!F662)</f>
        <v>1</v>
      </c>
      <c r="C662" s="52" t="str">
        <f>TEXT(Data!F662,"mmm")</f>
        <v>Jan</v>
      </c>
      <c r="D662" s="52" t="str">
        <f>Data!O662</f>
        <v>Female</v>
      </c>
      <c r="E662" s="52">
        <f>Data!G662-Data!F662</f>
        <v>1</v>
      </c>
      <c r="F662" s="52">
        <f>IF(Data!J662&lt;=5,Data!J662,IF(Data!J662&lt;=10,"6 TO 10","More than 10"))</f>
        <v>4</v>
      </c>
      <c r="G662" s="52">
        <f t="shared" si="10"/>
        <v>1</v>
      </c>
      <c r="H662" s="52">
        <f>ROUND(Data!C662*Data!D662-Data!E662,2)</f>
        <v>0</v>
      </c>
      <c r="I662" s="52">
        <f>IF(AND(OR(Sel_Mode="All",Data!I662=Sel_Mode),OR(Sel_Gender="All",D662=Sel_Gender),OR(Sel_Category="All",Data!B662=Sel_Category),OR(Sel_Month="All",C662=Sel_Month),OR(Sel_County="All",Data!L662=Sel_County)),1,0)</f>
        <v>1</v>
      </c>
    </row>
    <row r="663" spans="1:9" x14ac:dyDescent="0.25">
      <c r="A663" s="52" t="str">
        <f>Data!A663</f>
        <v>TX500662</v>
      </c>
      <c r="B663" s="52">
        <f>MONTH(Data!F663)</f>
        <v>1</v>
      </c>
      <c r="C663" s="52" t="str">
        <f>TEXT(Data!F663,"mmm")</f>
        <v>Jan</v>
      </c>
      <c r="D663" s="52" t="str">
        <f>Data!O663</f>
        <v>Male</v>
      </c>
      <c r="E663" s="52">
        <f>Data!G663-Data!F663</f>
        <v>2</v>
      </c>
      <c r="F663" s="52">
        <f>IF(Data!J663&lt;=5,Data!J663,IF(Data!J663&lt;=10,"6 TO 10","More than 10"))</f>
        <v>4</v>
      </c>
      <c r="G663" s="52">
        <f t="shared" si="10"/>
        <v>2</v>
      </c>
      <c r="H663" s="52">
        <f>ROUND(Data!C663*Data!D663-Data!E663,2)</f>
        <v>0</v>
      </c>
      <c r="I663" s="52">
        <f>IF(AND(OR(Sel_Mode="All",Data!I663=Sel_Mode),OR(Sel_Gender="All",D663=Sel_Gender),OR(Sel_Category="All",Data!B663=Sel_Category),OR(Sel_Month="All",C663=Sel_Month),OR(Sel_County="All",Data!L663=Sel_County)),1,0)</f>
        <v>1</v>
      </c>
    </row>
    <row r="664" spans="1:9" x14ac:dyDescent="0.25">
      <c r="A664" s="52" t="str">
        <f>Data!A664</f>
        <v>TX500663</v>
      </c>
      <c r="B664" s="52">
        <f>MONTH(Data!F664)</f>
        <v>1</v>
      </c>
      <c r="C664" s="52" t="str">
        <f>TEXT(Data!F664,"mmm")</f>
        <v>Jan</v>
      </c>
      <c r="D664" s="52" t="str">
        <f>Data!O664</f>
        <v>Female</v>
      </c>
      <c r="E664" s="52">
        <f>Data!G664-Data!F664</f>
        <v>1</v>
      </c>
      <c r="F664" s="52">
        <f>IF(Data!J664&lt;=5,Data!J664,IF(Data!J664&lt;=10,"6 TO 10","More than 10"))</f>
        <v>4</v>
      </c>
      <c r="G664" s="52">
        <f t="shared" si="10"/>
        <v>1</v>
      </c>
      <c r="H664" s="52">
        <f>ROUND(Data!C664*Data!D664-Data!E664,2)</f>
        <v>0</v>
      </c>
      <c r="I664" s="52">
        <f>IF(AND(OR(Sel_Mode="All",Data!I664=Sel_Mode),OR(Sel_Gender="All",D664=Sel_Gender),OR(Sel_Category="All",Data!B664=Sel_Category),OR(Sel_Month="All",C664=Sel_Month),OR(Sel_County="All",Data!L664=Sel_County)),1,0)</f>
        <v>1</v>
      </c>
    </row>
    <row r="665" spans="1:9" x14ac:dyDescent="0.25">
      <c r="A665" s="52" t="str">
        <f>Data!A665</f>
        <v>TX500664</v>
      </c>
      <c r="B665" s="52">
        <f>MONTH(Data!F665)</f>
        <v>1</v>
      </c>
      <c r="C665" s="52" t="str">
        <f>TEXT(Data!F665,"mmm")</f>
        <v>Jan</v>
      </c>
      <c r="D665" s="52" t="str">
        <f>Data!O665</f>
        <v>Male</v>
      </c>
      <c r="E665" s="52">
        <f>Data!G665-Data!F665</f>
        <v>2</v>
      </c>
      <c r="F665" s="52">
        <f>IF(Data!J665&lt;=5,Data!J665,IF(Data!J665&lt;=10,"6 TO 10","More than 10"))</f>
        <v>5</v>
      </c>
      <c r="G665" s="52">
        <f t="shared" si="10"/>
        <v>2</v>
      </c>
      <c r="H665" s="52">
        <f>ROUND(Data!C665*Data!D665-Data!E665,2)</f>
        <v>0</v>
      </c>
      <c r="I665" s="52">
        <f>IF(AND(OR(Sel_Mode="All",Data!I665=Sel_Mode),OR(Sel_Gender="All",D665=Sel_Gender),OR(Sel_Category="All",Data!B665=Sel_Category),OR(Sel_Month="All",C665=Sel_Month),OR(Sel_County="All",Data!L665=Sel_County)),1,0)</f>
        <v>1</v>
      </c>
    </row>
    <row r="666" spans="1:9" x14ac:dyDescent="0.25">
      <c r="A666" s="52" t="str">
        <f>Data!A666</f>
        <v>TX500665</v>
      </c>
      <c r="B666" s="52">
        <f>MONTH(Data!F666)</f>
        <v>1</v>
      </c>
      <c r="C666" s="52" t="str">
        <f>TEXT(Data!F666,"mmm")</f>
        <v>Jan</v>
      </c>
      <c r="D666" s="52" t="str">
        <f>Data!O666</f>
        <v>Male</v>
      </c>
      <c r="E666" s="52">
        <f>Data!G666-Data!F666</f>
        <v>2</v>
      </c>
      <c r="F666" s="52">
        <f>IF(Data!J666&lt;=5,Data!J666,IF(Data!J666&lt;=10,"6 TO 10","More than 10"))</f>
        <v>4</v>
      </c>
      <c r="G666" s="52">
        <f t="shared" si="10"/>
        <v>2</v>
      </c>
      <c r="H666" s="52">
        <f>ROUND(Data!C666*Data!D666-Data!E666,2)</f>
        <v>0</v>
      </c>
      <c r="I666" s="52">
        <f>IF(AND(OR(Sel_Mode="All",Data!I666=Sel_Mode),OR(Sel_Gender="All",D666=Sel_Gender),OR(Sel_Category="All",Data!B666=Sel_Category),OR(Sel_Month="All",C666=Sel_Month),OR(Sel_County="All",Data!L666=Sel_County)),1,0)</f>
        <v>1</v>
      </c>
    </row>
    <row r="667" spans="1:9" x14ac:dyDescent="0.25">
      <c r="A667" s="52" t="str">
        <f>Data!A667</f>
        <v>TX500666</v>
      </c>
      <c r="B667" s="52">
        <f>MONTH(Data!F667)</f>
        <v>1</v>
      </c>
      <c r="C667" s="52" t="str">
        <f>TEXT(Data!F667,"mmm")</f>
        <v>Jan</v>
      </c>
      <c r="D667" s="52" t="str">
        <f>Data!O667</f>
        <v>Female</v>
      </c>
      <c r="E667" s="52">
        <f>Data!G667-Data!F667</f>
        <v>0</v>
      </c>
      <c r="F667" s="52">
        <f>IF(Data!J667&lt;=5,Data!J667,IF(Data!J667&lt;=10,"6 TO 10","More than 10"))</f>
        <v>3</v>
      </c>
      <c r="G667" s="52">
        <f t="shared" si="10"/>
        <v>0</v>
      </c>
      <c r="H667" s="52">
        <f>ROUND(Data!C667*Data!D667-Data!E667,2)</f>
        <v>0</v>
      </c>
      <c r="I667" s="52">
        <f>IF(AND(OR(Sel_Mode="All",Data!I667=Sel_Mode),OR(Sel_Gender="All",D667=Sel_Gender),OR(Sel_Category="All",Data!B667=Sel_Category),OR(Sel_Month="All",C667=Sel_Month),OR(Sel_County="All",Data!L667=Sel_County)),1,0)</f>
        <v>1</v>
      </c>
    </row>
    <row r="668" spans="1:9" x14ac:dyDescent="0.25">
      <c r="A668" s="52" t="str">
        <f>Data!A668</f>
        <v>TX500667</v>
      </c>
      <c r="B668" s="52">
        <f>MONTH(Data!F668)</f>
        <v>1</v>
      </c>
      <c r="C668" s="52" t="str">
        <f>TEXT(Data!F668,"mmm")</f>
        <v>Jan</v>
      </c>
      <c r="D668" s="52" t="str">
        <f>Data!O668</f>
        <v>Male</v>
      </c>
      <c r="E668" s="52">
        <f>Data!G668-Data!F668</f>
        <v>2</v>
      </c>
      <c r="F668" s="52">
        <f>IF(Data!J668&lt;=5,Data!J668,IF(Data!J668&lt;=10,"6 TO 10","More than 10"))</f>
        <v>5</v>
      </c>
      <c r="G668" s="52">
        <f t="shared" si="10"/>
        <v>2</v>
      </c>
      <c r="H668" s="52">
        <f>ROUND(Data!C668*Data!D668-Data!E668,2)</f>
        <v>0</v>
      </c>
      <c r="I668" s="52">
        <f>IF(AND(OR(Sel_Mode="All",Data!I668=Sel_Mode),OR(Sel_Gender="All",D668=Sel_Gender),OR(Sel_Category="All",Data!B668=Sel_Category),OR(Sel_Month="All",C668=Sel_Month),OR(Sel_County="All",Data!L668=Sel_County)),1,0)</f>
        <v>1</v>
      </c>
    </row>
    <row r="669" spans="1:9" x14ac:dyDescent="0.25">
      <c r="A669" s="52" t="str">
        <f>Data!A669</f>
        <v>TX500668</v>
      </c>
      <c r="B669" s="52">
        <f>MONTH(Data!F669)</f>
        <v>1</v>
      </c>
      <c r="C669" s="52" t="str">
        <f>TEXT(Data!F669,"mmm")</f>
        <v>Jan</v>
      </c>
      <c r="D669" s="52" t="str">
        <f>Data!O669</f>
        <v>Female</v>
      </c>
      <c r="E669" s="52">
        <f>Data!G669-Data!F669</f>
        <v>1</v>
      </c>
      <c r="F669" s="52">
        <f>IF(Data!J669&lt;=5,Data!J669,IF(Data!J669&lt;=10,"6 TO 10","More than 10"))</f>
        <v>5</v>
      </c>
      <c r="G669" s="52">
        <f t="shared" si="10"/>
        <v>1</v>
      </c>
      <c r="H669" s="52">
        <f>ROUND(Data!C669*Data!D669-Data!E669,2)</f>
        <v>0</v>
      </c>
      <c r="I669" s="52">
        <f>IF(AND(OR(Sel_Mode="All",Data!I669=Sel_Mode),OR(Sel_Gender="All",D669=Sel_Gender),OR(Sel_Category="All",Data!B669=Sel_Category),OR(Sel_Month="All",C669=Sel_Month),OR(Sel_County="All",Data!L669=Sel_County)),1,0)</f>
        <v>1</v>
      </c>
    </row>
    <row r="670" spans="1:9" x14ac:dyDescent="0.25">
      <c r="A670" s="52" t="str">
        <f>Data!A670</f>
        <v>TX500669</v>
      </c>
      <c r="B670" s="52">
        <f>MONTH(Data!F670)</f>
        <v>1</v>
      </c>
      <c r="C670" s="52" t="str">
        <f>TEXT(Data!F670,"mmm")</f>
        <v>Jan</v>
      </c>
      <c r="D670" s="52" t="str">
        <f>Data!O670</f>
        <v>Female</v>
      </c>
      <c r="E670" s="52">
        <f>Data!G670-Data!F670</f>
        <v>1</v>
      </c>
      <c r="F670" s="52">
        <f>IF(Data!J670&lt;=5,Data!J670,IF(Data!J670&lt;=10,"6 TO 10","More than 10"))</f>
        <v>3</v>
      </c>
      <c r="G670" s="52">
        <f t="shared" si="10"/>
        <v>1</v>
      </c>
      <c r="H670" s="52">
        <f>ROUND(Data!C670*Data!D670-Data!E670,2)</f>
        <v>0</v>
      </c>
      <c r="I670" s="52">
        <f>IF(AND(OR(Sel_Mode="All",Data!I670=Sel_Mode),OR(Sel_Gender="All",D670=Sel_Gender),OR(Sel_Category="All",Data!B670=Sel_Category),OR(Sel_Month="All",C670=Sel_Month),OR(Sel_County="All",Data!L670=Sel_County)),1,0)</f>
        <v>1</v>
      </c>
    </row>
    <row r="671" spans="1:9" x14ac:dyDescent="0.25">
      <c r="A671" s="52" t="str">
        <f>Data!A671</f>
        <v>TX500670</v>
      </c>
      <c r="B671" s="52">
        <f>MONTH(Data!F671)</f>
        <v>1</v>
      </c>
      <c r="C671" s="52" t="str">
        <f>TEXT(Data!F671,"mmm")</f>
        <v>Jan</v>
      </c>
      <c r="D671" s="52" t="str">
        <f>Data!O671</f>
        <v>Female</v>
      </c>
      <c r="E671" s="52">
        <f>Data!G671-Data!F671</f>
        <v>7</v>
      </c>
      <c r="F671" s="52">
        <f>IF(Data!J671&lt;=5,Data!J671,IF(Data!J671&lt;=10,"6 TO 10","More than 10"))</f>
        <v>4</v>
      </c>
      <c r="G671" s="52">
        <f t="shared" si="10"/>
        <v>7</v>
      </c>
      <c r="H671" s="52">
        <f>ROUND(Data!C671*Data!D671-Data!E671,2)</f>
        <v>0</v>
      </c>
      <c r="I671" s="52">
        <f>IF(AND(OR(Sel_Mode="All",Data!I671=Sel_Mode),OR(Sel_Gender="All",D671=Sel_Gender),OR(Sel_Category="All",Data!B671=Sel_Category),OR(Sel_Month="All",C671=Sel_Month),OR(Sel_County="All",Data!L671=Sel_County)),1,0)</f>
        <v>1</v>
      </c>
    </row>
    <row r="672" spans="1:9" x14ac:dyDescent="0.25">
      <c r="A672" s="52" t="str">
        <f>Data!A672</f>
        <v>TX500671</v>
      </c>
      <c r="B672" s="52">
        <f>MONTH(Data!F672)</f>
        <v>1</v>
      </c>
      <c r="C672" s="52" t="str">
        <f>TEXT(Data!F672,"mmm")</f>
        <v>Jan</v>
      </c>
      <c r="D672" s="52" t="str">
        <f>Data!O672</f>
        <v>Female</v>
      </c>
      <c r="E672" s="52">
        <f>Data!G672-Data!F672</f>
        <v>11</v>
      </c>
      <c r="F672" s="52">
        <f>IF(Data!J672&lt;=5,Data!J672,IF(Data!J672&lt;=10,"6 TO 10","More than 10"))</f>
        <v>4</v>
      </c>
      <c r="G672" s="52" t="str">
        <f t="shared" si="10"/>
        <v>8+</v>
      </c>
      <c r="H672" s="52">
        <f>ROUND(Data!C672*Data!D672-Data!E672,2)</f>
        <v>0</v>
      </c>
      <c r="I672" s="52">
        <f>IF(AND(OR(Sel_Mode="All",Data!I672=Sel_Mode),OR(Sel_Gender="All",D672=Sel_Gender),OR(Sel_Category="All",Data!B672=Sel_Category),OR(Sel_Month="All",C672=Sel_Month),OR(Sel_County="All",Data!L672=Sel_County)),1,0)</f>
        <v>1</v>
      </c>
    </row>
    <row r="673" spans="1:9" x14ac:dyDescent="0.25">
      <c r="A673" s="52" t="str">
        <f>Data!A673</f>
        <v>TX500672</v>
      </c>
      <c r="B673" s="52">
        <f>MONTH(Data!F673)</f>
        <v>1</v>
      </c>
      <c r="C673" s="52" t="str">
        <f>TEXT(Data!F673,"mmm")</f>
        <v>Jan</v>
      </c>
      <c r="D673" s="52" t="str">
        <f>Data!O673</f>
        <v>Female</v>
      </c>
      <c r="E673" s="52">
        <f>Data!G673-Data!F673</f>
        <v>6</v>
      </c>
      <c r="F673" s="52">
        <f>IF(Data!J673&lt;=5,Data!J673,IF(Data!J673&lt;=10,"6 TO 10","More than 10"))</f>
        <v>5</v>
      </c>
      <c r="G673" s="52">
        <f t="shared" si="10"/>
        <v>6</v>
      </c>
      <c r="H673" s="52">
        <f>ROUND(Data!C673*Data!D673-Data!E673,2)</f>
        <v>0</v>
      </c>
      <c r="I673" s="52">
        <f>IF(AND(OR(Sel_Mode="All",Data!I673=Sel_Mode),OR(Sel_Gender="All",D673=Sel_Gender),OR(Sel_Category="All",Data!B673=Sel_Category),OR(Sel_Month="All",C673=Sel_Month),OR(Sel_County="All",Data!L673=Sel_County)),1,0)</f>
        <v>1</v>
      </c>
    </row>
    <row r="674" spans="1:9" x14ac:dyDescent="0.25">
      <c r="A674" s="52" t="str">
        <f>Data!A674</f>
        <v>TX500673</v>
      </c>
      <c r="B674" s="52">
        <f>MONTH(Data!F674)</f>
        <v>1</v>
      </c>
      <c r="C674" s="52" t="str">
        <f>TEXT(Data!F674,"mmm")</f>
        <v>Jan</v>
      </c>
      <c r="D674" s="52" t="str">
        <f>Data!O674</f>
        <v>Female</v>
      </c>
      <c r="E674" s="52">
        <f>Data!G674-Data!F674</f>
        <v>2</v>
      </c>
      <c r="F674" s="52">
        <f>IF(Data!J674&lt;=5,Data!J674,IF(Data!J674&lt;=10,"6 TO 10","More than 10"))</f>
        <v>5</v>
      </c>
      <c r="G674" s="52">
        <f t="shared" si="10"/>
        <v>2</v>
      </c>
      <c r="H674" s="52">
        <f>ROUND(Data!C674*Data!D674-Data!E674,2)</f>
        <v>0</v>
      </c>
      <c r="I674" s="52">
        <f>IF(AND(OR(Sel_Mode="All",Data!I674=Sel_Mode),OR(Sel_Gender="All",D674=Sel_Gender),OR(Sel_Category="All",Data!B674=Sel_Category),OR(Sel_Month="All",C674=Sel_Month),OR(Sel_County="All",Data!L674=Sel_County)),1,0)</f>
        <v>1</v>
      </c>
    </row>
    <row r="675" spans="1:9" x14ac:dyDescent="0.25">
      <c r="A675" s="52" t="str">
        <f>Data!A675</f>
        <v>TX500674</v>
      </c>
      <c r="B675" s="52">
        <f>MONTH(Data!F675)</f>
        <v>1</v>
      </c>
      <c r="C675" s="52" t="str">
        <f>TEXT(Data!F675,"mmm")</f>
        <v>Jan</v>
      </c>
      <c r="D675" s="52" t="str">
        <f>Data!O675</f>
        <v>Unknown</v>
      </c>
      <c r="E675" s="52">
        <f>Data!G675-Data!F675</f>
        <v>0</v>
      </c>
      <c r="F675" s="52">
        <f>IF(Data!J675&lt;=5,Data!J675,IF(Data!J675&lt;=10,"6 TO 10","More than 10"))</f>
        <v>3</v>
      </c>
      <c r="G675" s="52">
        <f t="shared" si="10"/>
        <v>0</v>
      </c>
      <c r="H675" s="52">
        <f>ROUND(Data!C675*Data!D675-Data!E675,2)</f>
        <v>0</v>
      </c>
      <c r="I675" s="52">
        <f>IF(AND(OR(Sel_Mode="All",Data!I675=Sel_Mode),OR(Sel_Gender="All",D675=Sel_Gender),OR(Sel_Category="All",Data!B675=Sel_Category),OR(Sel_Month="All",C675=Sel_Month),OR(Sel_County="All",Data!L675=Sel_County)),1,0)</f>
        <v>1</v>
      </c>
    </row>
    <row r="676" spans="1:9" x14ac:dyDescent="0.25">
      <c r="A676" s="52" t="str">
        <f>Data!A676</f>
        <v>TX500675</v>
      </c>
      <c r="B676" s="52">
        <f>MONTH(Data!F676)</f>
        <v>1</v>
      </c>
      <c r="C676" s="52" t="str">
        <f>TEXT(Data!F676,"mmm")</f>
        <v>Jan</v>
      </c>
      <c r="D676" s="52" t="str">
        <f>Data!O676</f>
        <v>Female</v>
      </c>
      <c r="E676" s="52">
        <f>Data!G676-Data!F676</f>
        <v>7</v>
      </c>
      <c r="F676" s="52">
        <f>IF(Data!J676&lt;=5,Data!J676,IF(Data!J676&lt;=10,"6 TO 10","More than 10"))</f>
        <v>5</v>
      </c>
      <c r="G676" s="52">
        <f t="shared" si="10"/>
        <v>7</v>
      </c>
      <c r="H676" s="52">
        <f>ROUND(Data!C676*Data!D676-Data!E676,2)</f>
        <v>0</v>
      </c>
      <c r="I676" s="52">
        <f>IF(AND(OR(Sel_Mode="All",Data!I676=Sel_Mode),OR(Sel_Gender="All",D676=Sel_Gender),OR(Sel_Category="All",Data!B676=Sel_Category),OR(Sel_Month="All",C676=Sel_Month),OR(Sel_County="All",Data!L676=Sel_County)),1,0)</f>
        <v>1</v>
      </c>
    </row>
    <row r="677" spans="1:9" x14ac:dyDescent="0.25">
      <c r="A677" s="52" t="str">
        <f>Data!A677</f>
        <v>TX500676</v>
      </c>
      <c r="B677" s="52">
        <f>MONTH(Data!F677)</f>
        <v>1</v>
      </c>
      <c r="C677" s="52" t="str">
        <f>TEXT(Data!F677,"mmm")</f>
        <v>Jan</v>
      </c>
      <c r="D677" s="52" t="str">
        <f>Data!O677</f>
        <v>Female</v>
      </c>
      <c r="E677" s="52">
        <f>Data!G677-Data!F677</f>
        <v>2</v>
      </c>
      <c r="F677" s="52">
        <f>IF(Data!J677&lt;=5,Data!J677,IF(Data!J677&lt;=10,"6 TO 10","More than 10"))</f>
        <v>3</v>
      </c>
      <c r="G677" s="52">
        <f t="shared" si="10"/>
        <v>2</v>
      </c>
      <c r="H677" s="52">
        <f>ROUND(Data!C677*Data!D677-Data!E677,2)</f>
        <v>0</v>
      </c>
      <c r="I677" s="52">
        <f>IF(AND(OR(Sel_Mode="All",Data!I677=Sel_Mode),OR(Sel_Gender="All",D677=Sel_Gender),OR(Sel_Category="All",Data!B677=Sel_Category),OR(Sel_Month="All",C677=Sel_Month),OR(Sel_County="All",Data!L677=Sel_County)),1,0)</f>
        <v>1</v>
      </c>
    </row>
    <row r="678" spans="1:9" x14ac:dyDescent="0.25">
      <c r="A678" s="52" t="str">
        <f>Data!A678</f>
        <v>TX500677</v>
      </c>
      <c r="B678" s="52">
        <f>MONTH(Data!F678)</f>
        <v>1</v>
      </c>
      <c r="C678" s="52" t="str">
        <f>TEXT(Data!F678,"mmm")</f>
        <v>Jan</v>
      </c>
      <c r="D678" s="52" t="str">
        <f>Data!O678</f>
        <v>Male</v>
      </c>
      <c r="E678" s="52">
        <f>Data!G678-Data!F678</f>
        <v>1</v>
      </c>
      <c r="F678" s="52">
        <f>IF(Data!J678&lt;=5,Data!J678,IF(Data!J678&lt;=10,"6 TO 10","More than 10"))</f>
        <v>4</v>
      </c>
      <c r="G678" s="52">
        <f t="shared" si="10"/>
        <v>1</v>
      </c>
      <c r="H678" s="52">
        <f>ROUND(Data!C678*Data!D678-Data!E678,2)</f>
        <v>0</v>
      </c>
      <c r="I678" s="52">
        <f>IF(AND(OR(Sel_Mode="All",Data!I678=Sel_Mode),OR(Sel_Gender="All",D678=Sel_Gender),OR(Sel_Category="All",Data!B678=Sel_Category),OR(Sel_Month="All",C678=Sel_Month),OR(Sel_County="All",Data!L678=Sel_County)),1,0)</f>
        <v>1</v>
      </c>
    </row>
    <row r="679" spans="1:9" x14ac:dyDescent="0.25">
      <c r="A679" s="52" t="str">
        <f>Data!A679</f>
        <v>TX500678</v>
      </c>
      <c r="B679" s="52">
        <f>MONTH(Data!F679)</f>
        <v>1</v>
      </c>
      <c r="C679" s="52" t="str">
        <f>TEXT(Data!F679,"mmm")</f>
        <v>Jan</v>
      </c>
      <c r="D679" s="52" t="str">
        <f>Data!O679</f>
        <v>Female</v>
      </c>
      <c r="E679" s="52">
        <f>Data!G679-Data!F679</f>
        <v>2</v>
      </c>
      <c r="F679" s="52">
        <f>IF(Data!J679&lt;=5,Data!J679,IF(Data!J679&lt;=10,"6 TO 10","More than 10"))</f>
        <v>3</v>
      </c>
      <c r="G679" s="52">
        <f t="shared" si="10"/>
        <v>2</v>
      </c>
      <c r="H679" s="52">
        <f>ROUND(Data!C679*Data!D679-Data!E679,2)</f>
        <v>0</v>
      </c>
      <c r="I679" s="52">
        <f>IF(AND(OR(Sel_Mode="All",Data!I679=Sel_Mode),OR(Sel_Gender="All",D679=Sel_Gender),OR(Sel_Category="All",Data!B679=Sel_Category),OR(Sel_Month="All",C679=Sel_Month),OR(Sel_County="All",Data!L679=Sel_County)),1,0)</f>
        <v>1</v>
      </c>
    </row>
    <row r="680" spans="1:9" x14ac:dyDescent="0.25">
      <c r="A680" s="52" t="str">
        <f>Data!A680</f>
        <v>TX500679</v>
      </c>
      <c r="B680" s="52">
        <f>MONTH(Data!F680)</f>
        <v>1</v>
      </c>
      <c r="C680" s="52" t="str">
        <f>TEXT(Data!F680,"mmm")</f>
        <v>Jan</v>
      </c>
      <c r="D680" s="52" t="str">
        <f>Data!O680</f>
        <v>Female</v>
      </c>
      <c r="E680" s="52">
        <f>Data!G680-Data!F680</f>
        <v>3</v>
      </c>
      <c r="F680" s="52">
        <f>IF(Data!J680&lt;=5,Data!J680,IF(Data!J680&lt;=10,"6 TO 10","More than 10"))</f>
        <v>3</v>
      </c>
      <c r="G680" s="52">
        <f t="shared" si="10"/>
        <v>3</v>
      </c>
      <c r="H680" s="52">
        <f>ROUND(Data!C680*Data!D680-Data!E680,2)</f>
        <v>0</v>
      </c>
      <c r="I680" s="52">
        <f>IF(AND(OR(Sel_Mode="All",Data!I680=Sel_Mode),OR(Sel_Gender="All",D680=Sel_Gender),OR(Sel_Category="All",Data!B680=Sel_Category),OR(Sel_Month="All",C680=Sel_Month),OR(Sel_County="All",Data!L680=Sel_County)),1,0)</f>
        <v>1</v>
      </c>
    </row>
    <row r="681" spans="1:9" x14ac:dyDescent="0.25">
      <c r="A681" s="52" t="str">
        <f>Data!A681</f>
        <v>TX500680</v>
      </c>
      <c r="B681" s="52">
        <f>MONTH(Data!F681)</f>
        <v>1</v>
      </c>
      <c r="C681" s="52" t="str">
        <f>TEXT(Data!F681,"mmm")</f>
        <v>Jan</v>
      </c>
      <c r="D681" s="52" t="str">
        <f>Data!O681</f>
        <v>Female</v>
      </c>
      <c r="E681" s="52">
        <f>Data!G681-Data!F681</f>
        <v>2</v>
      </c>
      <c r="F681" s="52">
        <f>IF(Data!J681&lt;=5,Data!J681,IF(Data!J681&lt;=10,"6 TO 10","More than 10"))</f>
        <v>5</v>
      </c>
      <c r="G681" s="52">
        <f t="shared" si="10"/>
        <v>2</v>
      </c>
      <c r="H681" s="52">
        <f>ROUND(Data!C681*Data!D681-Data!E681,2)</f>
        <v>0</v>
      </c>
      <c r="I681" s="52">
        <f>IF(AND(OR(Sel_Mode="All",Data!I681=Sel_Mode),OR(Sel_Gender="All",D681=Sel_Gender),OR(Sel_Category="All",Data!B681=Sel_Category),OR(Sel_Month="All",C681=Sel_Month),OR(Sel_County="All",Data!L681=Sel_County)),1,0)</f>
        <v>1</v>
      </c>
    </row>
    <row r="682" spans="1:9" x14ac:dyDescent="0.25">
      <c r="A682" s="52" t="str">
        <f>Data!A682</f>
        <v>TX500681</v>
      </c>
      <c r="B682" s="52">
        <f>MONTH(Data!F682)</f>
        <v>1</v>
      </c>
      <c r="C682" s="52" t="str">
        <f>TEXT(Data!F682,"mmm")</f>
        <v>Jan</v>
      </c>
      <c r="D682" s="52" t="str">
        <f>Data!O682</f>
        <v>Female</v>
      </c>
      <c r="E682" s="52">
        <f>Data!G682-Data!F682</f>
        <v>4</v>
      </c>
      <c r="F682" s="52">
        <f>IF(Data!J682&lt;=5,Data!J682,IF(Data!J682&lt;=10,"6 TO 10","More than 10"))</f>
        <v>4</v>
      </c>
      <c r="G682" s="52">
        <f t="shared" si="10"/>
        <v>4</v>
      </c>
      <c r="H682" s="52">
        <f>ROUND(Data!C682*Data!D682-Data!E682,2)</f>
        <v>0</v>
      </c>
      <c r="I682" s="52">
        <f>IF(AND(OR(Sel_Mode="All",Data!I682=Sel_Mode),OR(Sel_Gender="All",D682=Sel_Gender),OR(Sel_Category="All",Data!B682=Sel_Category),OR(Sel_Month="All",C682=Sel_Month),OR(Sel_County="All",Data!L682=Sel_County)),1,0)</f>
        <v>1</v>
      </c>
    </row>
    <row r="683" spans="1:9" x14ac:dyDescent="0.25">
      <c r="A683" s="52" t="str">
        <f>Data!A683</f>
        <v>TX500682</v>
      </c>
      <c r="B683" s="52">
        <f>MONTH(Data!F683)</f>
        <v>1</v>
      </c>
      <c r="C683" s="52" t="str">
        <f>TEXT(Data!F683,"mmm")</f>
        <v>Jan</v>
      </c>
      <c r="D683" s="52" t="str">
        <f>Data!O683</f>
        <v>Female</v>
      </c>
      <c r="E683" s="52">
        <f>Data!G683-Data!F683</f>
        <v>1</v>
      </c>
      <c r="F683" s="52">
        <f>IF(Data!J683&lt;=5,Data!J683,IF(Data!J683&lt;=10,"6 TO 10","More than 10"))</f>
        <v>5</v>
      </c>
      <c r="G683" s="52">
        <f t="shared" si="10"/>
        <v>1</v>
      </c>
      <c r="H683" s="52">
        <f>ROUND(Data!C683*Data!D683-Data!E683,2)</f>
        <v>0</v>
      </c>
      <c r="I683" s="52">
        <f>IF(AND(OR(Sel_Mode="All",Data!I683=Sel_Mode),OR(Sel_Gender="All",D683=Sel_Gender),OR(Sel_Category="All",Data!B683=Sel_Category),OR(Sel_Month="All",C683=Sel_Month),OR(Sel_County="All",Data!L683=Sel_County)),1,0)</f>
        <v>1</v>
      </c>
    </row>
    <row r="684" spans="1:9" x14ac:dyDescent="0.25">
      <c r="A684" s="52" t="str">
        <f>Data!A684</f>
        <v>TX500683</v>
      </c>
      <c r="B684" s="52">
        <f>MONTH(Data!F684)</f>
        <v>1</v>
      </c>
      <c r="C684" s="52" t="str">
        <f>TEXT(Data!F684,"mmm")</f>
        <v>Jan</v>
      </c>
      <c r="D684" s="52" t="str">
        <f>Data!O684</f>
        <v>Male</v>
      </c>
      <c r="E684" s="52">
        <f>Data!G684-Data!F684</f>
        <v>2</v>
      </c>
      <c r="F684" s="52">
        <f>IF(Data!J684&lt;=5,Data!J684,IF(Data!J684&lt;=10,"6 TO 10","More than 10"))</f>
        <v>5</v>
      </c>
      <c r="G684" s="52">
        <f t="shared" si="10"/>
        <v>2</v>
      </c>
      <c r="H684" s="52">
        <f>ROUND(Data!C684*Data!D684-Data!E684,2)</f>
        <v>0</v>
      </c>
      <c r="I684" s="52">
        <f>IF(AND(OR(Sel_Mode="All",Data!I684=Sel_Mode),OR(Sel_Gender="All",D684=Sel_Gender),OR(Sel_Category="All",Data!B684=Sel_Category),OR(Sel_Month="All",C684=Sel_Month),OR(Sel_County="All",Data!L684=Sel_County)),1,0)</f>
        <v>1</v>
      </c>
    </row>
    <row r="685" spans="1:9" x14ac:dyDescent="0.25">
      <c r="A685" s="52" t="str">
        <f>Data!A685</f>
        <v>TX500684</v>
      </c>
      <c r="B685" s="52">
        <f>MONTH(Data!F685)</f>
        <v>1</v>
      </c>
      <c r="C685" s="52" t="str">
        <f>TEXT(Data!F685,"mmm")</f>
        <v>Jan</v>
      </c>
      <c r="D685" s="52" t="str">
        <f>Data!O685</f>
        <v>Male</v>
      </c>
      <c r="E685" s="52">
        <f>Data!G685-Data!F685</f>
        <v>0</v>
      </c>
      <c r="F685" s="52">
        <f>IF(Data!J685&lt;=5,Data!J685,IF(Data!J685&lt;=10,"6 TO 10","More than 10"))</f>
        <v>4</v>
      </c>
      <c r="G685" s="52">
        <f t="shared" si="10"/>
        <v>0</v>
      </c>
      <c r="H685" s="52">
        <f>ROUND(Data!C685*Data!D685-Data!E685,2)</f>
        <v>0</v>
      </c>
      <c r="I685" s="52">
        <f>IF(AND(OR(Sel_Mode="All",Data!I685=Sel_Mode),OR(Sel_Gender="All",D685=Sel_Gender),OR(Sel_Category="All",Data!B685=Sel_Category),OR(Sel_Month="All",C685=Sel_Month),OR(Sel_County="All",Data!L685=Sel_County)),1,0)</f>
        <v>1</v>
      </c>
    </row>
    <row r="686" spans="1:9" x14ac:dyDescent="0.25">
      <c r="A686" s="52" t="str">
        <f>Data!A686</f>
        <v>TX500685</v>
      </c>
      <c r="B686" s="52">
        <f>MONTH(Data!F686)</f>
        <v>1</v>
      </c>
      <c r="C686" s="52" t="str">
        <f>TEXT(Data!F686,"mmm")</f>
        <v>Jan</v>
      </c>
      <c r="D686" s="52" t="str">
        <f>Data!O686</f>
        <v>Male</v>
      </c>
      <c r="E686" s="52">
        <f>Data!G686-Data!F686</f>
        <v>1</v>
      </c>
      <c r="F686" s="52">
        <f>IF(Data!J686&lt;=5,Data!J686,IF(Data!J686&lt;=10,"6 TO 10","More than 10"))</f>
        <v>4</v>
      </c>
      <c r="G686" s="52">
        <f t="shared" si="10"/>
        <v>1</v>
      </c>
      <c r="H686" s="52">
        <f>ROUND(Data!C686*Data!D686-Data!E686,2)</f>
        <v>0</v>
      </c>
      <c r="I686" s="52">
        <f>IF(AND(OR(Sel_Mode="All",Data!I686=Sel_Mode),OR(Sel_Gender="All",D686=Sel_Gender),OR(Sel_Category="All",Data!B686=Sel_Category),OR(Sel_Month="All",C686=Sel_Month),OR(Sel_County="All",Data!L686=Sel_County)),1,0)</f>
        <v>1</v>
      </c>
    </row>
    <row r="687" spans="1:9" x14ac:dyDescent="0.25">
      <c r="A687" s="52" t="str">
        <f>Data!A687</f>
        <v>TX500686</v>
      </c>
      <c r="B687" s="52">
        <f>MONTH(Data!F687)</f>
        <v>1</v>
      </c>
      <c r="C687" s="52" t="str">
        <f>TEXT(Data!F687,"mmm")</f>
        <v>Jan</v>
      </c>
      <c r="D687" s="52" t="str">
        <f>Data!O687</f>
        <v>Female</v>
      </c>
      <c r="E687" s="52">
        <f>Data!G687-Data!F687</f>
        <v>1</v>
      </c>
      <c r="F687" s="52">
        <f>IF(Data!J687&lt;=5,Data!J687,IF(Data!J687&lt;=10,"6 TO 10","More than 10"))</f>
        <v>4</v>
      </c>
      <c r="G687" s="52">
        <f t="shared" si="10"/>
        <v>1</v>
      </c>
      <c r="H687" s="52">
        <f>ROUND(Data!C687*Data!D687-Data!E687,2)</f>
        <v>0</v>
      </c>
      <c r="I687" s="52">
        <f>IF(AND(OR(Sel_Mode="All",Data!I687=Sel_Mode),OR(Sel_Gender="All",D687=Sel_Gender),OR(Sel_Category="All",Data!B687=Sel_Category),OR(Sel_Month="All",C687=Sel_Month),OR(Sel_County="All",Data!L687=Sel_County)),1,0)</f>
        <v>1</v>
      </c>
    </row>
    <row r="688" spans="1:9" x14ac:dyDescent="0.25">
      <c r="A688" s="52" t="str">
        <f>Data!A688</f>
        <v>TX500687</v>
      </c>
      <c r="B688" s="52">
        <f>MONTH(Data!F688)</f>
        <v>1</v>
      </c>
      <c r="C688" s="52" t="str">
        <f>TEXT(Data!F688,"mmm")</f>
        <v>Jan</v>
      </c>
      <c r="D688" s="52" t="str">
        <f>Data!O688</f>
        <v>Female</v>
      </c>
      <c r="E688" s="52">
        <f>Data!G688-Data!F688</f>
        <v>1</v>
      </c>
      <c r="F688" s="52">
        <f>IF(Data!J688&lt;=5,Data!J688,IF(Data!J688&lt;=10,"6 TO 10","More than 10"))</f>
        <v>5</v>
      </c>
      <c r="G688" s="52">
        <f t="shared" si="10"/>
        <v>1</v>
      </c>
      <c r="H688" s="52">
        <f>ROUND(Data!C688*Data!D688-Data!E688,2)</f>
        <v>0</v>
      </c>
      <c r="I688" s="52">
        <f>IF(AND(OR(Sel_Mode="All",Data!I688=Sel_Mode),OR(Sel_Gender="All",D688=Sel_Gender),OR(Sel_Category="All",Data!B688=Sel_Category),OR(Sel_Month="All",C688=Sel_Month),OR(Sel_County="All",Data!L688=Sel_County)),1,0)</f>
        <v>1</v>
      </c>
    </row>
    <row r="689" spans="1:9" x14ac:dyDescent="0.25">
      <c r="A689" s="52" t="str">
        <f>Data!A689</f>
        <v>TX500688</v>
      </c>
      <c r="B689" s="52">
        <f>MONTH(Data!F689)</f>
        <v>1</v>
      </c>
      <c r="C689" s="52" t="str">
        <f>TEXT(Data!F689,"mmm")</f>
        <v>Jan</v>
      </c>
      <c r="D689" s="52" t="str">
        <f>Data!O689</f>
        <v>Female</v>
      </c>
      <c r="E689" s="52">
        <f>Data!G689-Data!F689</f>
        <v>3</v>
      </c>
      <c r="F689" s="52">
        <f>IF(Data!J689&lt;=5,Data!J689,IF(Data!J689&lt;=10,"6 TO 10","More than 10"))</f>
        <v>4</v>
      </c>
      <c r="G689" s="52">
        <f t="shared" si="10"/>
        <v>3</v>
      </c>
      <c r="H689" s="52">
        <f>ROUND(Data!C689*Data!D689-Data!E689,2)</f>
        <v>0</v>
      </c>
      <c r="I689" s="52">
        <f>IF(AND(OR(Sel_Mode="All",Data!I689=Sel_Mode),OR(Sel_Gender="All",D689=Sel_Gender),OR(Sel_Category="All",Data!B689=Sel_Category),OR(Sel_Month="All",C689=Sel_Month),OR(Sel_County="All",Data!L689=Sel_County)),1,0)</f>
        <v>1</v>
      </c>
    </row>
    <row r="690" spans="1:9" x14ac:dyDescent="0.25">
      <c r="A690" s="52" t="str">
        <f>Data!A690</f>
        <v>TX500689</v>
      </c>
      <c r="B690" s="52">
        <f>MONTH(Data!F690)</f>
        <v>1</v>
      </c>
      <c r="C690" s="52" t="str">
        <f>TEXT(Data!F690,"mmm")</f>
        <v>Jan</v>
      </c>
      <c r="D690" s="52" t="str">
        <f>Data!O690</f>
        <v>Female</v>
      </c>
      <c r="E690" s="52">
        <f>Data!G690-Data!F690</f>
        <v>1</v>
      </c>
      <c r="F690" s="52">
        <f>IF(Data!J690&lt;=5,Data!J690,IF(Data!J690&lt;=10,"6 TO 10","More than 10"))</f>
        <v>4</v>
      </c>
      <c r="G690" s="52">
        <f t="shared" si="10"/>
        <v>1</v>
      </c>
      <c r="H690" s="52">
        <f>ROUND(Data!C690*Data!D690-Data!E690,2)</f>
        <v>0</v>
      </c>
      <c r="I690" s="52">
        <f>IF(AND(OR(Sel_Mode="All",Data!I690=Sel_Mode),OR(Sel_Gender="All",D690=Sel_Gender),OR(Sel_Category="All",Data!B690=Sel_Category),OR(Sel_Month="All",C690=Sel_Month),OR(Sel_County="All",Data!L690=Sel_County)),1,0)</f>
        <v>1</v>
      </c>
    </row>
    <row r="691" spans="1:9" x14ac:dyDescent="0.25">
      <c r="A691" s="52" t="str">
        <f>Data!A691</f>
        <v>TX500690</v>
      </c>
      <c r="B691" s="52">
        <f>MONTH(Data!F691)</f>
        <v>1</v>
      </c>
      <c r="C691" s="52" t="str">
        <f>TEXT(Data!F691,"mmm")</f>
        <v>Jan</v>
      </c>
      <c r="D691" s="52" t="str">
        <f>Data!O691</f>
        <v>Unknown</v>
      </c>
      <c r="E691" s="52">
        <f>Data!G691-Data!F691</f>
        <v>1</v>
      </c>
      <c r="F691" s="52">
        <f>IF(Data!J691&lt;=5,Data!J691,IF(Data!J691&lt;=10,"6 TO 10","More than 10"))</f>
        <v>3</v>
      </c>
      <c r="G691" s="52">
        <f t="shared" si="10"/>
        <v>1</v>
      </c>
      <c r="H691" s="52">
        <f>ROUND(Data!C691*Data!D691-Data!E691,2)</f>
        <v>0</v>
      </c>
      <c r="I691" s="52">
        <f>IF(AND(OR(Sel_Mode="All",Data!I691=Sel_Mode),OR(Sel_Gender="All",D691=Sel_Gender),OR(Sel_Category="All",Data!B691=Sel_Category),OR(Sel_Month="All",C691=Sel_Month),OR(Sel_County="All",Data!L691=Sel_County)),1,0)</f>
        <v>1</v>
      </c>
    </row>
    <row r="692" spans="1:9" x14ac:dyDescent="0.25">
      <c r="A692" s="52" t="str">
        <f>Data!A692</f>
        <v>TX500691</v>
      </c>
      <c r="B692" s="52">
        <f>MONTH(Data!F692)</f>
        <v>1</v>
      </c>
      <c r="C692" s="52" t="str">
        <f>TEXT(Data!F692,"mmm")</f>
        <v>Jan</v>
      </c>
      <c r="D692" s="52" t="str">
        <f>Data!O692</f>
        <v>Male</v>
      </c>
      <c r="E692" s="52">
        <f>Data!G692-Data!F692</f>
        <v>2</v>
      </c>
      <c r="F692" s="52">
        <f>IF(Data!J692&lt;=5,Data!J692,IF(Data!J692&lt;=10,"6 TO 10","More than 10"))</f>
        <v>4</v>
      </c>
      <c r="G692" s="52">
        <f t="shared" si="10"/>
        <v>2</v>
      </c>
      <c r="H692" s="52">
        <f>ROUND(Data!C692*Data!D692-Data!E692,2)</f>
        <v>0</v>
      </c>
      <c r="I692" s="52">
        <f>IF(AND(OR(Sel_Mode="All",Data!I692=Sel_Mode),OR(Sel_Gender="All",D692=Sel_Gender),OR(Sel_Category="All",Data!B692=Sel_Category),OR(Sel_Month="All",C692=Sel_Month),OR(Sel_County="All",Data!L692=Sel_County)),1,0)</f>
        <v>1</v>
      </c>
    </row>
    <row r="693" spans="1:9" x14ac:dyDescent="0.25">
      <c r="A693" s="52" t="str">
        <f>Data!A693</f>
        <v>TX500692</v>
      </c>
      <c r="B693" s="52">
        <f>MONTH(Data!F693)</f>
        <v>1</v>
      </c>
      <c r="C693" s="52" t="str">
        <f>TEXT(Data!F693,"mmm")</f>
        <v>Jan</v>
      </c>
      <c r="D693" s="52" t="str">
        <f>Data!O693</f>
        <v>Female</v>
      </c>
      <c r="E693" s="52">
        <f>Data!G693-Data!F693</f>
        <v>2</v>
      </c>
      <c r="F693" s="52">
        <f>IF(Data!J693&lt;=5,Data!J693,IF(Data!J693&lt;=10,"6 TO 10","More than 10"))</f>
        <v>5</v>
      </c>
      <c r="G693" s="52">
        <f t="shared" si="10"/>
        <v>2</v>
      </c>
      <c r="H693" s="52">
        <f>ROUND(Data!C693*Data!D693-Data!E693,2)</f>
        <v>0</v>
      </c>
      <c r="I693" s="52">
        <f>IF(AND(OR(Sel_Mode="All",Data!I693=Sel_Mode),OR(Sel_Gender="All",D693=Sel_Gender),OR(Sel_Category="All",Data!B693=Sel_Category),OR(Sel_Month="All",C693=Sel_Month),OR(Sel_County="All",Data!L693=Sel_County)),1,0)</f>
        <v>1</v>
      </c>
    </row>
    <row r="694" spans="1:9" x14ac:dyDescent="0.25">
      <c r="A694" s="52" t="str">
        <f>Data!A694</f>
        <v>TX500693</v>
      </c>
      <c r="B694" s="52">
        <f>MONTH(Data!F694)</f>
        <v>1</v>
      </c>
      <c r="C694" s="52" t="str">
        <f>TEXT(Data!F694,"mmm")</f>
        <v>Jan</v>
      </c>
      <c r="D694" s="52" t="str">
        <f>Data!O694</f>
        <v>Male</v>
      </c>
      <c r="E694" s="52">
        <f>Data!G694-Data!F694</f>
        <v>3</v>
      </c>
      <c r="F694" s="52">
        <f>IF(Data!J694&lt;=5,Data!J694,IF(Data!J694&lt;=10,"6 TO 10","More than 10"))</f>
        <v>4</v>
      </c>
      <c r="G694" s="52">
        <f t="shared" si="10"/>
        <v>3</v>
      </c>
      <c r="H694" s="52">
        <f>ROUND(Data!C694*Data!D694-Data!E694,2)</f>
        <v>0</v>
      </c>
      <c r="I694" s="52">
        <f>IF(AND(OR(Sel_Mode="All",Data!I694=Sel_Mode),OR(Sel_Gender="All",D694=Sel_Gender),OR(Sel_Category="All",Data!B694=Sel_Category),OR(Sel_Month="All",C694=Sel_Month),OR(Sel_County="All",Data!L694=Sel_County)),1,0)</f>
        <v>1</v>
      </c>
    </row>
    <row r="695" spans="1:9" x14ac:dyDescent="0.25">
      <c r="A695" s="52" t="str">
        <f>Data!A695</f>
        <v>TX500694</v>
      </c>
      <c r="B695" s="52">
        <f>MONTH(Data!F695)</f>
        <v>1</v>
      </c>
      <c r="C695" s="52" t="str">
        <f>TEXT(Data!F695,"mmm")</f>
        <v>Jan</v>
      </c>
      <c r="D695" s="52" t="str">
        <f>Data!O695</f>
        <v>Male</v>
      </c>
      <c r="E695" s="52">
        <f>Data!G695-Data!F695</f>
        <v>2</v>
      </c>
      <c r="F695" s="52">
        <f>IF(Data!J695&lt;=5,Data!J695,IF(Data!J695&lt;=10,"6 TO 10","More than 10"))</f>
        <v>3</v>
      </c>
      <c r="G695" s="52">
        <f t="shared" si="10"/>
        <v>2</v>
      </c>
      <c r="H695" s="52">
        <f>ROUND(Data!C695*Data!D695-Data!E695,2)</f>
        <v>0</v>
      </c>
      <c r="I695" s="52">
        <f>IF(AND(OR(Sel_Mode="All",Data!I695=Sel_Mode),OR(Sel_Gender="All",D695=Sel_Gender),OR(Sel_Category="All",Data!B695=Sel_Category),OR(Sel_Month="All",C695=Sel_Month),OR(Sel_County="All",Data!L695=Sel_County)),1,0)</f>
        <v>1</v>
      </c>
    </row>
    <row r="696" spans="1:9" x14ac:dyDescent="0.25">
      <c r="A696" s="52" t="str">
        <f>Data!A696</f>
        <v>TX500695</v>
      </c>
      <c r="B696" s="52">
        <f>MONTH(Data!F696)</f>
        <v>1</v>
      </c>
      <c r="C696" s="52" t="str">
        <f>TEXT(Data!F696,"mmm")</f>
        <v>Jan</v>
      </c>
      <c r="D696" s="52" t="str">
        <f>Data!O696</f>
        <v>Male</v>
      </c>
      <c r="E696" s="52">
        <f>Data!G696-Data!F696</f>
        <v>1</v>
      </c>
      <c r="F696" s="52">
        <f>IF(Data!J696&lt;=5,Data!J696,IF(Data!J696&lt;=10,"6 TO 10","More than 10"))</f>
        <v>3</v>
      </c>
      <c r="G696" s="52">
        <f t="shared" si="10"/>
        <v>1</v>
      </c>
      <c r="H696" s="52">
        <f>ROUND(Data!C696*Data!D696-Data!E696,2)</f>
        <v>0</v>
      </c>
      <c r="I696" s="52">
        <f>IF(AND(OR(Sel_Mode="All",Data!I696=Sel_Mode),OR(Sel_Gender="All",D696=Sel_Gender),OR(Sel_Category="All",Data!B696=Sel_Category),OR(Sel_Month="All",C696=Sel_Month),OR(Sel_County="All",Data!L696=Sel_County)),1,0)</f>
        <v>1</v>
      </c>
    </row>
    <row r="697" spans="1:9" x14ac:dyDescent="0.25">
      <c r="A697" s="52" t="str">
        <f>Data!A697</f>
        <v>TX500696</v>
      </c>
      <c r="B697" s="52">
        <f>MONTH(Data!F697)</f>
        <v>1</v>
      </c>
      <c r="C697" s="52" t="str">
        <f>TEXT(Data!F697,"mmm")</f>
        <v>Jan</v>
      </c>
      <c r="D697" s="52" t="str">
        <f>Data!O697</f>
        <v>Female</v>
      </c>
      <c r="E697" s="52">
        <f>Data!G697-Data!F697</f>
        <v>3</v>
      </c>
      <c r="F697" s="52">
        <f>IF(Data!J697&lt;=5,Data!J697,IF(Data!J697&lt;=10,"6 TO 10","More than 10"))</f>
        <v>4</v>
      </c>
      <c r="G697" s="52">
        <f t="shared" si="10"/>
        <v>3</v>
      </c>
      <c r="H697" s="52">
        <f>ROUND(Data!C697*Data!D697-Data!E697,2)</f>
        <v>0</v>
      </c>
      <c r="I697" s="52">
        <f>IF(AND(OR(Sel_Mode="All",Data!I697=Sel_Mode),OR(Sel_Gender="All",D697=Sel_Gender),OR(Sel_Category="All",Data!B697=Sel_Category),OR(Sel_Month="All",C697=Sel_Month),OR(Sel_County="All",Data!L697=Sel_County)),1,0)</f>
        <v>1</v>
      </c>
    </row>
    <row r="698" spans="1:9" x14ac:dyDescent="0.25">
      <c r="A698" s="52" t="str">
        <f>Data!A698</f>
        <v>TX500697</v>
      </c>
      <c r="B698" s="52">
        <f>MONTH(Data!F698)</f>
        <v>1</v>
      </c>
      <c r="C698" s="52" t="str">
        <f>TEXT(Data!F698,"mmm")</f>
        <v>Jan</v>
      </c>
      <c r="D698" s="52" t="str">
        <f>Data!O698</f>
        <v>Female</v>
      </c>
      <c r="E698" s="52">
        <f>Data!G698-Data!F698</f>
        <v>1</v>
      </c>
      <c r="F698" s="52">
        <f>IF(Data!J698&lt;=5,Data!J698,IF(Data!J698&lt;=10,"6 TO 10","More than 10"))</f>
        <v>4</v>
      </c>
      <c r="G698" s="52">
        <f t="shared" si="10"/>
        <v>1</v>
      </c>
      <c r="H698" s="52">
        <f>ROUND(Data!C698*Data!D698-Data!E698,2)</f>
        <v>0</v>
      </c>
      <c r="I698" s="52">
        <f>IF(AND(OR(Sel_Mode="All",Data!I698=Sel_Mode),OR(Sel_Gender="All",D698=Sel_Gender),OR(Sel_Category="All",Data!B698=Sel_Category),OR(Sel_Month="All",C698=Sel_Month),OR(Sel_County="All",Data!L698=Sel_County)),1,0)</f>
        <v>1</v>
      </c>
    </row>
    <row r="699" spans="1:9" x14ac:dyDescent="0.25">
      <c r="A699" s="52" t="str">
        <f>Data!A699</f>
        <v>TX500698</v>
      </c>
      <c r="B699" s="52">
        <f>MONTH(Data!F699)</f>
        <v>1</v>
      </c>
      <c r="C699" s="52" t="str">
        <f>TEXT(Data!F699,"mmm")</f>
        <v>Jan</v>
      </c>
      <c r="D699" s="52" t="str">
        <f>Data!O699</f>
        <v>Male</v>
      </c>
      <c r="E699" s="52">
        <f>Data!G699-Data!F699</f>
        <v>1</v>
      </c>
      <c r="F699" s="52">
        <f>IF(Data!J699&lt;=5,Data!J699,IF(Data!J699&lt;=10,"6 TO 10","More than 10"))</f>
        <v>4</v>
      </c>
      <c r="G699" s="52">
        <f t="shared" si="10"/>
        <v>1</v>
      </c>
      <c r="H699" s="52">
        <f>ROUND(Data!C699*Data!D699-Data!E699,2)</f>
        <v>0</v>
      </c>
      <c r="I699" s="52">
        <f>IF(AND(OR(Sel_Mode="All",Data!I699=Sel_Mode),OR(Sel_Gender="All",D699=Sel_Gender),OR(Sel_Category="All",Data!B699=Sel_Category),OR(Sel_Month="All",C699=Sel_Month),OR(Sel_County="All",Data!L699=Sel_County)),1,0)</f>
        <v>1</v>
      </c>
    </row>
    <row r="700" spans="1:9" x14ac:dyDescent="0.25">
      <c r="A700" s="52" t="str">
        <f>Data!A700</f>
        <v>TX500699</v>
      </c>
      <c r="B700" s="52">
        <f>MONTH(Data!F700)</f>
        <v>1</v>
      </c>
      <c r="C700" s="52" t="str">
        <f>TEXT(Data!F700,"mmm")</f>
        <v>Jan</v>
      </c>
      <c r="D700" s="52" t="str">
        <f>Data!O700</f>
        <v>Unknown</v>
      </c>
      <c r="E700" s="52">
        <f>Data!G700-Data!F700</f>
        <v>2</v>
      </c>
      <c r="F700" s="52">
        <f>IF(Data!J700&lt;=5,Data!J700,IF(Data!J700&lt;=10,"6 TO 10","More than 10"))</f>
        <v>3</v>
      </c>
      <c r="G700" s="52">
        <f t="shared" si="10"/>
        <v>2</v>
      </c>
      <c r="H700" s="52">
        <f>ROUND(Data!C700*Data!D700-Data!E700,2)</f>
        <v>0</v>
      </c>
      <c r="I700" s="52">
        <f>IF(AND(OR(Sel_Mode="All",Data!I700=Sel_Mode),OR(Sel_Gender="All",D700=Sel_Gender),OR(Sel_Category="All",Data!B700=Sel_Category),OR(Sel_Month="All",C700=Sel_Month),OR(Sel_County="All",Data!L700=Sel_County)),1,0)</f>
        <v>1</v>
      </c>
    </row>
    <row r="701" spans="1:9" x14ac:dyDescent="0.25">
      <c r="A701" s="52" t="str">
        <f>Data!A701</f>
        <v>TX500700</v>
      </c>
      <c r="B701" s="52">
        <f>MONTH(Data!F701)</f>
        <v>1</v>
      </c>
      <c r="C701" s="52" t="str">
        <f>TEXT(Data!F701,"mmm")</f>
        <v>Jan</v>
      </c>
      <c r="D701" s="52" t="str">
        <f>Data!O701</f>
        <v>Male</v>
      </c>
      <c r="E701" s="52">
        <f>Data!G701-Data!F701</f>
        <v>1</v>
      </c>
      <c r="F701" s="52">
        <f>IF(Data!J701&lt;=5,Data!J701,IF(Data!J701&lt;=10,"6 TO 10","More than 10"))</f>
        <v>4</v>
      </c>
      <c r="G701" s="52">
        <f t="shared" si="10"/>
        <v>1</v>
      </c>
      <c r="H701" s="52">
        <f>ROUND(Data!C701*Data!D701-Data!E701,2)</f>
        <v>0</v>
      </c>
      <c r="I701" s="52">
        <f>IF(AND(OR(Sel_Mode="All",Data!I701=Sel_Mode),OR(Sel_Gender="All",D701=Sel_Gender),OR(Sel_Category="All",Data!B701=Sel_Category),OR(Sel_Month="All",C701=Sel_Month),OR(Sel_County="All",Data!L701=Sel_County)),1,0)</f>
        <v>1</v>
      </c>
    </row>
    <row r="702" spans="1:9" x14ac:dyDescent="0.25">
      <c r="A702" s="52" t="str">
        <f>Data!A702</f>
        <v>TX500701</v>
      </c>
      <c r="B702" s="52">
        <f>MONTH(Data!F702)</f>
        <v>1</v>
      </c>
      <c r="C702" s="52" t="str">
        <f>TEXT(Data!F702,"mmm")</f>
        <v>Jan</v>
      </c>
      <c r="D702" s="52" t="str">
        <f>Data!O702</f>
        <v>Female</v>
      </c>
      <c r="E702" s="52">
        <f>Data!G702-Data!F702</f>
        <v>2</v>
      </c>
      <c r="F702" s="52">
        <f>IF(Data!J702&lt;=5,Data!J702,IF(Data!J702&lt;=10,"6 TO 10","More than 10"))</f>
        <v>5</v>
      </c>
      <c r="G702" s="52">
        <f t="shared" si="10"/>
        <v>2</v>
      </c>
      <c r="H702" s="52">
        <f>ROUND(Data!C702*Data!D702-Data!E702,2)</f>
        <v>0</v>
      </c>
      <c r="I702" s="52">
        <f>IF(AND(OR(Sel_Mode="All",Data!I702=Sel_Mode),OR(Sel_Gender="All",D702=Sel_Gender),OR(Sel_Category="All",Data!B702=Sel_Category),OR(Sel_Month="All",C702=Sel_Month),OR(Sel_County="All",Data!L702=Sel_County)),1,0)</f>
        <v>1</v>
      </c>
    </row>
    <row r="703" spans="1:9" x14ac:dyDescent="0.25">
      <c r="A703" s="52" t="str">
        <f>Data!A703</f>
        <v>TX500702</v>
      </c>
      <c r="B703" s="52">
        <f>MONTH(Data!F703)</f>
        <v>1</v>
      </c>
      <c r="C703" s="52" t="str">
        <f>TEXT(Data!F703,"mmm")</f>
        <v>Jan</v>
      </c>
      <c r="D703" s="52" t="str">
        <f>Data!O703</f>
        <v>Male</v>
      </c>
      <c r="E703" s="52">
        <f>Data!G703-Data!F703</f>
        <v>1</v>
      </c>
      <c r="F703" s="52">
        <f>IF(Data!J703&lt;=5,Data!J703,IF(Data!J703&lt;=10,"6 TO 10","More than 10"))</f>
        <v>4</v>
      </c>
      <c r="G703" s="52">
        <f t="shared" si="10"/>
        <v>1</v>
      </c>
      <c r="H703" s="52">
        <f>ROUND(Data!C703*Data!D703-Data!E703,2)</f>
        <v>0</v>
      </c>
      <c r="I703" s="52">
        <f>IF(AND(OR(Sel_Mode="All",Data!I703=Sel_Mode),OR(Sel_Gender="All",D703=Sel_Gender),OR(Sel_Category="All",Data!B703=Sel_Category),OR(Sel_Month="All",C703=Sel_Month),OR(Sel_County="All",Data!L703=Sel_County)),1,0)</f>
        <v>1</v>
      </c>
    </row>
    <row r="704" spans="1:9" x14ac:dyDescent="0.25">
      <c r="A704" s="52" t="str">
        <f>Data!A704</f>
        <v>TX500703</v>
      </c>
      <c r="B704" s="52">
        <f>MONTH(Data!F704)</f>
        <v>1</v>
      </c>
      <c r="C704" s="52" t="str">
        <f>TEXT(Data!F704,"mmm")</f>
        <v>Jan</v>
      </c>
      <c r="D704" s="52" t="str">
        <f>Data!O704</f>
        <v>Male</v>
      </c>
      <c r="E704" s="52">
        <f>Data!G704-Data!F704</f>
        <v>0</v>
      </c>
      <c r="F704" s="52">
        <f>IF(Data!J704&lt;=5,Data!J704,IF(Data!J704&lt;=10,"6 TO 10","More than 10"))</f>
        <v>4</v>
      </c>
      <c r="G704" s="52">
        <f t="shared" si="10"/>
        <v>0</v>
      </c>
      <c r="H704" s="52">
        <f>ROUND(Data!C704*Data!D704-Data!E704,2)</f>
        <v>0</v>
      </c>
      <c r="I704" s="52">
        <f>IF(AND(OR(Sel_Mode="All",Data!I704=Sel_Mode),OR(Sel_Gender="All",D704=Sel_Gender),OR(Sel_Category="All",Data!B704=Sel_Category),OR(Sel_Month="All",C704=Sel_Month),OR(Sel_County="All",Data!L704=Sel_County)),1,0)</f>
        <v>1</v>
      </c>
    </row>
    <row r="705" spans="1:9" x14ac:dyDescent="0.25">
      <c r="A705" s="52" t="str">
        <f>Data!A705</f>
        <v>TX500704</v>
      </c>
      <c r="B705" s="52">
        <f>MONTH(Data!F705)</f>
        <v>1</v>
      </c>
      <c r="C705" s="52" t="str">
        <f>TEXT(Data!F705,"mmm")</f>
        <v>Jan</v>
      </c>
      <c r="D705" s="52" t="str">
        <f>Data!O705</f>
        <v>Male</v>
      </c>
      <c r="E705" s="52">
        <f>Data!G705-Data!F705</f>
        <v>4</v>
      </c>
      <c r="F705" s="52">
        <f>IF(Data!J705&lt;=5,Data!J705,IF(Data!J705&lt;=10,"6 TO 10","More than 10"))</f>
        <v>5</v>
      </c>
      <c r="G705" s="52">
        <f t="shared" si="10"/>
        <v>4</v>
      </c>
      <c r="H705" s="52">
        <f>ROUND(Data!C705*Data!D705-Data!E705,2)</f>
        <v>0</v>
      </c>
      <c r="I705" s="52">
        <f>IF(AND(OR(Sel_Mode="All",Data!I705=Sel_Mode),OR(Sel_Gender="All",D705=Sel_Gender),OR(Sel_Category="All",Data!B705=Sel_Category),OR(Sel_Month="All",C705=Sel_Month),OR(Sel_County="All",Data!L705=Sel_County)),1,0)</f>
        <v>1</v>
      </c>
    </row>
    <row r="706" spans="1:9" x14ac:dyDescent="0.25">
      <c r="A706" s="52" t="str">
        <f>Data!A706</f>
        <v>TX500705</v>
      </c>
      <c r="B706" s="52">
        <f>MONTH(Data!F706)</f>
        <v>1</v>
      </c>
      <c r="C706" s="52" t="str">
        <f>TEXT(Data!F706,"mmm")</f>
        <v>Jan</v>
      </c>
      <c r="D706" s="52" t="str">
        <f>Data!O706</f>
        <v>Male</v>
      </c>
      <c r="E706" s="52">
        <f>Data!G706-Data!F706</f>
        <v>1</v>
      </c>
      <c r="F706" s="52">
        <f>IF(Data!J706&lt;=5,Data!J706,IF(Data!J706&lt;=10,"6 TO 10","More than 10"))</f>
        <v>3</v>
      </c>
      <c r="G706" s="52">
        <f t="shared" ref="G706:G769" si="11">IF(E706&gt;=8,"8+",E706)</f>
        <v>1</v>
      </c>
      <c r="H706" s="52">
        <f>ROUND(Data!C706*Data!D706-Data!E706,2)</f>
        <v>0</v>
      </c>
      <c r="I706" s="52">
        <f>IF(AND(OR(Sel_Mode="All",Data!I706=Sel_Mode),OR(Sel_Gender="All",D706=Sel_Gender),OR(Sel_Category="All",Data!B706=Sel_Category),OR(Sel_Month="All",C706=Sel_Month),OR(Sel_County="All",Data!L706=Sel_County)),1,0)</f>
        <v>1</v>
      </c>
    </row>
    <row r="707" spans="1:9" x14ac:dyDescent="0.25">
      <c r="A707" s="52" t="str">
        <f>Data!A707</f>
        <v>TX500706</v>
      </c>
      <c r="B707" s="52">
        <f>MONTH(Data!F707)</f>
        <v>1</v>
      </c>
      <c r="C707" s="52" t="str">
        <f>TEXT(Data!F707,"mmm")</f>
        <v>Jan</v>
      </c>
      <c r="D707" s="52" t="str">
        <f>Data!O707</f>
        <v>Female</v>
      </c>
      <c r="E707" s="52">
        <f>Data!G707-Data!F707</f>
        <v>1</v>
      </c>
      <c r="F707" s="52">
        <f>IF(Data!J707&lt;=5,Data!J707,IF(Data!J707&lt;=10,"6 TO 10","More than 10"))</f>
        <v>4</v>
      </c>
      <c r="G707" s="52">
        <f t="shared" si="11"/>
        <v>1</v>
      </c>
      <c r="H707" s="52">
        <f>ROUND(Data!C707*Data!D707-Data!E707,2)</f>
        <v>0</v>
      </c>
      <c r="I707" s="52">
        <f>IF(AND(OR(Sel_Mode="All",Data!I707=Sel_Mode),OR(Sel_Gender="All",D707=Sel_Gender),OR(Sel_Category="All",Data!B707=Sel_Category),OR(Sel_Month="All",C707=Sel_Month),OR(Sel_County="All",Data!L707=Sel_County)),1,0)</f>
        <v>1</v>
      </c>
    </row>
    <row r="708" spans="1:9" x14ac:dyDescent="0.25">
      <c r="A708" s="52" t="str">
        <f>Data!A708</f>
        <v>TX500707</v>
      </c>
      <c r="B708" s="52">
        <f>MONTH(Data!F708)</f>
        <v>1</v>
      </c>
      <c r="C708" s="52" t="str">
        <f>TEXT(Data!F708,"mmm")</f>
        <v>Jan</v>
      </c>
      <c r="D708" s="52" t="str">
        <f>Data!O708</f>
        <v>Male</v>
      </c>
      <c r="E708" s="52">
        <f>Data!G708-Data!F708</f>
        <v>2</v>
      </c>
      <c r="F708" s="52">
        <f>IF(Data!J708&lt;=5,Data!J708,IF(Data!J708&lt;=10,"6 TO 10","More than 10"))</f>
        <v>5</v>
      </c>
      <c r="G708" s="52">
        <f t="shared" si="11"/>
        <v>2</v>
      </c>
      <c r="H708" s="52">
        <f>ROUND(Data!C708*Data!D708-Data!E708,2)</f>
        <v>0</v>
      </c>
      <c r="I708" s="52">
        <f>IF(AND(OR(Sel_Mode="All",Data!I708=Sel_Mode),OR(Sel_Gender="All",D708=Sel_Gender),OR(Sel_Category="All",Data!B708=Sel_Category),OR(Sel_Month="All",C708=Sel_Month),OR(Sel_County="All",Data!L708=Sel_County)),1,0)</f>
        <v>1</v>
      </c>
    </row>
    <row r="709" spans="1:9" x14ac:dyDescent="0.25">
      <c r="A709" s="52" t="str">
        <f>Data!A709</f>
        <v>TX500708</v>
      </c>
      <c r="B709" s="52">
        <f>MONTH(Data!F709)</f>
        <v>1</v>
      </c>
      <c r="C709" s="52" t="str">
        <f>TEXT(Data!F709,"mmm")</f>
        <v>Jan</v>
      </c>
      <c r="D709" s="52" t="str">
        <f>Data!O709</f>
        <v>Male</v>
      </c>
      <c r="E709" s="52">
        <f>Data!G709-Data!F709</f>
        <v>5</v>
      </c>
      <c r="F709" s="52">
        <f>IF(Data!J709&lt;=5,Data!J709,IF(Data!J709&lt;=10,"6 TO 10","More than 10"))</f>
        <v>5</v>
      </c>
      <c r="G709" s="52">
        <f t="shared" si="11"/>
        <v>5</v>
      </c>
      <c r="H709" s="52">
        <f>ROUND(Data!C709*Data!D709-Data!E709,2)</f>
        <v>0</v>
      </c>
      <c r="I709" s="52">
        <f>IF(AND(OR(Sel_Mode="All",Data!I709=Sel_Mode),OR(Sel_Gender="All",D709=Sel_Gender),OR(Sel_Category="All",Data!B709=Sel_Category),OR(Sel_Month="All",C709=Sel_Month),OR(Sel_County="All",Data!L709=Sel_County)),1,0)</f>
        <v>1</v>
      </c>
    </row>
    <row r="710" spans="1:9" x14ac:dyDescent="0.25">
      <c r="A710" s="52" t="str">
        <f>Data!A710</f>
        <v>TX500709</v>
      </c>
      <c r="B710" s="52">
        <f>MONTH(Data!F710)</f>
        <v>1</v>
      </c>
      <c r="C710" s="52" t="str">
        <f>TEXT(Data!F710,"mmm")</f>
        <v>Jan</v>
      </c>
      <c r="D710" s="52" t="str">
        <f>Data!O710</f>
        <v>Male</v>
      </c>
      <c r="E710" s="52">
        <f>Data!G710-Data!F710</f>
        <v>4</v>
      </c>
      <c r="F710" s="52">
        <f>IF(Data!J710&lt;=5,Data!J710,IF(Data!J710&lt;=10,"6 TO 10","More than 10"))</f>
        <v>4</v>
      </c>
      <c r="G710" s="52">
        <f t="shared" si="11"/>
        <v>4</v>
      </c>
      <c r="H710" s="52">
        <f>ROUND(Data!C710*Data!D710-Data!E710,2)</f>
        <v>0</v>
      </c>
      <c r="I710" s="52">
        <f>IF(AND(OR(Sel_Mode="All",Data!I710=Sel_Mode),OR(Sel_Gender="All",D710=Sel_Gender),OR(Sel_Category="All",Data!B710=Sel_Category),OR(Sel_Month="All",C710=Sel_Month),OR(Sel_County="All",Data!L710=Sel_County)),1,0)</f>
        <v>1</v>
      </c>
    </row>
    <row r="711" spans="1:9" x14ac:dyDescent="0.25">
      <c r="A711" s="52" t="str">
        <f>Data!A711</f>
        <v>TX500710</v>
      </c>
      <c r="B711" s="52">
        <f>MONTH(Data!F711)</f>
        <v>1</v>
      </c>
      <c r="C711" s="52" t="str">
        <f>TEXT(Data!F711,"mmm")</f>
        <v>Jan</v>
      </c>
      <c r="D711" s="52" t="str">
        <f>Data!O711</f>
        <v>Male</v>
      </c>
      <c r="E711" s="52">
        <f>Data!G711-Data!F711</f>
        <v>2</v>
      </c>
      <c r="F711" s="52">
        <f>IF(Data!J711&lt;=5,Data!J711,IF(Data!J711&lt;=10,"6 TO 10","More than 10"))</f>
        <v>4</v>
      </c>
      <c r="G711" s="52">
        <f t="shared" si="11"/>
        <v>2</v>
      </c>
      <c r="H711" s="52">
        <f>ROUND(Data!C711*Data!D711-Data!E711,2)</f>
        <v>0</v>
      </c>
      <c r="I711" s="52">
        <f>IF(AND(OR(Sel_Mode="All",Data!I711=Sel_Mode),OR(Sel_Gender="All",D711=Sel_Gender),OR(Sel_Category="All",Data!B711=Sel_Category),OR(Sel_Month="All",C711=Sel_Month),OR(Sel_County="All",Data!L711=Sel_County)),1,0)</f>
        <v>1</v>
      </c>
    </row>
    <row r="712" spans="1:9" x14ac:dyDescent="0.25">
      <c r="A712" s="52" t="str">
        <f>Data!A712</f>
        <v>TX500711</v>
      </c>
      <c r="B712" s="52">
        <f>MONTH(Data!F712)</f>
        <v>1</v>
      </c>
      <c r="C712" s="52" t="str">
        <f>TEXT(Data!F712,"mmm")</f>
        <v>Jan</v>
      </c>
      <c r="D712" s="52" t="str">
        <f>Data!O712</f>
        <v>Unknown</v>
      </c>
      <c r="E712" s="52">
        <f>Data!G712-Data!F712</f>
        <v>2</v>
      </c>
      <c r="F712" s="52">
        <f>IF(Data!J712&lt;=5,Data!J712,IF(Data!J712&lt;=10,"6 TO 10","More than 10"))</f>
        <v>3</v>
      </c>
      <c r="G712" s="52">
        <f t="shared" si="11"/>
        <v>2</v>
      </c>
      <c r="H712" s="52">
        <f>ROUND(Data!C712*Data!D712-Data!E712,2)</f>
        <v>0</v>
      </c>
      <c r="I712" s="52">
        <f>IF(AND(OR(Sel_Mode="All",Data!I712=Sel_Mode),OR(Sel_Gender="All",D712=Sel_Gender),OR(Sel_Category="All",Data!B712=Sel_Category),OR(Sel_Month="All",C712=Sel_Month),OR(Sel_County="All",Data!L712=Sel_County)),1,0)</f>
        <v>1</v>
      </c>
    </row>
    <row r="713" spans="1:9" x14ac:dyDescent="0.25">
      <c r="A713" s="52" t="str">
        <f>Data!A713</f>
        <v>TX500712</v>
      </c>
      <c r="B713" s="52">
        <f>MONTH(Data!F713)</f>
        <v>1</v>
      </c>
      <c r="C713" s="52" t="str">
        <f>TEXT(Data!F713,"mmm")</f>
        <v>Jan</v>
      </c>
      <c r="D713" s="52" t="str">
        <f>Data!O713</f>
        <v>Female</v>
      </c>
      <c r="E713" s="52">
        <f>Data!G713-Data!F713</f>
        <v>1</v>
      </c>
      <c r="F713" s="52">
        <f>IF(Data!J713&lt;=5,Data!J713,IF(Data!J713&lt;=10,"6 TO 10","More than 10"))</f>
        <v>5</v>
      </c>
      <c r="G713" s="52">
        <f t="shared" si="11"/>
        <v>1</v>
      </c>
      <c r="H713" s="52">
        <f>ROUND(Data!C713*Data!D713-Data!E713,2)</f>
        <v>0</v>
      </c>
      <c r="I713" s="52">
        <f>IF(AND(OR(Sel_Mode="All",Data!I713=Sel_Mode),OR(Sel_Gender="All",D713=Sel_Gender),OR(Sel_Category="All",Data!B713=Sel_Category),OR(Sel_Month="All",C713=Sel_Month),OR(Sel_County="All",Data!L713=Sel_County)),1,0)</f>
        <v>1</v>
      </c>
    </row>
    <row r="714" spans="1:9" x14ac:dyDescent="0.25">
      <c r="A714" s="52" t="str">
        <f>Data!A714</f>
        <v>TX500713</v>
      </c>
      <c r="B714" s="52">
        <f>MONTH(Data!F714)</f>
        <v>1</v>
      </c>
      <c r="C714" s="52" t="str">
        <f>TEXT(Data!F714,"mmm")</f>
        <v>Jan</v>
      </c>
      <c r="D714" s="52" t="str">
        <f>Data!O714</f>
        <v>Male</v>
      </c>
      <c r="E714" s="52">
        <f>Data!G714-Data!F714</f>
        <v>4</v>
      </c>
      <c r="F714" s="52">
        <f>IF(Data!J714&lt;=5,Data!J714,IF(Data!J714&lt;=10,"6 TO 10","More than 10"))</f>
        <v>5</v>
      </c>
      <c r="G714" s="52">
        <f t="shared" si="11"/>
        <v>4</v>
      </c>
      <c r="H714" s="52">
        <f>ROUND(Data!C714*Data!D714-Data!E714,2)</f>
        <v>0</v>
      </c>
      <c r="I714" s="52">
        <f>IF(AND(OR(Sel_Mode="All",Data!I714=Sel_Mode),OR(Sel_Gender="All",D714=Sel_Gender),OR(Sel_Category="All",Data!B714=Sel_Category),OR(Sel_Month="All",C714=Sel_Month),OR(Sel_County="All",Data!L714=Sel_County)),1,0)</f>
        <v>1</v>
      </c>
    </row>
    <row r="715" spans="1:9" x14ac:dyDescent="0.25">
      <c r="A715" s="52" t="str">
        <f>Data!A715</f>
        <v>TX500714</v>
      </c>
      <c r="B715" s="52">
        <f>MONTH(Data!F715)</f>
        <v>1</v>
      </c>
      <c r="C715" s="52" t="str">
        <f>TEXT(Data!F715,"mmm")</f>
        <v>Jan</v>
      </c>
      <c r="D715" s="52" t="str">
        <f>Data!O715</f>
        <v>Female</v>
      </c>
      <c r="E715" s="52">
        <f>Data!G715-Data!F715</f>
        <v>3</v>
      </c>
      <c r="F715" s="52">
        <f>IF(Data!J715&lt;=5,Data!J715,IF(Data!J715&lt;=10,"6 TO 10","More than 10"))</f>
        <v>5</v>
      </c>
      <c r="G715" s="52">
        <f t="shared" si="11"/>
        <v>3</v>
      </c>
      <c r="H715" s="52">
        <f>ROUND(Data!C715*Data!D715-Data!E715,2)</f>
        <v>0</v>
      </c>
      <c r="I715" s="52">
        <f>IF(AND(OR(Sel_Mode="All",Data!I715=Sel_Mode),OR(Sel_Gender="All",D715=Sel_Gender),OR(Sel_Category="All",Data!B715=Sel_Category),OR(Sel_Month="All",C715=Sel_Month),OR(Sel_County="All",Data!L715=Sel_County)),1,0)</f>
        <v>1</v>
      </c>
    </row>
    <row r="716" spans="1:9" x14ac:dyDescent="0.25">
      <c r="A716" s="52" t="str">
        <f>Data!A716</f>
        <v>TX500715</v>
      </c>
      <c r="B716" s="52">
        <f>MONTH(Data!F716)</f>
        <v>1</v>
      </c>
      <c r="C716" s="52" t="str">
        <f>TEXT(Data!F716,"mmm")</f>
        <v>Jan</v>
      </c>
      <c r="D716" s="52" t="str">
        <f>Data!O716</f>
        <v>Male</v>
      </c>
      <c r="E716" s="52">
        <f>Data!G716-Data!F716</f>
        <v>1</v>
      </c>
      <c r="F716" s="52">
        <f>IF(Data!J716&lt;=5,Data!J716,IF(Data!J716&lt;=10,"6 TO 10","More than 10"))</f>
        <v>5</v>
      </c>
      <c r="G716" s="52">
        <f t="shared" si="11"/>
        <v>1</v>
      </c>
      <c r="H716" s="52">
        <f>ROUND(Data!C716*Data!D716-Data!E716,2)</f>
        <v>0</v>
      </c>
      <c r="I716" s="52">
        <f>IF(AND(OR(Sel_Mode="All",Data!I716=Sel_Mode),OR(Sel_Gender="All",D716=Sel_Gender),OR(Sel_Category="All",Data!B716=Sel_Category),OR(Sel_Month="All",C716=Sel_Month),OR(Sel_County="All",Data!L716=Sel_County)),1,0)</f>
        <v>1</v>
      </c>
    </row>
    <row r="717" spans="1:9" x14ac:dyDescent="0.25">
      <c r="A717" s="52" t="str">
        <f>Data!A717</f>
        <v>TX500716</v>
      </c>
      <c r="B717" s="52">
        <f>MONTH(Data!F717)</f>
        <v>1</v>
      </c>
      <c r="C717" s="52" t="str">
        <f>TEXT(Data!F717,"mmm")</f>
        <v>Jan</v>
      </c>
      <c r="D717" s="52" t="str">
        <f>Data!O717</f>
        <v>Male</v>
      </c>
      <c r="E717" s="52">
        <f>Data!G717-Data!F717</f>
        <v>1</v>
      </c>
      <c r="F717" s="52">
        <f>IF(Data!J717&lt;=5,Data!J717,IF(Data!J717&lt;=10,"6 TO 10","More than 10"))</f>
        <v>4</v>
      </c>
      <c r="G717" s="52">
        <f t="shared" si="11"/>
        <v>1</v>
      </c>
      <c r="H717" s="52">
        <f>ROUND(Data!C717*Data!D717-Data!E717,2)</f>
        <v>0</v>
      </c>
      <c r="I717" s="52">
        <f>IF(AND(OR(Sel_Mode="All",Data!I717=Sel_Mode),OR(Sel_Gender="All",D717=Sel_Gender),OR(Sel_Category="All",Data!B717=Sel_Category),OR(Sel_Month="All",C717=Sel_Month),OR(Sel_County="All",Data!L717=Sel_County)),1,0)</f>
        <v>1</v>
      </c>
    </row>
    <row r="718" spans="1:9" x14ac:dyDescent="0.25">
      <c r="A718" s="52" t="str">
        <f>Data!A718</f>
        <v>TX500717</v>
      </c>
      <c r="B718" s="52">
        <f>MONTH(Data!F718)</f>
        <v>1</v>
      </c>
      <c r="C718" s="52" t="str">
        <f>TEXT(Data!F718,"mmm")</f>
        <v>Jan</v>
      </c>
      <c r="D718" s="52" t="str">
        <f>Data!O718</f>
        <v>Female</v>
      </c>
      <c r="E718" s="52">
        <f>Data!G718-Data!F718</f>
        <v>1</v>
      </c>
      <c r="F718" s="52">
        <f>IF(Data!J718&lt;=5,Data!J718,IF(Data!J718&lt;=10,"6 TO 10","More than 10"))</f>
        <v>5</v>
      </c>
      <c r="G718" s="52">
        <f t="shared" si="11"/>
        <v>1</v>
      </c>
      <c r="H718" s="52">
        <f>ROUND(Data!C718*Data!D718-Data!E718,2)</f>
        <v>0</v>
      </c>
      <c r="I718" s="52">
        <f>IF(AND(OR(Sel_Mode="All",Data!I718=Sel_Mode),OR(Sel_Gender="All",D718=Sel_Gender),OR(Sel_Category="All",Data!B718=Sel_Category),OR(Sel_Month="All",C718=Sel_Month),OR(Sel_County="All",Data!L718=Sel_County)),1,0)</f>
        <v>1</v>
      </c>
    </row>
    <row r="719" spans="1:9" x14ac:dyDescent="0.25">
      <c r="A719" s="52" t="str">
        <f>Data!A719</f>
        <v>TX500718</v>
      </c>
      <c r="B719" s="52">
        <f>MONTH(Data!F719)</f>
        <v>1</v>
      </c>
      <c r="C719" s="52" t="str">
        <f>TEXT(Data!F719,"mmm")</f>
        <v>Jan</v>
      </c>
      <c r="D719" s="52" t="str">
        <f>Data!O719</f>
        <v>Male</v>
      </c>
      <c r="E719" s="52">
        <f>Data!G719-Data!F719</f>
        <v>0</v>
      </c>
      <c r="F719" s="52">
        <f>IF(Data!J719&lt;=5,Data!J719,IF(Data!J719&lt;=10,"6 TO 10","More than 10"))</f>
        <v>5</v>
      </c>
      <c r="G719" s="52">
        <f t="shared" si="11"/>
        <v>0</v>
      </c>
      <c r="H719" s="52">
        <f>ROUND(Data!C719*Data!D719-Data!E719,2)</f>
        <v>0</v>
      </c>
      <c r="I719" s="52">
        <f>IF(AND(OR(Sel_Mode="All",Data!I719=Sel_Mode),OR(Sel_Gender="All",D719=Sel_Gender),OR(Sel_Category="All",Data!B719=Sel_Category),OR(Sel_Month="All",C719=Sel_Month),OR(Sel_County="All",Data!L719=Sel_County)),1,0)</f>
        <v>1</v>
      </c>
    </row>
    <row r="720" spans="1:9" x14ac:dyDescent="0.25">
      <c r="A720" s="52" t="str">
        <f>Data!A720</f>
        <v>TX500719</v>
      </c>
      <c r="B720" s="52">
        <f>MONTH(Data!F720)</f>
        <v>1</v>
      </c>
      <c r="C720" s="52" t="str">
        <f>TEXT(Data!F720,"mmm")</f>
        <v>Jan</v>
      </c>
      <c r="D720" s="52" t="str">
        <f>Data!O720</f>
        <v>Female</v>
      </c>
      <c r="E720" s="52">
        <f>Data!G720-Data!F720</f>
        <v>0</v>
      </c>
      <c r="F720" s="52">
        <f>IF(Data!J720&lt;=5,Data!J720,IF(Data!J720&lt;=10,"6 TO 10","More than 10"))</f>
        <v>4</v>
      </c>
      <c r="G720" s="52">
        <f t="shared" si="11"/>
        <v>0</v>
      </c>
      <c r="H720" s="52">
        <f>ROUND(Data!C720*Data!D720-Data!E720,2)</f>
        <v>0</v>
      </c>
      <c r="I720" s="52">
        <f>IF(AND(OR(Sel_Mode="All",Data!I720=Sel_Mode),OR(Sel_Gender="All",D720=Sel_Gender),OR(Sel_Category="All",Data!B720=Sel_Category),OR(Sel_Month="All",C720=Sel_Month),OR(Sel_County="All",Data!L720=Sel_County)),1,0)</f>
        <v>1</v>
      </c>
    </row>
    <row r="721" spans="1:9" x14ac:dyDescent="0.25">
      <c r="A721" s="52" t="str">
        <f>Data!A721</f>
        <v>TX500720</v>
      </c>
      <c r="B721" s="52">
        <f>MONTH(Data!F721)</f>
        <v>1</v>
      </c>
      <c r="C721" s="52" t="str">
        <f>TEXT(Data!F721,"mmm")</f>
        <v>Jan</v>
      </c>
      <c r="D721" s="52" t="str">
        <f>Data!O721</f>
        <v>Male</v>
      </c>
      <c r="E721" s="52">
        <f>Data!G721-Data!F721</f>
        <v>1</v>
      </c>
      <c r="F721" s="52">
        <f>IF(Data!J721&lt;=5,Data!J721,IF(Data!J721&lt;=10,"6 TO 10","More than 10"))</f>
        <v>5</v>
      </c>
      <c r="G721" s="52">
        <f t="shared" si="11"/>
        <v>1</v>
      </c>
      <c r="H721" s="52">
        <f>ROUND(Data!C721*Data!D721-Data!E721,2)</f>
        <v>0</v>
      </c>
      <c r="I721" s="52">
        <f>IF(AND(OR(Sel_Mode="All",Data!I721=Sel_Mode),OR(Sel_Gender="All",D721=Sel_Gender),OR(Sel_Category="All",Data!B721=Sel_Category),OR(Sel_Month="All",C721=Sel_Month),OR(Sel_County="All",Data!L721=Sel_County)),1,0)</f>
        <v>1</v>
      </c>
    </row>
    <row r="722" spans="1:9" x14ac:dyDescent="0.25">
      <c r="A722" s="52" t="str">
        <f>Data!A722</f>
        <v>TX500721</v>
      </c>
      <c r="B722" s="52">
        <f>MONTH(Data!F722)</f>
        <v>1</v>
      </c>
      <c r="C722" s="52" t="str">
        <f>TEXT(Data!F722,"mmm")</f>
        <v>Jan</v>
      </c>
      <c r="D722" s="52" t="str">
        <f>Data!O722</f>
        <v>Male</v>
      </c>
      <c r="E722" s="52">
        <f>Data!G722-Data!F722</f>
        <v>0</v>
      </c>
      <c r="F722" s="52">
        <f>IF(Data!J722&lt;=5,Data!J722,IF(Data!J722&lt;=10,"6 TO 10","More than 10"))</f>
        <v>5</v>
      </c>
      <c r="G722" s="52">
        <f t="shared" si="11"/>
        <v>0</v>
      </c>
      <c r="H722" s="52">
        <f>ROUND(Data!C722*Data!D722-Data!E722,2)</f>
        <v>0</v>
      </c>
      <c r="I722" s="52">
        <f>IF(AND(OR(Sel_Mode="All",Data!I722=Sel_Mode),OR(Sel_Gender="All",D722=Sel_Gender),OR(Sel_Category="All",Data!B722=Sel_Category),OR(Sel_Month="All",C722=Sel_Month),OR(Sel_County="All",Data!L722=Sel_County)),1,0)</f>
        <v>1</v>
      </c>
    </row>
    <row r="723" spans="1:9" x14ac:dyDescent="0.25">
      <c r="A723" s="52" t="str">
        <f>Data!A723</f>
        <v>TX500722</v>
      </c>
      <c r="B723" s="52">
        <f>MONTH(Data!F723)</f>
        <v>1</v>
      </c>
      <c r="C723" s="52" t="str">
        <f>TEXT(Data!F723,"mmm")</f>
        <v>Jan</v>
      </c>
      <c r="D723" s="52" t="str">
        <f>Data!O723</f>
        <v>Female</v>
      </c>
      <c r="E723" s="52">
        <f>Data!G723-Data!F723</f>
        <v>1</v>
      </c>
      <c r="F723" s="52">
        <f>IF(Data!J723&lt;=5,Data!J723,IF(Data!J723&lt;=10,"6 TO 10","More than 10"))</f>
        <v>4</v>
      </c>
      <c r="G723" s="52">
        <f t="shared" si="11"/>
        <v>1</v>
      </c>
      <c r="H723" s="52">
        <f>ROUND(Data!C723*Data!D723-Data!E723,2)</f>
        <v>0</v>
      </c>
      <c r="I723" s="52">
        <f>IF(AND(OR(Sel_Mode="All",Data!I723=Sel_Mode),OR(Sel_Gender="All",D723=Sel_Gender),OR(Sel_Category="All",Data!B723=Sel_Category),OR(Sel_Month="All",C723=Sel_Month),OR(Sel_County="All",Data!L723=Sel_County)),1,0)</f>
        <v>1</v>
      </c>
    </row>
    <row r="724" spans="1:9" x14ac:dyDescent="0.25">
      <c r="A724" s="52" t="str">
        <f>Data!A724</f>
        <v>TX500723</v>
      </c>
      <c r="B724" s="52">
        <f>MONTH(Data!F724)</f>
        <v>1</v>
      </c>
      <c r="C724" s="52" t="str">
        <f>TEXT(Data!F724,"mmm")</f>
        <v>Jan</v>
      </c>
      <c r="D724" s="52" t="str">
        <f>Data!O724</f>
        <v>Male</v>
      </c>
      <c r="E724" s="52">
        <f>Data!G724-Data!F724</f>
        <v>3</v>
      </c>
      <c r="F724" s="52">
        <f>IF(Data!J724&lt;=5,Data!J724,IF(Data!J724&lt;=10,"6 TO 10","More than 10"))</f>
        <v>4</v>
      </c>
      <c r="G724" s="52">
        <f t="shared" si="11"/>
        <v>3</v>
      </c>
      <c r="H724" s="52">
        <f>ROUND(Data!C724*Data!D724-Data!E724,2)</f>
        <v>0</v>
      </c>
      <c r="I724" s="52">
        <f>IF(AND(OR(Sel_Mode="All",Data!I724=Sel_Mode),OR(Sel_Gender="All",D724=Sel_Gender),OR(Sel_Category="All",Data!B724=Sel_Category),OR(Sel_Month="All",C724=Sel_Month),OR(Sel_County="All",Data!L724=Sel_County)),1,0)</f>
        <v>1</v>
      </c>
    </row>
    <row r="725" spans="1:9" x14ac:dyDescent="0.25">
      <c r="A725" s="52" t="str">
        <f>Data!A725</f>
        <v>TX500724</v>
      </c>
      <c r="B725" s="52">
        <f>MONTH(Data!F725)</f>
        <v>1</v>
      </c>
      <c r="C725" s="52" t="str">
        <f>TEXT(Data!F725,"mmm")</f>
        <v>Jan</v>
      </c>
      <c r="D725" s="52" t="str">
        <f>Data!O725</f>
        <v>Male</v>
      </c>
      <c r="E725" s="52">
        <f>Data!G725-Data!F725</f>
        <v>3</v>
      </c>
      <c r="F725" s="52">
        <f>IF(Data!J725&lt;=5,Data!J725,IF(Data!J725&lt;=10,"6 TO 10","More than 10"))</f>
        <v>5</v>
      </c>
      <c r="G725" s="52">
        <f t="shared" si="11"/>
        <v>3</v>
      </c>
      <c r="H725" s="52">
        <f>ROUND(Data!C725*Data!D725-Data!E725,2)</f>
        <v>0</v>
      </c>
      <c r="I725" s="52">
        <f>IF(AND(OR(Sel_Mode="All",Data!I725=Sel_Mode),OR(Sel_Gender="All",D725=Sel_Gender),OR(Sel_Category="All",Data!B725=Sel_Category),OR(Sel_Month="All",C725=Sel_Month),OR(Sel_County="All",Data!L725=Sel_County)),1,0)</f>
        <v>1</v>
      </c>
    </row>
    <row r="726" spans="1:9" x14ac:dyDescent="0.25">
      <c r="A726" s="52" t="str">
        <f>Data!A726</f>
        <v>TX500725</v>
      </c>
      <c r="B726" s="52">
        <f>MONTH(Data!F726)</f>
        <v>1</v>
      </c>
      <c r="C726" s="52" t="str">
        <f>TEXT(Data!F726,"mmm")</f>
        <v>Jan</v>
      </c>
      <c r="D726" s="52" t="str">
        <f>Data!O726</f>
        <v>Male</v>
      </c>
      <c r="E726" s="52">
        <f>Data!G726-Data!F726</f>
        <v>0</v>
      </c>
      <c r="F726" s="52">
        <f>IF(Data!J726&lt;=5,Data!J726,IF(Data!J726&lt;=10,"6 TO 10","More than 10"))</f>
        <v>2</v>
      </c>
      <c r="G726" s="52">
        <f t="shared" si="11"/>
        <v>0</v>
      </c>
      <c r="H726" s="52">
        <f>ROUND(Data!C726*Data!D726-Data!E726,2)</f>
        <v>0</v>
      </c>
      <c r="I726" s="52">
        <f>IF(AND(OR(Sel_Mode="All",Data!I726=Sel_Mode),OR(Sel_Gender="All",D726=Sel_Gender),OR(Sel_Category="All",Data!B726=Sel_Category),OR(Sel_Month="All",C726=Sel_Month),OR(Sel_County="All",Data!L726=Sel_County)),1,0)</f>
        <v>1</v>
      </c>
    </row>
    <row r="727" spans="1:9" x14ac:dyDescent="0.25">
      <c r="A727" s="52" t="str">
        <f>Data!A727</f>
        <v>TX500726</v>
      </c>
      <c r="B727" s="52">
        <f>MONTH(Data!F727)</f>
        <v>1</v>
      </c>
      <c r="C727" s="52" t="str">
        <f>TEXT(Data!F727,"mmm")</f>
        <v>Jan</v>
      </c>
      <c r="D727" s="52" t="str">
        <f>Data!O727</f>
        <v>Female</v>
      </c>
      <c r="E727" s="52">
        <f>Data!G727-Data!F727</f>
        <v>2</v>
      </c>
      <c r="F727" s="52">
        <f>IF(Data!J727&lt;=5,Data!J727,IF(Data!J727&lt;=10,"6 TO 10","More than 10"))</f>
        <v>4</v>
      </c>
      <c r="G727" s="52">
        <f t="shared" si="11"/>
        <v>2</v>
      </c>
      <c r="H727" s="52">
        <f>ROUND(Data!C727*Data!D727-Data!E727,2)</f>
        <v>0</v>
      </c>
      <c r="I727" s="52">
        <f>IF(AND(OR(Sel_Mode="All",Data!I727=Sel_Mode),OR(Sel_Gender="All",D727=Sel_Gender),OR(Sel_Category="All",Data!B727=Sel_Category),OR(Sel_Month="All",C727=Sel_Month),OR(Sel_County="All",Data!L727=Sel_County)),1,0)</f>
        <v>1</v>
      </c>
    </row>
    <row r="728" spans="1:9" x14ac:dyDescent="0.25">
      <c r="A728" s="52" t="str">
        <f>Data!A728</f>
        <v>TX500727</v>
      </c>
      <c r="B728" s="52">
        <f>MONTH(Data!F728)</f>
        <v>1</v>
      </c>
      <c r="C728" s="52" t="str">
        <f>TEXT(Data!F728,"mmm")</f>
        <v>Jan</v>
      </c>
      <c r="D728" s="52" t="str">
        <f>Data!O728</f>
        <v>Other</v>
      </c>
      <c r="E728" s="52">
        <f>Data!G728-Data!F728</f>
        <v>2</v>
      </c>
      <c r="F728" s="52">
        <f>IF(Data!J728&lt;=5,Data!J728,IF(Data!J728&lt;=10,"6 TO 10","More than 10"))</f>
        <v>2</v>
      </c>
      <c r="G728" s="52">
        <f t="shared" si="11"/>
        <v>2</v>
      </c>
      <c r="H728" s="52">
        <f>ROUND(Data!C728*Data!D728-Data!E728,2)</f>
        <v>0</v>
      </c>
      <c r="I728" s="52">
        <f>IF(AND(OR(Sel_Mode="All",Data!I728=Sel_Mode),OR(Sel_Gender="All",D728=Sel_Gender),OR(Sel_Category="All",Data!B728=Sel_Category),OR(Sel_Month="All",C728=Sel_Month),OR(Sel_County="All",Data!L728=Sel_County)),1,0)</f>
        <v>1</v>
      </c>
    </row>
    <row r="729" spans="1:9" x14ac:dyDescent="0.25">
      <c r="A729" s="52" t="str">
        <f>Data!A729</f>
        <v>TX500728</v>
      </c>
      <c r="B729" s="52">
        <f>MONTH(Data!F729)</f>
        <v>1</v>
      </c>
      <c r="C729" s="52" t="str">
        <f>TEXT(Data!F729,"mmm")</f>
        <v>Jan</v>
      </c>
      <c r="D729" s="52" t="str">
        <f>Data!O729</f>
        <v>Female</v>
      </c>
      <c r="E729" s="52">
        <f>Data!G729-Data!F729</f>
        <v>2</v>
      </c>
      <c r="F729" s="52">
        <f>IF(Data!J729&lt;=5,Data!J729,IF(Data!J729&lt;=10,"6 TO 10","More than 10"))</f>
        <v>5</v>
      </c>
      <c r="G729" s="52">
        <f t="shared" si="11"/>
        <v>2</v>
      </c>
      <c r="H729" s="52">
        <f>ROUND(Data!C729*Data!D729-Data!E729,2)</f>
        <v>0</v>
      </c>
      <c r="I729" s="52">
        <f>IF(AND(OR(Sel_Mode="All",Data!I729=Sel_Mode),OR(Sel_Gender="All",D729=Sel_Gender),OR(Sel_Category="All",Data!B729=Sel_Category),OR(Sel_Month="All",C729=Sel_Month),OR(Sel_County="All",Data!L729=Sel_County)),1,0)</f>
        <v>1</v>
      </c>
    </row>
    <row r="730" spans="1:9" x14ac:dyDescent="0.25">
      <c r="A730" s="52" t="str">
        <f>Data!A730</f>
        <v>TX500729</v>
      </c>
      <c r="B730" s="52">
        <f>MONTH(Data!F730)</f>
        <v>1</v>
      </c>
      <c r="C730" s="52" t="str">
        <f>TEXT(Data!F730,"mmm")</f>
        <v>Jan</v>
      </c>
      <c r="D730" s="52" t="str">
        <f>Data!O730</f>
        <v>Female</v>
      </c>
      <c r="E730" s="52">
        <f>Data!G730-Data!F730</f>
        <v>1</v>
      </c>
      <c r="F730" s="52">
        <f>IF(Data!J730&lt;=5,Data!J730,IF(Data!J730&lt;=10,"6 TO 10","More than 10"))</f>
        <v>2</v>
      </c>
      <c r="G730" s="52">
        <f t="shared" si="11"/>
        <v>1</v>
      </c>
      <c r="H730" s="52">
        <f>ROUND(Data!C730*Data!D730-Data!E730,2)</f>
        <v>0</v>
      </c>
      <c r="I730" s="52">
        <f>IF(AND(OR(Sel_Mode="All",Data!I730=Sel_Mode),OR(Sel_Gender="All",D730=Sel_Gender),OR(Sel_Category="All",Data!B730=Sel_Category),OR(Sel_Month="All",C730=Sel_Month),OR(Sel_County="All",Data!L730=Sel_County)),1,0)</f>
        <v>1</v>
      </c>
    </row>
    <row r="731" spans="1:9" x14ac:dyDescent="0.25">
      <c r="A731" s="52" t="str">
        <f>Data!A731</f>
        <v>TX500730</v>
      </c>
      <c r="B731" s="52">
        <f>MONTH(Data!F731)</f>
        <v>1</v>
      </c>
      <c r="C731" s="52" t="str">
        <f>TEXT(Data!F731,"mmm")</f>
        <v>Jan</v>
      </c>
      <c r="D731" s="52" t="str">
        <f>Data!O731</f>
        <v>Female</v>
      </c>
      <c r="E731" s="52">
        <f>Data!G731-Data!F731</f>
        <v>2</v>
      </c>
      <c r="F731" s="52">
        <f>IF(Data!J731&lt;=5,Data!J731,IF(Data!J731&lt;=10,"6 TO 10","More than 10"))</f>
        <v>5</v>
      </c>
      <c r="G731" s="52">
        <f t="shared" si="11"/>
        <v>2</v>
      </c>
      <c r="H731" s="52">
        <f>ROUND(Data!C731*Data!D731-Data!E731,2)</f>
        <v>0</v>
      </c>
      <c r="I731" s="52">
        <f>IF(AND(OR(Sel_Mode="All",Data!I731=Sel_Mode),OR(Sel_Gender="All",D731=Sel_Gender),OR(Sel_Category="All",Data!B731=Sel_Category),OR(Sel_Month="All",C731=Sel_Month),OR(Sel_County="All",Data!L731=Sel_County)),1,0)</f>
        <v>1</v>
      </c>
    </row>
    <row r="732" spans="1:9" x14ac:dyDescent="0.25">
      <c r="A732" s="52" t="str">
        <f>Data!A732</f>
        <v>TX500731</v>
      </c>
      <c r="B732" s="52">
        <f>MONTH(Data!F732)</f>
        <v>2</v>
      </c>
      <c r="C732" s="52" t="str">
        <f>TEXT(Data!F732,"mmm")</f>
        <v>Feb</v>
      </c>
      <c r="D732" s="52" t="str">
        <f>Data!O732</f>
        <v>Female</v>
      </c>
      <c r="E732" s="52">
        <f>Data!G732-Data!F732</f>
        <v>3</v>
      </c>
      <c r="F732" s="52">
        <f>IF(Data!J732&lt;=5,Data!J732,IF(Data!J732&lt;=10,"6 TO 10","More than 10"))</f>
        <v>5</v>
      </c>
      <c r="G732" s="52">
        <f t="shared" si="11"/>
        <v>3</v>
      </c>
      <c r="H732" s="52">
        <f>ROUND(Data!C732*Data!D732-Data!E732,2)</f>
        <v>0</v>
      </c>
      <c r="I732" s="52">
        <f>IF(AND(OR(Sel_Mode="All",Data!I732=Sel_Mode),OR(Sel_Gender="All",D732=Sel_Gender),OR(Sel_Category="All",Data!B732=Sel_Category),OR(Sel_Month="All",C732=Sel_Month),OR(Sel_County="All",Data!L732=Sel_County)),1,0)</f>
        <v>1</v>
      </c>
    </row>
    <row r="733" spans="1:9" x14ac:dyDescent="0.25">
      <c r="A733" s="52" t="str">
        <f>Data!A733</f>
        <v>TX500732</v>
      </c>
      <c r="B733" s="52">
        <f>MONTH(Data!F733)</f>
        <v>2</v>
      </c>
      <c r="C733" s="52" t="str">
        <f>TEXT(Data!F733,"mmm")</f>
        <v>Feb</v>
      </c>
      <c r="D733" s="52" t="str">
        <f>Data!O733</f>
        <v>Other</v>
      </c>
      <c r="E733" s="52">
        <f>Data!G733-Data!F733</f>
        <v>1</v>
      </c>
      <c r="F733" s="52">
        <f>IF(Data!J733&lt;=5,Data!J733,IF(Data!J733&lt;=10,"6 TO 10","More than 10"))</f>
        <v>5</v>
      </c>
      <c r="G733" s="52">
        <f t="shared" si="11"/>
        <v>1</v>
      </c>
      <c r="H733" s="52">
        <f>ROUND(Data!C733*Data!D733-Data!E733,2)</f>
        <v>0</v>
      </c>
      <c r="I733" s="52">
        <f>IF(AND(OR(Sel_Mode="All",Data!I733=Sel_Mode),OR(Sel_Gender="All",D733=Sel_Gender),OR(Sel_Category="All",Data!B733=Sel_Category),OR(Sel_Month="All",C733=Sel_Month),OR(Sel_County="All",Data!L733=Sel_County)),1,0)</f>
        <v>1</v>
      </c>
    </row>
    <row r="734" spans="1:9" x14ac:dyDescent="0.25">
      <c r="A734" s="52" t="str">
        <f>Data!A734</f>
        <v>TX500733</v>
      </c>
      <c r="B734" s="52">
        <f>MONTH(Data!F734)</f>
        <v>2</v>
      </c>
      <c r="C734" s="52" t="str">
        <f>TEXT(Data!F734,"mmm")</f>
        <v>Feb</v>
      </c>
      <c r="D734" s="52" t="str">
        <f>Data!O734</f>
        <v>Female</v>
      </c>
      <c r="E734" s="52">
        <f>Data!G734-Data!F734</f>
        <v>3</v>
      </c>
      <c r="F734" s="52">
        <f>IF(Data!J734&lt;=5,Data!J734,IF(Data!J734&lt;=10,"6 TO 10","More than 10"))</f>
        <v>4</v>
      </c>
      <c r="G734" s="52">
        <f t="shared" si="11"/>
        <v>3</v>
      </c>
      <c r="H734" s="52">
        <f>ROUND(Data!C734*Data!D734-Data!E734,2)</f>
        <v>0</v>
      </c>
      <c r="I734" s="52">
        <f>IF(AND(OR(Sel_Mode="All",Data!I734=Sel_Mode),OR(Sel_Gender="All",D734=Sel_Gender),OR(Sel_Category="All",Data!B734=Sel_Category),OR(Sel_Month="All",C734=Sel_Month),OR(Sel_County="All",Data!L734=Sel_County)),1,0)</f>
        <v>1</v>
      </c>
    </row>
    <row r="735" spans="1:9" x14ac:dyDescent="0.25">
      <c r="A735" s="52" t="str">
        <f>Data!A735</f>
        <v>TX500734</v>
      </c>
      <c r="B735" s="52">
        <f>MONTH(Data!F735)</f>
        <v>2</v>
      </c>
      <c r="C735" s="52" t="str">
        <f>TEXT(Data!F735,"mmm")</f>
        <v>Feb</v>
      </c>
      <c r="D735" s="52" t="str">
        <f>Data!O735</f>
        <v>Female</v>
      </c>
      <c r="E735" s="52">
        <f>Data!G735-Data!F735</f>
        <v>0</v>
      </c>
      <c r="F735" s="52">
        <f>IF(Data!J735&lt;=5,Data!J735,IF(Data!J735&lt;=10,"6 TO 10","More than 10"))</f>
        <v>3</v>
      </c>
      <c r="G735" s="52">
        <f t="shared" si="11"/>
        <v>0</v>
      </c>
      <c r="H735" s="52">
        <f>ROUND(Data!C735*Data!D735-Data!E735,2)</f>
        <v>0</v>
      </c>
      <c r="I735" s="52">
        <f>IF(AND(OR(Sel_Mode="All",Data!I735=Sel_Mode),OR(Sel_Gender="All",D735=Sel_Gender),OR(Sel_Category="All",Data!B735=Sel_Category),OR(Sel_Month="All",C735=Sel_Month),OR(Sel_County="All",Data!L735=Sel_County)),1,0)</f>
        <v>1</v>
      </c>
    </row>
    <row r="736" spans="1:9" x14ac:dyDescent="0.25">
      <c r="A736" s="52" t="str">
        <f>Data!A736</f>
        <v>TX500735</v>
      </c>
      <c r="B736" s="52">
        <f>MONTH(Data!F736)</f>
        <v>2</v>
      </c>
      <c r="C736" s="52" t="str">
        <f>TEXT(Data!F736,"mmm")</f>
        <v>Feb</v>
      </c>
      <c r="D736" s="52" t="str">
        <f>Data!O736</f>
        <v>Female</v>
      </c>
      <c r="E736" s="52">
        <f>Data!G736-Data!F736</f>
        <v>1</v>
      </c>
      <c r="F736" s="52">
        <f>IF(Data!J736&lt;=5,Data!J736,IF(Data!J736&lt;=10,"6 TO 10","More than 10"))</f>
        <v>4</v>
      </c>
      <c r="G736" s="52">
        <f t="shared" si="11"/>
        <v>1</v>
      </c>
      <c r="H736" s="52">
        <f>ROUND(Data!C736*Data!D736-Data!E736,2)</f>
        <v>0</v>
      </c>
      <c r="I736" s="52">
        <f>IF(AND(OR(Sel_Mode="All",Data!I736=Sel_Mode),OR(Sel_Gender="All",D736=Sel_Gender),OR(Sel_Category="All",Data!B736=Sel_Category),OR(Sel_Month="All",C736=Sel_Month),OR(Sel_County="All",Data!L736=Sel_County)),1,0)</f>
        <v>1</v>
      </c>
    </row>
    <row r="737" spans="1:9" x14ac:dyDescent="0.25">
      <c r="A737" s="52" t="str">
        <f>Data!A737</f>
        <v>TX500736</v>
      </c>
      <c r="B737" s="52">
        <f>MONTH(Data!F737)</f>
        <v>2</v>
      </c>
      <c r="C737" s="52" t="str">
        <f>TEXT(Data!F737,"mmm")</f>
        <v>Feb</v>
      </c>
      <c r="D737" s="52" t="str">
        <f>Data!O737</f>
        <v>Unknown</v>
      </c>
      <c r="E737" s="52">
        <f>Data!G737-Data!F737</f>
        <v>3</v>
      </c>
      <c r="F737" s="52">
        <f>IF(Data!J737&lt;=5,Data!J737,IF(Data!J737&lt;=10,"6 TO 10","More than 10"))</f>
        <v>3</v>
      </c>
      <c r="G737" s="52">
        <f t="shared" si="11"/>
        <v>3</v>
      </c>
      <c r="H737" s="52">
        <f>ROUND(Data!C737*Data!D737-Data!E737,2)</f>
        <v>0</v>
      </c>
      <c r="I737" s="52">
        <f>IF(AND(OR(Sel_Mode="All",Data!I737=Sel_Mode),OR(Sel_Gender="All",D737=Sel_Gender),OR(Sel_Category="All",Data!B737=Sel_Category),OR(Sel_Month="All",C737=Sel_Month),OR(Sel_County="All",Data!L737=Sel_County)),1,0)</f>
        <v>1</v>
      </c>
    </row>
    <row r="738" spans="1:9" x14ac:dyDescent="0.25">
      <c r="A738" s="52" t="str">
        <f>Data!A738</f>
        <v>TX500737</v>
      </c>
      <c r="B738" s="52">
        <f>MONTH(Data!F738)</f>
        <v>2</v>
      </c>
      <c r="C738" s="52" t="str">
        <f>TEXT(Data!F738,"mmm")</f>
        <v>Feb</v>
      </c>
      <c r="D738" s="52" t="str">
        <f>Data!O738</f>
        <v>Female</v>
      </c>
      <c r="E738" s="52">
        <f>Data!G738-Data!F738</f>
        <v>0</v>
      </c>
      <c r="F738" s="52">
        <f>IF(Data!J738&lt;=5,Data!J738,IF(Data!J738&lt;=10,"6 TO 10","More than 10"))</f>
        <v>1</v>
      </c>
      <c r="G738" s="52">
        <f t="shared" si="11"/>
        <v>0</v>
      </c>
      <c r="H738" s="52">
        <f>ROUND(Data!C738*Data!D738-Data!E738,2)</f>
        <v>0</v>
      </c>
      <c r="I738" s="52">
        <f>IF(AND(OR(Sel_Mode="All",Data!I738=Sel_Mode),OR(Sel_Gender="All",D738=Sel_Gender),OR(Sel_Category="All",Data!B738=Sel_Category),OR(Sel_Month="All",C738=Sel_Month),OR(Sel_County="All",Data!L738=Sel_County)),1,0)</f>
        <v>1</v>
      </c>
    </row>
    <row r="739" spans="1:9" x14ac:dyDescent="0.25">
      <c r="A739" s="52" t="str">
        <f>Data!A739</f>
        <v>TX500738</v>
      </c>
      <c r="B739" s="52">
        <f>MONTH(Data!F739)</f>
        <v>2</v>
      </c>
      <c r="C739" s="52" t="str">
        <f>TEXT(Data!F739,"mmm")</f>
        <v>Feb</v>
      </c>
      <c r="D739" s="52" t="str">
        <f>Data!O739</f>
        <v>Unknown</v>
      </c>
      <c r="E739" s="52">
        <f>Data!G739-Data!F739</f>
        <v>1</v>
      </c>
      <c r="F739" s="52">
        <f>IF(Data!J739&lt;=5,Data!J739,IF(Data!J739&lt;=10,"6 TO 10","More than 10"))</f>
        <v>3</v>
      </c>
      <c r="G739" s="52">
        <f t="shared" si="11"/>
        <v>1</v>
      </c>
      <c r="H739" s="52">
        <f>ROUND(Data!C739*Data!D739-Data!E739,2)</f>
        <v>0</v>
      </c>
      <c r="I739" s="52">
        <f>IF(AND(OR(Sel_Mode="All",Data!I739=Sel_Mode),OR(Sel_Gender="All",D739=Sel_Gender),OR(Sel_Category="All",Data!B739=Sel_Category),OR(Sel_Month="All",C739=Sel_Month),OR(Sel_County="All",Data!L739=Sel_County)),1,0)</f>
        <v>1</v>
      </c>
    </row>
    <row r="740" spans="1:9" x14ac:dyDescent="0.25">
      <c r="A740" s="52" t="str">
        <f>Data!A740</f>
        <v>TX500739</v>
      </c>
      <c r="B740" s="52">
        <f>MONTH(Data!F740)</f>
        <v>2</v>
      </c>
      <c r="C740" s="52" t="str">
        <f>TEXT(Data!F740,"mmm")</f>
        <v>Feb</v>
      </c>
      <c r="D740" s="52" t="str">
        <f>Data!O740</f>
        <v>Female</v>
      </c>
      <c r="E740" s="52">
        <f>Data!G740-Data!F740</f>
        <v>1</v>
      </c>
      <c r="F740" s="52">
        <f>IF(Data!J740&lt;=5,Data!J740,IF(Data!J740&lt;=10,"6 TO 10","More than 10"))</f>
        <v>4</v>
      </c>
      <c r="G740" s="52">
        <f t="shared" si="11"/>
        <v>1</v>
      </c>
      <c r="H740" s="52">
        <f>ROUND(Data!C740*Data!D740-Data!E740,2)</f>
        <v>0</v>
      </c>
      <c r="I740" s="52">
        <f>IF(AND(OR(Sel_Mode="All",Data!I740=Sel_Mode),OR(Sel_Gender="All",D740=Sel_Gender),OR(Sel_Category="All",Data!B740=Sel_Category),OR(Sel_Month="All",C740=Sel_Month),OR(Sel_County="All",Data!L740=Sel_County)),1,0)</f>
        <v>1</v>
      </c>
    </row>
    <row r="741" spans="1:9" x14ac:dyDescent="0.25">
      <c r="A741" s="52" t="str">
        <f>Data!A741</f>
        <v>TX500740</v>
      </c>
      <c r="B741" s="52">
        <f>MONTH(Data!F741)</f>
        <v>2</v>
      </c>
      <c r="C741" s="52" t="str">
        <f>TEXT(Data!F741,"mmm")</f>
        <v>Feb</v>
      </c>
      <c r="D741" s="52" t="str">
        <f>Data!O741</f>
        <v>Female</v>
      </c>
      <c r="E741" s="52">
        <f>Data!G741-Data!F741</f>
        <v>3</v>
      </c>
      <c r="F741" s="52">
        <f>IF(Data!J741&lt;=5,Data!J741,IF(Data!J741&lt;=10,"6 TO 10","More than 10"))</f>
        <v>4</v>
      </c>
      <c r="G741" s="52">
        <f t="shared" si="11"/>
        <v>3</v>
      </c>
      <c r="H741" s="52">
        <f>ROUND(Data!C741*Data!D741-Data!E741,2)</f>
        <v>0</v>
      </c>
      <c r="I741" s="52">
        <f>IF(AND(OR(Sel_Mode="All",Data!I741=Sel_Mode),OR(Sel_Gender="All",D741=Sel_Gender),OR(Sel_Category="All",Data!B741=Sel_Category),OR(Sel_Month="All",C741=Sel_Month),OR(Sel_County="All",Data!L741=Sel_County)),1,0)</f>
        <v>1</v>
      </c>
    </row>
    <row r="742" spans="1:9" x14ac:dyDescent="0.25">
      <c r="A742" s="52" t="str">
        <f>Data!A742</f>
        <v>TX500741</v>
      </c>
      <c r="B742" s="52">
        <f>MONTH(Data!F742)</f>
        <v>2</v>
      </c>
      <c r="C742" s="52" t="str">
        <f>TEXT(Data!F742,"mmm")</f>
        <v>Feb</v>
      </c>
      <c r="D742" s="52" t="str">
        <f>Data!O742</f>
        <v>Female</v>
      </c>
      <c r="E742" s="52">
        <f>Data!G742-Data!F742</f>
        <v>4</v>
      </c>
      <c r="F742" s="52">
        <f>IF(Data!J742&lt;=5,Data!J742,IF(Data!J742&lt;=10,"6 TO 10","More than 10"))</f>
        <v>5</v>
      </c>
      <c r="G742" s="52">
        <f t="shared" si="11"/>
        <v>4</v>
      </c>
      <c r="H742" s="52">
        <f>ROUND(Data!C742*Data!D742-Data!E742,2)</f>
        <v>0</v>
      </c>
      <c r="I742" s="52">
        <f>IF(AND(OR(Sel_Mode="All",Data!I742=Sel_Mode),OR(Sel_Gender="All",D742=Sel_Gender),OR(Sel_Category="All",Data!B742=Sel_Category),OR(Sel_Month="All",C742=Sel_Month),OR(Sel_County="All",Data!L742=Sel_County)),1,0)</f>
        <v>1</v>
      </c>
    </row>
    <row r="743" spans="1:9" x14ac:dyDescent="0.25">
      <c r="A743" s="52" t="str">
        <f>Data!A743</f>
        <v>TX500742</v>
      </c>
      <c r="B743" s="52">
        <f>MONTH(Data!F743)</f>
        <v>2</v>
      </c>
      <c r="C743" s="52" t="str">
        <f>TEXT(Data!F743,"mmm")</f>
        <v>Feb</v>
      </c>
      <c r="D743" s="52" t="str">
        <f>Data!O743</f>
        <v>Male</v>
      </c>
      <c r="E743" s="52">
        <f>Data!G743-Data!F743</f>
        <v>1</v>
      </c>
      <c r="F743" s="52">
        <f>IF(Data!J743&lt;=5,Data!J743,IF(Data!J743&lt;=10,"6 TO 10","More than 10"))</f>
        <v>4</v>
      </c>
      <c r="G743" s="52">
        <f t="shared" si="11"/>
        <v>1</v>
      </c>
      <c r="H743" s="52">
        <f>ROUND(Data!C743*Data!D743-Data!E743,2)</f>
        <v>0</v>
      </c>
      <c r="I743" s="52">
        <f>IF(AND(OR(Sel_Mode="All",Data!I743=Sel_Mode),OR(Sel_Gender="All",D743=Sel_Gender),OR(Sel_Category="All",Data!B743=Sel_Category),OR(Sel_Month="All",C743=Sel_Month),OR(Sel_County="All",Data!L743=Sel_County)),1,0)</f>
        <v>1</v>
      </c>
    </row>
    <row r="744" spans="1:9" x14ac:dyDescent="0.25">
      <c r="A744" s="52" t="str">
        <f>Data!A744</f>
        <v>TX500743</v>
      </c>
      <c r="B744" s="52">
        <f>MONTH(Data!F744)</f>
        <v>2</v>
      </c>
      <c r="C744" s="52" t="str">
        <f>TEXT(Data!F744,"mmm")</f>
        <v>Feb</v>
      </c>
      <c r="D744" s="52" t="str">
        <f>Data!O744</f>
        <v>Female</v>
      </c>
      <c r="E744" s="52">
        <f>Data!G744-Data!F744</f>
        <v>1</v>
      </c>
      <c r="F744" s="52">
        <f>IF(Data!J744&lt;=5,Data!J744,IF(Data!J744&lt;=10,"6 TO 10","More than 10"))</f>
        <v>5</v>
      </c>
      <c r="G744" s="52">
        <f t="shared" si="11"/>
        <v>1</v>
      </c>
      <c r="H744" s="52">
        <f>ROUND(Data!C744*Data!D744-Data!E744,2)</f>
        <v>0</v>
      </c>
      <c r="I744" s="52">
        <f>IF(AND(OR(Sel_Mode="All",Data!I744=Sel_Mode),OR(Sel_Gender="All",D744=Sel_Gender),OR(Sel_Category="All",Data!B744=Sel_Category),OR(Sel_Month="All",C744=Sel_Month),OR(Sel_County="All",Data!L744=Sel_County)),1,0)</f>
        <v>1</v>
      </c>
    </row>
    <row r="745" spans="1:9" x14ac:dyDescent="0.25">
      <c r="A745" s="52" t="str">
        <f>Data!A745</f>
        <v>TX500744</v>
      </c>
      <c r="B745" s="52">
        <f>MONTH(Data!F745)</f>
        <v>2</v>
      </c>
      <c r="C745" s="52" t="str">
        <f>TEXT(Data!F745,"mmm")</f>
        <v>Feb</v>
      </c>
      <c r="D745" s="52" t="str">
        <f>Data!O745</f>
        <v>Unknown</v>
      </c>
      <c r="E745" s="52">
        <f>Data!G745-Data!F745</f>
        <v>1</v>
      </c>
      <c r="F745" s="52">
        <f>IF(Data!J745&lt;=5,Data!J745,IF(Data!J745&lt;=10,"6 TO 10","More than 10"))</f>
        <v>5</v>
      </c>
      <c r="G745" s="52">
        <f t="shared" si="11"/>
        <v>1</v>
      </c>
      <c r="H745" s="52">
        <f>ROUND(Data!C745*Data!D745-Data!E745,2)</f>
        <v>0</v>
      </c>
      <c r="I745" s="52">
        <f>IF(AND(OR(Sel_Mode="All",Data!I745=Sel_Mode),OR(Sel_Gender="All",D745=Sel_Gender),OR(Sel_Category="All",Data!B745=Sel_Category),OR(Sel_Month="All",C745=Sel_Month),OR(Sel_County="All",Data!L745=Sel_County)),1,0)</f>
        <v>1</v>
      </c>
    </row>
    <row r="746" spans="1:9" x14ac:dyDescent="0.25">
      <c r="A746" s="52" t="str">
        <f>Data!A746</f>
        <v>TX500745</v>
      </c>
      <c r="B746" s="52">
        <f>MONTH(Data!F746)</f>
        <v>2</v>
      </c>
      <c r="C746" s="52" t="str">
        <f>TEXT(Data!F746,"mmm")</f>
        <v>Feb</v>
      </c>
      <c r="D746" s="52" t="str">
        <f>Data!O746</f>
        <v>Female</v>
      </c>
      <c r="E746" s="52">
        <f>Data!G746-Data!F746</f>
        <v>8</v>
      </c>
      <c r="F746" s="52">
        <f>IF(Data!J746&lt;=5,Data!J746,IF(Data!J746&lt;=10,"6 TO 10","More than 10"))</f>
        <v>3</v>
      </c>
      <c r="G746" s="52" t="str">
        <f t="shared" si="11"/>
        <v>8+</v>
      </c>
      <c r="H746" s="52">
        <f>ROUND(Data!C746*Data!D746-Data!E746,2)</f>
        <v>0</v>
      </c>
      <c r="I746" s="52">
        <f>IF(AND(OR(Sel_Mode="All",Data!I746=Sel_Mode),OR(Sel_Gender="All",D746=Sel_Gender),OR(Sel_Category="All",Data!B746=Sel_Category),OR(Sel_Month="All",C746=Sel_Month),OR(Sel_County="All",Data!L746=Sel_County)),1,0)</f>
        <v>1</v>
      </c>
    </row>
    <row r="747" spans="1:9" x14ac:dyDescent="0.25">
      <c r="A747" s="52" t="str">
        <f>Data!A747</f>
        <v>TX500746</v>
      </c>
      <c r="B747" s="52">
        <f>MONTH(Data!F747)</f>
        <v>2</v>
      </c>
      <c r="C747" s="52" t="str">
        <f>TEXT(Data!F747,"mmm")</f>
        <v>Feb</v>
      </c>
      <c r="D747" s="52" t="str">
        <f>Data!O747</f>
        <v>Female</v>
      </c>
      <c r="E747" s="52">
        <f>Data!G747-Data!F747</f>
        <v>2</v>
      </c>
      <c r="F747" s="52">
        <f>IF(Data!J747&lt;=5,Data!J747,IF(Data!J747&lt;=10,"6 TO 10","More than 10"))</f>
        <v>4</v>
      </c>
      <c r="G747" s="52">
        <f t="shared" si="11"/>
        <v>2</v>
      </c>
      <c r="H747" s="52">
        <f>ROUND(Data!C747*Data!D747-Data!E747,2)</f>
        <v>0</v>
      </c>
      <c r="I747" s="52">
        <f>IF(AND(OR(Sel_Mode="All",Data!I747=Sel_Mode),OR(Sel_Gender="All",D747=Sel_Gender),OR(Sel_Category="All",Data!B747=Sel_Category),OR(Sel_Month="All",C747=Sel_Month),OR(Sel_County="All",Data!L747=Sel_County)),1,0)</f>
        <v>1</v>
      </c>
    </row>
    <row r="748" spans="1:9" x14ac:dyDescent="0.25">
      <c r="A748" s="52" t="str">
        <f>Data!A748</f>
        <v>TX500747</v>
      </c>
      <c r="B748" s="52">
        <f>MONTH(Data!F748)</f>
        <v>2</v>
      </c>
      <c r="C748" s="52" t="str">
        <f>TEXT(Data!F748,"mmm")</f>
        <v>Feb</v>
      </c>
      <c r="D748" s="52" t="str">
        <f>Data!O748</f>
        <v>Male</v>
      </c>
      <c r="E748" s="52">
        <f>Data!G748-Data!F748</f>
        <v>4</v>
      </c>
      <c r="F748" s="52">
        <f>IF(Data!J748&lt;=5,Data!J748,IF(Data!J748&lt;=10,"6 TO 10","More than 10"))</f>
        <v>5</v>
      </c>
      <c r="G748" s="52">
        <f t="shared" si="11"/>
        <v>4</v>
      </c>
      <c r="H748" s="52">
        <f>ROUND(Data!C748*Data!D748-Data!E748,2)</f>
        <v>0</v>
      </c>
      <c r="I748" s="52">
        <f>IF(AND(OR(Sel_Mode="All",Data!I748=Sel_Mode),OR(Sel_Gender="All",D748=Sel_Gender),OR(Sel_Category="All",Data!B748=Sel_Category),OR(Sel_Month="All",C748=Sel_Month),OR(Sel_County="All",Data!L748=Sel_County)),1,0)</f>
        <v>1</v>
      </c>
    </row>
    <row r="749" spans="1:9" x14ac:dyDescent="0.25">
      <c r="A749" s="52" t="str">
        <f>Data!A749</f>
        <v>TX500748</v>
      </c>
      <c r="B749" s="52">
        <f>MONTH(Data!F749)</f>
        <v>2</v>
      </c>
      <c r="C749" s="52" t="str">
        <f>TEXT(Data!F749,"mmm")</f>
        <v>Feb</v>
      </c>
      <c r="D749" s="52" t="str">
        <f>Data!O749</f>
        <v>Female</v>
      </c>
      <c r="E749" s="52">
        <f>Data!G749-Data!F749</f>
        <v>3</v>
      </c>
      <c r="F749" s="52">
        <f>IF(Data!J749&lt;=5,Data!J749,IF(Data!J749&lt;=10,"6 TO 10","More than 10"))</f>
        <v>2</v>
      </c>
      <c r="G749" s="52">
        <f t="shared" si="11"/>
        <v>3</v>
      </c>
      <c r="H749" s="52">
        <f>ROUND(Data!C749*Data!D749-Data!E749,2)</f>
        <v>0</v>
      </c>
      <c r="I749" s="52">
        <f>IF(AND(OR(Sel_Mode="All",Data!I749=Sel_Mode),OR(Sel_Gender="All",D749=Sel_Gender),OR(Sel_Category="All",Data!B749=Sel_Category),OR(Sel_Month="All",C749=Sel_Month),OR(Sel_County="All",Data!L749=Sel_County)),1,0)</f>
        <v>1</v>
      </c>
    </row>
    <row r="750" spans="1:9" x14ac:dyDescent="0.25">
      <c r="A750" s="52" t="str">
        <f>Data!A750</f>
        <v>TX500749</v>
      </c>
      <c r="B750" s="52">
        <f>MONTH(Data!F750)</f>
        <v>2</v>
      </c>
      <c r="C750" s="52" t="str">
        <f>TEXT(Data!F750,"mmm")</f>
        <v>Feb</v>
      </c>
      <c r="D750" s="52" t="str">
        <f>Data!O750</f>
        <v>Male</v>
      </c>
      <c r="E750" s="52">
        <f>Data!G750-Data!F750</f>
        <v>2</v>
      </c>
      <c r="F750" s="52">
        <f>IF(Data!J750&lt;=5,Data!J750,IF(Data!J750&lt;=10,"6 TO 10","More than 10"))</f>
        <v>4</v>
      </c>
      <c r="G750" s="52">
        <f t="shared" si="11"/>
        <v>2</v>
      </c>
      <c r="H750" s="52">
        <f>ROUND(Data!C750*Data!D750-Data!E750,2)</f>
        <v>0</v>
      </c>
      <c r="I750" s="52">
        <f>IF(AND(OR(Sel_Mode="All",Data!I750=Sel_Mode),OR(Sel_Gender="All",D750=Sel_Gender),OR(Sel_Category="All",Data!B750=Sel_Category),OR(Sel_Month="All",C750=Sel_Month),OR(Sel_County="All",Data!L750=Sel_County)),1,0)</f>
        <v>1</v>
      </c>
    </row>
    <row r="751" spans="1:9" x14ac:dyDescent="0.25">
      <c r="A751" s="52" t="str">
        <f>Data!A751</f>
        <v>TX500750</v>
      </c>
      <c r="B751" s="52">
        <f>MONTH(Data!F751)</f>
        <v>2</v>
      </c>
      <c r="C751" s="52" t="str">
        <f>TEXT(Data!F751,"mmm")</f>
        <v>Feb</v>
      </c>
      <c r="D751" s="52" t="str">
        <f>Data!O751</f>
        <v>Unknown</v>
      </c>
      <c r="E751" s="52">
        <f>Data!G751-Data!F751</f>
        <v>1</v>
      </c>
      <c r="F751" s="52">
        <f>IF(Data!J751&lt;=5,Data!J751,IF(Data!J751&lt;=10,"6 TO 10","More than 10"))</f>
        <v>2</v>
      </c>
      <c r="G751" s="52">
        <f t="shared" si="11"/>
        <v>1</v>
      </c>
      <c r="H751" s="52">
        <f>ROUND(Data!C751*Data!D751-Data!E751,2)</f>
        <v>0</v>
      </c>
      <c r="I751" s="52">
        <f>IF(AND(OR(Sel_Mode="All",Data!I751=Sel_Mode),OR(Sel_Gender="All",D751=Sel_Gender),OR(Sel_Category="All",Data!B751=Sel_Category),OR(Sel_Month="All",C751=Sel_Month),OR(Sel_County="All",Data!L751=Sel_County)),1,0)</f>
        <v>1</v>
      </c>
    </row>
    <row r="752" spans="1:9" x14ac:dyDescent="0.25">
      <c r="A752" s="52" t="str">
        <f>Data!A752</f>
        <v>TX500751</v>
      </c>
      <c r="B752" s="52">
        <f>MONTH(Data!F752)</f>
        <v>2</v>
      </c>
      <c r="C752" s="52" t="str">
        <f>TEXT(Data!F752,"mmm")</f>
        <v>Feb</v>
      </c>
      <c r="D752" s="52" t="str">
        <f>Data!O752</f>
        <v>Male</v>
      </c>
      <c r="E752" s="52">
        <f>Data!G752-Data!F752</f>
        <v>2</v>
      </c>
      <c r="F752" s="52">
        <f>IF(Data!J752&lt;=5,Data!J752,IF(Data!J752&lt;=10,"6 TO 10","More than 10"))</f>
        <v>3</v>
      </c>
      <c r="G752" s="52">
        <f t="shared" si="11"/>
        <v>2</v>
      </c>
      <c r="H752" s="52">
        <f>ROUND(Data!C752*Data!D752-Data!E752,2)</f>
        <v>0</v>
      </c>
      <c r="I752" s="52">
        <f>IF(AND(OR(Sel_Mode="All",Data!I752=Sel_Mode),OR(Sel_Gender="All",D752=Sel_Gender),OR(Sel_Category="All",Data!B752=Sel_Category),OR(Sel_Month="All",C752=Sel_Month),OR(Sel_County="All",Data!L752=Sel_County)),1,0)</f>
        <v>1</v>
      </c>
    </row>
    <row r="753" spans="1:9" x14ac:dyDescent="0.25">
      <c r="A753" s="52" t="str">
        <f>Data!A753</f>
        <v>TX500752</v>
      </c>
      <c r="B753" s="52">
        <f>MONTH(Data!F753)</f>
        <v>2</v>
      </c>
      <c r="C753" s="52" t="str">
        <f>TEXT(Data!F753,"mmm")</f>
        <v>Feb</v>
      </c>
      <c r="D753" s="52" t="str">
        <f>Data!O753</f>
        <v>Female</v>
      </c>
      <c r="E753" s="52">
        <f>Data!G753-Data!F753</f>
        <v>6</v>
      </c>
      <c r="F753" s="52">
        <f>IF(Data!J753&lt;=5,Data!J753,IF(Data!J753&lt;=10,"6 TO 10","More than 10"))</f>
        <v>3</v>
      </c>
      <c r="G753" s="52">
        <f t="shared" si="11"/>
        <v>6</v>
      </c>
      <c r="H753" s="52">
        <f>ROUND(Data!C753*Data!D753-Data!E753,2)</f>
        <v>0</v>
      </c>
      <c r="I753" s="52">
        <f>IF(AND(OR(Sel_Mode="All",Data!I753=Sel_Mode),OR(Sel_Gender="All",D753=Sel_Gender),OR(Sel_Category="All",Data!B753=Sel_Category),OR(Sel_Month="All",C753=Sel_Month),OR(Sel_County="All",Data!L753=Sel_County)),1,0)</f>
        <v>1</v>
      </c>
    </row>
    <row r="754" spans="1:9" x14ac:dyDescent="0.25">
      <c r="A754" s="52" t="str">
        <f>Data!A754</f>
        <v>TX500753</v>
      </c>
      <c r="B754" s="52">
        <f>MONTH(Data!F754)</f>
        <v>2</v>
      </c>
      <c r="C754" s="52" t="str">
        <f>TEXT(Data!F754,"mmm")</f>
        <v>Feb</v>
      </c>
      <c r="D754" s="52" t="str">
        <f>Data!O754</f>
        <v>Male</v>
      </c>
      <c r="E754" s="52">
        <f>Data!G754-Data!F754</f>
        <v>3</v>
      </c>
      <c r="F754" s="52">
        <f>IF(Data!J754&lt;=5,Data!J754,IF(Data!J754&lt;=10,"6 TO 10","More than 10"))</f>
        <v>3</v>
      </c>
      <c r="G754" s="52">
        <f t="shared" si="11"/>
        <v>3</v>
      </c>
      <c r="H754" s="52">
        <f>ROUND(Data!C754*Data!D754-Data!E754,2)</f>
        <v>0</v>
      </c>
      <c r="I754" s="52">
        <f>IF(AND(OR(Sel_Mode="All",Data!I754=Sel_Mode),OR(Sel_Gender="All",D754=Sel_Gender),OR(Sel_Category="All",Data!B754=Sel_Category),OR(Sel_Month="All",C754=Sel_Month),OR(Sel_County="All",Data!L754=Sel_County)),1,0)</f>
        <v>1</v>
      </c>
    </row>
    <row r="755" spans="1:9" x14ac:dyDescent="0.25">
      <c r="A755" s="52" t="str">
        <f>Data!A755</f>
        <v>TX500754</v>
      </c>
      <c r="B755" s="52">
        <f>MONTH(Data!F755)</f>
        <v>2</v>
      </c>
      <c r="C755" s="52" t="str">
        <f>TEXT(Data!F755,"mmm")</f>
        <v>Feb</v>
      </c>
      <c r="D755" s="52" t="str">
        <f>Data!O755</f>
        <v>Male</v>
      </c>
      <c r="E755" s="52">
        <f>Data!G755-Data!F755</f>
        <v>1</v>
      </c>
      <c r="F755" s="52">
        <f>IF(Data!J755&lt;=5,Data!J755,IF(Data!J755&lt;=10,"6 TO 10","More than 10"))</f>
        <v>4</v>
      </c>
      <c r="G755" s="52">
        <f t="shared" si="11"/>
        <v>1</v>
      </c>
      <c r="H755" s="52">
        <f>ROUND(Data!C755*Data!D755-Data!E755,2)</f>
        <v>0</v>
      </c>
      <c r="I755" s="52">
        <f>IF(AND(OR(Sel_Mode="All",Data!I755=Sel_Mode),OR(Sel_Gender="All",D755=Sel_Gender),OR(Sel_Category="All",Data!B755=Sel_Category),OR(Sel_Month="All",C755=Sel_Month),OR(Sel_County="All",Data!L755=Sel_County)),1,0)</f>
        <v>1</v>
      </c>
    </row>
    <row r="756" spans="1:9" x14ac:dyDescent="0.25">
      <c r="A756" s="52" t="str">
        <f>Data!A756</f>
        <v>TX500755</v>
      </c>
      <c r="B756" s="52">
        <f>MONTH(Data!F756)</f>
        <v>2</v>
      </c>
      <c r="C756" s="52" t="str">
        <f>TEXT(Data!F756,"mmm")</f>
        <v>Feb</v>
      </c>
      <c r="D756" s="52" t="str">
        <f>Data!O756</f>
        <v>Female</v>
      </c>
      <c r="E756" s="52">
        <f>Data!G756-Data!F756</f>
        <v>1</v>
      </c>
      <c r="F756" s="52">
        <f>IF(Data!J756&lt;=5,Data!J756,IF(Data!J756&lt;=10,"6 TO 10","More than 10"))</f>
        <v>4</v>
      </c>
      <c r="G756" s="52">
        <f t="shared" si="11"/>
        <v>1</v>
      </c>
      <c r="H756" s="52">
        <f>ROUND(Data!C756*Data!D756-Data!E756,2)</f>
        <v>0</v>
      </c>
      <c r="I756" s="52">
        <f>IF(AND(OR(Sel_Mode="All",Data!I756=Sel_Mode),OR(Sel_Gender="All",D756=Sel_Gender),OR(Sel_Category="All",Data!B756=Sel_Category),OR(Sel_Month="All",C756=Sel_Month),OR(Sel_County="All",Data!L756=Sel_County)),1,0)</f>
        <v>1</v>
      </c>
    </row>
    <row r="757" spans="1:9" x14ac:dyDescent="0.25">
      <c r="A757" s="52" t="str">
        <f>Data!A757</f>
        <v>TX500756</v>
      </c>
      <c r="B757" s="52">
        <f>MONTH(Data!F757)</f>
        <v>2</v>
      </c>
      <c r="C757" s="52" t="str">
        <f>TEXT(Data!F757,"mmm")</f>
        <v>Feb</v>
      </c>
      <c r="D757" s="52" t="str">
        <f>Data!O757</f>
        <v>Male</v>
      </c>
      <c r="E757" s="52">
        <f>Data!G757-Data!F757</f>
        <v>2</v>
      </c>
      <c r="F757" s="52">
        <f>IF(Data!J757&lt;=5,Data!J757,IF(Data!J757&lt;=10,"6 TO 10","More than 10"))</f>
        <v>4</v>
      </c>
      <c r="G757" s="52">
        <f t="shared" si="11"/>
        <v>2</v>
      </c>
      <c r="H757" s="52">
        <f>ROUND(Data!C757*Data!D757-Data!E757,2)</f>
        <v>0</v>
      </c>
      <c r="I757" s="52">
        <f>IF(AND(OR(Sel_Mode="All",Data!I757=Sel_Mode),OR(Sel_Gender="All",D757=Sel_Gender),OR(Sel_Category="All",Data!B757=Sel_Category),OR(Sel_Month="All",C757=Sel_Month),OR(Sel_County="All",Data!L757=Sel_County)),1,0)</f>
        <v>1</v>
      </c>
    </row>
    <row r="758" spans="1:9" x14ac:dyDescent="0.25">
      <c r="A758" s="52" t="str">
        <f>Data!A758</f>
        <v>TX500757</v>
      </c>
      <c r="B758" s="52">
        <f>MONTH(Data!F758)</f>
        <v>2</v>
      </c>
      <c r="C758" s="52" t="str">
        <f>TEXT(Data!F758,"mmm")</f>
        <v>Feb</v>
      </c>
      <c r="D758" s="52" t="str">
        <f>Data!O758</f>
        <v>Female</v>
      </c>
      <c r="E758" s="52">
        <f>Data!G758-Data!F758</f>
        <v>1</v>
      </c>
      <c r="F758" s="52">
        <f>IF(Data!J758&lt;=5,Data!J758,IF(Data!J758&lt;=10,"6 TO 10","More than 10"))</f>
        <v>3</v>
      </c>
      <c r="G758" s="52">
        <f t="shared" si="11"/>
        <v>1</v>
      </c>
      <c r="H758" s="52">
        <f>ROUND(Data!C758*Data!D758-Data!E758,2)</f>
        <v>0</v>
      </c>
      <c r="I758" s="52">
        <f>IF(AND(OR(Sel_Mode="All",Data!I758=Sel_Mode),OR(Sel_Gender="All",D758=Sel_Gender),OR(Sel_Category="All",Data!B758=Sel_Category),OR(Sel_Month="All",C758=Sel_Month),OR(Sel_County="All",Data!L758=Sel_County)),1,0)</f>
        <v>1</v>
      </c>
    </row>
    <row r="759" spans="1:9" x14ac:dyDescent="0.25">
      <c r="A759" s="52" t="str">
        <f>Data!A759</f>
        <v>TX500758</v>
      </c>
      <c r="B759" s="52">
        <f>MONTH(Data!F759)</f>
        <v>2</v>
      </c>
      <c r="C759" s="52" t="str">
        <f>TEXT(Data!F759,"mmm")</f>
        <v>Feb</v>
      </c>
      <c r="D759" s="52" t="str">
        <f>Data!O759</f>
        <v>Female</v>
      </c>
      <c r="E759" s="52">
        <f>Data!G759-Data!F759</f>
        <v>3</v>
      </c>
      <c r="F759" s="52">
        <f>IF(Data!J759&lt;=5,Data!J759,IF(Data!J759&lt;=10,"6 TO 10","More than 10"))</f>
        <v>4</v>
      </c>
      <c r="G759" s="52">
        <f t="shared" si="11"/>
        <v>3</v>
      </c>
      <c r="H759" s="52">
        <f>ROUND(Data!C759*Data!D759-Data!E759,2)</f>
        <v>0</v>
      </c>
      <c r="I759" s="52">
        <f>IF(AND(OR(Sel_Mode="All",Data!I759=Sel_Mode),OR(Sel_Gender="All",D759=Sel_Gender),OR(Sel_Category="All",Data!B759=Sel_Category),OR(Sel_Month="All",C759=Sel_Month),OR(Sel_County="All",Data!L759=Sel_County)),1,0)</f>
        <v>1</v>
      </c>
    </row>
    <row r="760" spans="1:9" x14ac:dyDescent="0.25">
      <c r="A760" s="52" t="str">
        <f>Data!A760</f>
        <v>TX500759</v>
      </c>
      <c r="B760" s="52">
        <f>MONTH(Data!F760)</f>
        <v>2</v>
      </c>
      <c r="C760" s="52" t="str">
        <f>TEXT(Data!F760,"mmm")</f>
        <v>Feb</v>
      </c>
      <c r="D760" s="52" t="str">
        <f>Data!O760</f>
        <v>Female</v>
      </c>
      <c r="E760" s="52">
        <f>Data!G760-Data!F760</f>
        <v>5</v>
      </c>
      <c r="F760" s="52">
        <f>IF(Data!J760&lt;=5,Data!J760,IF(Data!J760&lt;=10,"6 TO 10","More than 10"))</f>
        <v>3</v>
      </c>
      <c r="G760" s="52">
        <f t="shared" si="11"/>
        <v>5</v>
      </c>
      <c r="H760" s="52">
        <f>ROUND(Data!C760*Data!D760-Data!E760,2)</f>
        <v>0</v>
      </c>
      <c r="I760" s="52">
        <f>IF(AND(OR(Sel_Mode="All",Data!I760=Sel_Mode),OR(Sel_Gender="All",D760=Sel_Gender),OR(Sel_Category="All",Data!B760=Sel_Category),OR(Sel_Month="All",C760=Sel_Month),OR(Sel_County="All",Data!L760=Sel_County)),1,0)</f>
        <v>1</v>
      </c>
    </row>
    <row r="761" spans="1:9" x14ac:dyDescent="0.25">
      <c r="A761" s="52" t="str">
        <f>Data!A761</f>
        <v>TX500760</v>
      </c>
      <c r="B761" s="52">
        <f>MONTH(Data!F761)</f>
        <v>2</v>
      </c>
      <c r="C761" s="52" t="str">
        <f>TEXT(Data!F761,"mmm")</f>
        <v>Feb</v>
      </c>
      <c r="D761" s="52" t="str">
        <f>Data!O761</f>
        <v>Male</v>
      </c>
      <c r="E761" s="52">
        <f>Data!G761-Data!F761</f>
        <v>4</v>
      </c>
      <c r="F761" s="52">
        <f>IF(Data!J761&lt;=5,Data!J761,IF(Data!J761&lt;=10,"6 TO 10","More than 10"))</f>
        <v>2</v>
      </c>
      <c r="G761" s="52">
        <f t="shared" si="11"/>
        <v>4</v>
      </c>
      <c r="H761" s="52">
        <f>ROUND(Data!C761*Data!D761-Data!E761,2)</f>
        <v>0</v>
      </c>
      <c r="I761" s="52">
        <f>IF(AND(OR(Sel_Mode="All",Data!I761=Sel_Mode),OR(Sel_Gender="All",D761=Sel_Gender),OR(Sel_Category="All",Data!B761=Sel_Category),OR(Sel_Month="All",C761=Sel_Month),OR(Sel_County="All",Data!L761=Sel_County)),1,0)</f>
        <v>1</v>
      </c>
    </row>
    <row r="762" spans="1:9" x14ac:dyDescent="0.25">
      <c r="A762" s="52" t="str">
        <f>Data!A762</f>
        <v>TX500761</v>
      </c>
      <c r="B762" s="52">
        <f>MONTH(Data!F762)</f>
        <v>2</v>
      </c>
      <c r="C762" s="52" t="str">
        <f>TEXT(Data!F762,"mmm")</f>
        <v>Feb</v>
      </c>
      <c r="D762" s="52" t="str">
        <f>Data!O762</f>
        <v>Female</v>
      </c>
      <c r="E762" s="52">
        <f>Data!G762-Data!F762</f>
        <v>2</v>
      </c>
      <c r="F762" s="52">
        <f>IF(Data!J762&lt;=5,Data!J762,IF(Data!J762&lt;=10,"6 TO 10","More than 10"))</f>
        <v>3</v>
      </c>
      <c r="G762" s="52">
        <f t="shared" si="11"/>
        <v>2</v>
      </c>
      <c r="H762" s="52">
        <f>ROUND(Data!C762*Data!D762-Data!E762,2)</f>
        <v>0</v>
      </c>
      <c r="I762" s="52">
        <f>IF(AND(OR(Sel_Mode="All",Data!I762=Sel_Mode),OR(Sel_Gender="All",D762=Sel_Gender),OR(Sel_Category="All",Data!B762=Sel_Category),OR(Sel_Month="All",C762=Sel_Month),OR(Sel_County="All",Data!L762=Sel_County)),1,0)</f>
        <v>1</v>
      </c>
    </row>
    <row r="763" spans="1:9" x14ac:dyDescent="0.25">
      <c r="A763" s="52" t="str">
        <f>Data!A763</f>
        <v>TX500762</v>
      </c>
      <c r="B763" s="52">
        <f>MONTH(Data!F763)</f>
        <v>2</v>
      </c>
      <c r="C763" s="52" t="str">
        <f>TEXT(Data!F763,"mmm")</f>
        <v>Feb</v>
      </c>
      <c r="D763" s="52" t="str">
        <f>Data!O763</f>
        <v>Male</v>
      </c>
      <c r="E763" s="52">
        <f>Data!G763-Data!F763</f>
        <v>4</v>
      </c>
      <c r="F763" s="52">
        <f>IF(Data!J763&lt;=5,Data!J763,IF(Data!J763&lt;=10,"6 TO 10","More than 10"))</f>
        <v>5</v>
      </c>
      <c r="G763" s="52">
        <f t="shared" si="11"/>
        <v>4</v>
      </c>
      <c r="H763" s="52">
        <f>ROUND(Data!C763*Data!D763-Data!E763,2)</f>
        <v>0</v>
      </c>
      <c r="I763" s="52">
        <f>IF(AND(OR(Sel_Mode="All",Data!I763=Sel_Mode),OR(Sel_Gender="All",D763=Sel_Gender),OR(Sel_Category="All",Data!B763=Sel_Category),OR(Sel_Month="All",C763=Sel_Month),OR(Sel_County="All",Data!L763=Sel_County)),1,0)</f>
        <v>1</v>
      </c>
    </row>
    <row r="764" spans="1:9" x14ac:dyDescent="0.25">
      <c r="A764" s="52" t="str">
        <f>Data!A764</f>
        <v>TX500763</v>
      </c>
      <c r="B764" s="52">
        <f>MONTH(Data!F764)</f>
        <v>2</v>
      </c>
      <c r="C764" s="52" t="str">
        <f>TEXT(Data!F764,"mmm")</f>
        <v>Feb</v>
      </c>
      <c r="D764" s="52" t="str">
        <f>Data!O764</f>
        <v>Male</v>
      </c>
      <c r="E764" s="52">
        <f>Data!G764-Data!F764</f>
        <v>2</v>
      </c>
      <c r="F764" s="52">
        <f>IF(Data!J764&lt;=5,Data!J764,IF(Data!J764&lt;=10,"6 TO 10","More than 10"))</f>
        <v>3</v>
      </c>
      <c r="G764" s="52">
        <f t="shared" si="11"/>
        <v>2</v>
      </c>
      <c r="H764" s="52">
        <f>ROUND(Data!C764*Data!D764-Data!E764,2)</f>
        <v>0</v>
      </c>
      <c r="I764" s="52">
        <f>IF(AND(OR(Sel_Mode="All",Data!I764=Sel_Mode),OR(Sel_Gender="All",D764=Sel_Gender),OR(Sel_Category="All",Data!B764=Sel_Category),OR(Sel_Month="All",C764=Sel_Month),OR(Sel_County="All",Data!L764=Sel_County)),1,0)</f>
        <v>1</v>
      </c>
    </row>
    <row r="765" spans="1:9" x14ac:dyDescent="0.25">
      <c r="A765" s="52" t="str">
        <f>Data!A765</f>
        <v>TX500764</v>
      </c>
      <c r="B765" s="52">
        <f>MONTH(Data!F765)</f>
        <v>2</v>
      </c>
      <c r="C765" s="52" t="str">
        <f>TEXT(Data!F765,"mmm")</f>
        <v>Feb</v>
      </c>
      <c r="D765" s="52" t="str">
        <f>Data!O765</f>
        <v>Female</v>
      </c>
      <c r="E765" s="52">
        <f>Data!G765-Data!F765</f>
        <v>3</v>
      </c>
      <c r="F765" s="52">
        <f>IF(Data!J765&lt;=5,Data!J765,IF(Data!J765&lt;=10,"6 TO 10","More than 10"))</f>
        <v>5</v>
      </c>
      <c r="G765" s="52">
        <f t="shared" si="11"/>
        <v>3</v>
      </c>
      <c r="H765" s="52">
        <f>ROUND(Data!C765*Data!D765-Data!E765,2)</f>
        <v>0</v>
      </c>
      <c r="I765" s="52">
        <f>IF(AND(OR(Sel_Mode="All",Data!I765=Sel_Mode),OR(Sel_Gender="All",D765=Sel_Gender),OR(Sel_Category="All",Data!B765=Sel_Category),OR(Sel_Month="All",C765=Sel_Month),OR(Sel_County="All",Data!L765=Sel_County)),1,0)</f>
        <v>1</v>
      </c>
    </row>
    <row r="766" spans="1:9" x14ac:dyDescent="0.25">
      <c r="A766" s="52" t="str">
        <f>Data!A766</f>
        <v>TX500765</v>
      </c>
      <c r="B766" s="52">
        <f>MONTH(Data!F766)</f>
        <v>2</v>
      </c>
      <c r="C766" s="52" t="str">
        <f>TEXT(Data!F766,"mmm")</f>
        <v>Feb</v>
      </c>
      <c r="D766" s="52" t="str">
        <f>Data!O766</f>
        <v>Female</v>
      </c>
      <c r="E766" s="52">
        <f>Data!G766-Data!F766</f>
        <v>9</v>
      </c>
      <c r="F766" s="52">
        <f>IF(Data!J766&lt;=5,Data!J766,IF(Data!J766&lt;=10,"6 TO 10","More than 10"))</f>
        <v>5</v>
      </c>
      <c r="G766" s="52" t="str">
        <f t="shared" si="11"/>
        <v>8+</v>
      </c>
      <c r="H766" s="52">
        <f>ROUND(Data!C766*Data!D766-Data!E766,2)</f>
        <v>0</v>
      </c>
      <c r="I766" s="52">
        <f>IF(AND(OR(Sel_Mode="All",Data!I766=Sel_Mode),OR(Sel_Gender="All",D766=Sel_Gender),OR(Sel_Category="All",Data!B766=Sel_Category),OR(Sel_Month="All",C766=Sel_Month),OR(Sel_County="All",Data!L766=Sel_County)),1,0)</f>
        <v>1</v>
      </c>
    </row>
    <row r="767" spans="1:9" x14ac:dyDescent="0.25">
      <c r="A767" s="52" t="str">
        <f>Data!A767</f>
        <v>TX500766</v>
      </c>
      <c r="B767" s="52">
        <f>MONTH(Data!F767)</f>
        <v>2</v>
      </c>
      <c r="C767" s="52" t="str">
        <f>TEXT(Data!F767,"mmm")</f>
        <v>Feb</v>
      </c>
      <c r="D767" s="52" t="str">
        <f>Data!O767</f>
        <v>Male</v>
      </c>
      <c r="E767" s="52">
        <f>Data!G767-Data!F767</f>
        <v>1</v>
      </c>
      <c r="F767" s="52">
        <f>IF(Data!J767&lt;=5,Data!J767,IF(Data!J767&lt;=10,"6 TO 10","More than 10"))</f>
        <v>5</v>
      </c>
      <c r="G767" s="52">
        <f t="shared" si="11"/>
        <v>1</v>
      </c>
      <c r="H767" s="52">
        <f>ROUND(Data!C767*Data!D767-Data!E767,2)</f>
        <v>0</v>
      </c>
      <c r="I767" s="52">
        <f>IF(AND(OR(Sel_Mode="All",Data!I767=Sel_Mode),OR(Sel_Gender="All",D767=Sel_Gender),OR(Sel_Category="All",Data!B767=Sel_Category),OR(Sel_Month="All",C767=Sel_Month),OR(Sel_County="All",Data!L767=Sel_County)),1,0)</f>
        <v>1</v>
      </c>
    </row>
    <row r="768" spans="1:9" x14ac:dyDescent="0.25">
      <c r="A768" s="52" t="str">
        <f>Data!A768</f>
        <v>TX500767</v>
      </c>
      <c r="B768" s="52">
        <f>MONTH(Data!F768)</f>
        <v>2</v>
      </c>
      <c r="C768" s="52" t="str">
        <f>TEXT(Data!F768,"mmm")</f>
        <v>Feb</v>
      </c>
      <c r="D768" s="52" t="str">
        <f>Data!O768</f>
        <v>Male</v>
      </c>
      <c r="E768" s="52">
        <f>Data!G768-Data!F768</f>
        <v>14</v>
      </c>
      <c r="F768" s="52">
        <f>IF(Data!J768&lt;=5,Data!J768,IF(Data!J768&lt;=10,"6 TO 10","More than 10"))</f>
        <v>4</v>
      </c>
      <c r="G768" s="52" t="str">
        <f t="shared" si="11"/>
        <v>8+</v>
      </c>
      <c r="H768" s="52">
        <f>ROUND(Data!C768*Data!D768-Data!E768,2)</f>
        <v>0</v>
      </c>
      <c r="I768" s="52">
        <f>IF(AND(OR(Sel_Mode="All",Data!I768=Sel_Mode),OR(Sel_Gender="All",D768=Sel_Gender),OR(Sel_Category="All",Data!B768=Sel_Category),OR(Sel_Month="All",C768=Sel_Month),OR(Sel_County="All",Data!L768=Sel_County)),1,0)</f>
        <v>1</v>
      </c>
    </row>
    <row r="769" spans="1:9" x14ac:dyDescent="0.25">
      <c r="A769" s="52" t="str">
        <f>Data!A769</f>
        <v>TX500768</v>
      </c>
      <c r="B769" s="52">
        <f>MONTH(Data!F769)</f>
        <v>2</v>
      </c>
      <c r="C769" s="52" t="str">
        <f>TEXT(Data!F769,"mmm")</f>
        <v>Feb</v>
      </c>
      <c r="D769" s="52" t="str">
        <f>Data!O769</f>
        <v>Male</v>
      </c>
      <c r="E769" s="52">
        <f>Data!G769-Data!F769</f>
        <v>2</v>
      </c>
      <c r="F769" s="52">
        <f>IF(Data!J769&lt;=5,Data!J769,IF(Data!J769&lt;=10,"6 TO 10","More than 10"))</f>
        <v>5</v>
      </c>
      <c r="G769" s="52">
        <f t="shared" si="11"/>
        <v>2</v>
      </c>
      <c r="H769" s="52">
        <f>ROUND(Data!C769*Data!D769-Data!E769,2)</f>
        <v>0</v>
      </c>
      <c r="I769" s="52">
        <f>IF(AND(OR(Sel_Mode="All",Data!I769=Sel_Mode),OR(Sel_Gender="All",D769=Sel_Gender),OR(Sel_Category="All",Data!B769=Sel_Category),OR(Sel_Month="All",C769=Sel_Month),OR(Sel_County="All",Data!L769=Sel_County)),1,0)</f>
        <v>1</v>
      </c>
    </row>
    <row r="770" spans="1:9" x14ac:dyDescent="0.25">
      <c r="A770" s="52" t="str">
        <f>Data!A770</f>
        <v>TX500769</v>
      </c>
      <c r="B770" s="52">
        <f>MONTH(Data!F770)</f>
        <v>2</v>
      </c>
      <c r="C770" s="52" t="str">
        <f>TEXT(Data!F770,"mmm")</f>
        <v>Feb</v>
      </c>
      <c r="D770" s="52" t="str">
        <f>Data!O770</f>
        <v>Female</v>
      </c>
      <c r="E770" s="52">
        <f>Data!G770-Data!F770</f>
        <v>1</v>
      </c>
      <c r="F770" s="52">
        <f>IF(Data!J770&lt;=5,Data!J770,IF(Data!J770&lt;=10,"6 TO 10","More than 10"))</f>
        <v>5</v>
      </c>
      <c r="G770" s="52">
        <f t="shared" ref="G770:G833" si="12">IF(E770&gt;=8,"8+",E770)</f>
        <v>1</v>
      </c>
      <c r="H770" s="52">
        <f>ROUND(Data!C770*Data!D770-Data!E770,2)</f>
        <v>0</v>
      </c>
      <c r="I770" s="52">
        <f>IF(AND(OR(Sel_Mode="All",Data!I770=Sel_Mode),OR(Sel_Gender="All",D770=Sel_Gender),OR(Sel_Category="All",Data!B770=Sel_Category),OR(Sel_Month="All",C770=Sel_Month),OR(Sel_County="All",Data!L770=Sel_County)),1,0)</f>
        <v>1</v>
      </c>
    </row>
    <row r="771" spans="1:9" x14ac:dyDescent="0.25">
      <c r="A771" s="52" t="str">
        <f>Data!A771</f>
        <v>TX500770</v>
      </c>
      <c r="B771" s="52">
        <f>MONTH(Data!F771)</f>
        <v>2</v>
      </c>
      <c r="C771" s="52" t="str">
        <f>TEXT(Data!F771,"mmm")</f>
        <v>Feb</v>
      </c>
      <c r="D771" s="52" t="str">
        <f>Data!O771</f>
        <v>Female</v>
      </c>
      <c r="E771" s="52">
        <f>Data!G771-Data!F771</f>
        <v>2</v>
      </c>
      <c r="F771" s="52">
        <f>IF(Data!J771&lt;=5,Data!J771,IF(Data!J771&lt;=10,"6 TO 10","More than 10"))</f>
        <v>4</v>
      </c>
      <c r="G771" s="52">
        <f t="shared" si="12"/>
        <v>2</v>
      </c>
      <c r="H771" s="52">
        <f>ROUND(Data!C771*Data!D771-Data!E771,2)</f>
        <v>0</v>
      </c>
      <c r="I771" s="52">
        <f>IF(AND(OR(Sel_Mode="All",Data!I771=Sel_Mode),OR(Sel_Gender="All",D771=Sel_Gender),OR(Sel_Category="All",Data!B771=Sel_Category),OR(Sel_Month="All",C771=Sel_Month),OR(Sel_County="All",Data!L771=Sel_County)),1,0)</f>
        <v>1</v>
      </c>
    </row>
    <row r="772" spans="1:9" x14ac:dyDescent="0.25">
      <c r="A772" s="52" t="str">
        <f>Data!A772</f>
        <v>TX500771</v>
      </c>
      <c r="B772" s="52">
        <f>MONTH(Data!F772)</f>
        <v>2</v>
      </c>
      <c r="C772" s="52" t="str">
        <f>TEXT(Data!F772,"mmm")</f>
        <v>Feb</v>
      </c>
      <c r="D772" s="52" t="str">
        <f>Data!O772</f>
        <v>Female</v>
      </c>
      <c r="E772" s="52">
        <f>Data!G772-Data!F772</f>
        <v>9</v>
      </c>
      <c r="F772" s="52">
        <f>IF(Data!J772&lt;=5,Data!J772,IF(Data!J772&lt;=10,"6 TO 10","More than 10"))</f>
        <v>4</v>
      </c>
      <c r="G772" s="52" t="str">
        <f t="shared" si="12"/>
        <v>8+</v>
      </c>
      <c r="H772" s="52">
        <f>ROUND(Data!C772*Data!D772-Data!E772,2)</f>
        <v>0</v>
      </c>
      <c r="I772" s="52">
        <f>IF(AND(OR(Sel_Mode="All",Data!I772=Sel_Mode),OR(Sel_Gender="All",D772=Sel_Gender),OR(Sel_Category="All",Data!B772=Sel_Category),OR(Sel_Month="All",C772=Sel_Month),OR(Sel_County="All",Data!L772=Sel_County)),1,0)</f>
        <v>1</v>
      </c>
    </row>
    <row r="773" spans="1:9" x14ac:dyDescent="0.25">
      <c r="A773" s="52" t="str">
        <f>Data!A773</f>
        <v>TX500772</v>
      </c>
      <c r="B773" s="52">
        <f>MONTH(Data!F773)</f>
        <v>2</v>
      </c>
      <c r="C773" s="52" t="str">
        <f>TEXT(Data!F773,"mmm")</f>
        <v>Feb</v>
      </c>
      <c r="D773" s="52" t="str">
        <f>Data!O773</f>
        <v>Male</v>
      </c>
      <c r="E773" s="52">
        <f>Data!G773-Data!F773</f>
        <v>1</v>
      </c>
      <c r="F773" s="52">
        <f>IF(Data!J773&lt;=5,Data!J773,IF(Data!J773&lt;=10,"6 TO 10","More than 10"))</f>
        <v>3</v>
      </c>
      <c r="G773" s="52">
        <f t="shared" si="12"/>
        <v>1</v>
      </c>
      <c r="H773" s="52">
        <f>ROUND(Data!C773*Data!D773-Data!E773,2)</f>
        <v>0</v>
      </c>
      <c r="I773" s="52">
        <f>IF(AND(OR(Sel_Mode="All",Data!I773=Sel_Mode),OR(Sel_Gender="All",D773=Sel_Gender),OR(Sel_Category="All",Data!B773=Sel_Category),OR(Sel_Month="All",C773=Sel_Month),OR(Sel_County="All",Data!L773=Sel_County)),1,0)</f>
        <v>1</v>
      </c>
    </row>
    <row r="774" spans="1:9" x14ac:dyDescent="0.25">
      <c r="A774" s="52" t="str">
        <f>Data!A774</f>
        <v>TX500773</v>
      </c>
      <c r="B774" s="52">
        <f>MONTH(Data!F774)</f>
        <v>2</v>
      </c>
      <c r="C774" s="52" t="str">
        <f>TEXT(Data!F774,"mmm")</f>
        <v>Feb</v>
      </c>
      <c r="D774" s="52" t="str">
        <f>Data!O774</f>
        <v>Male</v>
      </c>
      <c r="E774" s="52">
        <f>Data!G774-Data!F774</f>
        <v>1</v>
      </c>
      <c r="F774" s="52">
        <f>IF(Data!J774&lt;=5,Data!J774,IF(Data!J774&lt;=10,"6 TO 10","More than 10"))</f>
        <v>3</v>
      </c>
      <c r="G774" s="52">
        <f t="shared" si="12"/>
        <v>1</v>
      </c>
      <c r="H774" s="52">
        <f>ROUND(Data!C774*Data!D774-Data!E774,2)</f>
        <v>0</v>
      </c>
      <c r="I774" s="52">
        <f>IF(AND(OR(Sel_Mode="All",Data!I774=Sel_Mode),OR(Sel_Gender="All",D774=Sel_Gender),OR(Sel_Category="All",Data!B774=Sel_Category),OR(Sel_Month="All",C774=Sel_Month),OR(Sel_County="All",Data!L774=Sel_County)),1,0)</f>
        <v>1</v>
      </c>
    </row>
    <row r="775" spans="1:9" x14ac:dyDescent="0.25">
      <c r="A775" s="52" t="str">
        <f>Data!A775</f>
        <v>TX500774</v>
      </c>
      <c r="B775" s="52">
        <f>MONTH(Data!F775)</f>
        <v>2</v>
      </c>
      <c r="C775" s="52" t="str">
        <f>TEXT(Data!F775,"mmm")</f>
        <v>Feb</v>
      </c>
      <c r="D775" s="52" t="str">
        <f>Data!O775</f>
        <v>Female</v>
      </c>
      <c r="E775" s="52">
        <f>Data!G775-Data!F775</f>
        <v>1</v>
      </c>
      <c r="F775" s="52">
        <f>IF(Data!J775&lt;=5,Data!J775,IF(Data!J775&lt;=10,"6 TO 10","More than 10"))</f>
        <v>5</v>
      </c>
      <c r="G775" s="52">
        <f t="shared" si="12"/>
        <v>1</v>
      </c>
      <c r="H775" s="52">
        <f>ROUND(Data!C775*Data!D775-Data!E775,2)</f>
        <v>0</v>
      </c>
      <c r="I775" s="52">
        <f>IF(AND(OR(Sel_Mode="All",Data!I775=Sel_Mode),OR(Sel_Gender="All",D775=Sel_Gender),OR(Sel_Category="All",Data!B775=Sel_Category),OR(Sel_Month="All",C775=Sel_Month),OR(Sel_County="All",Data!L775=Sel_County)),1,0)</f>
        <v>1</v>
      </c>
    </row>
    <row r="776" spans="1:9" x14ac:dyDescent="0.25">
      <c r="A776" s="52" t="str">
        <f>Data!A776</f>
        <v>TX500775</v>
      </c>
      <c r="B776" s="52">
        <f>MONTH(Data!F776)</f>
        <v>2</v>
      </c>
      <c r="C776" s="52" t="str">
        <f>TEXT(Data!F776,"mmm")</f>
        <v>Feb</v>
      </c>
      <c r="D776" s="52" t="str">
        <f>Data!O776</f>
        <v>Male</v>
      </c>
      <c r="E776" s="52">
        <f>Data!G776-Data!F776</f>
        <v>1</v>
      </c>
      <c r="F776" s="52">
        <f>IF(Data!J776&lt;=5,Data!J776,IF(Data!J776&lt;=10,"6 TO 10","More than 10"))</f>
        <v>2</v>
      </c>
      <c r="G776" s="52">
        <f t="shared" si="12"/>
        <v>1</v>
      </c>
      <c r="H776" s="52">
        <f>ROUND(Data!C776*Data!D776-Data!E776,2)</f>
        <v>0</v>
      </c>
      <c r="I776" s="52">
        <f>IF(AND(OR(Sel_Mode="All",Data!I776=Sel_Mode),OR(Sel_Gender="All",D776=Sel_Gender),OR(Sel_Category="All",Data!B776=Sel_Category),OR(Sel_Month="All",C776=Sel_Month),OR(Sel_County="All",Data!L776=Sel_County)),1,0)</f>
        <v>1</v>
      </c>
    </row>
    <row r="777" spans="1:9" x14ac:dyDescent="0.25">
      <c r="A777" s="52" t="str">
        <f>Data!A777</f>
        <v>TX500776</v>
      </c>
      <c r="B777" s="52">
        <f>MONTH(Data!F777)</f>
        <v>2</v>
      </c>
      <c r="C777" s="52" t="str">
        <f>TEXT(Data!F777,"mmm")</f>
        <v>Feb</v>
      </c>
      <c r="D777" s="52" t="str">
        <f>Data!O777</f>
        <v>Female</v>
      </c>
      <c r="E777" s="52">
        <f>Data!G777-Data!F777</f>
        <v>0</v>
      </c>
      <c r="F777" s="52">
        <f>IF(Data!J777&lt;=5,Data!J777,IF(Data!J777&lt;=10,"6 TO 10","More than 10"))</f>
        <v>5</v>
      </c>
      <c r="G777" s="52">
        <f t="shared" si="12"/>
        <v>0</v>
      </c>
      <c r="H777" s="52">
        <f>ROUND(Data!C777*Data!D777-Data!E777,2)</f>
        <v>0</v>
      </c>
      <c r="I777" s="52">
        <f>IF(AND(OR(Sel_Mode="All",Data!I777=Sel_Mode),OR(Sel_Gender="All",D777=Sel_Gender),OR(Sel_Category="All",Data!B777=Sel_Category),OR(Sel_Month="All",C777=Sel_Month),OR(Sel_County="All",Data!L777=Sel_County)),1,0)</f>
        <v>1</v>
      </c>
    </row>
    <row r="778" spans="1:9" x14ac:dyDescent="0.25">
      <c r="A778" s="52" t="str">
        <f>Data!A778</f>
        <v>TX500777</v>
      </c>
      <c r="B778" s="52">
        <f>MONTH(Data!F778)</f>
        <v>2</v>
      </c>
      <c r="C778" s="52" t="str">
        <f>TEXT(Data!F778,"mmm")</f>
        <v>Feb</v>
      </c>
      <c r="D778" s="52" t="str">
        <f>Data!O778</f>
        <v>Unknown</v>
      </c>
      <c r="E778" s="52">
        <f>Data!G778-Data!F778</f>
        <v>2</v>
      </c>
      <c r="F778" s="52">
        <f>IF(Data!J778&lt;=5,Data!J778,IF(Data!J778&lt;=10,"6 TO 10","More than 10"))</f>
        <v>4</v>
      </c>
      <c r="G778" s="52">
        <f t="shared" si="12"/>
        <v>2</v>
      </c>
      <c r="H778" s="52">
        <f>ROUND(Data!C778*Data!D778-Data!E778,2)</f>
        <v>0</v>
      </c>
      <c r="I778" s="52">
        <f>IF(AND(OR(Sel_Mode="All",Data!I778=Sel_Mode),OR(Sel_Gender="All",D778=Sel_Gender),OR(Sel_Category="All",Data!B778=Sel_Category),OR(Sel_Month="All",C778=Sel_Month),OR(Sel_County="All",Data!L778=Sel_County)),1,0)</f>
        <v>1</v>
      </c>
    </row>
    <row r="779" spans="1:9" x14ac:dyDescent="0.25">
      <c r="A779" s="52" t="str">
        <f>Data!A779</f>
        <v>TX500778</v>
      </c>
      <c r="B779" s="52">
        <f>MONTH(Data!F779)</f>
        <v>2</v>
      </c>
      <c r="C779" s="52" t="str">
        <f>TEXT(Data!F779,"mmm")</f>
        <v>Feb</v>
      </c>
      <c r="D779" s="52" t="str">
        <f>Data!O779</f>
        <v>Female</v>
      </c>
      <c r="E779" s="52">
        <f>Data!G779-Data!F779</f>
        <v>1</v>
      </c>
      <c r="F779" s="52">
        <f>IF(Data!J779&lt;=5,Data!J779,IF(Data!J779&lt;=10,"6 TO 10","More than 10"))</f>
        <v>3</v>
      </c>
      <c r="G779" s="52">
        <f t="shared" si="12"/>
        <v>1</v>
      </c>
      <c r="H779" s="52">
        <f>ROUND(Data!C779*Data!D779-Data!E779,2)</f>
        <v>0</v>
      </c>
      <c r="I779" s="52">
        <f>IF(AND(OR(Sel_Mode="All",Data!I779=Sel_Mode),OR(Sel_Gender="All",D779=Sel_Gender),OR(Sel_Category="All",Data!B779=Sel_Category),OR(Sel_Month="All",C779=Sel_Month),OR(Sel_County="All",Data!L779=Sel_County)),1,0)</f>
        <v>1</v>
      </c>
    </row>
    <row r="780" spans="1:9" x14ac:dyDescent="0.25">
      <c r="A780" s="52" t="str">
        <f>Data!A780</f>
        <v>TX500779</v>
      </c>
      <c r="B780" s="52">
        <f>MONTH(Data!F780)</f>
        <v>2</v>
      </c>
      <c r="C780" s="52" t="str">
        <f>TEXT(Data!F780,"mmm")</f>
        <v>Feb</v>
      </c>
      <c r="D780" s="52" t="str">
        <f>Data!O780</f>
        <v>Other</v>
      </c>
      <c r="E780" s="52">
        <f>Data!G780-Data!F780</f>
        <v>1</v>
      </c>
      <c r="F780" s="52">
        <f>IF(Data!J780&lt;=5,Data!J780,IF(Data!J780&lt;=10,"6 TO 10","More than 10"))</f>
        <v>3</v>
      </c>
      <c r="G780" s="52">
        <f t="shared" si="12"/>
        <v>1</v>
      </c>
      <c r="H780" s="52">
        <f>ROUND(Data!C780*Data!D780-Data!E780,2)</f>
        <v>0</v>
      </c>
      <c r="I780" s="52">
        <f>IF(AND(OR(Sel_Mode="All",Data!I780=Sel_Mode),OR(Sel_Gender="All",D780=Sel_Gender),OR(Sel_Category="All",Data!B780=Sel_Category),OR(Sel_Month="All",C780=Sel_Month),OR(Sel_County="All",Data!L780=Sel_County)),1,0)</f>
        <v>1</v>
      </c>
    </row>
    <row r="781" spans="1:9" x14ac:dyDescent="0.25">
      <c r="A781" s="52" t="str">
        <f>Data!A781</f>
        <v>TX500780</v>
      </c>
      <c r="B781" s="52">
        <f>MONTH(Data!F781)</f>
        <v>2</v>
      </c>
      <c r="C781" s="52" t="str">
        <f>TEXT(Data!F781,"mmm")</f>
        <v>Feb</v>
      </c>
      <c r="D781" s="52" t="str">
        <f>Data!O781</f>
        <v>Female</v>
      </c>
      <c r="E781" s="52">
        <f>Data!G781-Data!F781</f>
        <v>4</v>
      </c>
      <c r="F781" s="52">
        <f>IF(Data!J781&lt;=5,Data!J781,IF(Data!J781&lt;=10,"6 TO 10","More than 10"))</f>
        <v>4</v>
      </c>
      <c r="G781" s="52">
        <f t="shared" si="12"/>
        <v>4</v>
      </c>
      <c r="H781" s="52">
        <f>ROUND(Data!C781*Data!D781-Data!E781,2)</f>
        <v>0</v>
      </c>
      <c r="I781" s="52">
        <f>IF(AND(OR(Sel_Mode="All",Data!I781=Sel_Mode),OR(Sel_Gender="All",D781=Sel_Gender),OR(Sel_Category="All",Data!B781=Sel_Category),OR(Sel_Month="All",C781=Sel_Month),OR(Sel_County="All",Data!L781=Sel_County)),1,0)</f>
        <v>1</v>
      </c>
    </row>
    <row r="782" spans="1:9" x14ac:dyDescent="0.25">
      <c r="A782" s="52" t="str">
        <f>Data!A782</f>
        <v>TX500781</v>
      </c>
      <c r="B782" s="52">
        <f>MONTH(Data!F782)</f>
        <v>2</v>
      </c>
      <c r="C782" s="52" t="str">
        <f>TEXT(Data!F782,"mmm")</f>
        <v>Feb</v>
      </c>
      <c r="D782" s="52" t="str">
        <f>Data!O782</f>
        <v>Female</v>
      </c>
      <c r="E782" s="52">
        <f>Data!G782-Data!F782</f>
        <v>3</v>
      </c>
      <c r="F782" s="52">
        <f>IF(Data!J782&lt;=5,Data!J782,IF(Data!J782&lt;=10,"6 TO 10","More than 10"))</f>
        <v>5</v>
      </c>
      <c r="G782" s="52">
        <f t="shared" si="12"/>
        <v>3</v>
      </c>
      <c r="H782" s="52">
        <f>ROUND(Data!C782*Data!D782-Data!E782,2)</f>
        <v>0</v>
      </c>
      <c r="I782" s="52">
        <f>IF(AND(OR(Sel_Mode="All",Data!I782=Sel_Mode),OR(Sel_Gender="All",D782=Sel_Gender),OR(Sel_Category="All",Data!B782=Sel_Category),OR(Sel_Month="All",C782=Sel_Month),OR(Sel_County="All",Data!L782=Sel_County)),1,0)</f>
        <v>1</v>
      </c>
    </row>
    <row r="783" spans="1:9" x14ac:dyDescent="0.25">
      <c r="A783" s="52" t="str">
        <f>Data!A783</f>
        <v>TX500782</v>
      </c>
      <c r="B783" s="52">
        <f>MONTH(Data!F783)</f>
        <v>2</v>
      </c>
      <c r="C783" s="52" t="str">
        <f>TEXT(Data!F783,"mmm")</f>
        <v>Feb</v>
      </c>
      <c r="D783" s="52" t="str">
        <f>Data!O783</f>
        <v>Female</v>
      </c>
      <c r="E783" s="52">
        <f>Data!G783-Data!F783</f>
        <v>0</v>
      </c>
      <c r="F783" s="52">
        <f>IF(Data!J783&lt;=5,Data!J783,IF(Data!J783&lt;=10,"6 TO 10","More than 10"))</f>
        <v>3</v>
      </c>
      <c r="G783" s="52">
        <f t="shared" si="12"/>
        <v>0</v>
      </c>
      <c r="H783" s="52">
        <f>ROUND(Data!C783*Data!D783-Data!E783,2)</f>
        <v>0</v>
      </c>
      <c r="I783" s="52">
        <f>IF(AND(OR(Sel_Mode="All",Data!I783=Sel_Mode),OR(Sel_Gender="All",D783=Sel_Gender),OR(Sel_Category="All",Data!B783=Sel_Category),OR(Sel_Month="All",C783=Sel_Month),OR(Sel_County="All",Data!L783=Sel_County)),1,0)</f>
        <v>1</v>
      </c>
    </row>
    <row r="784" spans="1:9" x14ac:dyDescent="0.25">
      <c r="A784" s="52" t="str">
        <f>Data!A784</f>
        <v>TX500783</v>
      </c>
      <c r="B784" s="52">
        <f>MONTH(Data!F784)</f>
        <v>2</v>
      </c>
      <c r="C784" s="52" t="str">
        <f>TEXT(Data!F784,"mmm")</f>
        <v>Feb</v>
      </c>
      <c r="D784" s="52" t="str">
        <f>Data!O784</f>
        <v>Male</v>
      </c>
      <c r="E784" s="52">
        <f>Data!G784-Data!F784</f>
        <v>1</v>
      </c>
      <c r="F784" s="52">
        <f>IF(Data!J784&lt;=5,Data!J784,IF(Data!J784&lt;=10,"6 TO 10","More than 10"))</f>
        <v>4</v>
      </c>
      <c r="G784" s="52">
        <f t="shared" si="12"/>
        <v>1</v>
      </c>
      <c r="H784" s="52">
        <f>ROUND(Data!C784*Data!D784-Data!E784,2)</f>
        <v>0</v>
      </c>
      <c r="I784" s="52">
        <f>IF(AND(OR(Sel_Mode="All",Data!I784=Sel_Mode),OR(Sel_Gender="All",D784=Sel_Gender),OR(Sel_Category="All",Data!B784=Sel_Category),OR(Sel_Month="All",C784=Sel_Month),OR(Sel_County="All",Data!L784=Sel_County)),1,0)</f>
        <v>1</v>
      </c>
    </row>
    <row r="785" spans="1:9" x14ac:dyDescent="0.25">
      <c r="A785" s="52" t="str">
        <f>Data!A785</f>
        <v>TX500784</v>
      </c>
      <c r="B785" s="52">
        <f>MONTH(Data!F785)</f>
        <v>2</v>
      </c>
      <c r="C785" s="52" t="str">
        <f>TEXT(Data!F785,"mmm")</f>
        <v>Feb</v>
      </c>
      <c r="D785" s="52" t="str">
        <f>Data!O785</f>
        <v>Female</v>
      </c>
      <c r="E785" s="52">
        <f>Data!G785-Data!F785</f>
        <v>2</v>
      </c>
      <c r="F785" s="52">
        <f>IF(Data!J785&lt;=5,Data!J785,IF(Data!J785&lt;=10,"6 TO 10","More than 10"))</f>
        <v>4</v>
      </c>
      <c r="G785" s="52">
        <f t="shared" si="12"/>
        <v>2</v>
      </c>
      <c r="H785" s="52">
        <f>ROUND(Data!C785*Data!D785-Data!E785,2)</f>
        <v>0</v>
      </c>
      <c r="I785" s="52">
        <f>IF(AND(OR(Sel_Mode="All",Data!I785=Sel_Mode),OR(Sel_Gender="All",D785=Sel_Gender),OR(Sel_Category="All",Data!B785=Sel_Category),OR(Sel_Month="All",C785=Sel_Month),OR(Sel_County="All",Data!L785=Sel_County)),1,0)</f>
        <v>1</v>
      </c>
    </row>
    <row r="786" spans="1:9" x14ac:dyDescent="0.25">
      <c r="A786" s="52" t="str">
        <f>Data!A786</f>
        <v>TX500785</v>
      </c>
      <c r="B786" s="52">
        <f>MONTH(Data!F786)</f>
        <v>2</v>
      </c>
      <c r="C786" s="52" t="str">
        <f>TEXT(Data!F786,"mmm")</f>
        <v>Feb</v>
      </c>
      <c r="D786" s="52" t="str">
        <f>Data!O786</f>
        <v>Female</v>
      </c>
      <c r="E786" s="52">
        <f>Data!G786-Data!F786</f>
        <v>1</v>
      </c>
      <c r="F786" s="52">
        <f>IF(Data!J786&lt;=5,Data!J786,IF(Data!J786&lt;=10,"6 TO 10","More than 10"))</f>
        <v>3</v>
      </c>
      <c r="G786" s="52">
        <f t="shared" si="12"/>
        <v>1</v>
      </c>
      <c r="H786" s="52">
        <f>ROUND(Data!C786*Data!D786-Data!E786,2)</f>
        <v>0</v>
      </c>
      <c r="I786" s="52">
        <f>IF(AND(OR(Sel_Mode="All",Data!I786=Sel_Mode),OR(Sel_Gender="All",D786=Sel_Gender),OR(Sel_Category="All",Data!B786=Sel_Category),OR(Sel_Month="All",C786=Sel_Month),OR(Sel_County="All",Data!L786=Sel_County)),1,0)</f>
        <v>1</v>
      </c>
    </row>
    <row r="787" spans="1:9" x14ac:dyDescent="0.25">
      <c r="A787" s="52" t="str">
        <f>Data!A787</f>
        <v>TX500786</v>
      </c>
      <c r="B787" s="52">
        <f>MONTH(Data!F787)</f>
        <v>2</v>
      </c>
      <c r="C787" s="52" t="str">
        <f>TEXT(Data!F787,"mmm")</f>
        <v>Feb</v>
      </c>
      <c r="D787" s="52" t="str">
        <f>Data!O787</f>
        <v>Female</v>
      </c>
      <c r="E787" s="52">
        <f>Data!G787-Data!F787</f>
        <v>2</v>
      </c>
      <c r="F787" s="52">
        <f>IF(Data!J787&lt;=5,Data!J787,IF(Data!J787&lt;=10,"6 TO 10","More than 10"))</f>
        <v>5</v>
      </c>
      <c r="G787" s="52">
        <f t="shared" si="12"/>
        <v>2</v>
      </c>
      <c r="H787" s="52">
        <f>ROUND(Data!C787*Data!D787-Data!E787,2)</f>
        <v>0</v>
      </c>
      <c r="I787" s="52">
        <f>IF(AND(OR(Sel_Mode="All",Data!I787=Sel_Mode),OR(Sel_Gender="All",D787=Sel_Gender),OR(Sel_Category="All",Data!B787=Sel_Category),OR(Sel_Month="All",C787=Sel_Month),OR(Sel_County="All",Data!L787=Sel_County)),1,0)</f>
        <v>1</v>
      </c>
    </row>
    <row r="788" spans="1:9" x14ac:dyDescent="0.25">
      <c r="A788" s="52" t="str">
        <f>Data!A788</f>
        <v>TX500787</v>
      </c>
      <c r="B788" s="52">
        <f>MONTH(Data!F788)</f>
        <v>2</v>
      </c>
      <c r="C788" s="52" t="str">
        <f>TEXT(Data!F788,"mmm")</f>
        <v>Feb</v>
      </c>
      <c r="D788" s="52" t="str">
        <f>Data!O788</f>
        <v>Female</v>
      </c>
      <c r="E788" s="52">
        <f>Data!G788-Data!F788</f>
        <v>1</v>
      </c>
      <c r="F788" s="52">
        <f>IF(Data!J788&lt;=5,Data!J788,IF(Data!J788&lt;=10,"6 TO 10","More than 10"))</f>
        <v>2</v>
      </c>
      <c r="G788" s="52">
        <f t="shared" si="12"/>
        <v>1</v>
      </c>
      <c r="H788" s="52">
        <f>ROUND(Data!C788*Data!D788-Data!E788,2)</f>
        <v>0</v>
      </c>
      <c r="I788" s="52">
        <f>IF(AND(OR(Sel_Mode="All",Data!I788=Sel_Mode),OR(Sel_Gender="All",D788=Sel_Gender),OR(Sel_Category="All",Data!B788=Sel_Category),OR(Sel_Month="All",C788=Sel_Month),OR(Sel_County="All",Data!L788=Sel_County)),1,0)</f>
        <v>1</v>
      </c>
    </row>
    <row r="789" spans="1:9" x14ac:dyDescent="0.25">
      <c r="A789" s="52" t="str">
        <f>Data!A789</f>
        <v>TX500788</v>
      </c>
      <c r="B789" s="52">
        <f>MONTH(Data!F789)</f>
        <v>2</v>
      </c>
      <c r="C789" s="52" t="str">
        <f>TEXT(Data!F789,"mmm")</f>
        <v>Feb</v>
      </c>
      <c r="D789" s="52" t="str">
        <f>Data!O789</f>
        <v>Female</v>
      </c>
      <c r="E789" s="52">
        <f>Data!G789-Data!F789</f>
        <v>2</v>
      </c>
      <c r="F789" s="52">
        <f>IF(Data!J789&lt;=5,Data!J789,IF(Data!J789&lt;=10,"6 TO 10","More than 10"))</f>
        <v>3</v>
      </c>
      <c r="G789" s="52">
        <f t="shared" si="12"/>
        <v>2</v>
      </c>
      <c r="H789" s="52">
        <f>ROUND(Data!C789*Data!D789-Data!E789,2)</f>
        <v>0</v>
      </c>
      <c r="I789" s="52">
        <f>IF(AND(OR(Sel_Mode="All",Data!I789=Sel_Mode),OR(Sel_Gender="All",D789=Sel_Gender),OR(Sel_Category="All",Data!B789=Sel_Category),OR(Sel_Month="All",C789=Sel_Month),OR(Sel_County="All",Data!L789=Sel_County)),1,0)</f>
        <v>1</v>
      </c>
    </row>
    <row r="790" spans="1:9" x14ac:dyDescent="0.25">
      <c r="A790" s="52" t="str">
        <f>Data!A790</f>
        <v>TX500789</v>
      </c>
      <c r="B790" s="52">
        <f>MONTH(Data!F790)</f>
        <v>2</v>
      </c>
      <c r="C790" s="52" t="str">
        <f>TEXT(Data!F790,"mmm")</f>
        <v>Feb</v>
      </c>
      <c r="D790" s="52" t="str">
        <f>Data!O790</f>
        <v>Male</v>
      </c>
      <c r="E790" s="52">
        <f>Data!G790-Data!F790</f>
        <v>1</v>
      </c>
      <c r="F790" s="52">
        <f>IF(Data!J790&lt;=5,Data!J790,IF(Data!J790&lt;=10,"6 TO 10","More than 10"))</f>
        <v>3</v>
      </c>
      <c r="G790" s="52">
        <f t="shared" si="12"/>
        <v>1</v>
      </c>
      <c r="H790" s="52">
        <f>ROUND(Data!C790*Data!D790-Data!E790,2)</f>
        <v>0</v>
      </c>
      <c r="I790" s="52">
        <f>IF(AND(OR(Sel_Mode="All",Data!I790=Sel_Mode),OR(Sel_Gender="All",D790=Sel_Gender),OR(Sel_Category="All",Data!B790=Sel_Category),OR(Sel_Month="All",C790=Sel_Month),OR(Sel_County="All",Data!L790=Sel_County)),1,0)</f>
        <v>1</v>
      </c>
    </row>
    <row r="791" spans="1:9" x14ac:dyDescent="0.25">
      <c r="A791" s="52" t="str">
        <f>Data!A791</f>
        <v>TX500790</v>
      </c>
      <c r="B791" s="52">
        <f>MONTH(Data!F791)</f>
        <v>2</v>
      </c>
      <c r="C791" s="52" t="str">
        <f>TEXT(Data!F791,"mmm")</f>
        <v>Feb</v>
      </c>
      <c r="D791" s="52" t="str">
        <f>Data!O791</f>
        <v>Female</v>
      </c>
      <c r="E791" s="52">
        <f>Data!G791-Data!F791</f>
        <v>2</v>
      </c>
      <c r="F791" s="52">
        <f>IF(Data!J791&lt;=5,Data!J791,IF(Data!J791&lt;=10,"6 TO 10","More than 10"))</f>
        <v>3</v>
      </c>
      <c r="G791" s="52">
        <f t="shared" si="12"/>
        <v>2</v>
      </c>
      <c r="H791" s="52">
        <f>ROUND(Data!C791*Data!D791-Data!E791,2)</f>
        <v>0</v>
      </c>
      <c r="I791" s="52">
        <f>IF(AND(OR(Sel_Mode="All",Data!I791=Sel_Mode),OR(Sel_Gender="All",D791=Sel_Gender),OR(Sel_Category="All",Data!B791=Sel_Category),OR(Sel_Month="All",C791=Sel_Month),OR(Sel_County="All",Data!L791=Sel_County)),1,0)</f>
        <v>1</v>
      </c>
    </row>
    <row r="792" spans="1:9" x14ac:dyDescent="0.25">
      <c r="A792" s="52" t="str">
        <f>Data!A792</f>
        <v>TX500791</v>
      </c>
      <c r="B792" s="52">
        <f>MONTH(Data!F792)</f>
        <v>2</v>
      </c>
      <c r="C792" s="52" t="str">
        <f>TEXT(Data!F792,"mmm")</f>
        <v>Feb</v>
      </c>
      <c r="D792" s="52" t="str">
        <f>Data!O792</f>
        <v>Male</v>
      </c>
      <c r="E792" s="52">
        <f>Data!G792-Data!F792</f>
        <v>1</v>
      </c>
      <c r="F792" s="52">
        <f>IF(Data!J792&lt;=5,Data!J792,IF(Data!J792&lt;=10,"6 TO 10","More than 10"))</f>
        <v>4</v>
      </c>
      <c r="G792" s="52">
        <f t="shared" si="12"/>
        <v>1</v>
      </c>
      <c r="H792" s="52">
        <f>ROUND(Data!C792*Data!D792-Data!E792,2)</f>
        <v>0</v>
      </c>
      <c r="I792" s="52">
        <f>IF(AND(OR(Sel_Mode="All",Data!I792=Sel_Mode),OR(Sel_Gender="All",D792=Sel_Gender),OR(Sel_Category="All",Data!B792=Sel_Category),OR(Sel_Month="All",C792=Sel_Month),OR(Sel_County="All",Data!L792=Sel_County)),1,0)</f>
        <v>1</v>
      </c>
    </row>
    <row r="793" spans="1:9" x14ac:dyDescent="0.25">
      <c r="A793" s="52" t="str">
        <f>Data!A793</f>
        <v>TX500792</v>
      </c>
      <c r="B793" s="52">
        <f>MONTH(Data!F793)</f>
        <v>2</v>
      </c>
      <c r="C793" s="52" t="str">
        <f>TEXT(Data!F793,"mmm")</f>
        <v>Feb</v>
      </c>
      <c r="D793" s="52" t="str">
        <f>Data!O793</f>
        <v>Male</v>
      </c>
      <c r="E793" s="52">
        <f>Data!G793-Data!F793</f>
        <v>4</v>
      </c>
      <c r="F793" s="52">
        <f>IF(Data!J793&lt;=5,Data!J793,IF(Data!J793&lt;=10,"6 TO 10","More than 10"))</f>
        <v>4</v>
      </c>
      <c r="G793" s="52">
        <f t="shared" si="12"/>
        <v>4</v>
      </c>
      <c r="H793" s="52">
        <f>ROUND(Data!C793*Data!D793-Data!E793,2)</f>
        <v>0</v>
      </c>
      <c r="I793" s="52">
        <f>IF(AND(OR(Sel_Mode="All",Data!I793=Sel_Mode),OR(Sel_Gender="All",D793=Sel_Gender),OR(Sel_Category="All",Data!B793=Sel_Category),OR(Sel_Month="All",C793=Sel_Month),OR(Sel_County="All",Data!L793=Sel_County)),1,0)</f>
        <v>1</v>
      </c>
    </row>
    <row r="794" spans="1:9" x14ac:dyDescent="0.25">
      <c r="A794" s="52" t="str">
        <f>Data!A794</f>
        <v>TX500793</v>
      </c>
      <c r="B794" s="52">
        <f>MONTH(Data!F794)</f>
        <v>2</v>
      </c>
      <c r="C794" s="52" t="str">
        <f>TEXT(Data!F794,"mmm")</f>
        <v>Feb</v>
      </c>
      <c r="D794" s="52" t="str">
        <f>Data!O794</f>
        <v>Male</v>
      </c>
      <c r="E794" s="52">
        <f>Data!G794-Data!F794</f>
        <v>1</v>
      </c>
      <c r="F794" s="52">
        <f>IF(Data!J794&lt;=5,Data!J794,IF(Data!J794&lt;=10,"6 TO 10","More than 10"))</f>
        <v>4</v>
      </c>
      <c r="G794" s="52">
        <f t="shared" si="12"/>
        <v>1</v>
      </c>
      <c r="H794" s="52">
        <f>ROUND(Data!C794*Data!D794-Data!E794,2)</f>
        <v>0</v>
      </c>
      <c r="I794" s="52">
        <f>IF(AND(OR(Sel_Mode="All",Data!I794=Sel_Mode),OR(Sel_Gender="All",D794=Sel_Gender),OR(Sel_Category="All",Data!B794=Sel_Category),OR(Sel_Month="All",C794=Sel_Month),OR(Sel_County="All",Data!L794=Sel_County)),1,0)</f>
        <v>1</v>
      </c>
    </row>
    <row r="795" spans="1:9" x14ac:dyDescent="0.25">
      <c r="A795" s="52" t="str">
        <f>Data!A795</f>
        <v>TX500794</v>
      </c>
      <c r="B795" s="52">
        <f>MONTH(Data!F795)</f>
        <v>2</v>
      </c>
      <c r="C795" s="52" t="str">
        <f>TEXT(Data!F795,"mmm")</f>
        <v>Feb</v>
      </c>
      <c r="D795" s="52" t="str">
        <f>Data!O795</f>
        <v>Female</v>
      </c>
      <c r="E795" s="52">
        <f>Data!G795-Data!F795</f>
        <v>1</v>
      </c>
      <c r="F795" s="52">
        <f>IF(Data!J795&lt;=5,Data!J795,IF(Data!J795&lt;=10,"6 TO 10","More than 10"))</f>
        <v>4</v>
      </c>
      <c r="G795" s="52">
        <f t="shared" si="12"/>
        <v>1</v>
      </c>
      <c r="H795" s="52">
        <f>ROUND(Data!C795*Data!D795-Data!E795,2)</f>
        <v>0</v>
      </c>
      <c r="I795" s="52">
        <f>IF(AND(OR(Sel_Mode="All",Data!I795=Sel_Mode),OR(Sel_Gender="All",D795=Sel_Gender),OR(Sel_Category="All",Data!B795=Sel_Category),OR(Sel_Month="All",C795=Sel_Month),OR(Sel_County="All",Data!L795=Sel_County)),1,0)</f>
        <v>1</v>
      </c>
    </row>
    <row r="796" spans="1:9" x14ac:dyDescent="0.25">
      <c r="A796" s="52" t="str">
        <f>Data!A796</f>
        <v>TX500795</v>
      </c>
      <c r="B796" s="52">
        <f>MONTH(Data!F796)</f>
        <v>2</v>
      </c>
      <c r="C796" s="52" t="str">
        <f>TEXT(Data!F796,"mmm")</f>
        <v>Feb</v>
      </c>
      <c r="D796" s="52" t="str">
        <f>Data!O796</f>
        <v>Male</v>
      </c>
      <c r="E796" s="52">
        <f>Data!G796-Data!F796</f>
        <v>3</v>
      </c>
      <c r="F796" s="52">
        <f>IF(Data!J796&lt;=5,Data!J796,IF(Data!J796&lt;=10,"6 TO 10","More than 10"))</f>
        <v>4</v>
      </c>
      <c r="G796" s="52">
        <f t="shared" si="12"/>
        <v>3</v>
      </c>
      <c r="H796" s="52">
        <f>ROUND(Data!C796*Data!D796-Data!E796,2)</f>
        <v>0</v>
      </c>
      <c r="I796" s="52">
        <f>IF(AND(OR(Sel_Mode="All",Data!I796=Sel_Mode),OR(Sel_Gender="All",D796=Sel_Gender),OR(Sel_Category="All",Data!B796=Sel_Category),OR(Sel_Month="All",C796=Sel_Month),OR(Sel_County="All",Data!L796=Sel_County)),1,0)</f>
        <v>1</v>
      </c>
    </row>
    <row r="797" spans="1:9" x14ac:dyDescent="0.25">
      <c r="A797" s="52" t="str">
        <f>Data!A797</f>
        <v>TX500796</v>
      </c>
      <c r="B797" s="52">
        <f>MONTH(Data!F797)</f>
        <v>2</v>
      </c>
      <c r="C797" s="52" t="str">
        <f>TEXT(Data!F797,"mmm")</f>
        <v>Feb</v>
      </c>
      <c r="D797" s="52" t="str">
        <f>Data!O797</f>
        <v>Female</v>
      </c>
      <c r="E797" s="52">
        <f>Data!G797-Data!F797</f>
        <v>1</v>
      </c>
      <c r="F797" s="52">
        <f>IF(Data!J797&lt;=5,Data!J797,IF(Data!J797&lt;=10,"6 TO 10","More than 10"))</f>
        <v>2</v>
      </c>
      <c r="G797" s="52">
        <f t="shared" si="12"/>
        <v>1</v>
      </c>
      <c r="H797" s="52">
        <f>ROUND(Data!C797*Data!D797-Data!E797,2)</f>
        <v>0</v>
      </c>
      <c r="I797" s="52">
        <f>IF(AND(OR(Sel_Mode="All",Data!I797=Sel_Mode),OR(Sel_Gender="All",D797=Sel_Gender),OR(Sel_Category="All",Data!B797=Sel_Category),OR(Sel_Month="All",C797=Sel_Month),OR(Sel_County="All",Data!L797=Sel_County)),1,0)</f>
        <v>1</v>
      </c>
    </row>
    <row r="798" spans="1:9" x14ac:dyDescent="0.25">
      <c r="A798" s="52" t="str">
        <f>Data!A798</f>
        <v>TX500797</v>
      </c>
      <c r="B798" s="52">
        <f>MONTH(Data!F798)</f>
        <v>2</v>
      </c>
      <c r="C798" s="52" t="str">
        <f>TEXT(Data!F798,"mmm")</f>
        <v>Feb</v>
      </c>
      <c r="D798" s="52" t="str">
        <f>Data!O798</f>
        <v>Male</v>
      </c>
      <c r="E798" s="52">
        <f>Data!G798-Data!F798</f>
        <v>7</v>
      </c>
      <c r="F798" s="52">
        <f>IF(Data!J798&lt;=5,Data!J798,IF(Data!J798&lt;=10,"6 TO 10","More than 10"))</f>
        <v>2</v>
      </c>
      <c r="G798" s="52">
        <f t="shared" si="12"/>
        <v>7</v>
      </c>
      <c r="H798" s="52">
        <f>ROUND(Data!C798*Data!D798-Data!E798,2)</f>
        <v>0</v>
      </c>
      <c r="I798" s="52">
        <f>IF(AND(OR(Sel_Mode="All",Data!I798=Sel_Mode),OR(Sel_Gender="All",D798=Sel_Gender),OR(Sel_Category="All",Data!B798=Sel_Category),OR(Sel_Month="All",C798=Sel_Month),OR(Sel_County="All",Data!L798=Sel_County)),1,0)</f>
        <v>1</v>
      </c>
    </row>
    <row r="799" spans="1:9" x14ac:dyDescent="0.25">
      <c r="A799" s="52" t="str">
        <f>Data!A799</f>
        <v>TX500798</v>
      </c>
      <c r="B799" s="52">
        <f>MONTH(Data!F799)</f>
        <v>2</v>
      </c>
      <c r="C799" s="52" t="str">
        <f>TEXT(Data!F799,"mmm")</f>
        <v>Feb</v>
      </c>
      <c r="D799" s="52" t="str">
        <f>Data!O799</f>
        <v>Female</v>
      </c>
      <c r="E799" s="52">
        <f>Data!G799-Data!F799</f>
        <v>1</v>
      </c>
      <c r="F799" s="52">
        <f>IF(Data!J799&lt;=5,Data!J799,IF(Data!J799&lt;=10,"6 TO 10","More than 10"))</f>
        <v>5</v>
      </c>
      <c r="G799" s="52">
        <f t="shared" si="12"/>
        <v>1</v>
      </c>
      <c r="H799" s="52">
        <f>ROUND(Data!C799*Data!D799-Data!E799,2)</f>
        <v>0</v>
      </c>
      <c r="I799" s="52">
        <f>IF(AND(OR(Sel_Mode="All",Data!I799=Sel_Mode),OR(Sel_Gender="All",D799=Sel_Gender),OR(Sel_Category="All",Data!B799=Sel_Category),OR(Sel_Month="All",C799=Sel_Month),OR(Sel_County="All",Data!L799=Sel_County)),1,0)</f>
        <v>1</v>
      </c>
    </row>
    <row r="800" spans="1:9" x14ac:dyDescent="0.25">
      <c r="A800" s="52" t="str">
        <f>Data!A800</f>
        <v>TX500799</v>
      </c>
      <c r="B800" s="52">
        <f>MONTH(Data!F800)</f>
        <v>2</v>
      </c>
      <c r="C800" s="52" t="str">
        <f>TEXT(Data!F800,"mmm")</f>
        <v>Feb</v>
      </c>
      <c r="D800" s="52" t="str">
        <f>Data!O800</f>
        <v>Female</v>
      </c>
      <c r="E800" s="52">
        <f>Data!G800-Data!F800</f>
        <v>4</v>
      </c>
      <c r="F800" s="52">
        <f>IF(Data!J800&lt;=5,Data!J800,IF(Data!J800&lt;=10,"6 TO 10","More than 10"))</f>
        <v>4</v>
      </c>
      <c r="G800" s="52">
        <f t="shared" si="12"/>
        <v>4</v>
      </c>
      <c r="H800" s="52">
        <f>ROUND(Data!C800*Data!D800-Data!E800,2)</f>
        <v>0</v>
      </c>
      <c r="I800" s="52">
        <f>IF(AND(OR(Sel_Mode="All",Data!I800=Sel_Mode),OR(Sel_Gender="All",D800=Sel_Gender),OR(Sel_Category="All",Data!B800=Sel_Category),OR(Sel_Month="All",C800=Sel_Month),OR(Sel_County="All",Data!L800=Sel_County)),1,0)</f>
        <v>1</v>
      </c>
    </row>
    <row r="801" spans="1:9" x14ac:dyDescent="0.25">
      <c r="A801" s="52" t="str">
        <f>Data!A801</f>
        <v>TX500800</v>
      </c>
      <c r="B801" s="52">
        <f>MONTH(Data!F801)</f>
        <v>2</v>
      </c>
      <c r="C801" s="52" t="str">
        <f>TEXT(Data!F801,"mmm")</f>
        <v>Feb</v>
      </c>
      <c r="D801" s="52" t="str">
        <f>Data!O801</f>
        <v>Female</v>
      </c>
      <c r="E801" s="52">
        <f>Data!G801-Data!F801</f>
        <v>1</v>
      </c>
      <c r="F801" s="52">
        <f>IF(Data!J801&lt;=5,Data!J801,IF(Data!J801&lt;=10,"6 TO 10","More than 10"))</f>
        <v>4</v>
      </c>
      <c r="G801" s="52">
        <f t="shared" si="12"/>
        <v>1</v>
      </c>
      <c r="H801" s="52">
        <f>ROUND(Data!C801*Data!D801-Data!E801,2)</f>
        <v>0</v>
      </c>
      <c r="I801" s="52">
        <f>IF(AND(OR(Sel_Mode="All",Data!I801=Sel_Mode),OR(Sel_Gender="All",D801=Sel_Gender),OR(Sel_Category="All",Data!B801=Sel_Category),OR(Sel_Month="All",C801=Sel_Month),OR(Sel_County="All",Data!L801=Sel_County)),1,0)</f>
        <v>1</v>
      </c>
    </row>
    <row r="802" spans="1:9" x14ac:dyDescent="0.25">
      <c r="A802" s="52" t="str">
        <f>Data!A802</f>
        <v>TX500801</v>
      </c>
      <c r="B802" s="52">
        <f>MONTH(Data!F802)</f>
        <v>2</v>
      </c>
      <c r="C802" s="52" t="str">
        <f>TEXT(Data!F802,"mmm")</f>
        <v>Feb</v>
      </c>
      <c r="D802" s="52" t="str">
        <f>Data!O802</f>
        <v>Male</v>
      </c>
      <c r="E802" s="52">
        <f>Data!G802-Data!F802</f>
        <v>3</v>
      </c>
      <c r="F802" s="52">
        <f>IF(Data!J802&lt;=5,Data!J802,IF(Data!J802&lt;=10,"6 TO 10","More than 10"))</f>
        <v>5</v>
      </c>
      <c r="G802" s="52">
        <f t="shared" si="12"/>
        <v>3</v>
      </c>
      <c r="H802" s="52">
        <f>ROUND(Data!C802*Data!D802-Data!E802,2)</f>
        <v>0</v>
      </c>
      <c r="I802" s="52">
        <f>IF(AND(OR(Sel_Mode="All",Data!I802=Sel_Mode),OR(Sel_Gender="All",D802=Sel_Gender),OR(Sel_Category="All",Data!B802=Sel_Category),OR(Sel_Month="All",C802=Sel_Month),OR(Sel_County="All",Data!L802=Sel_County)),1,0)</f>
        <v>1</v>
      </c>
    </row>
    <row r="803" spans="1:9" x14ac:dyDescent="0.25">
      <c r="A803" s="52" t="str">
        <f>Data!A803</f>
        <v>TX500802</v>
      </c>
      <c r="B803" s="52">
        <f>MONTH(Data!F803)</f>
        <v>2</v>
      </c>
      <c r="C803" s="52" t="str">
        <f>TEXT(Data!F803,"mmm")</f>
        <v>Feb</v>
      </c>
      <c r="D803" s="52" t="str">
        <f>Data!O803</f>
        <v>Male</v>
      </c>
      <c r="E803" s="52">
        <f>Data!G803-Data!F803</f>
        <v>3</v>
      </c>
      <c r="F803" s="52">
        <f>IF(Data!J803&lt;=5,Data!J803,IF(Data!J803&lt;=10,"6 TO 10","More than 10"))</f>
        <v>4</v>
      </c>
      <c r="G803" s="52">
        <f t="shared" si="12"/>
        <v>3</v>
      </c>
      <c r="H803" s="52">
        <f>ROUND(Data!C803*Data!D803-Data!E803,2)</f>
        <v>0</v>
      </c>
      <c r="I803" s="52">
        <f>IF(AND(OR(Sel_Mode="All",Data!I803=Sel_Mode),OR(Sel_Gender="All",D803=Sel_Gender),OR(Sel_Category="All",Data!B803=Sel_Category),OR(Sel_Month="All",C803=Sel_Month),OR(Sel_County="All",Data!L803=Sel_County)),1,0)</f>
        <v>1</v>
      </c>
    </row>
    <row r="804" spans="1:9" x14ac:dyDescent="0.25">
      <c r="A804" s="52" t="str">
        <f>Data!A804</f>
        <v>TX500803</v>
      </c>
      <c r="B804" s="52">
        <f>MONTH(Data!F804)</f>
        <v>2</v>
      </c>
      <c r="C804" s="52" t="str">
        <f>TEXT(Data!F804,"mmm")</f>
        <v>Feb</v>
      </c>
      <c r="D804" s="52" t="str">
        <f>Data!O804</f>
        <v>Female</v>
      </c>
      <c r="E804" s="52">
        <f>Data!G804-Data!F804</f>
        <v>2</v>
      </c>
      <c r="F804" s="52">
        <f>IF(Data!J804&lt;=5,Data!J804,IF(Data!J804&lt;=10,"6 TO 10","More than 10"))</f>
        <v>4</v>
      </c>
      <c r="G804" s="52">
        <f t="shared" si="12"/>
        <v>2</v>
      </c>
      <c r="H804" s="52">
        <f>ROUND(Data!C804*Data!D804-Data!E804,2)</f>
        <v>0</v>
      </c>
      <c r="I804" s="52">
        <f>IF(AND(OR(Sel_Mode="All",Data!I804=Sel_Mode),OR(Sel_Gender="All",D804=Sel_Gender),OR(Sel_Category="All",Data!B804=Sel_Category),OR(Sel_Month="All",C804=Sel_Month),OR(Sel_County="All",Data!L804=Sel_County)),1,0)</f>
        <v>1</v>
      </c>
    </row>
    <row r="805" spans="1:9" x14ac:dyDescent="0.25">
      <c r="A805" s="52" t="str">
        <f>Data!A805</f>
        <v>TX500804</v>
      </c>
      <c r="B805" s="52">
        <f>MONTH(Data!F805)</f>
        <v>2</v>
      </c>
      <c r="C805" s="52" t="str">
        <f>TEXT(Data!F805,"mmm")</f>
        <v>Feb</v>
      </c>
      <c r="D805" s="52" t="str">
        <f>Data!O805</f>
        <v>Male</v>
      </c>
      <c r="E805" s="52">
        <f>Data!G805-Data!F805</f>
        <v>1</v>
      </c>
      <c r="F805" s="52">
        <f>IF(Data!J805&lt;=5,Data!J805,IF(Data!J805&lt;=10,"6 TO 10","More than 10"))</f>
        <v>5</v>
      </c>
      <c r="G805" s="52">
        <f t="shared" si="12"/>
        <v>1</v>
      </c>
      <c r="H805" s="52">
        <f>ROUND(Data!C805*Data!D805-Data!E805,2)</f>
        <v>0</v>
      </c>
      <c r="I805" s="52">
        <f>IF(AND(OR(Sel_Mode="All",Data!I805=Sel_Mode),OR(Sel_Gender="All",D805=Sel_Gender),OR(Sel_Category="All",Data!B805=Sel_Category),OR(Sel_Month="All",C805=Sel_Month),OR(Sel_County="All",Data!L805=Sel_County)),1,0)</f>
        <v>1</v>
      </c>
    </row>
    <row r="806" spans="1:9" x14ac:dyDescent="0.25">
      <c r="A806" s="52" t="str">
        <f>Data!A806</f>
        <v>TX500805</v>
      </c>
      <c r="B806" s="52">
        <f>MONTH(Data!F806)</f>
        <v>2</v>
      </c>
      <c r="C806" s="52" t="str">
        <f>TEXT(Data!F806,"mmm")</f>
        <v>Feb</v>
      </c>
      <c r="D806" s="52" t="str">
        <f>Data!O806</f>
        <v>Female</v>
      </c>
      <c r="E806" s="52">
        <f>Data!G806-Data!F806</f>
        <v>2</v>
      </c>
      <c r="F806" s="52">
        <f>IF(Data!J806&lt;=5,Data!J806,IF(Data!J806&lt;=10,"6 TO 10","More than 10"))</f>
        <v>5</v>
      </c>
      <c r="G806" s="52">
        <f t="shared" si="12"/>
        <v>2</v>
      </c>
      <c r="H806" s="52">
        <f>ROUND(Data!C806*Data!D806-Data!E806,2)</f>
        <v>0</v>
      </c>
      <c r="I806" s="52">
        <f>IF(AND(OR(Sel_Mode="All",Data!I806=Sel_Mode),OR(Sel_Gender="All",D806=Sel_Gender),OR(Sel_Category="All",Data!B806=Sel_Category),OR(Sel_Month="All",C806=Sel_Month),OR(Sel_County="All",Data!L806=Sel_County)),1,0)</f>
        <v>1</v>
      </c>
    </row>
    <row r="807" spans="1:9" x14ac:dyDescent="0.25">
      <c r="A807" s="52" t="str">
        <f>Data!A807</f>
        <v>TX500806</v>
      </c>
      <c r="B807" s="52">
        <f>MONTH(Data!F807)</f>
        <v>2</v>
      </c>
      <c r="C807" s="52" t="str">
        <f>TEXT(Data!F807,"mmm")</f>
        <v>Feb</v>
      </c>
      <c r="D807" s="52" t="str">
        <f>Data!O807</f>
        <v>Female</v>
      </c>
      <c r="E807" s="52">
        <f>Data!G807-Data!F807</f>
        <v>2</v>
      </c>
      <c r="F807" s="52">
        <f>IF(Data!J807&lt;=5,Data!J807,IF(Data!J807&lt;=10,"6 TO 10","More than 10"))</f>
        <v>3</v>
      </c>
      <c r="G807" s="52">
        <f t="shared" si="12"/>
        <v>2</v>
      </c>
      <c r="H807" s="52">
        <f>ROUND(Data!C807*Data!D807-Data!E807,2)</f>
        <v>0</v>
      </c>
      <c r="I807" s="52">
        <f>IF(AND(OR(Sel_Mode="All",Data!I807=Sel_Mode),OR(Sel_Gender="All",D807=Sel_Gender),OR(Sel_Category="All",Data!B807=Sel_Category),OR(Sel_Month="All",C807=Sel_Month),OR(Sel_County="All",Data!L807=Sel_County)),1,0)</f>
        <v>1</v>
      </c>
    </row>
    <row r="808" spans="1:9" x14ac:dyDescent="0.25">
      <c r="A808" s="52" t="str">
        <f>Data!A808</f>
        <v>TX500807</v>
      </c>
      <c r="B808" s="52">
        <f>MONTH(Data!F808)</f>
        <v>2</v>
      </c>
      <c r="C808" s="52" t="str">
        <f>TEXT(Data!F808,"mmm")</f>
        <v>Feb</v>
      </c>
      <c r="D808" s="52" t="str">
        <f>Data!O808</f>
        <v>Female</v>
      </c>
      <c r="E808" s="52">
        <f>Data!G808-Data!F808</f>
        <v>5</v>
      </c>
      <c r="F808" s="52">
        <f>IF(Data!J808&lt;=5,Data!J808,IF(Data!J808&lt;=10,"6 TO 10","More than 10"))</f>
        <v>4</v>
      </c>
      <c r="G808" s="52">
        <f t="shared" si="12"/>
        <v>5</v>
      </c>
      <c r="H808" s="52">
        <f>ROUND(Data!C808*Data!D808-Data!E808,2)</f>
        <v>0</v>
      </c>
      <c r="I808" s="52">
        <f>IF(AND(OR(Sel_Mode="All",Data!I808=Sel_Mode),OR(Sel_Gender="All",D808=Sel_Gender),OR(Sel_Category="All",Data!B808=Sel_Category),OR(Sel_Month="All",C808=Sel_Month),OR(Sel_County="All",Data!L808=Sel_County)),1,0)</f>
        <v>1</v>
      </c>
    </row>
    <row r="809" spans="1:9" x14ac:dyDescent="0.25">
      <c r="A809" s="52" t="str">
        <f>Data!A809</f>
        <v>TX500808</v>
      </c>
      <c r="B809" s="52">
        <f>MONTH(Data!F809)</f>
        <v>2</v>
      </c>
      <c r="C809" s="52" t="str">
        <f>TEXT(Data!F809,"mmm")</f>
        <v>Feb</v>
      </c>
      <c r="D809" s="52" t="str">
        <f>Data!O809</f>
        <v>Male</v>
      </c>
      <c r="E809" s="52">
        <f>Data!G809-Data!F809</f>
        <v>2</v>
      </c>
      <c r="F809" s="52">
        <f>IF(Data!J809&lt;=5,Data!J809,IF(Data!J809&lt;=10,"6 TO 10","More than 10"))</f>
        <v>4</v>
      </c>
      <c r="G809" s="52">
        <f t="shared" si="12"/>
        <v>2</v>
      </c>
      <c r="H809" s="52">
        <f>ROUND(Data!C809*Data!D809-Data!E809,2)</f>
        <v>0</v>
      </c>
      <c r="I809" s="52">
        <f>IF(AND(OR(Sel_Mode="All",Data!I809=Sel_Mode),OR(Sel_Gender="All",D809=Sel_Gender),OR(Sel_Category="All",Data!B809=Sel_Category),OR(Sel_Month="All",C809=Sel_Month),OR(Sel_County="All",Data!L809=Sel_County)),1,0)</f>
        <v>1</v>
      </c>
    </row>
    <row r="810" spans="1:9" x14ac:dyDescent="0.25">
      <c r="A810" s="52" t="str">
        <f>Data!A810</f>
        <v>TX500809</v>
      </c>
      <c r="B810" s="52">
        <f>MONTH(Data!F810)</f>
        <v>2</v>
      </c>
      <c r="C810" s="52" t="str">
        <f>TEXT(Data!F810,"mmm")</f>
        <v>Feb</v>
      </c>
      <c r="D810" s="52" t="str">
        <f>Data!O810</f>
        <v>Female</v>
      </c>
      <c r="E810" s="52">
        <f>Data!G810-Data!F810</f>
        <v>2</v>
      </c>
      <c r="F810" s="52">
        <f>IF(Data!J810&lt;=5,Data!J810,IF(Data!J810&lt;=10,"6 TO 10","More than 10"))</f>
        <v>2</v>
      </c>
      <c r="G810" s="52">
        <f t="shared" si="12"/>
        <v>2</v>
      </c>
      <c r="H810" s="52">
        <f>ROUND(Data!C810*Data!D810-Data!E810,2)</f>
        <v>0</v>
      </c>
      <c r="I810" s="52">
        <f>IF(AND(OR(Sel_Mode="All",Data!I810=Sel_Mode),OR(Sel_Gender="All",D810=Sel_Gender),OR(Sel_Category="All",Data!B810=Sel_Category),OR(Sel_Month="All",C810=Sel_Month),OR(Sel_County="All",Data!L810=Sel_County)),1,0)</f>
        <v>1</v>
      </c>
    </row>
    <row r="811" spans="1:9" x14ac:dyDescent="0.25">
      <c r="A811" s="52" t="str">
        <f>Data!A811</f>
        <v>TX500810</v>
      </c>
      <c r="B811" s="52">
        <f>MONTH(Data!F811)</f>
        <v>2</v>
      </c>
      <c r="C811" s="52" t="str">
        <f>TEXT(Data!F811,"mmm")</f>
        <v>Feb</v>
      </c>
      <c r="D811" s="52" t="str">
        <f>Data!O811</f>
        <v>Unknown</v>
      </c>
      <c r="E811" s="52">
        <f>Data!G811-Data!F811</f>
        <v>1</v>
      </c>
      <c r="F811" s="52">
        <f>IF(Data!J811&lt;=5,Data!J811,IF(Data!J811&lt;=10,"6 TO 10","More than 10"))</f>
        <v>5</v>
      </c>
      <c r="G811" s="52">
        <f t="shared" si="12"/>
        <v>1</v>
      </c>
      <c r="H811" s="52">
        <f>ROUND(Data!C811*Data!D811-Data!E811,2)</f>
        <v>0</v>
      </c>
      <c r="I811" s="52">
        <f>IF(AND(OR(Sel_Mode="All",Data!I811=Sel_Mode),OR(Sel_Gender="All",D811=Sel_Gender),OR(Sel_Category="All",Data!B811=Sel_Category),OR(Sel_Month="All",C811=Sel_Month),OR(Sel_County="All",Data!L811=Sel_County)),1,0)</f>
        <v>1</v>
      </c>
    </row>
    <row r="812" spans="1:9" x14ac:dyDescent="0.25">
      <c r="A812" s="52" t="str">
        <f>Data!A812</f>
        <v>TX500811</v>
      </c>
      <c r="B812" s="52">
        <f>MONTH(Data!F812)</f>
        <v>2</v>
      </c>
      <c r="C812" s="52" t="str">
        <f>TEXT(Data!F812,"mmm")</f>
        <v>Feb</v>
      </c>
      <c r="D812" s="52" t="str">
        <f>Data!O812</f>
        <v>Female</v>
      </c>
      <c r="E812" s="52">
        <f>Data!G812-Data!F812</f>
        <v>1</v>
      </c>
      <c r="F812" s="52">
        <f>IF(Data!J812&lt;=5,Data!J812,IF(Data!J812&lt;=10,"6 TO 10","More than 10"))</f>
        <v>5</v>
      </c>
      <c r="G812" s="52">
        <f t="shared" si="12"/>
        <v>1</v>
      </c>
      <c r="H812" s="52">
        <f>ROUND(Data!C812*Data!D812-Data!E812,2)</f>
        <v>0</v>
      </c>
      <c r="I812" s="52">
        <f>IF(AND(OR(Sel_Mode="All",Data!I812=Sel_Mode),OR(Sel_Gender="All",D812=Sel_Gender),OR(Sel_Category="All",Data!B812=Sel_Category),OR(Sel_Month="All",C812=Sel_Month),OR(Sel_County="All",Data!L812=Sel_County)),1,0)</f>
        <v>1</v>
      </c>
    </row>
    <row r="813" spans="1:9" x14ac:dyDescent="0.25">
      <c r="A813" s="52" t="str">
        <f>Data!A813</f>
        <v>TX500812</v>
      </c>
      <c r="B813" s="52">
        <f>MONTH(Data!F813)</f>
        <v>2</v>
      </c>
      <c r="C813" s="52" t="str">
        <f>TEXT(Data!F813,"mmm")</f>
        <v>Feb</v>
      </c>
      <c r="D813" s="52" t="str">
        <f>Data!O813</f>
        <v>Female</v>
      </c>
      <c r="E813" s="52">
        <f>Data!G813-Data!F813</f>
        <v>2</v>
      </c>
      <c r="F813" s="52">
        <f>IF(Data!J813&lt;=5,Data!J813,IF(Data!J813&lt;=10,"6 TO 10","More than 10"))</f>
        <v>5</v>
      </c>
      <c r="G813" s="52">
        <f t="shared" si="12"/>
        <v>2</v>
      </c>
      <c r="H813" s="52">
        <f>ROUND(Data!C813*Data!D813-Data!E813,2)</f>
        <v>0</v>
      </c>
      <c r="I813" s="52">
        <f>IF(AND(OR(Sel_Mode="All",Data!I813=Sel_Mode),OR(Sel_Gender="All",D813=Sel_Gender),OR(Sel_Category="All",Data!B813=Sel_Category),OR(Sel_Month="All",C813=Sel_Month),OR(Sel_County="All",Data!L813=Sel_County)),1,0)</f>
        <v>1</v>
      </c>
    </row>
    <row r="814" spans="1:9" x14ac:dyDescent="0.25">
      <c r="A814" s="52" t="str">
        <f>Data!A814</f>
        <v>TX500813</v>
      </c>
      <c r="B814" s="52">
        <f>MONTH(Data!F814)</f>
        <v>2</v>
      </c>
      <c r="C814" s="52" t="str">
        <f>TEXT(Data!F814,"mmm")</f>
        <v>Feb</v>
      </c>
      <c r="D814" s="52" t="str">
        <f>Data!O814</f>
        <v>Female</v>
      </c>
      <c r="E814" s="52">
        <f>Data!G814-Data!F814</f>
        <v>2</v>
      </c>
      <c r="F814" s="52">
        <f>IF(Data!J814&lt;=5,Data!J814,IF(Data!J814&lt;=10,"6 TO 10","More than 10"))</f>
        <v>3</v>
      </c>
      <c r="G814" s="52">
        <f t="shared" si="12"/>
        <v>2</v>
      </c>
      <c r="H814" s="52">
        <f>ROUND(Data!C814*Data!D814-Data!E814,2)</f>
        <v>0</v>
      </c>
      <c r="I814" s="52">
        <f>IF(AND(OR(Sel_Mode="All",Data!I814=Sel_Mode),OR(Sel_Gender="All",D814=Sel_Gender),OR(Sel_Category="All",Data!B814=Sel_Category),OR(Sel_Month="All",C814=Sel_Month),OR(Sel_County="All",Data!L814=Sel_County)),1,0)</f>
        <v>1</v>
      </c>
    </row>
    <row r="815" spans="1:9" x14ac:dyDescent="0.25">
      <c r="A815" s="52" t="str">
        <f>Data!A815</f>
        <v>TX500814</v>
      </c>
      <c r="B815" s="52">
        <f>MONTH(Data!F815)</f>
        <v>2</v>
      </c>
      <c r="C815" s="52" t="str">
        <f>TEXT(Data!F815,"mmm")</f>
        <v>Feb</v>
      </c>
      <c r="D815" s="52" t="str">
        <f>Data!O815</f>
        <v>Female</v>
      </c>
      <c r="E815" s="52">
        <f>Data!G815-Data!F815</f>
        <v>1</v>
      </c>
      <c r="F815" s="52">
        <f>IF(Data!J815&lt;=5,Data!J815,IF(Data!J815&lt;=10,"6 TO 10","More than 10"))</f>
        <v>3</v>
      </c>
      <c r="G815" s="52">
        <f t="shared" si="12"/>
        <v>1</v>
      </c>
      <c r="H815" s="52">
        <f>ROUND(Data!C815*Data!D815-Data!E815,2)</f>
        <v>0</v>
      </c>
      <c r="I815" s="52">
        <f>IF(AND(OR(Sel_Mode="All",Data!I815=Sel_Mode),OR(Sel_Gender="All",D815=Sel_Gender),OR(Sel_Category="All",Data!B815=Sel_Category),OR(Sel_Month="All",C815=Sel_Month),OR(Sel_County="All",Data!L815=Sel_County)),1,0)</f>
        <v>1</v>
      </c>
    </row>
    <row r="816" spans="1:9" x14ac:dyDescent="0.25">
      <c r="A816" s="52" t="str">
        <f>Data!A816</f>
        <v>TX500815</v>
      </c>
      <c r="B816" s="52">
        <f>MONTH(Data!F816)</f>
        <v>2</v>
      </c>
      <c r="C816" s="52" t="str">
        <f>TEXT(Data!F816,"mmm")</f>
        <v>Feb</v>
      </c>
      <c r="D816" s="52" t="str">
        <f>Data!O816</f>
        <v>Male</v>
      </c>
      <c r="E816" s="52">
        <f>Data!G816-Data!F816</f>
        <v>4</v>
      </c>
      <c r="F816" s="52">
        <f>IF(Data!J816&lt;=5,Data!J816,IF(Data!J816&lt;=10,"6 TO 10","More than 10"))</f>
        <v>4</v>
      </c>
      <c r="G816" s="52">
        <f t="shared" si="12"/>
        <v>4</v>
      </c>
      <c r="H816" s="52">
        <f>ROUND(Data!C816*Data!D816-Data!E816,2)</f>
        <v>0</v>
      </c>
      <c r="I816" s="52">
        <f>IF(AND(OR(Sel_Mode="All",Data!I816=Sel_Mode),OR(Sel_Gender="All",D816=Sel_Gender),OR(Sel_Category="All",Data!B816=Sel_Category),OR(Sel_Month="All",C816=Sel_Month),OR(Sel_County="All",Data!L816=Sel_County)),1,0)</f>
        <v>1</v>
      </c>
    </row>
    <row r="817" spans="1:9" x14ac:dyDescent="0.25">
      <c r="A817" s="52" t="str">
        <f>Data!A817</f>
        <v>TX500816</v>
      </c>
      <c r="B817" s="52">
        <f>MONTH(Data!F817)</f>
        <v>2</v>
      </c>
      <c r="C817" s="52" t="str">
        <f>TEXT(Data!F817,"mmm")</f>
        <v>Feb</v>
      </c>
      <c r="D817" s="52" t="str">
        <f>Data!O817</f>
        <v>Female</v>
      </c>
      <c r="E817" s="52">
        <f>Data!G817-Data!F817</f>
        <v>1</v>
      </c>
      <c r="F817" s="52">
        <f>IF(Data!J817&lt;=5,Data!J817,IF(Data!J817&lt;=10,"6 TO 10","More than 10"))</f>
        <v>4</v>
      </c>
      <c r="G817" s="52">
        <f t="shared" si="12"/>
        <v>1</v>
      </c>
      <c r="H817" s="52">
        <f>ROUND(Data!C817*Data!D817-Data!E817,2)</f>
        <v>0</v>
      </c>
      <c r="I817" s="52">
        <f>IF(AND(OR(Sel_Mode="All",Data!I817=Sel_Mode),OR(Sel_Gender="All",D817=Sel_Gender),OR(Sel_Category="All",Data!B817=Sel_Category),OR(Sel_Month="All",C817=Sel_Month),OR(Sel_County="All",Data!L817=Sel_County)),1,0)</f>
        <v>1</v>
      </c>
    </row>
    <row r="818" spans="1:9" x14ac:dyDescent="0.25">
      <c r="A818" s="52" t="str">
        <f>Data!A818</f>
        <v>TX500817</v>
      </c>
      <c r="B818" s="52">
        <f>MONTH(Data!F818)</f>
        <v>2</v>
      </c>
      <c r="C818" s="52" t="str">
        <f>TEXT(Data!F818,"mmm")</f>
        <v>Feb</v>
      </c>
      <c r="D818" s="52" t="str">
        <f>Data!O818</f>
        <v>Female</v>
      </c>
      <c r="E818" s="52">
        <f>Data!G818-Data!F818</f>
        <v>4</v>
      </c>
      <c r="F818" s="52">
        <f>IF(Data!J818&lt;=5,Data!J818,IF(Data!J818&lt;=10,"6 TO 10","More than 10"))</f>
        <v>5</v>
      </c>
      <c r="G818" s="52">
        <f t="shared" si="12"/>
        <v>4</v>
      </c>
      <c r="H818" s="52">
        <f>ROUND(Data!C818*Data!D818-Data!E818,2)</f>
        <v>0</v>
      </c>
      <c r="I818" s="52">
        <f>IF(AND(OR(Sel_Mode="All",Data!I818=Sel_Mode),OR(Sel_Gender="All",D818=Sel_Gender),OR(Sel_Category="All",Data!B818=Sel_Category),OR(Sel_Month="All",C818=Sel_Month),OR(Sel_County="All",Data!L818=Sel_County)),1,0)</f>
        <v>1</v>
      </c>
    </row>
    <row r="819" spans="1:9" x14ac:dyDescent="0.25">
      <c r="A819" s="52" t="str">
        <f>Data!A819</f>
        <v>TX500818</v>
      </c>
      <c r="B819" s="52">
        <f>MONTH(Data!F819)</f>
        <v>2</v>
      </c>
      <c r="C819" s="52" t="str">
        <f>TEXT(Data!F819,"mmm")</f>
        <v>Feb</v>
      </c>
      <c r="D819" s="52" t="str">
        <f>Data!O819</f>
        <v>Female</v>
      </c>
      <c r="E819" s="52">
        <f>Data!G819-Data!F819</f>
        <v>4</v>
      </c>
      <c r="F819" s="52">
        <f>IF(Data!J819&lt;=5,Data!J819,IF(Data!J819&lt;=10,"6 TO 10","More than 10"))</f>
        <v>4</v>
      </c>
      <c r="G819" s="52">
        <f t="shared" si="12"/>
        <v>4</v>
      </c>
      <c r="H819" s="52">
        <f>ROUND(Data!C819*Data!D819-Data!E819,2)</f>
        <v>0</v>
      </c>
      <c r="I819" s="52">
        <f>IF(AND(OR(Sel_Mode="All",Data!I819=Sel_Mode),OR(Sel_Gender="All",D819=Sel_Gender),OR(Sel_Category="All",Data!B819=Sel_Category),OR(Sel_Month="All",C819=Sel_Month),OR(Sel_County="All",Data!L819=Sel_County)),1,0)</f>
        <v>1</v>
      </c>
    </row>
    <row r="820" spans="1:9" x14ac:dyDescent="0.25">
      <c r="A820" s="52" t="str">
        <f>Data!A820</f>
        <v>TX500819</v>
      </c>
      <c r="B820" s="52">
        <f>MONTH(Data!F820)</f>
        <v>2</v>
      </c>
      <c r="C820" s="52" t="str">
        <f>TEXT(Data!F820,"mmm")</f>
        <v>Feb</v>
      </c>
      <c r="D820" s="52" t="str">
        <f>Data!O820</f>
        <v>Other</v>
      </c>
      <c r="E820" s="52">
        <f>Data!G820-Data!F820</f>
        <v>1</v>
      </c>
      <c r="F820" s="52">
        <f>IF(Data!J820&lt;=5,Data!J820,IF(Data!J820&lt;=10,"6 TO 10","More than 10"))</f>
        <v>4</v>
      </c>
      <c r="G820" s="52">
        <f t="shared" si="12"/>
        <v>1</v>
      </c>
      <c r="H820" s="52">
        <f>ROUND(Data!C820*Data!D820-Data!E820,2)</f>
        <v>0</v>
      </c>
      <c r="I820" s="52">
        <f>IF(AND(OR(Sel_Mode="All",Data!I820=Sel_Mode),OR(Sel_Gender="All",D820=Sel_Gender),OR(Sel_Category="All",Data!B820=Sel_Category),OR(Sel_Month="All",C820=Sel_Month),OR(Sel_County="All",Data!L820=Sel_County)),1,0)</f>
        <v>1</v>
      </c>
    </row>
    <row r="821" spans="1:9" x14ac:dyDescent="0.25">
      <c r="A821" s="52" t="str">
        <f>Data!A821</f>
        <v>TX500820</v>
      </c>
      <c r="B821" s="52">
        <f>MONTH(Data!F821)</f>
        <v>2</v>
      </c>
      <c r="C821" s="52" t="str">
        <f>TEXT(Data!F821,"mmm")</f>
        <v>Feb</v>
      </c>
      <c r="D821" s="52" t="str">
        <f>Data!O821</f>
        <v>Female</v>
      </c>
      <c r="E821" s="52">
        <f>Data!G821-Data!F821</f>
        <v>1</v>
      </c>
      <c r="F821" s="52">
        <f>IF(Data!J821&lt;=5,Data!J821,IF(Data!J821&lt;=10,"6 TO 10","More than 10"))</f>
        <v>4</v>
      </c>
      <c r="G821" s="52">
        <f t="shared" si="12"/>
        <v>1</v>
      </c>
      <c r="H821" s="52">
        <f>ROUND(Data!C821*Data!D821-Data!E821,2)</f>
        <v>0</v>
      </c>
      <c r="I821" s="52">
        <f>IF(AND(OR(Sel_Mode="All",Data!I821=Sel_Mode),OR(Sel_Gender="All",D821=Sel_Gender),OR(Sel_Category="All",Data!B821=Sel_Category),OR(Sel_Month="All",C821=Sel_Month),OR(Sel_County="All",Data!L821=Sel_County)),1,0)</f>
        <v>1</v>
      </c>
    </row>
    <row r="822" spans="1:9" x14ac:dyDescent="0.25">
      <c r="A822" s="52" t="str">
        <f>Data!A822</f>
        <v>TX500821</v>
      </c>
      <c r="B822" s="52">
        <f>MONTH(Data!F822)</f>
        <v>2</v>
      </c>
      <c r="C822" s="52" t="str">
        <f>TEXT(Data!F822,"mmm")</f>
        <v>Feb</v>
      </c>
      <c r="D822" s="52" t="str">
        <f>Data!O822</f>
        <v>Female</v>
      </c>
      <c r="E822" s="52">
        <f>Data!G822-Data!F822</f>
        <v>6</v>
      </c>
      <c r="F822" s="52">
        <f>IF(Data!J822&lt;=5,Data!J822,IF(Data!J822&lt;=10,"6 TO 10","More than 10"))</f>
        <v>5</v>
      </c>
      <c r="G822" s="52">
        <f t="shared" si="12"/>
        <v>6</v>
      </c>
      <c r="H822" s="52">
        <f>ROUND(Data!C822*Data!D822-Data!E822,2)</f>
        <v>0</v>
      </c>
      <c r="I822" s="52">
        <f>IF(AND(OR(Sel_Mode="All",Data!I822=Sel_Mode),OR(Sel_Gender="All",D822=Sel_Gender),OR(Sel_Category="All",Data!B822=Sel_Category),OR(Sel_Month="All",C822=Sel_Month),OR(Sel_County="All",Data!L822=Sel_County)),1,0)</f>
        <v>1</v>
      </c>
    </row>
    <row r="823" spans="1:9" x14ac:dyDescent="0.25">
      <c r="A823" s="52" t="str">
        <f>Data!A823</f>
        <v>TX500822</v>
      </c>
      <c r="B823" s="52">
        <f>MONTH(Data!F823)</f>
        <v>2</v>
      </c>
      <c r="C823" s="52" t="str">
        <f>TEXT(Data!F823,"mmm")</f>
        <v>Feb</v>
      </c>
      <c r="D823" s="52" t="str">
        <f>Data!O823</f>
        <v>Female</v>
      </c>
      <c r="E823" s="52">
        <f>Data!G823-Data!F823</f>
        <v>3</v>
      </c>
      <c r="F823" s="52">
        <f>IF(Data!J823&lt;=5,Data!J823,IF(Data!J823&lt;=10,"6 TO 10","More than 10"))</f>
        <v>4</v>
      </c>
      <c r="G823" s="52">
        <f t="shared" si="12"/>
        <v>3</v>
      </c>
      <c r="H823" s="52">
        <f>ROUND(Data!C823*Data!D823-Data!E823,2)</f>
        <v>0</v>
      </c>
      <c r="I823" s="52">
        <f>IF(AND(OR(Sel_Mode="All",Data!I823=Sel_Mode),OR(Sel_Gender="All",D823=Sel_Gender),OR(Sel_Category="All",Data!B823=Sel_Category),OR(Sel_Month="All",C823=Sel_Month),OR(Sel_County="All",Data!L823=Sel_County)),1,0)</f>
        <v>1</v>
      </c>
    </row>
    <row r="824" spans="1:9" x14ac:dyDescent="0.25">
      <c r="A824" s="52" t="str">
        <f>Data!A824</f>
        <v>TX500823</v>
      </c>
      <c r="B824" s="52">
        <f>MONTH(Data!F824)</f>
        <v>2</v>
      </c>
      <c r="C824" s="52" t="str">
        <f>TEXT(Data!F824,"mmm")</f>
        <v>Feb</v>
      </c>
      <c r="D824" s="52" t="str">
        <f>Data!O824</f>
        <v>Female</v>
      </c>
      <c r="E824" s="52">
        <f>Data!G824-Data!F824</f>
        <v>2</v>
      </c>
      <c r="F824" s="52">
        <f>IF(Data!J824&lt;=5,Data!J824,IF(Data!J824&lt;=10,"6 TO 10","More than 10"))</f>
        <v>5</v>
      </c>
      <c r="G824" s="52">
        <f t="shared" si="12"/>
        <v>2</v>
      </c>
      <c r="H824" s="52">
        <f>ROUND(Data!C824*Data!D824-Data!E824,2)</f>
        <v>0</v>
      </c>
      <c r="I824" s="52">
        <f>IF(AND(OR(Sel_Mode="All",Data!I824=Sel_Mode),OR(Sel_Gender="All",D824=Sel_Gender),OR(Sel_Category="All",Data!B824=Sel_Category),OR(Sel_Month="All",C824=Sel_Month),OR(Sel_County="All",Data!L824=Sel_County)),1,0)</f>
        <v>1</v>
      </c>
    </row>
    <row r="825" spans="1:9" x14ac:dyDescent="0.25">
      <c r="A825" s="52" t="str">
        <f>Data!A825</f>
        <v>TX500824</v>
      </c>
      <c r="B825" s="52">
        <f>MONTH(Data!F825)</f>
        <v>2</v>
      </c>
      <c r="C825" s="52" t="str">
        <f>TEXT(Data!F825,"mmm")</f>
        <v>Feb</v>
      </c>
      <c r="D825" s="52" t="str">
        <f>Data!O825</f>
        <v>Female</v>
      </c>
      <c r="E825" s="52">
        <f>Data!G825-Data!F825</f>
        <v>1</v>
      </c>
      <c r="F825" s="52">
        <f>IF(Data!J825&lt;=5,Data!J825,IF(Data!J825&lt;=10,"6 TO 10","More than 10"))</f>
        <v>3</v>
      </c>
      <c r="G825" s="52">
        <f t="shared" si="12"/>
        <v>1</v>
      </c>
      <c r="H825" s="52">
        <f>ROUND(Data!C825*Data!D825-Data!E825,2)</f>
        <v>0</v>
      </c>
      <c r="I825" s="52">
        <f>IF(AND(OR(Sel_Mode="All",Data!I825=Sel_Mode),OR(Sel_Gender="All",D825=Sel_Gender),OR(Sel_Category="All",Data!B825=Sel_Category),OR(Sel_Month="All",C825=Sel_Month),OR(Sel_County="All",Data!L825=Sel_County)),1,0)</f>
        <v>1</v>
      </c>
    </row>
    <row r="826" spans="1:9" x14ac:dyDescent="0.25">
      <c r="A826" s="52" t="str">
        <f>Data!A826</f>
        <v>TX500825</v>
      </c>
      <c r="B826" s="52">
        <f>MONTH(Data!F826)</f>
        <v>2</v>
      </c>
      <c r="C826" s="52" t="str">
        <f>TEXT(Data!F826,"mmm")</f>
        <v>Feb</v>
      </c>
      <c r="D826" s="52" t="str">
        <f>Data!O826</f>
        <v>Male</v>
      </c>
      <c r="E826" s="52">
        <f>Data!G826-Data!F826</f>
        <v>1</v>
      </c>
      <c r="F826" s="52">
        <f>IF(Data!J826&lt;=5,Data!J826,IF(Data!J826&lt;=10,"6 TO 10","More than 10"))</f>
        <v>5</v>
      </c>
      <c r="G826" s="52">
        <f t="shared" si="12"/>
        <v>1</v>
      </c>
      <c r="H826" s="52">
        <f>ROUND(Data!C826*Data!D826-Data!E826,2)</f>
        <v>0</v>
      </c>
      <c r="I826" s="52">
        <f>IF(AND(OR(Sel_Mode="All",Data!I826=Sel_Mode),OR(Sel_Gender="All",D826=Sel_Gender),OR(Sel_Category="All",Data!B826=Sel_Category),OR(Sel_Month="All",C826=Sel_Month),OR(Sel_County="All",Data!L826=Sel_County)),1,0)</f>
        <v>1</v>
      </c>
    </row>
    <row r="827" spans="1:9" x14ac:dyDescent="0.25">
      <c r="A827" s="52" t="str">
        <f>Data!A827</f>
        <v>TX500826</v>
      </c>
      <c r="B827" s="52">
        <f>MONTH(Data!F827)</f>
        <v>2</v>
      </c>
      <c r="C827" s="52" t="str">
        <f>TEXT(Data!F827,"mmm")</f>
        <v>Feb</v>
      </c>
      <c r="D827" s="52" t="str">
        <f>Data!O827</f>
        <v>Male</v>
      </c>
      <c r="E827" s="52">
        <f>Data!G827-Data!F827</f>
        <v>4</v>
      </c>
      <c r="F827" s="52">
        <f>IF(Data!J827&lt;=5,Data!J827,IF(Data!J827&lt;=10,"6 TO 10","More than 10"))</f>
        <v>4</v>
      </c>
      <c r="G827" s="52">
        <f t="shared" si="12"/>
        <v>4</v>
      </c>
      <c r="H827" s="52">
        <f>ROUND(Data!C827*Data!D827-Data!E827,2)</f>
        <v>0</v>
      </c>
      <c r="I827" s="52">
        <f>IF(AND(OR(Sel_Mode="All",Data!I827=Sel_Mode),OR(Sel_Gender="All",D827=Sel_Gender),OR(Sel_Category="All",Data!B827=Sel_Category),OR(Sel_Month="All",C827=Sel_Month),OR(Sel_County="All",Data!L827=Sel_County)),1,0)</f>
        <v>1</v>
      </c>
    </row>
    <row r="828" spans="1:9" x14ac:dyDescent="0.25">
      <c r="A828" s="52" t="str">
        <f>Data!A828</f>
        <v>TX500827</v>
      </c>
      <c r="B828" s="52">
        <f>MONTH(Data!F828)</f>
        <v>2</v>
      </c>
      <c r="C828" s="52" t="str">
        <f>TEXT(Data!F828,"mmm")</f>
        <v>Feb</v>
      </c>
      <c r="D828" s="52" t="str">
        <f>Data!O828</f>
        <v>Unknown</v>
      </c>
      <c r="E828" s="52">
        <f>Data!G828-Data!F828</f>
        <v>4</v>
      </c>
      <c r="F828" s="52">
        <f>IF(Data!J828&lt;=5,Data!J828,IF(Data!J828&lt;=10,"6 TO 10","More than 10"))</f>
        <v>3</v>
      </c>
      <c r="G828" s="52">
        <f t="shared" si="12"/>
        <v>4</v>
      </c>
      <c r="H828" s="52">
        <f>ROUND(Data!C828*Data!D828-Data!E828,2)</f>
        <v>0</v>
      </c>
      <c r="I828" s="52">
        <f>IF(AND(OR(Sel_Mode="All",Data!I828=Sel_Mode),OR(Sel_Gender="All",D828=Sel_Gender),OR(Sel_Category="All",Data!B828=Sel_Category),OR(Sel_Month="All",C828=Sel_Month),OR(Sel_County="All",Data!L828=Sel_County)),1,0)</f>
        <v>1</v>
      </c>
    </row>
    <row r="829" spans="1:9" x14ac:dyDescent="0.25">
      <c r="A829" s="52" t="str">
        <f>Data!A829</f>
        <v>TX500828</v>
      </c>
      <c r="B829" s="52">
        <f>MONTH(Data!F829)</f>
        <v>2</v>
      </c>
      <c r="C829" s="52" t="str">
        <f>TEXT(Data!F829,"mmm")</f>
        <v>Feb</v>
      </c>
      <c r="D829" s="52" t="str">
        <f>Data!O829</f>
        <v>Male</v>
      </c>
      <c r="E829" s="52">
        <f>Data!G829-Data!F829</f>
        <v>4</v>
      </c>
      <c r="F829" s="52">
        <f>IF(Data!J829&lt;=5,Data!J829,IF(Data!J829&lt;=10,"6 TO 10","More than 10"))</f>
        <v>3</v>
      </c>
      <c r="G829" s="52">
        <f t="shared" si="12"/>
        <v>4</v>
      </c>
      <c r="H829" s="52">
        <f>ROUND(Data!C829*Data!D829-Data!E829,2)</f>
        <v>0</v>
      </c>
      <c r="I829" s="52">
        <f>IF(AND(OR(Sel_Mode="All",Data!I829=Sel_Mode),OR(Sel_Gender="All",D829=Sel_Gender),OR(Sel_Category="All",Data!B829=Sel_Category),OR(Sel_Month="All",C829=Sel_Month),OR(Sel_County="All",Data!L829=Sel_County)),1,0)</f>
        <v>1</v>
      </c>
    </row>
    <row r="830" spans="1:9" x14ac:dyDescent="0.25">
      <c r="A830" s="52" t="str">
        <f>Data!A830</f>
        <v>TX500829</v>
      </c>
      <c r="B830" s="52">
        <f>MONTH(Data!F830)</f>
        <v>2</v>
      </c>
      <c r="C830" s="52" t="str">
        <f>TEXT(Data!F830,"mmm")</f>
        <v>Feb</v>
      </c>
      <c r="D830" s="52" t="str">
        <f>Data!O830</f>
        <v>Female</v>
      </c>
      <c r="E830" s="52">
        <f>Data!G830-Data!F830</f>
        <v>1</v>
      </c>
      <c r="F830" s="52">
        <f>IF(Data!J830&lt;=5,Data!J830,IF(Data!J830&lt;=10,"6 TO 10","More than 10"))</f>
        <v>4</v>
      </c>
      <c r="G830" s="52">
        <f t="shared" si="12"/>
        <v>1</v>
      </c>
      <c r="H830" s="52">
        <f>ROUND(Data!C830*Data!D830-Data!E830,2)</f>
        <v>0</v>
      </c>
      <c r="I830" s="52">
        <f>IF(AND(OR(Sel_Mode="All",Data!I830=Sel_Mode),OR(Sel_Gender="All",D830=Sel_Gender),OR(Sel_Category="All",Data!B830=Sel_Category),OR(Sel_Month="All",C830=Sel_Month),OR(Sel_County="All",Data!L830=Sel_County)),1,0)</f>
        <v>1</v>
      </c>
    </row>
    <row r="831" spans="1:9" x14ac:dyDescent="0.25">
      <c r="A831" s="52" t="str">
        <f>Data!A831</f>
        <v>TX500830</v>
      </c>
      <c r="B831" s="52">
        <f>MONTH(Data!F831)</f>
        <v>2</v>
      </c>
      <c r="C831" s="52" t="str">
        <f>TEXT(Data!F831,"mmm")</f>
        <v>Feb</v>
      </c>
      <c r="D831" s="52" t="str">
        <f>Data!O831</f>
        <v>Male</v>
      </c>
      <c r="E831" s="52">
        <f>Data!G831-Data!F831</f>
        <v>3</v>
      </c>
      <c r="F831" s="52">
        <f>IF(Data!J831&lt;=5,Data!J831,IF(Data!J831&lt;=10,"6 TO 10","More than 10"))</f>
        <v>5</v>
      </c>
      <c r="G831" s="52">
        <f t="shared" si="12"/>
        <v>3</v>
      </c>
      <c r="H831" s="52">
        <f>ROUND(Data!C831*Data!D831-Data!E831,2)</f>
        <v>0</v>
      </c>
      <c r="I831" s="52">
        <f>IF(AND(OR(Sel_Mode="All",Data!I831=Sel_Mode),OR(Sel_Gender="All",D831=Sel_Gender),OR(Sel_Category="All",Data!B831=Sel_Category),OR(Sel_Month="All",C831=Sel_Month),OR(Sel_County="All",Data!L831=Sel_County)),1,0)</f>
        <v>1</v>
      </c>
    </row>
    <row r="832" spans="1:9" x14ac:dyDescent="0.25">
      <c r="A832" s="52" t="str">
        <f>Data!A832</f>
        <v>TX500831</v>
      </c>
      <c r="B832" s="52">
        <f>MONTH(Data!F832)</f>
        <v>2</v>
      </c>
      <c r="C832" s="52" t="str">
        <f>TEXT(Data!F832,"mmm")</f>
        <v>Feb</v>
      </c>
      <c r="D832" s="52" t="str">
        <f>Data!O832</f>
        <v>Female</v>
      </c>
      <c r="E832" s="52">
        <f>Data!G832-Data!F832</f>
        <v>2</v>
      </c>
      <c r="F832" s="52">
        <f>IF(Data!J832&lt;=5,Data!J832,IF(Data!J832&lt;=10,"6 TO 10","More than 10"))</f>
        <v>4</v>
      </c>
      <c r="G832" s="52">
        <f t="shared" si="12"/>
        <v>2</v>
      </c>
      <c r="H832" s="52">
        <f>ROUND(Data!C832*Data!D832-Data!E832,2)</f>
        <v>0</v>
      </c>
      <c r="I832" s="52">
        <f>IF(AND(OR(Sel_Mode="All",Data!I832=Sel_Mode),OR(Sel_Gender="All",D832=Sel_Gender),OR(Sel_Category="All",Data!B832=Sel_Category),OR(Sel_Month="All",C832=Sel_Month),OR(Sel_County="All",Data!L832=Sel_County)),1,0)</f>
        <v>1</v>
      </c>
    </row>
    <row r="833" spans="1:9" x14ac:dyDescent="0.25">
      <c r="A833" s="52" t="str">
        <f>Data!A833</f>
        <v>TX500832</v>
      </c>
      <c r="B833" s="52">
        <f>MONTH(Data!F833)</f>
        <v>2</v>
      </c>
      <c r="C833" s="52" t="str">
        <f>TEXT(Data!F833,"mmm")</f>
        <v>Feb</v>
      </c>
      <c r="D833" s="52" t="str">
        <f>Data!O833</f>
        <v>Unknown</v>
      </c>
      <c r="E833" s="52">
        <f>Data!G833-Data!F833</f>
        <v>1</v>
      </c>
      <c r="F833" s="52">
        <f>IF(Data!J833&lt;=5,Data!J833,IF(Data!J833&lt;=10,"6 TO 10","More than 10"))</f>
        <v>4</v>
      </c>
      <c r="G833" s="52">
        <f t="shared" si="12"/>
        <v>1</v>
      </c>
      <c r="H833" s="52">
        <f>ROUND(Data!C833*Data!D833-Data!E833,2)</f>
        <v>0</v>
      </c>
      <c r="I833" s="52">
        <f>IF(AND(OR(Sel_Mode="All",Data!I833=Sel_Mode),OR(Sel_Gender="All",D833=Sel_Gender),OR(Sel_Category="All",Data!B833=Sel_Category),OR(Sel_Month="All",C833=Sel_Month),OR(Sel_County="All",Data!L833=Sel_County)),1,0)</f>
        <v>1</v>
      </c>
    </row>
    <row r="834" spans="1:9" x14ac:dyDescent="0.25">
      <c r="A834" s="52" t="str">
        <f>Data!A834</f>
        <v>TX500833</v>
      </c>
      <c r="B834" s="52">
        <f>MONTH(Data!F834)</f>
        <v>2</v>
      </c>
      <c r="C834" s="52" t="str">
        <f>TEXT(Data!F834,"mmm")</f>
        <v>Feb</v>
      </c>
      <c r="D834" s="52" t="str">
        <f>Data!O834</f>
        <v>Female</v>
      </c>
      <c r="E834" s="52">
        <f>Data!G834-Data!F834</f>
        <v>1</v>
      </c>
      <c r="F834" s="52">
        <f>IF(Data!J834&lt;=5,Data!J834,IF(Data!J834&lt;=10,"6 TO 10","More than 10"))</f>
        <v>3</v>
      </c>
      <c r="G834" s="52">
        <f t="shared" ref="G834:G897" si="13">IF(E834&gt;=8,"8+",E834)</f>
        <v>1</v>
      </c>
      <c r="H834" s="52">
        <f>ROUND(Data!C834*Data!D834-Data!E834,2)</f>
        <v>0</v>
      </c>
      <c r="I834" s="52">
        <f>IF(AND(OR(Sel_Mode="All",Data!I834=Sel_Mode),OR(Sel_Gender="All",D834=Sel_Gender),OR(Sel_Category="All",Data!B834=Sel_Category),OR(Sel_Month="All",C834=Sel_Month),OR(Sel_County="All",Data!L834=Sel_County)),1,0)</f>
        <v>1</v>
      </c>
    </row>
    <row r="835" spans="1:9" x14ac:dyDescent="0.25">
      <c r="A835" s="52" t="str">
        <f>Data!A835</f>
        <v>TX500834</v>
      </c>
      <c r="B835" s="52">
        <f>MONTH(Data!F835)</f>
        <v>2</v>
      </c>
      <c r="C835" s="52" t="str">
        <f>TEXT(Data!F835,"mmm")</f>
        <v>Feb</v>
      </c>
      <c r="D835" s="52" t="str">
        <f>Data!O835</f>
        <v>Female</v>
      </c>
      <c r="E835" s="52">
        <f>Data!G835-Data!F835</f>
        <v>1</v>
      </c>
      <c r="F835" s="52">
        <f>IF(Data!J835&lt;=5,Data!J835,IF(Data!J835&lt;=10,"6 TO 10","More than 10"))</f>
        <v>5</v>
      </c>
      <c r="G835" s="52">
        <f t="shared" si="13"/>
        <v>1</v>
      </c>
      <c r="H835" s="52">
        <f>ROUND(Data!C835*Data!D835-Data!E835,2)</f>
        <v>0</v>
      </c>
      <c r="I835" s="52">
        <f>IF(AND(OR(Sel_Mode="All",Data!I835=Sel_Mode),OR(Sel_Gender="All",D835=Sel_Gender),OR(Sel_Category="All",Data!B835=Sel_Category),OR(Sel_Month="All",C835=Sel_Month),OR(Sel_County="All",Data!L835=Sel_County)),1,0)</f>
        <v>1</v>
      </c>
    </row>
    <row r="836" spans="1:9" x14ac:dyDescent="0.25">
      <c r="A836" s="52" t="str">
        <f>Data!A836</f>
        <v>TX500835</v>
      </c>
      <c r="B836" s="52">
        <f>MONTH(Data!F836)</f>
        <v>2</v>
      </c>
      <c r="C836" s="52" t="str">
        <f>TEXT(Data!F836,"mmm")</f>
        <v>Feb</v>
      </c>
      <c r="D836" s="52" t="str">
        <f>Data!O836</f>
        <v>Male</v>
      </c>
      <c r="E836" s="52">
        <f>Data!G836-Data!F836</f>
        <v>2</v>
      </c>
      <c r="F836" s="52">
        <f>IF(Data!J836&lt;=5,Data!J836,IF(Data!J836&lt;=10,"6 TO 10","More than 10"))</f>
        <v>5</v>
      </c>
      <c r="G836" s="52">
        <f t="shared" si="13"/>
        <v>2</v>
      </c>
      <c r="H836" s="52">
        <f>ROUND(Data!C836*Data!D836-Data!E836,2)</f>
        <v>0</v>
      </c>
      <c r="I836" s="52">
        <f>IF(AND(OR(Sel_Mode="All",Data!I836=Sel_Mode),OR(Sel_Gender="All",D836=Sel_Gender),OR(Sel_Category="All",Data!B836=Sel_Category),OR(Sel_Month="All",C836=Sel_Month),OR(Sel_County="All",Data!L836=Sel_County)),1,0)</f>
        <v>1</v>
      </c>
    </row>
    <row r="837" spans="1:9" x14ac:dyDescent="0.25">
      <c r="A837" s="52" t="str">
        <f>Data!A837</f>
        <v>TX500836</v>
      </c>
      <c r="B837" s="52">
        <f>MONTH(Data!F837)</f>
        <v>2</v>
      </c>
      <c r="C837" s="52" t="str">
        <f>TEXT(Data!F837,"mmm")</f>
        <v>Feb</v>
      </c>
      <c r="D837" s="52" t="str">
        <f>Data!O837</f>
        <v>Male</v>
      </c>
      <c r="E837" s="52">
        <f>Data!G837-Data!F837</f>
        <v>1</v>
      </c>
      <c r="F837" s="52">
        <f>IF(Data!J837&lt;=5,Data!J837,IF(Data!J837&lt;=10,"6 TO 10","More than 10"))</f>
        <v>3</v>
      </c>
      <c r="G837" s="52">
        <f t="shared" si="13"/>
        <v>1</v>
      </c>
      <c r="H837" s="52">
        <f>ROUND(Data!C837*Data!D837-Data!E837,2)</f>
        <v>0</v>
      </c>
      <c r="I837" s="52">
        <f>IF(AND(OR(Sel_Mode="All",Data!I837=Sel_Mode),OR(Sel_Gender="All",D837=Sel_Gender),OR(Sel_Category="All",Data!B837=Sel_Category),OR(Sel_Month="All",C837=Sel_Month),OR(Sel_County="All",Data!L837=Sel_County)),1,0)</f>
        <v>1</v>
      </c>
    </row>
    <row r="838" spans="1:9" x14ac:dyDescent="0.25">
      <c r="A838" s="52" t="str">
        <f>Data!A838</f>
        <v>TX500837</v>
      </c>
      <c r="B838" s="52">
        <f>MONTH(Data!F838)</f>
        <v>2</v>
      </c>
      <c r="C838" s="52" t="str">
        <f>TEXT(Data!F838,"mmm")</f>
        <v>Feb</v>
      </c>
      <c r="D838" s="52" t="str">
        <f>Data!O838</f>
        <v>Unknown</v>
      </c>
      <c r="E838" s="52">
        <f>Data!G838-Data!F838</f>
        <v>1</v>
      </c>
      <c r="F838" s="52">
        <f>IF(Data!J838&lt;=5,Data!J838,IF(Data!J838&lt;=10,"6 TO 10","More than 10"))</f>
        <v>5</v>
      </c>
      <c r="G838" s="52">
        <f t="shared" si="13"/>
        <v>1</v>
      </c>
      <c r="H838" s="52">
        <f>ROUND(Data!C838*Data!D838-Data!E838,2)</f>
        <v>0</v>
      </c>
      <c r="I838" s="52">
        <f>IF(AND(OR(Sel_Mode="All",Data!I838=Sel_Mode),OR(Sel_Gender="All",D838=Sel_Gender),OR(Sel_Category="All",Data!B838=Sel_Category),OR(Sel_Month="All",C838=Sel_Month),OR(Sel_County="All",Data!L838=Sel_County)),1,0)</f>
        <v>1</v>
      </c>
    </row>
    <row r="839" spans="1:9" x14ac:dyDescent="0.25">
      <c r="A839" s="52" t="str">
        <f>Data!A839</f>
        <v>TX500838</v>
      </c>
      <c r="B839" s="52">
        <f>MONTH(Data!F839)</f>
        <v>2</v>
      </c>
      <c r="C839" s="52" t="str">
        <f>TEXT(Data!F839,"mmm")</f>
        <v>Feb</v>
      </c>
      <c r="D839" s="52" t="str">
        <f>Data!O839</f>
        <v>Female</v>
      </c>
      <c r="E839" s="52">
        <f>Data!G839-Data!F839</f>
        <v>3</v>
      </c>
      <c r="F839" s="52">
        <f>IF(Data!J839&lt;=5,Data!J839,IF(Data!J839&lt;=10,"6 TO 10","More than 10"))</f>
        <v>5</v>
      </c>
      <c r="G839" s="52">
        <f t="shared" si="13"/>
        <v>3</v>
      </c>
      <c r="H839" s="52">
        <f>ROUND(Data!C839*Data!D839-Data!E839,2)</f>
        <v>0</v>
      </c>
      <c r="I839" s="52">
        <f>IF(AND(OR(Sel_Mode="All",Data!I839=Sel_Mode),OR(Sel_Gender="All",D839=Sel_Gender),OR(Sel_Category="All",Data!B839=Sel_Category),OR(Sel_Month="All",C839=Sel_Month),OR(Sel_County="All",Data!L839=Sel_County)),1,0)</f>
        <v>1</v>
      </c>
    </row>
    <row r="840" spans="1:9" x14ac:dyDescent="0.25">
      <c r="A840" s="52" t="str">
        <f>Data!A840</f>
        <v>TX500839</v>
      </c>
      <c r="B840" s="52">
        <f>MONTH(Data!F840)</f>
        <v>2</v>
      </c>
      <c r="C840" s="52" t="str">
        <f>TEXT(Data!F840,"mmm")</f>
        <v>Feb</v>
      </c>
      <c r="D840" s="52" t="str">
        <f>Data!O840</f>
        <v>Female</v>
      </c>
      <c r="E840" s="52">
        <f>Data!G840-Data!F840</f>
        <v>10</v>
      </c>
      <c r="F840" s="52">
        <f>IF(Data!J840&lt;=5,Data!J840,IF(Data!J840&lt;=10,"6 TO 10","More than 10"))</f>
        <v>4</v>
      </c>
      <c r="G840" s="52" t="str">
        <f t="shared" si="13"/>
        <v>8+</v>
      </c>
      <c r="H840" s="52">
        <f>ROUND(Data!C840*Data!D840-Data!E840,2)</f>
        <v>0</v>
      </c>
      <c r="I840" s="52">
        <f>IF(AND(OR(Sel_Mode="All",Data!I840=Sel_Mode),OR(Sel_Gender="All",D840=Sel_Gender),OR(Sel_Category="All",Data!B840=Sel_Category),OR(Sel_Month="All",C840=Sel_Month),OR(Sel_County="All",Data!L840=Sel_County)),1,0)</f>
        <v>1</v>
      </c>
    </row>
    <row r="841" spans="1:9" x14ac:dyDescent="0.25">
      <c r="A841" s="52" t="str">
        <f>Data!A841</f>
        <v>TX500840</v>
      </c>
      <c r="B841" s="52">
        <f>MONTH(Data!F841)</f>
        <v>2</v>
      </c>
      <c r="C841" s="52" t="str">
        <f>TEXT(Data!F841,"mmm")</f>
        <v>Feb</v>
      </c>
      <c r="D841" s="52" t="str">
        <f>Data!O841</f>
        <v>Female</v>
      </c>
      <c r="E841" s="52">
        <f>Data!G841-Data!F841</f>
        <v>1</v>
      </c>
      <c r="F841" s="52">
        <f>IF(Data!J841&lt;=5,Data!J841,IF(Data!J841&lt;=10,"6 TO 10","More than 10"))</f>
        <v>5</v>
      </c>
      <c r="G841" s="52">
        <f t="shared" si="13"/>
        <v>1</v>
      </c>
      <c r="H841" s="52">
        <f>ROUND(Data!C841*Data!D841-Data!E841,2)</f>
        <v>0</v>
      </c>
      <c r="I841" s="52">
        <f>IF(AND(OR(Sel_Mode="All",Data!I841=Sel_Mode),OR(Sel_Gender="All",D841=Sel_Gender),OR(Sel_Category="All",Data!B841=Sel_Category),OR(Sel_Month="All",C841=Sel_Month),OR(Sel_County="All",Data!L841=Sel_County)),1,0)</f>
        <v>1</v>
      </c>
    </row>
    <row r="842" spans="1:9" x14ac:dyDescent="0.25">
      <c r="A842" s="52" t="str">
        <f>Data!A842</f>
        <v>TX500841</v>
      </c>
      <c r="B842" s="52">
        <f>MONTH(Data!F842)</f>
        <v>2</v>
      </c>
      <c r="C842" s="52" t="str">
        <f>TEXT(Data!F842,"mmm")</f>
        <v>Feb</v>
      </c>
      <c r="D842" s="52" t="str">
        <f>Data!O842</f>
        <v>Female</v>
      </c>
      <c r="E842" s="52">
        <f>Data!G842-Data!F842</f>
        <v>1</v>
      </c>
      <c r="F842" s="52">
        <f>IF(Data!J842&lt;=5,Data!J842,IF(Data!J842&lt;=10,"6 TO 10","More than 10"))</f>
        <v>4</v>
      </c>
      <c r="G842" s="52">
        <f t="shared" si="13"/>
        <v>1</v>
      </c>
      <c r="H842" s="52">
        <f>ROUND(Data!C842*Data!D842-Data!E842,2)</f>
        <v>0</v>
      </c>
      <c r="I842" s="52">
        <f>IF(AND(OR(Sel_Mode="All",Data!I842=Sel_Mode),OR(Sel_Gender="All",D842=Sel_Gender),OR(Sel_Category="All",Data!B842=Sel_Category),OR(Sel_Month="All",C842=Sel_Month),OR(Sel_County="All",Data!L842=Sel_County)),1,0)</f>
        <v>1</v>
      </c>
    </row>
    <row r="843" spans="1:9" x14ac:dyDescent="0.25">
      <c r="A843" s="52" t="str">
        <f>Data!A843</f>
        <v>TX500842</v>
      </c>
      <c r="B843" s="52">
        <f>MONTH(Data!F843)</f>
        <v>2</v>
      </c>
      <c r="C843" s="52" t="str">
        <f>TEXT(Data!F843,"mmm")</f>
        <v>Feb</v>
      </c>
      <c r="D843" s="52" t="str">
        <f>Data!O843</f>
        <v>Female</v>
      </c>
      <c r="E843" s="52">
        <f>Data!G843-Data!F843</f>
        <v>0</v>
      </c>
      <c r="F843" s="52">
        <f>IF(Data!J843&lt;=5,Data!J843,IF(Data!J843&lt;=10,"6 TO 10","More than 10"))</f>
        <v>4</v>
      </c>
      <c r="G843" s="52">
        <f t="shared" si="13"/>
        <v>0</v>
      </c>
      <c r="H843" s="52">
        <f>ROUND(Data!C843*Data!D843-Data!E843,2)</f>
        <v>0</v>
      </c>
      <c r="I843" s="52">
        <f>IF(AND(OR(Sel_Mode="All",Data!I843=Sel_Mode),OR(Sel_Gender="All",D843=Sel_Gender),OR(Sel_Category="All",Data!B843=Sel_Category),OR(Sel_Month="All",C843=Sel_Month),OR(Sel_County="All",Data!L843=Sel_County)),1,0)</f>
        <v>1</v>
      </c>
    </row>
    <row r="844" spans="1:9" x14ac:dyDescent="0.25">
      <c r="A844" s="52" t="str">
        <f>Data!A844</f>
        <v>TX500843</v>
      </c>
      <c r="B844" s="52">
        <f>MONTH(Data!F844)</f>
        <v>2</v>
      </c>
      <c r="C844" s="52" t="str">
        <f>TEXT(Data!F844,"mmm")</f>
        <v>Feb</v>
      </c>
      <c r="D844" s="52" t="str">
        <f>Data!O844</f>
        <v>Female</v>
      </c>
      <c r="E844" s="52">
        <f>Data!G844-Data!F844</f>
        <v>1</v>
      </c>
      <c r="F844" s="52">
        <f>IF(Data!J844&lt;=5,Data!J844,IF(Data!J844&lt;=10,"6 TO 10","More than 10"))</f>
        <v>5</v>
      </c>
      <c r="G844" s="52">
        <f t="shared" si="13"/>
        <v>1</v>
      </c>
      <c r="H844" s="52">
        <f>ROUND(Data!C844*Data!D844-Data!E844,2)</f>
        <v>0</v>
      </c>
      <c r="I844" s="52">
        <f>IF(AND(OR(Sel_Mode="All",Data!I844=Sel_Mode),OR(Sel_Gender="All",D844=Sel_Gender),OR(Sel_Category="All",Data!B844=Sel_Category),OR(Sel_Month="All",C844=Sel_Month),OR(Sel_County="All",Data!L844=Sel_County)),1,0)</f>
        <v>1</v>
      </c>
    </row>
    <row r="845" spans="1:9" x14ac:dyDescent="0.25">
      <c r="A845" s="52" t="str">
        <f>Data!A845</f>
        <v>TX500844</v>
      </c>
      <c r="B845" s="52">
        <f>MONTH(Data!F845)</f>
        <v>2</v>
      </c>
      <c r="C845" s="52" t="str">
        <f>TEXT(Data!F845,"mmm")</f>
        <v>Feb</v>
      </c>
      <c r="D845" s="52" t="str">
        <f>Data!O845</f>
        <v>Female</v>
      </c>
      <c r="E845" s="52">
        <f>Data!G845-Data!F845</f>
        <v>3</v>
      </c>
      <c r="F845" s="52">
        <f>IF(Data!J845&lt;=5,Data!J845,IF(Data!J845&lt;=10,"6 TO 10","More than 10"))</f>
        <v>3</v>
      </c>
      <c r="G845" s="52">
        <f t="shared" si="13"/>
        <v>3</v>
      </c>
      <c r="H845" s="52">
        <f>ROUND(Data!C845*Data!D845-Data!E845,2)</f>
        <v>0</v>
      </c>
      <c r="I845" s="52">
        <f>IF(AND(OR(Sel_Mode="All",Data!I845=Sel_Mode),OR(Sel_Gender="All",D845=Sel_Gender),OR(Sel_Category="All",Data!B845=Sel_Category),OR(Sel_Month="All",C845=Sel_Month),OR(Sel_County="All",Data!L845=Sel_County)),1,0)</f>
        <v>1</v>
      </c>
    </row>
    <row r="846" spans="1:9" x14ac:dyDescent="0.25">
      <c r="A846" s="52" t="str">
        <f>Data!A846</f>
        <v>TX500845</v>
      </c>
      <c r="B846" s="52">
        <f>MONTH(Data!F846)</f>
        <v>2</v>
      </c>
      <c r="C846" s="52" t="str">
        <f>TEXT(Data!F846,"mmm")</f>
        <v>Feb</v>
      </c>
      <c r="D846" s="52" t="str">
        <f>Data!O846</f>
        <v>Female</v>
      </c>
      <c r="E846" s="52">
        <f>Data!G846-Data!F846</f>
        <v>3</v>
      </c>
      <c r="F846" s="52">
        <f>IF(Data!J846&lt;=5,Data!J846,IF(Data!J846&lt;=10,"6 TO 10","More than 10"))</f>
        <v>3</v>
      </c>
      <c r="G846" s="52">
        <f t="shared" si="13"/>
        <v>3</v>
      </c>
      <c r="H846" s="52">
        <f>ROUND(Data!C846*Data!D846-Data!E846,2)</f>
        <v>0</v>
      </c>
      <c r="I846" s="52">
        <f>IF(AND(OR(Sel_Mode="All",Data!I846=Sel_Mode),OR(Sel_Gender="All",D846=Sel_Gender),OR(Sel_Category="All",Data!B846=Sel_Category),OR(Sel_Month="All",C846=Sel_Month),OR(Sel_County="All",Data!L846=Sel_County)),1,0)</f>
        <v>1</v>
      </c>
    </row>
    <row r="847" spans="1:9" x14ac:dyDescent="0.25">
      <c r="A847" s="52" t="str">
        <f>Data!A847</f>
        <v>TX500846</v>
      </c>
      <c r="B847" s="52">
        <f>MONTH(Data!F847)</f>
        <v>2</v>
      </c>
      <c r="C847" s="52" t="str">
        <f>TEXT(Data!F847,"mmm")</f>
        <v>Feb</v>
      </c>
      <c r="D847" s="52" t="str">
        <f>Data!O847</f>
        <v>Female</v>
      </c>
      <c r="E847" s="52">
        <f>Data!G847-Data!F847</f>
        <v>1</v>
      </c>
      <c r="F847" s="52">
        <f>IF(Data!J847&lt;=5,Data!J847,IF(Data!J847&lt;=10,"6 TO 10","More than 10"))</f>
        <v>4</v>
      </c>
      <c r="G847" s="52">
        <f t="shared" si="13"/>
        <v>1</v>
      </c>
      <c r="H847" s="52">
        <f>ROUND(Data!C847*Data!D847-Data!E847,2)</f>
        <v>0</v>
      </c>
      <c r="I847" s="52">
        <f>IF(AND(OR(Sel_Mode="All",Data!I847=Sel_Mode),OR(Sel_Gender="All",D847=Sel_Gender),OR(Sel_Category="All",Data!B847=Sel_Category),OR(Sel_Month="All",C847=Sel_Month),OR(Sel_County="All",Data!L847=Sel_County)),1,0)</f>
        <v>1</v>
      </c>
    </row>
    <row r="848" spans="1:9" x14ac:dyDescent="0.25">
      <c r="A848" s="52" t="str">
        <f>Data!A848</f>
        <v>TX500847</v>
      </c>
      <c r="B848" s="52">
        <f>MONTH(Data!F848)</f>
        <v>2</v>
      </c>
      <c r="C848" s="52" t="str">
        <f>TEXT(Data!F848,"mmm")</f>
        <v>Feb</v>
      </c>
      <c r="D848" s="52" t="str">
        <f>Data!O848</f>
        <v>Male</v>
      </c>
      <c r="E848" s="52">
        <f>Data!G848-Data!F848</f>
        <v>6</v>
      </c>
      <c r="F848" s="52">
        <f>IF(Data!J848&lt;=5,Data!J848,IF(Data!J848&lt;=10,"6 TO 10","More than 10"))</f>
        <v>5</v>
      </c>
      <c r="G848" s="52">
        <f t="shared" si="13"/>
        <v>6</v>
      </c>
      <c r="H848" s="52">
        <f>ROUND(Data!C848*Data!D848-Data!E848,2)</f>
        <v>0</v>
      </c>
      <c r="I848" s="52">
        <f>IF(AND(OR(Sel_Mode="All",Data!I848=Sel_Mode),OR(Sel_Gender="All",D848=Sel_Gender),OR(Sel_Category="All",Data!B848=Sel_Category),OR(Sel_Month="All",C848=Sel_Month),OR(Sel_County="All",Data!L848=Sel_County)),1,0)</f>
        <v>1</v>
      </c>
    </row>
    <row r="849" spans="1:9" x14ac:dyDescent="0.25">
      <c r="A849" s="52" t="str">
        <f>Data!A849</f>
        <v>TX500848</v>
      </c>
      <c r="B849" s="52">
        <f>MONTH(Data!F849)</f>
        <v>2</v>
      </c>
      <c r="C849" s="52" t="str">
        <f>TEXT(Data!F849,"mmm")</f>
        <v>Feb</v>
      </c>
      <c r="D849" s="52" t="str">
        <f>Data!O849</f>
        <v>Female</v>
      </c>
      <c r="E849" s="52">
        <f>Data!G849-Data!F849</f>
        <v>2</v>
      </c>
      <c r="F849" s="52">
        <f>IF(Data!J849&lt;=5,Data!J849,IF(Data!J849&lt;=10,"6 TO 10","More than 10"))</f>
        <v>5</v>
      </c>
      <c r="G849" s="52">
        <f t="shared" si="13"/>
        <v>2</v>
      </c>
      <c r="H849" s="52">
        <f>ROUND(Data!C849*Data!D849-Data!E849,2)</f>
        <v>0</v>
      </c>
      <c r="I849" s="52">
        <f>IF(AND(OR(Sel_Mode="All",Data!I849=Sel_Mode),OR(Sel_Gender="All",D849=Sel_Gender),OR(Sel_Category="All",Data!B849=Sel_Category),OR(Sel_Month="All",C849=Sel_Month),OR(Sel_County="All",Data!L849=Sel_County)),1,0)</f>
        <v>1</v>
      </c>
    </row>
    <row r="850" spans="1:9" x14ac:dyDescent="0.25">
      <c r="A850" s="52" t="str">
        <f>Data!A850</f>
        <v>TX500849</v>
      </c>
      <c r="B850" s="52">
        <f>MONTH(Data!F850)</f>
        <v>2</v>
      </c>
      <c r="C850" s="52" t="str">
        <f>TEXT(Data!F850,"mmm")</f>
        <v>Feb</v>
      </c>
      <c r="D850" s="52" t="str">
        <f>Data!O850</f>
        <v>Male</v>
      </c>
      <c r="E850" s="52">
        <f>Data!G850-Data!F850</f>
        <v>4</v>
      </c>
      <c r="F850" s="52">
        <f>IF(Data!J850&lt;=5,Data!J850,IF(Data!J850&lt;=10,"6 TO 10","More than 10"))</f>
        <v>5</v>
      </c>
      <c r="G850" s="52">
        <f t="shared" si="13"/>
        <v>4</v>
      </c>
      <c r="H850" s="52">
        <f>ROUND(Data!C850*Data!D850-Data!E850,2)</f>
        <v>0</v>
      </c>
      <c r="I850" s="52">
        <f>IF(AND(OR(Sel_Mode="All",Data!I850=Sel_Mode),OR(Sel_Gender="All",D850=Sel_Gender),OR(Sel_Category="All",Data!B850=Sel_Category),OR(Sel_Month="All",C850=Sel_Month),OR(Sel_County="All",Data!L850=Sel_County)),1,0)</f>
        <v>1</v>
      </c>
    </row>
    <row r="851" spans="1:9" x14ac:dyDescent="0.25">
      <c r="A851" s="52" t="str">
        <f>Data!A851</f>
        <v>TX500850</v>
      </c>
      <c r="B851" s="52">
        <f>MONTH(Data!F851)</f>
        <v>2</v>
      </c>
      <c r="C851" s="52" t="str">
        <f>TEXT(Data!F851,"mmm")</f>
        <v>Feb</v>
      </c>
      <c r="D851" s="52" t="str">
        <f>Data!O851</f>
        <v>Female</v>
      </c>
      <c r="E851" s="52">
        <f>Data!G851-Data!F851</f>
        <v>1</v>
      </c>
      <c r="F851" s="52">
        <f>IF(Data!J851&lt;=5,Data!J851,IF(Data!J851&lt;=10,"6 TO 10","More than 10"))</f>
        <v>4</v>
      </c>
      <c r="G851" s="52">
        <f t="shared" si="13"/>
        <v>1</v>
      </c>
      <c r="H851" s="52">
        <f>ROUND(Data!C851*Data!D851-Data!E851,2)</f>
        <v>0</v>
      </c>
      <c r="I851" s="52">
        <f>IF(AND(OR(Sel_Mode="All",Data!I851=Sel_Mode),OR(Sel_Gender="All",D851=Sel_Gender),OR(Sel_Category="All",Data!B851=Sel_Category),OR(Sel_Month="All",C851=Sel_Month),OR(Sel_County="All",Data!L851=Sel_County)),1,0)</f>
        <v>1</v>
      </c>
    </row>
    <row r="852" spans="1:9" x14ac:dyDescent="0.25">
      <c r="A852" s="52" t="str">
        <f>Data!A852</f>
        <v>TX500851</v>
      </c>
      <c r="B852" s="52">
        <f>MONTH(Data!F852)</f>
        <v>2</v>
      </c>
      <c r="C852" s="52" t="str">
        <f>TEXT(Data!F852,"mmm")</f>
        <v>Feb</v>
      </c>
      <c r="D852" s="52" t="str">
        <f>Data!O852</f>
        <v>Male</v>
      </c>
      <c r="E852" s="52">
        <f>Data!G852-Data!F852</f>
        <v>2</v>
      </c>
      <c r="F852" s="52">
        <f>IF(Data!J852&lt;=5,Data!J852,IF(Data!J852&lt;=10,"6 TO 10","More than 10"))</f>
        <v>2</v>
      </c>
      <c r="G852" s="52">
        <f t="shared" si="13"/>
        <v>2</v>
      </c>
      <c r="H852" s="52">
        <f>ROUND(Data!C852*Data!D852-Data!E852,2)</f>
        <v>0</v>
      </c>
      <c r="I852" s="52">
        <f>IF(AND(OR(Sel_Mode="All",Data!I852=Sel_Mode),OR(Sel_Gender="All",D852=Sel_Gender),OR(Sel_Category="All",Data!B852=Sel_Category),OR(Sel_Month="All",C852=Sel_Month),OR(Sel_County="All",Data!L852=Sel_County)),1,0)</f>
        <v>1</v>
      </c>
    </row>
    <row r="853" spans="1:9" x14ac:dyDescent="0.25">
      <c r="A853" s="52" t="str">
        <f>Data!A853</f>
        <v>TX500852</v>
      </c>
      <c r="B853" s="52">
        <f>MONTH(Data!F853)</f>
        <v>2</v>
      </c>
      <c r="C853" s="52" t="str">
        <f>TEXT(Data!F853,"mmm")</f>
        <v>Feb</v>
      </c>
      <c r="D853" s="52" t="str">
        <f>Data!O853</f>
        <v>Female</v>
      </c>
      <c r="E853" s="52">
        <f>Data!G853-Data!F853</f>
        <v>1</v>
      </c>
      <c r="F853" s="52">
        <f>IF(Data!J853&lt;=5,Data!J853,IF(Data!J853&lt;=10,"6 TO 10","More than 10"))</f>
        <v>4</v>
      </c>
      <c r="G853" s="52">
        <f t="shared" si="13"/>
        <v>1</v>
      </c>
      <c r="H853" s="52">
        <f>ROUND(Data!C853*Data!D853-Data!E853,2)</f>
        <v>0</v>
      </c>
      <c r="I853" s="52">
        <f>IF(AND(OR(Sel_Mode="All",Data!I853=Sel_Mode),OR(Sel_Gender="All",D853=Sel_Gender),OR(Sel_Category="All",Data!B853=Sel_Category),OR(Sel_Month="All",C853=Sel_Month),OR(Sel_County="All",Data!L853=Sel_County)),1,0)</f>
        <v>1</v>
      </c>
    </row>
    <row r="854" spans="1:9" x14ac:dyDescent="0.25">
      <c r="A854" s="52" t="str">
        <f>Data!A854</f>
        <v>TX500853</v>
      </c>
      <c r="B854" s="52">
        <f>MONTH(Data!F854)</f>
        <v>2</v>
      </c>
      <c r="C854" s="52" t="str">
        <f>TEXT(Data!F854,"mmm")</f>
        <v>Feb</v>
      </c>
      <c r="D854" s="52" t="str">
        <f>Data!O854</f>
        <v>Male</v>
      </c>
      <c r="E854" s="52">
        <f>Data!G854-Data!F854</f>
        <v>1</v>
      </c>
      <c r="F854" s="52">
        <f>IF(Data!J854&lt;=5,Data!J854,IF(Data!J854&lt;=10,"6 TO 10","More than 10"))</f>
        <v>5</v>
      </c>
      <c r="G854" s="52">
        <f t="shared" si="13"/>
        <v>1</v>
      </c>
      <c r="H854" s="52">
        <f>ROUND(Data!C854*Data!D854-Data!E854,2)</f>
        <v>0</v>
      </c>
      <c r="I854" s="52">
        <f>IF(AND(OR(Sel_Mode="All",Data!I854=Sel_Mode),OR(Sel_Gender="All",D854=Sel_Gender),OR(Sel_Category="All",Data!B854=Sel_Category),OR(Sel_Month="All",C854=Sel_Month),OR(Sel_County="All",Data!L854=Sel_County)),1,0)</f>
        <v>1</v>
      </c>
    </row>
    <row r="855" spans="1:9" x14ac:dyDescent="0.25">
      <c r="A855" s="52" t="str">
        <f>Data!A855</f>
        <v>TX500854</v>
      </c>
      <c r="B855" s="52">
        <f>MONTH(Data!F855)</f>
        <v>2</v>
      </c>
      <c r="C855" s="52" t="str">
        <f>TEXT(Data!F855,"mmm")</f>
        <v>Feb</v>
      </c>
      <c r="D855" s="52" t="str">
        <f>Data!O855</f>
        <v>Female</v>
      </c>
      <c r="E855" s="52">
        <f>Data!G855-Data!F855</f>
        <v>0</v>
      </c>
      <c r="F855" s="52">
        <f>IF(Data!J855&lt;=5,Data!J855,IF(Data!J855&lt;=10,"6 TO 10","More than 10"))</f>
        <v>5</v>
      </c>
      <c r="G855" s="52">
        <f t="shared" si="13"/>
        <v>0</v>
      </c>
      <c r="H855" s="52">
        <f>ROUND(Data!C855*Data!D855-Data!E855,2)</f>
        <v>0</v>
      </c>
      <c r="I855" s="52">
        <f>IF(AND(OR(Sel_Mode="All",Data!I855=Sel_Mode),OR(Sel_Gender="All",D855=Sel_Gender),OR(Sel_Category="All",Data!B855=Sel_Category),OR(Sel_Month="All",C855=Sel_Month),OR(Sel_County="All",Data!L855=Sel_County)),1,0)</f>
        <v>1</v>
      </c>
    </row>
    <row r="856" spans="1:9" x14ac:dyDescent="0.25">
      <c r="A856" s="52" t="str">
        <f>Data!A856</f>
        <v>TX500855</v>
      </c>
      <c r="B856" s="52">
        <f>MONTH(Data!F856)</f>
        <v>2</v>
      </c>
      <c r="C856" s="52" t="str">
        <f>TEXT(Data!F856,"mmm")</f>
        <v>Feb</v>
      </c>
      <c r="D856" s="52" t="str">
        <f>Data!O856</f>
        <v>Male</v>
      </c>
      <c r="E856" s="52">
        <f>Data!G856-Data!F856</f>
        <v>0</v>
      </c>
      <c r="F856" s="52">
        <f>IF(Data!J856&lt;=5,Data!J856,IF(Data!J856&lt;=10,"6 TO 10","More than 10"))</f>
        <v>5</v>
      </c>
      <c r="G856" s="52">
        <f t="shared" si="13"/>
        <v>0</v>
      </c>
      <c r="H856" s="52">
        <f>ROUND(Data!C856*Data!D856-Data!E856,2)</f>
        <v>0</v>
      </c>
      <c r="I856" s="52">
        <f>IF(AND(OR(Sel_Mode="All",Data!I856=Sel_Mode),OR(Sel_Gender="All",D856=Sel_Gender),OR(Sel_Category="All",Data!B856=Sel_Category),OR(Sel_Month="All",C856=Sel_Month),OR(Sel_County="All",Data!L856=Sel_County)),1,0)</f>
        <v>1</v>
      </c>
    </row>
    <row r="857" spans="1:9" x14ac:dyDescent="0.25">
      <c r="A857" s="52" t="str">
        <f>Data!A857</f>
        <v>TX500856</v>
      </c>
      <c r="B857" s="52">
        <f>MONTH(Data!F857)</f>
        <v>2</v>
      </c>
      <c r="C857" s="52" t="str">
        <f>TEXT(Data!F857,"mmm")</f>
        <v>Feb</v>
      </c>
      <c r="D857" s="52" t="str">
        <f>Data!O857</f>
        <v>Unknown</v>
      </c>
      <c r="E857" s="52">
        <f>Data!G857-Data!F857</f>
        <v>1</v>
      </c>
      <c r="F857" s="52">
        <f>IF(Data!J857&lt;=5,Data!J857,IF(Data!J857&lt;=10,"6 TO 10","More than 10"))</f>
        <v>3</v>
      </c>
      <c r="G857" s="52">
        <f t="shared" si="13"/>
        <v>1</v>
      </c>
      <c r="H857" s="52">
        <f>ROUND(Data!C857*Data!D857-Data!E857,2)</f>
        <v>0</v>
      </c>
      <c r="I857" s="52">
        <f>IF(AND(OR(Sel_Mode="All",Data!I857=Sel_Mode),OR(Sel_Gender="All",D857=Sel_Gender),OR(Sel_Category="All",Data!B857=Sel_Category),OR(Sel_Month="All",C857=Sel_Month),OR(Sel_County="All",Data!L857=Sel_County)),1,0)</f>
        <v>1</v>
      </c>
    </row>
    <row r="858" spans="1:9" x14ac:dyDescent="0.25">
      <c r="A858" s="52" t="str">
        <f>Data!A858</f>
        <v>TX500857</v>
      </c>
      <c r="B858" s="52">
        <f>MONTH(Data!F858)</f>
        <v>2</v>
      </c>
      <c r="C858" s="52" t="str">
        <f>TEXT(Data!F858,"mmm")</f>
        <v>Feb</v>
      </c>
      <c r="D858" s="52" t="str">
        <f>Data!O858</f>
        <v>Female</v>
      </c>
      <c r="E858" s="52">
        <f>Data!G858-Data!F858</f>
        <v>2</v>
      </c>
      <c r="F858" s="52">
        <f>IF(Data!J858&lt;=5,Data!J858,IF(Data!J858&lt;=10,"6 TO 10","More than 10"))</f>
        <v>4</v>
      </c>
      <c r="G858" s="52">
        <f t="shared" si="13"/>
        <v>2</v>
      </c>
      <c r="H858" s="52">
        <f>ROUND(Data!C858*Data!D858-Data!E858,2)</f>
        <v>0</v>
      </c>
      <c r="I858" s="52">
        <f>IF(AND(OR(Sel_Mode="All",Data!I858=Sel_Mode),OR(Sel_Gender="All",D858=Sel_Gender),OR(Sel_Category="All",Data!B858=Sel_Category),OR(Sel_Month="All",C858=Sel_Month),OR(Sel_County="All",Data!L858=Sel_County)),1,0)</f>
        <v>1</v>
      </c>
    </row>
    <row r="859" spans="1:9" x14ac:dyDescent="0.25">
      <c r="A859" s="52" t="str">
        <f>Data!A859</f>
        <v>TX500858</v>
      </c>
      <c r="B859" s="52">
        <f>MONTH(Data!F859)</f>
        <v>2</v>
      </c>
      <c r="C859" s="52" t="str">
        <f>TEXT(Data!F859,"mmm")</f>
        <v>Feb</v>
      </c>
      <c r="D859" s="52" t="str">
        <f>Data!O859</f>
        <v>Female</v>
      </c>
      <c r="E859" s="52">
        <f>Data!G859-Data!F859</f>
        <v>3</v>
      </c>
      <c r="F859" s="52">
        <f>IF(Data!J859&lt;=5,Data!J859,IF(Data!J859&lt;=10,"6 TO 10","More than 10"))</f>
        <v>4</v>
      </c>
      <c r="G859" s="52">
        <f t="shared" si="13"/>
        <v>3</v>
      </c>
      <c r="H859" s="52">
        <f>ROUND(Data!C859*Data!D859-Data!E859,2)</f>
        <v>0</v>
      </c>
      <c r="I859" s="52">
        <f>IF(AND(OR(Sel_Mode="All",Data!I859=Sel_Mode),OR(Sel_Gender="All",D859=Sel_Gender),OR(Sel_Category="All",Data!B859=Sel_Category),OR(Sel_Month="All",C859=Sel_Month),OR(Sel_County="All",Data!L859=Sel_County)),1,0)</f>
        <v>1</v>
      </c>
    </row>
    <row r="860" spans="1:9" x14ac:dyDescent="0.25">
      <c r="A860" s="52" t="str">
        <f>Data!A860</f>
        <v>TX500859</v>
      </c>
      <c r="B860" s="52">
        <f>MONTH(Data!F860)</f>
        <v>2</v>
      </c>
      <c r="C860" s="52" t="str">
        <f>TEXT(Data!F860,"mmm")</f>
        <v>Feb</v>
      </c>
      <c r="D860" s="52" t="str">
        <f>Data!O860</f>
        <v>Male</v>
      </c>
      <c r="E860" s="52">
        <f>Data!G860-Data!F860</f>
        <v>6</v>
      </c>
      <c r="F860" s="52">
        <f>IF(Data!J860&lt;=5,Data!J860,IF(Data!J860&lt;=10,"6 TO 10","More than 10"))</f>
        <v>3</v>
      </c>
      <c r="G860" s="52">
        <f t="shared" si="13"/>
        <v>6</v>
      </c>
      <c r="H860" s="52">
        <f>ROUND(Data!C860*Data!D860-Data!E860,2)</f>
        <v>0</v>
      </c>
      <c r="I860" s="52">
        <f>IF(AND(OR(Sel_Mode="All",Data!I860=Sel_Mode),OR(Sel_Gender="All",D860=Sel_Gender),OR(Sel_Category="All",Data!B860=Sel_Category),OR(Sel_Month="All",C860=Sel_Month),OR(Sel_County="All",Data!L860=Sel_County)),1,0)</f>
        <v>1</v>
      </c>
    </row>
    <row r="861" spans="1:9" x14ac:dyDescent="0.25">
      <c r="A861" s="52" t="str">
        <f>Data!A861</f>
        <v>TX500860</v>
      </c>
      <c r="B861" s="52">
        <f>MONTH(Data!F861)</f>
        <v>2</v>
      </c>
      <c r="C861" s="52" t="str">
        <f>TEXT(Data!F861,"mmm")</f>
        <v>Feb</v>
      </c>
      <c r="D861" s="52" t="str">
        <f>Data!O861</f>
        <v>Female</v>
      </c>
      <c r="E861" s="52">
        <f>Data!G861-Data!F861</f>
        <v>2</v>
      </c>
      <c r="F861" s="52">
        <f>IF(Data!J861&lt;=5,Data!J861,IF(Data!J861&lt;=10,"6 TO 10","More than 10"))</f>
        <v>3</v>
      </c>
      <c r="G861" s="52">
        <f t="shared" si="13"/>
        <v>2</v>
      </c>
      <c r="H861" s="52">
        <f>ROUND(Data!C861*Data!D861-Data!E861,2)</f>
        <v>0</v>
      </c>
      <c r="I861" s="52">
        <f>IF(AND(OR(Sel_Mode="All",Data!I861=Sel_Mode),OR(Sel_Gender="All",D861=Sel_Gender),OR(Sel_Category="All",Data!B861=Sel_Category),OR(Sel_Month="All",C861=Sel_Month),OR(Sel_County="All",Data!L861=Sel_County)),1,0)</f>
        <v>1</v>
      </c>
    </row>
    <row r="862" spans="1:9" x14ac:dyDescent="0.25">
      <c r="A862" s="52" t="str">
        <f>Data!A862</f>
        <v>TX500861</v>
      </c>
      <c r="B862" s="52">
        <f>MONTH(Data!F862)</f>
        <v>2</v>
      </c>
      <c r="C862" s="52" t="str">
        <f>TEXT(Data!F862,"mmm")</f>
        <v>Feb</v>
      </c>
      <c r="D862" s="52" t="str">
        <f>Data!O862</f>
        <v>Unknown</v>
      </c>
      <c r="E862" s="52">
        <f>Data!G862-Data!F862</f>
        <v>2</v>
      </c>
      <c r="F862" s="52">
        <f>IF(Data!J862&lt;=5,Data!J862,IF(Data!J862&lt;=10,"6 TO 10","More than 10"))</f>
        <v>3</v>
      </c>
      <c r="G862" s="52">
        <f t="shared" si="13"/>
        <v>2</v>
      </c>
      <c r="H862" s="52">
        <f>ROUND(Data!C862*Data!D862-Data!E862,2)</f>
        <v>0</v>
      </c>
      <c r="I862" s="52">
        <f>IF(AND(OR(Sel_Mode="All",Data!I862=Sel_Mode),OR(Sel_Gender="All",D862=Sel_Gender),OR(Sel_Category="All",Data!B862=Sel_Category),OR(Sel_Month="All",C862=Sel_Month),OR(Sel_County="All",Data!L862=Sel_County)),1,0)</f>
        <v>1</v>
      </c>
    </row>
    <row r="863" spans="1:9" x14ac:dyDescent="0.25">
      <c r="A863" s="52" t="str">
        <f>Data!A863</f>
        <v>TX500862</v>
      </c>
      <c r="B863" s="52">
        <f>MONTH(Data!F863)</f>
        <v>2</v>
      </c>
      <c r="C863" s="52" t="str">
        <f>TEXT(Data!F863,"mmm")</f>
        <v>Feb</v>
      </c>
      <c r="D863" s="52" t="str">
        <f>Data!O863</f>
        <v>Male</v>
      </c>
      <c r="E863" s="52">
        <f>Data!G863-Data!F863</f>
        <v>2</v>
      </c>
      <c r="F863" s="52">
        <f>IF(Data!J863&lt;=5,Data!J863,IF(Data!J863&lt;=10,"6 TO 10","More than 10"))</f>
        <v>3</v>
      </c>
      <c r="G863" s="52">
        <f t="shared" si="13"/>
        <v>2</v>
      </c>
      <c r="H863" s="52">
        <f>ROUND(Data!C863*Data!D863-Data!E863,2)</f>
        <v>0</v>
      </c>
      <c r="I863" s="52">
        <f>IF(AND(OR(Sel_Mode="All",Data!I863=Sel_Mode),OR(Sel_Gender="All",D863=Sel_Gender),OR(Sel_Category="All",Data!B863=Sel_Category),OR(Sel_Month="All",C863=Sel_Month),OR(Sel_County="All",Data!L863=Sel_County)),1,0)</f>
        <v>1</v>
      </c>
    </row>
    <row r="864" spans="1:9" x14ac:dyDescent="0.25">
      <c r="A864" s="52" t="str">
        <f>Data!A864</f>
        <v>TX500863</v>
      </c>
      <c r="B864" s="52">
        <f>MONTH(Data!F864)</f>
        <v>2</v>
      </c>
      <c r="C864" s="52" t="str">
        <f>TEXT(Data!F864,"mmm")</f>
        <v>Feb</v>
      </c>
      <c r="D864" s="52" t="str">
        <f>Data!O864</f>
        <v>Male</v>
      </c>
      <c r="E864" s="52">
        <f>Data!G864-Data!F864</f>
        <v>1</v>
      </c>
      <c r="F864" s="52">
        <f>IF(Data!J864&lt;=5,Data!J864,IF(Data!J864&lt;=10,"6 TO 10","More than 10"))</f>
        <v>5</v>
      </c>
      <c r="G864" s="52">
        <f t="shared" si="13"/>
        <v>1</v>
      </c>
      <c r="H864" s="52">
        <f>ROUND(Data!C864*Data!D864-Data!E864,2)</f>
        <v>0</v>
      </c>
      <c r="I864" s="52">
        <f>IF(AND(OR(Sel_Mode="All",Data!I864=Sel_Mode),OR(Sel_Gender="All",D864=Sel_Gender),OR(Sel_Category="All",Data!B864=Sel_Category),OR(Sel_Month="All",C864=Sel_Month),OR(Sel_County="All",Data!L864=Sel_County)),1,0)</f>
        <v>1</v>
      </c>
    </row>
    <row r="865" spans="1:9" x14ac:dyDescent="0.25">
      <c r="A865" s="52" t="str">
        <f>Data!A865</f>
        <v>TX500864</v>
      </c>
      <c r="B865" s="52">
        <f>MONTH(Data!F865)</f>
        <v>2</v>
      </c>
      <c r="C865" s="52" t="str">
        <f>TEXT(Data!F865,"mmm")</f>
        <v>Feb</v>
      </c>
      <c r="D865" s="52" t="str">
        <f>Data!O865</f>
        <v>Female</v>
      </c>
      <c r="E865" s="52">
        <f>Data!G865-Data!F865</f>
        <v>2</v>
      </c>
      <c r="F865" s="52">
        <f>IF(Data!J865&lt;=5,Data!J865,IF(Data!J865&lt;=10,"6 TO 10","More than 10"))</f>
        <v>4</v>
      </c>
      <c r="G865" s="52">
        <f t="shared" si="13"/>
        <v>2</v>
      </c>
      <c r="H865" s="52">
        <f>ROUND(Data!C865*Data!D865-Data!E865,2)</f>
        <v>0</v>
      </c>
      <c r="I865" s="52">
        <f>IF(AND(OR(Sel_Mode="All",Data!I865=Sel_Mode),OR(Sel_Gender="All",D865=Sel_Gender),OR(Sel_Category="All",Data!B865=Sel_Category),OR(Sel_Month="All",C865=Sel_Month),OR(Sel_County="All",Data!L865=Sel_County)),1,0)</f>
        <v>1</v>
      </c>
    </row>
    <row r="866" spans="1:9" x14ac:dyDescent="0.25">
      <c r="A866" s="52" t="str">
        <f>Data!A866</f>
        <v>TX500865</v>
      </c>
      <c r="B866" s="52">
        <f>MONTH(Data!F866)</f>
        <v>2</v>
      </c>
      <c r="C866" s="52" t="str">
        <f>TEXT(Data!F866,"mmm")</f>
        <v>Feb</v>
      </c>
      <c r="D866" s="52" t="str">
        <f>Data!O866</f>
        <v>Female</v>
      </c>
      <c r="E866" s="52">
        <f>Data!G866-Data!F866</f>
        <v>3</v>
      </c>
      <c r="F866" s="52">
        <f>IF(Data!J866&lt;=5,Data!J866,IF(Data!J866&lt;=10,"6 TO 10","More than 10"))</f>
        <v>4</v>
      </c>
      <c r="G866" s="52">
        <f t="shared" si="13"/>
        <v>3</v>
      </c>
      <c r="H866" s="52">
        <f>ROUND(Data!C866*Data!D866-Data!E866,2)</f>
        <v>0</v>
      </c>
      <c r="I866" s="52">
        <f>IF(AND(OR(Sel_Mode="All",Data!I866=Sel_Mode),OR(Sel_Gender="All",D866=Sel_Gender),OR(Sel_Category="All",Data!B866=Sel_Category),OR(Sel_Month="All",C866=Sel_Month),OR(Sel_County="All",Data!L866=Sel_County)),1,0)</f>
        <v>1</v>
      </c>
    </row>
    <row r="867" spans="1:9" x14ac:dyDescent="0.25">
      <c r="A867" s="52" t="str">
        <f>Data!A867</f>
        <v>TX500866</v>
      </c>
      <c r="B867" s="52">
        <f>MONTH(Data!F867)</f>
        <v>2</v>
      </c>
      <c r="C867" s="52" t="str">
        <f>TEXT(Data!F867,"mmm")</f>
        <v>Feb</v>
      </c>
      <c r="D867" s="52" t="str">
        <f>Data!O867</f>
        <v>Female</v>
      </c>
      <c r="E867" s="52">
        <f>Data!G867-Data!F867</f>
        <v>0</v>
      </c>
      <c r="F867" s="52">
        <f>IF(Data!J867&lt;=5,Data!J867,IF(Data!J867&lt;=10,"6 TO 10","More than 10"))</f>
        <v>3</v>
      </c>
      <c r="G867" s="52">
        <f t="shared" si="13"/>
        <v>0</v>
      </c>
      <c r="H867" s="52">
        <f>ROUND(Data!C867*Data!D867-Data!E867,2)</f>
        <v>0</v>
      </c>
      <c r="I867" s="52">
        <f>IF(AND(OR(Sel_Mode="All",Data!I867=Sel_Mode),OR(Sel_Gender="All",D867=Sel_Gender),OR(Sel_Category="All",Data!B867=Sel_Category),OR(Sel_Month="All",C867=Sel_Month),OR(Sel_County="All",Data!L867=Sel_County)),1,0)</f>
        <v>1</v>
      </c>
    </row>
    <row r="868" spans="1:9" x14ac:dyDescent="0.25">
      <c r="A868" s="52" t="str">
        <f>Data!A868</f>
        <v>TX500867</v>
      </c>
      <c r="B868" s="52">
        <f>MONTH(Data!F868)</f>
        <v>2</v>
      </c>
      <c r="C868" s="52" t="str">
        <f>TEXT(Data!F868,"mmm")</f>
        <v>Feb</v>
      </c>
      <c r="D868" s="52" t="str">
        <f>Data!O868</f>
        <v>Male</v>
      </c>
      <c r="E868" s="52">
        <f>Data!G868-Data!F868</f>
        <v>6</v>
      </c>
      <c r="F868" s="52">
        <f>IF(Data!J868&lt;=5,Data!J868,IF(Data!J868&lt;=10,"6 TO 10","More than 10"))</f>
        <v>4</v>
      </c>
      <c r="G868" s="52">
        <f t="shared" si="13"/>
        <v>6</v>
      </c>
      <c r="H868" s="52">
        <f>ROUND(Data!C868*Data!D868-Data!E868,2)</f>
        <v>0</v>
      </c>
      <c r="I868" s="52">
        <f>IF(AND(OR(Sel_Mode="All",Data!I868=Sel_Mode),OR(Sel_Gender="All",D868=Sel_Gender),OR(Sel_Category="All",Data!B868=Sel_Category),OR(Sel_Month="All",C868=Sel_Month),OR(Sel_County="All",Data!L868=Sel_County)),1,0)</f>
        <v>1</v>
      </c>
    </row>
    <row r="869" spans="1:9" x14ac:dyDescent="0.25">
      <c r="A869" s="52" t="str">
        <f>Data!A869</f>
        <v>TX500868</v>
      </c>
      <c r="B869" s="52">
        <f>MONTH(Data!F869)</f>
        <v>2</v>
      </c>
      <c r="C869" s="52" t="str">
        <f>TEXT(Data!F869,"mmm")</f>
        <v>Feb</v>
      </c>
      <c r="D869" s="52" t="str">
        <f>Data!O869</f>
        <v>Female</v>
      </c>
      <c r="E869" s="52">
        <f>Data!G869-Data!F869</f>
        <v>2</v>
      </c>
      <c r="F869" s="52">
        <f>IF(Data!J869&lt;=5,Data!J869,IF(Data!J869&lt;=10,"6 TO 10","More than 10"))</f>
        <v>3</v>
      </c>
      <c r="G869" s="52">
        <f t="shared" si="13"/>
        <v>2</v>
      </c>
      <c r="H869" s="52">
        <f>ROUND(Data!C869*Data!D869-Data!E869,2)</f>
        <v>0</v>
      </c>
      <c r="I869" s="52">
        <f>IF(AND(OR(Sel_Mode="All",Data!I869=Sel_Mode),OR(Sel_Gender="All",D869=Sel_Gender),OR(Sel_Category="All",Data!B869=Sel_Category),OR(Sel_Month="All",C869=Sel_Month),OR(Sel_County="All",Data!L869=Sel_County)),1,0)</f>
        <v>1</v>
      </c>
    </row>
    <row r="870" spans="1:9" x14ac:dyDescent="0.25">
      <c r="A870" s="52" t="str">
        <f>Data!A870</f>
        <v>TX500869</v>
      </c>
      <c r="B870" s="52">
        <f>MONTH(Data!F870)</f>
        <v>2</v>
      </c>
      <c r="C870" s="52" t="str">
        <f>TEXT(Data!F870,"mmm")</f>
        <v>Feb</v>
      </c>
      <c r="D870" s="52" t="str">
        <f>Data!O870</f>
        <v>Male</v>
      </c>
      <c r="E870" s="52">
        <f>Data!G870-Data!F870</f>
        <v>1</v>
      </c>
      <c r="F870" s="52">
        <f>IF(Data!J870&lt;=5,Data!J870,IF(Data!J870&lt;=10,"6 TO 10","More than 10"))</f>
        <v>2</v>
      </c>
      <c r="G870" s="52">
        <f t="shared" si="13"/>
        <v>1</v>
      </c>
      <c r="H870" s="52">
        <f>ROUND(Data!C870*Data!D870-Data!E870,2)</f>
        <v>0</v>
      </c>
      <c r="I870" s="52">
        <f>IF(AND(OR(Sel_Mode="All",Data!I870=Sel_Mode),OR(Sel_Gender="All",D870=Sel_Gender),OR(Sel_Category="All",Data!B870=Sel_Category),OR(Sel_Month="All",C870=Sel_Month),OR(Sel_County="All",Data!L870=Sel_County)),1,0)</f>
        <v>1</v>
      </c>
    </row>
    <row r="871" spans="1:9" x14ac:dyDescent="0.25">
      <c r="A871" s="52" t="str">
        <f>Data!A871</f>
        <v>TX500870</v>
      </c>
      <c r="B871" s="52">
        <f>MONTH(Data!F871)</f>
        <v>2</v>
      </c>
      <c r="C871" s="52" t="str">
        <f>TEXT(Data!F871,"mmm")</f>
        <v>Feb</v>
      </c>
      <c r="D871" s="52" t="str">
        <f>Data!O871</f>
        <v>Female</v>
      </c>
      <c r="E871" s="52">
        <f>Data!G871-Data!F871</f>
        <v>2</v>
      </c>
      <c r="F871" s="52">
        <f>IF(Data!J871&lt;=5,Data!J871,IF(Data!J871&lt;=10,"6 TO 10","More than 10"))</f>
        <v>4</v>
      </c>
      <c r="G871" s="52">
        <f t="shared" si="13"/>
        <v>2</v>
      </c>
      <c r="H871" s="52">
        <f>ROUND(Data!C871*Data!D871-Data!E871,2)</f>
        <v>0</v>
      </c>
      <c r="I871" s="52">
        <f>IF(AND(OR(Sel_Mode="All",Data!I871=Sel_Mode),OR(Sel_Gender="All",D871=Sel_Gender),OR(Sel_Category="All",Data!B871=Sel_Category),OR(Sel_Month="All",C871=Sel_Month),OR(Sel_County="All",Data!L871=Sel_County)),1,0)</f>
        <v>1</v>
      </c>
    </row>
    <row r="872" spans="1:9" x14ac:dyDescent="0.25">
      <c r="A872" s="52" t="str">
        <f>Data!A872</f>
        <v>TX500871</v>
      </c>
      <c r="B872" s="52">
        <f>MONTH(Data!F872)</f>
        <v>2</v>
      </c>
      <c r="C872" s="52" t="str">
        <f>TEXT(Data!F872,"mmm")</f>
        <v>Feb</v>
      </c>
      <c r="D872" s="52" t="str">
        <f>Data!O872</f>
        <v>Male</v>
      </c>
      <c r="E872" s="52">
        <f>Data!G872-Data!F872</f>
        <v>2</v>
      </c>
      <c r="F872" s="52">
        <f>IF(Data!J872&lt;=5,Data!J872,IF(Data!J872&lt;=10,"6 TO 10","More than 10"))</f>
        <v>5</v>
      </c>
      <c r="G872" s="52">
        <f t="shared" si="13"/>
        <v>2</v>
      </c>
      <c r="H872" s="52">
        <f>ROUND(Data!C872*Data!D872-Data!E872,2)</f>
        <v>0</v>
      </c>
      <c r="I872" s="52">
        <f>IF(AND(OR(Sel_Mode="All",Data!I872=Sel_Mode),OR(Sel_Gender="All",D872=Sel_Gender),OR(Sel_Category="All",Data!B872=Sel_Category),OR(Sel_Month="All",C872=Sel_Month),OR(Sel_County="All",Data!L872=Sel_County)),1,0)</f>
        <v>1</v>
      </c>
    </row>
    <row r="873" spans="1:9" x14ac:dyDescent="0.25">
      <c r="A873" s="52" t="str">
        <f>Data!A873</f>
        <v>TX500872</v>
      </c>
      <c r="B873" s="52">
        <f>MONTH(Data!F873)</f>
        <v>2</v>
      </c>
      <c r="C873" s="52" t="str">
        <f>TEXT(Data!F873,"mmm")</f>
        <v>Feb</v>
      </c>
      <c r="D873" s="52" t="str">
        <f>Data!O873</f>
        <v>Female</v>
      </c>
      <c r="E873" s="52">
        <f>Data!G873-Data!F873</f>
        <v>1</v>
      </c>
      <c r="F873" s="52">
        <f>IF(Data!J873&lt;=5,Data!J873,IF(Data!J873&lt;=10,"6 TO 10","More than 10"))</f>
        <v>5</v>
      </c>
      <c r="G873" s="52">
        <f t="shared" si="13"/>
        <v>1</v>
      </c>
      <c r="H873" s="52">
        <f>ROUND(Data!C873*Data!D873-Data!E873,2)</f>
        <v>0</v>
      </c>
      <c r="I873" s="52">
        <f>IF(AND(OR(Sel_Mode="All",Data!I873=Sel_Mode),OR(Sel_Gender="All",D873=Sel_Gender),OR(Sel_Category="All",Data!B873=Sel_Category),OR(Sel_Month="All",C873=Sel_Month),OR(Sel_County="All",Data!L873=Sel_County)),1,0)</f>
        <v>1</v>
      </c>
    </row>
    <row r="874" spans="1:9" x14ac:dyDescent="0.25">
      <c r="A874" s="52" t="str">
        <f>Data!A874</f>
        <v>TX500873</v>
      </c>
      <c r="B874" s="52">
        <f>MONTH(Data!F874)</f>
        <v>2</v>
      </c>
      <c r="C874" s="52" t="str">
        <f>TEXT(Data!F874,"mmm")</f>
        <v>Feb</v>
      </c>
      <c r="D874" s="52" t="str">
        <f>Data!O874</f>
        <v>Female</v>
      </c>
      <c r="E874" s="52">
        <f>Data!G874-Data!F874</f>
        <v>3</v>
      </c>
      <c r="F874" s="52">
        <f>IF(Data!J874&lt;=5,Data!J874,IF(Data!J874&lt;=10,"6 TO 10","More than 10"))</f>
        <v>5</v>
      </c>
      <c r="G874" s="52">
        <f t="shared" si="13"/>
        <v>3</v>
      </c>
      <c r="H874" s="52">
        <f>ROUND(Data!C874*Data!D874-Data!E874,2)</f>
        <v>0</v>
      </c>
      <c r="I874" s="52">
        <f>IF(AND(OR(Sel_Mode="All",Data!I874=Sel_Mode),OR(Sel_Gender="All",D874=Sel_Gender),OR(Sel_Category="All",Data!B874=Sel_Category),OR(Sel_Month="All",C874=Sel_Month),OR(Sel_County="All",Data!L874=Sel_County)),1,0)</f>
        <v>1</v>
      </c>
    </row>
    <row r="875" spans="1:9" x14ac:dyDescent="0.25">
      <c r="A875" s="52" t="str">
        <f>Data!A875</f>
        <v>TX500874</v>
      </c>
      <c r="B875" s="52">
        <f>MONTH(Data!F875)</f>
        <v>2</v>
      </c>
      <c r="C875" s="52" t="str">
        <f>TEXT(Data!F875,"mmm")</f>
        <v>Feb</v>
      </c>
      <c r="D875" s="52" t="str">
        <f>Data!O875</f>
        <v>Female</v>
      </c>
      <c r="E875" s="52">
        <f>Data!G875-Data!F875</f>
        <v>12</v>
      </c>
      <c r="F875" s="52">
        <f>IF(Data!J875&lt;=5,Data!J875,IF(Data!J875&lt;=10,"6 TO 10","More than 10"))</f>
        <v>5</v>
      </c>
      <c r="G875" s="52" t="str">
        <f t="shared" si="13"/>
        <v>8+</v>
      </c>
      <c r="H875" s="52">
        <f>ROUND(Data!C875*Data!D875-Data!E875,2)</f>
        <v>0</v>
      </c>
      <c r="I875" s="52">
        <f>IF(AND(OR(Sel_Mode="All",Data!I875=Sel_Mode),OR(Sel_Gender="All",D875=Sel_Gender),OR(Sel_Category="All",Data!B875=Sel_Category),OR(Sel_Month="All",C875=Sel_Month),OR(Sel_County="All",Data!L875=Sel_County)),1,0)</f>
        <v>1</v>
      </c>
    </row>
    <row r="876" spans="1:9" x14ac:dyDescent="0.25">
      <c r="A876" s="52" t="str">
        <f>Data!A876</f>
        <v>TX500875</v>
      </c>
      <c r="B876" s="52">
        <f>MONTH(Data!F876)</f>
        <v>2</v>
      </c>
      <c r="C876" s="52" t="str">
        <f>TEXT(Data!F876,"mmm")</f>
        <v>Feb</v>
      </c>
      <c r="D876" s="52" t="str">
        <f>Data!O876</f>
        <v>Female</v>
      </c>
      <c r="E876" s="52">
        <f>Data!G876-Data!F876</f>
        <v>6</v>
      </c>
      <c r="F876" s="52">
        <f>IF(Data!J876&lt;=5,Data!J876,IF(Data!J876&lt;=10,"6 TO 10","More than 10"))</f>
        <v>4</v>
      </c>
      <c r="G876" s="52">
        <f t="shared" si="13"/>
        <v>6</v>
      </c>
      <c r="H876" s="52">
        <f>ROUND(Data!C876*Data!D876-Data!E876,2)</f>
        <v>0</v>
      </c>
      <c r="I876" s="52">
        <f>IF(AND(OR(Sel_Mode="All",Data!I876=Sel_Mode),OR(Sel_Gender="All",D876=Sel_Gender),OR(Sel_Category="All",Data!B876=Sel_Category),OR(Sel_Month="All",C876=Sel_Month),OR(Sel_County="All",Data!L876=Sel_County)),1,0)</f>
        <v>1</v>
      </c>
    </row>
    <row r="877" spans="1:9" x14ac:dyDescent="0.25">
      <c r="A877" s="52" t="str">
        <f>Data!A877</f>
        <v>TX500876</v>
      </c>
      <c r="B877" s="52">
        <f>MONTH(Data!F877)</f>
        <v>2</v>
      </c>
      <c r="C877" s="52" t="str">
        <f>TEXT(Data!F877,"mmm")</f>
        <v>Feb</v>
      </c>
      <c r="D877" s="52" t="str">
        <f>Data!O877</f>
        <v>Female</v>
      </c>
      <c r="E877" s="52">
        <f>Data!G877-Data!F877</f>
        <v>1</v>
      </c>
      <c r="F877" s="52">
        <f>IF(Data!J877&lt;=5,Data!J877,IF(Data!J877&lt;=10,"6 TO 10","More than 10"))</f>
        <v>4</v>
      </c>
      <c r="G877" s="52">
        <f t="shared" si="13"/>
        <v>1</v>
      </c>
      <c r="H877" s="52">
        <f>ROUND(Data!C877*Data!D877-Data!E877,2)</f>
        <v>0</v>
      </c>
      <c r="I877" s="52">
        <f>IF(AND(OR(Sel_Mode="All",Data!I877=Sel_Mode),OR(Sel_Gender="All",D877=Sel_Gender),OR(Sel_Category="All",Data!B877=Sel_Category),OR(Sel_Month="All",C877=Sel_Month),OR(Sel_County="All",Data!L877=Sel_County)),1,0)</f>
        <v>1</v>
      </c>
    </row>
    <row r="878" spans="1:9" x14ac:dyDescent="0.25">
      <c r="A878" s="52" t="str">
        <f>Data!A878</f>
        <v>TX500877</v>
      </c>
      <c r="B878" s="52">
        <f>MONTH(Data!F878)</f>
        <v>2</v>
      </c>
      <c r="C878" s="52" t="str">
        <f>TEXT(Data!F878,"mmm")</f>
        <v>Feb</v>
      </c>
      <c r="D878" s="52" t="str">
        <f>Data!O878</f>
        <v>Male</v>
      </c>
      <c r="E878" s="52">
        <f>Data!G878-Data!F878</f>
        <v>2</v>
      </c>
      <c r="F878" s="52">
        <f>IF(Data!J878&lt;=5,Data!J878,IF(Data!J878&lt;=10,"6 TO 10","More than 10"))</f>
        <v>5</v>
      </c>
      <c r="G878" s="52">
        <f t="shared" si="13"/>
        <v>2</v>
      </c>
      <c r="H878" s="52">
        <f>ROUND(Data!C878*Data!D878-Data!E878,2)</f>
        <v>0</v>
      </c>
      <c r="I878" s="52">
        <f>IF(AND(OR(Sel_Mode="All",Data!I878=Sel_Mode),OR(Sel_Gender="All",D878=Sel_Gender),OR(Sel_Category="All",Data!B878=Sel_Category),OR(Sel_Month="All",C878=Sel_Month),OR(Sel_County="All",Data!L878=Sel_County)),1,0)</f>
        <v>1</v>
      </c>
    </row>
    <row r="879" spans="1:9" x14ac:dyDescent="0.25">
      <c r="A879" s="52" t="str">
        <f>Data!A879</f>
        <v>TX500878</v>
      </c>
      <c r="B879" s="52">
        <f>MONTH(Data!F879)</f>
        <v>2</v>
      </c>
      <c r="C879" s="52" t="str">
        <f>TEXT(Data!F879,"mmm")</f>
        <v>Feb</v>
      </c>
      <c r="D879" s="52" t="str">
        <f>Data!O879</f>
        <v>Female</v>
      </c>
      <c r="E879" s="52">
        <f>Data!G879-Data!F879</f>
        <v>6</v>
      </c>
      <c r="F879" s="52">
        <f>IF(Data!J879&lt;=5,Data!J879,IF(Data!J879&lt;=10,"6 TO 10","More than 10"))</f>
        <v>4</v>
      </c>
      <c r="G879" s="52">
        <f t="shared" si="13"/>
        <v>6</v>
      </c>
      <c r="H879" s="52">
        <f>ROUND(Data!C879*Data!D879-Data!E879,2)</f>
        <v>0</v>
      </c>
      <c r="I879" s="52">
        <f>IF(AND(OR(Sel_Mode="All",Data!I879=Sel_Mode),OR(Sel_Gender="All",D879=Sel_Gender),OR(Sel_Category="All",Data!B879=Sel_Category),OR(Sel_Month="All",C879=Sel_Month),OR(Sel_County="All",Data!L879=Sel_County)),1,0)</f>
        <v>1</v>
      </c>
    </row>
    <row r="880" spans="1:9" x14ac:dyDescent="0.25">
      <c r="A880" s="52" t="str">
        <f>Data!A880</f>
        <v>TX500879</v>
      </c>
      <c r="B880" s="52">
        <f>MONTH(Data!F880)</f>
        <v>2</v>
      </c>
      <c r="C880" s="52" t="str">
        <f>TEXT(Data!F880,"mmm")</f>
        <v>Feb</v>
      </c>
      <c r="D880" s="52" t="str">
        <f>Data!O880</f>
        <v>Male</v>
      </c>
      <c r="E880" s="52">
        <f>Data!G880-Data!F880</f>
        <v>0</v>
      </c>
      <c r="F880" s="52">
        <f>IF(Data!J880&lt;=5,Data!J880,IF(Data!J880&lt;=10,"6 TO 10","More than 10"))</f>
        <v>4</v>
      </c>
      <c r="G880" s="52">
        <f t="shared" si="13"/>
        <v>0</v>
      </c>
      <c r="H880" s="52">
        <f>ROUND(Data!C880*Data!D880-Data!E880,2)</f>
        <v>0</v>
      </c>
      <c r="I880" s="52">
        <f>IF(AND(OR(Sel_Mode="All",Data!I880=Sel_Mode),OR(Sel_Gender="All",D880=Sel_Gender),OR(Sel_Category="All",Data!B880=Sel_Category),OR(Sel_Month="All",C880=Sel_Month),OR(Sel_County="All",Data!L880=Sel_County)),1,0)</f>
        <v>1</v>
      </c>
    </row>
    <row r="881" spans="1:9" x14ac:dyDescent="0.25">
      <c r="A881" s="52" t="str">
        <f>Data!A881</f>
        <v>TX500880</v>
      </c>
      <c r="B881" s="52">
        <f>MONTH(Data!F881)</f>
        <v>2</v>
      </c>
      <c r="C881" s="52" t="str">
        <f>TEXT(Data!F881,"mmm")</f>
        <v>Feb</v>
      </c>
      <c r="D881" s="52" t="str">
        <f>Data!O881</f>
        <v>Female</v>
      </c>
      <c r="E881" s="52">
        <f>Data!G881-Data!F881</f>
        <v>3</v>
      </c>
      <c r="F881" s="52">
        <f>IF(Data!J881&lt;=5,Data!J881,IF(Data!J881&lt;=10,"6 TO 10","More than 10"))</f>
        <v>5</v>
      </c>
      <c r="G881" s="52">
        <f t="shared" si="13"/>
        <v>3</v>
      </c>
      <c r="H881" s="52">
        <f>ROUND(Data!C881*Data!D881-Data!E881,2)</f>
        <v>0</v>
      </c>
      <c r="I881" s="52">
        <f>IF(AND(OR(Sel_Mode="All",Data!I881=Sel_Mode),OR(Sel_Gender="All",D881=Sel_Gender),OR(Sel_Category="All",Data!B881=Sel_Category),OR(Sel_Month="All",C881=Sel_Month),OR(Sel_County="All",Data!L881=Sel_County)),1,0)</f>
        <v>1</v>
      </c>
    </row>
    <row r="882" spans="1:9" x14ac:dyDescent="0.25">
      <c r="A882" s="52" t="str">
        <f>Data!A882</f>
        <v>TX500881</v>
      </c>
      <c r="B882" s="52">
        <f>MONTH(Data!F882)</f>
        <v>2</v>
      </c>
      <c r="C882" s="52" t="str">
        <f>TEXT(Data!F882,"mmm")</f>
        <v>Feb</v>
      </c>
      <c r="D882" s="52" t="str">
        <f>Data!O882</f>
        <v>Female</v>
      </c>
      <c r="E882" s="52">
        <f>Data!G882-Data!F882</f>
        <v>2</v>
      </c>
      <c r="F882" s="52">
        <f>IF(Data!J882&lt;=5,Data!J882,IF(Data!J882&lt;=10,"6 TO 10","More than 10"))</f>
        <v>5</v>
      </c>
      <c r="G882" s="52">
        <f t="shared" si="13"/>
        <v>2</v>
      </c>
      <c r="H882" s="52">
        <f>ROUND(Data!C882*Data!D882-Data!E882,2)</f>
        <v>0</v>
      </c>
      <c r="I882" s="52">
        <f>IF(AND(OR(Sel_Mode="All",Data!I882=Sel_Mode),OR(Sel_Gender="All",D882=Sel_Gender),OR(Sel_Category="All",Data!B882=Sel_Category),OR(Sel_Month="All",C882=Sel_Month),OR(Sel_County="All",Data!L882=Sel_County)),1,0)</f>
        <v>1</v>
      </c>
    </row>
    <row r="883" spans="1:9" x14ac:dyDescent="0.25">
      <c r="A883" s="52" t="str">
        <f>Data!A883</f>
        <v>TX500882</v>
      </c>
      <c r="B883" s="52">
        <f>MONTH(Data!F883)</f>
        <v>2</v>
      </c>
      <c r="C883" s="52" t="str">
        <f>TEXT(Data!F883,"mmm")</f>
        <v>Feb</v>
      </c>
      <c r="D883" s="52" t="str">
        <f>Data!O883</f>
        <v>Female</v>
      </c>
      <c r="E883" s="52">
        <f>Data!G883-Data!F883</f>
        <v>1</v>
      </c>
      <c r="F883" s="52">
        <f>IF(Data!J883&lt;=5,Data!J883,IF(Data!J883&lt;=10,"6 TO 10","More than 10"))</f>
        <v>4</v>
      </c>
      <c r="G883" s="52">
        <f t="shared" si="13"/>
        <v>1</v>
      </c>
      <c r="H883" s="52">
        <f>ROUND(Data!C883*Data!D883-Data!E883,2)</f>
        <v>0</v>
      </c>
      <c r="I883" s="52">
        <f>IF(AND(OR(Sel_Mode="All",Data!I883=Sel_Mode),OR(Sel_Gender="All",D883=Sel_Gender),OR(Sel_Category="All",Data!B883=Sel_Category),OR(Sel_Month="All",C883=Sel_Month),OR(Sel_County="All",Data!L883=Sel_County)),1,0)</f>
        <v>1</v>
      </c>
    </row>
    <row r="884" spans="1:9" x14ac:dyDescent="0.25">
      <c r="A884" s="52" t="str">
        <f>Data!A884</f>
        <v>TX500883</v>
      </c>
      <c r="B884" s="52">
        <f>MONTH(Data!F884)</f>
        <v>2</v>
      </c>
      <c r="C884" s="52" t="str">
        <f>TEXT(Data!F884,"mmm")</f>
        <v>Feb</v>
      </c>
      <c r="D884" s="52" t="str">
        <f>Data!O884</f>
        <v>Female</v>
      </c>
      <c r="E884" s="52">
        <f>Data!G884-Data!F884</f>
        <v>1</v>
      </c>
      <c r="F884" s="52">
        <f>IF(Data!J884&lt;=5,Data!J884,IF(Data!J884&lt;=10,"6 TO 10","More than 10"))</f>
        <v>4</v>
      </c>
      <c r="G884" s="52">
        <f t="shared" si="13"/>
        <v>1</v>
      </c>
      <c r="H884" s="52">
        <f>ROUND(Data!C884*Data!D884-Data!E884,2)</f>
        <v>0</v>
      </c>
      <c r="I884" s="52">
        <f>IF(AND(OR(Sel_Mode="All",Data!I884=Sel_Mode),OR(Sel_Gender="All",D884=Sel_Gender),OR(Sel_Category="All",Data!B884=Sel_Category),OR(Sel_Month="All",C884=Sel_Month),OR(Sel_County="All",Data!L884=Sel_County)),1,0)</f>
        <v>1</v>
      </c>
    </row>
    <row r="885" spans="1:9" x14ac:dyDescent="0.25">
      <c r="A885" s="52" t="str">
        <f>Data!A885</f>
        <v>TX500884</v>
      </c>
      <c r="B885" s="52">
        <f>MONTH(Data!F885)</f>
        <v>2</v>
      </c>
      <c r="C885" s="52" t="str">
        <f>TEXT(Data!F885,"mmm")</f>
        <v>Feb</v>
      </c>
      <c r="D885" s="52" t="str">
        <f>Data!O885</f>
        <v>Male</v>
      </c>
      <c r="E885" s="52">
        <f>Data!G885-Data!F885</f>
        <v>3</v>
      </c>
      <c r="F885" s="52">
        <f>IF(Data!J885&lt;=5,Data!J885,IF(Data!J885&lt;=10,"6 TO 10","More than 10"))</f>
        <v>4</v>
      </c>
      <c r="G885" s="52">
        <f t="shared" si="13"/>
        <v>3</v>
      </c>
      <c r="H885" s="52">
        <f>ROUND(Data!C885*Data!D885-Data!E885,2)</f>
        <v>0</v>
      </c>
      <c r="I885" s="52">
        <f>IF(AND(OR(Sel_Mode="All",Data!I885=Sel_Mode),OR(Sel_Gender="All",D885=Sel_Gender),OR(Sel_Category="All",Data!B885=Sel_Category),OR(Sel_Month="All",C885=Sel_Month),OR(Sel_County="All",Data!L885=Sel_County)),1,0)</f>
        <v>1</v>
      </c>
    </row>
    <row r="886" spans="1:9" x14ac:dyDescent="0.25">
      <c r="A886" s="52" t="str">
        <f>Data!A886</f>
        <v>TX500885</v>
      </c>
      <c r="B886" s="52">
        <f>MONTH(Data!F886)</f>
        <v>2</v>
      </c>
      <c r="C886" s="52" t="str">
        <f>TEXT(Data!F886,"mmm")</f>
        <v>Feb</v>
      </c>
      <c r="D886" s="52" t="str">
        <f>Data!O886</f>
        <v>Female</v>
      </c>
      <c r="E886" s="52">
        <f>Data!G886-Data!F886</f>
        <v>2</v>
      </c>
      <c r="F886" s="52">
        <f>IF(Data!J886&lt;=5,Data!J886,IF(Data!J886&lt;=10,"6 TO 10","More than 10"))</f>
        <v>5</v>
      </c>
      <c r="G886" s="52">
        <f t="shared" si="13"/>
        <v>2</v>
      </c>
      <c r="H886" s="52">
        <f>ROUND(Data!C886*Data!D886-Data!E886,2)</f>
        <v>0</v>
      </c>
      <c r="I886" s="52">
        <f>IF(AND(OR(Sel_Mode="All",Data!I886=Sel_Mode),OR(Sel_Gender="All",D886=Sel_Gender),OR(Sel_Category="All",Data!B886=Sel_Category),OR(Sel_Month="All",C886=Sel_Month),OR(Sel_County="All",Data!L886=Sel_County)),1,0)</f>
        <v>1</v>
      </c>
    </row>
    <row r="887" spans="1:9" x14ac:dyDescent="0.25">
      <c r="A887" s="52" t="str">
        <f>Data!A887</f>
        <v>TX500886</v>
      </c>
      <c r="B887" s="52">
        <f>MONTH(Data!F887)</f>
        <v>2</v>
      </c>
      <c r="C887" s="52" t="str">
        <f>TEXT(Data!F887,"mmm")</f>
        <v>Feb</v>
      </c>
      <c r="D887" s="52" t="str">
        <f>Data!O887</f>
        <v>Male</v>
      </c>
      <c r="E887" s="52">
        <f>Data!G887-Data!F887</f>
        <v>7</v>
      </c>
      <c r="F887" s="52">
        <f>IF(Data!J887&lt;=5,Data!J887,IF(Data!J887&lt;=10,"6 TO 10","More than 10"))</f>
        <v>3</v>
      </c>
      <c r="G887" s="52">
        <f t="shared" si="13"/>
        <v>7</v>
      </c>
      <c r="H887" s="52">
        <f>ROUND(Data!C887*Data!D887-Data!E887,2)</f>
        <v>0</v>
      </c>
      <c r="I887" s="52">
        <f>IF(AND(OR(Sel_Mode="All",Data!I887=Sel_Mode),OR(Sel_Gender="All",D887=Sel_Gender),OR(Sel_Category="All",Data!B887=Sel_Category),OR(Sel_Month="All",C887=Sel_Month),OR(Sel_County="All",Data!L887=Sel_County)),1,0)</f>
        <v>1</v>
      </c>
    </row>
    <row r="888" spans="1:9" x14ac:dyDescent="0.25">
      <c r="A888" s="52" t="str">
        <f>Data!A888</f>
        <v>TX500887</v>
      </c>
      <c r="B888" s="52">
        <f>MONTH(Data!F888)</f>
        <v>2</v>
      </c>
      <c r="C888" s="52" t="str">
        <f>TEXT(Data!F888,"mmm")</f>
        <v>Feb</v>
      </c>
      <c r="D888" s="52" t="str">
        <f>Data!O888</f>
        <v>Male</v>
      </c>
      <c r="E888" s="52">
        <f>Data!G888-Data!F888</f>
        <v>1</v>
      </c>
      <c r="F888" s="52">
        <f>IF(Data!J888&lt;=5,Data!J888,IF(Data!J888&lt;=10,"6 TO 10","More than 10"))</f>
        <v>4</v>
      </c>
      <c r="G888" s="52">
        <f t="shared" si="13"/>
        <v>1</v>
      </c>
      <c r="H888" s="52">
        <f>ROUND(Data!C888*Data!D888-Data!E888,2)</f>
        <v>0</v>
      </c>
      <c r="I888" s="52">
        <f>IF(AND(OR(Sel_Mode="All",Data!I888=Sel_Mode),OR(Sel_Gender="All",D888=Sel_Gender),OR(Sel_Category="All",Data!B888=Sel_Category),OR(Sel_Month="All",C888=Sel_Month),OR(Sel_County="All",Data!L888=Sel_County)),1,0)</f>
        <v>1</v>
      </c>
    </row>
    <row r="889" spans="1:9" x14ac:dyDescent="0.25">
      <c r="A889" s="52" t="str">
        <f>Data!A889</f>
        <v>TX500888</v>
      </c>
      <c r="B889" s="52">
        <f>MONTH(Data!F889)</f>
        <v>2</v>
      </c>
      <c r="C889" s="52" t="str">
        <f>TEXT(Data!F889,"mmm")</f>
        <v>Feb</v>
      </c>
      <c r="D889" s="52" t="str">
        <f>Data!O889</f>
        <v>Female</v>
      </c>
      <c r="E889" s="52">
        <f>Data!G889-Data!F889</f>
        <v>1</v>
      </c>
      <c r="F889" s="52">
        <f>IF(Data!J889&lt;=5,Data!J889,IF(Data!J889&lt;=10,"6 TO 10","More than 10"))</f>
        <v>3</v>
      </c>
      <c r="G889" s="52">
        <f t="shared" si="13"/>
        <v>1</v>
      </c>
      <c r="H889" s="52">
        <f>ROUND(Data!C889*Data!D889-Data!E889,2)</f>
        <v>0</v>
      </c>
      <c r="I889" s="52">
        <f>IF(AND(OR(Sel_Mode="All",Data!I889=Sel_Mode),OR(Sel_Gender="All",D889=Sel_Gender),OR(Sel_Category="All",Data!B889=Sel_Category),OR(Sel_Month="All",C889=Sel_Month),OR(Sel_County="All",Data!L889=Sel_County)),1,0)</f>
        <v>1</v>
      </c>
    </row>
    <row r="890" spans="1:9" x14ac:dyDescent="0.25">
      <c r="A890" s="52" t="str">
        <f>Data!A890</f>
        <v>TX500889</v>
      </c>
      <c r="B890" s="52">
        <f>MONTH(Data!F890)</f>
        <v>2</v>
      </c>
      <c r="C890" s="52" t="str">
        <f>TEXT(Data!F890,"mmm")</f>
        <v>Feb</v>
      </c>
      <c r="D890" s="52" t="str">
        <f>Data!O890</f>
        <v>Female</v>
      </c>
      <c r="E890" s="52">
        <f>Data!G890-Data!F890</f>
        <v>4</v>
      </c>
      <c r="F890" s="52">
        <f>IF(Data!J890&lt;=5,Data!J890,IF(Data!J890&lt;=10,"6 TO 10","More than 10"))</f>
        <v>3</v>
      </c>
      <c r="G890" s="52">
        <f t="shared" si="13"/>
        <v>4</v>
      </c>
      <c r="H890" s="52">
        <f>ROUND(Data!C890*Data!D890-Data!E890,2)</f>
        <v>0</v>
      </c>
      <c r="I890" s="52">
        <f>IF(AND(OR(Sel_Mode="All",Data!I890=Sel_Mode),OR(Sel_Gender="All",D890=Sel_Gender),OR(Sel_Category="All",Data!B890=Sel_Category),OR(Sel_Month="All",C890=Sel_Month),OR(Sel_County="All",Data!L890=Sel_County)),1,0)</f>
        <v>1</v>
      </c>
    </row>
    <row r="891" spans="1:9" x14ac:dyDescent="0.25">
      <c r="A891" s="52" t="str">
        <f>Data!A891</f>
        <v>TX500890</v>
      </c>
      <c r="B891" s="52">
        <f>MONTH(Data!F891)</f>
        <v>2</v>
      </c>
      <c r="C891" s="52" t="str">
        <f>TEXT(Data!F891,"mmm")</f>
        <v>Feb</v>
      </c>
      <c r="D891" s="52" t="str">
        <f>Data!O891</f>
        <v>Female</v>
      </c>
      <c r="E891" s="52">
        <f>Data!G891-Data!F891</f>
        <v>1</v>
      </c>
      <c r="F891" s="52">
        <f>IF(Data!J891&lt;=5,Data!J891,IF(Data!J891&lt;=10,"6 TO 10","More than 10"))</f>
        <v>4</v>
      </c>
      <c r="G891" s="52">
        <f t="shared" si="13"/>
        <v>1</v>
      </c>
      <c r="H891" s="52">
        <f>ROUND(Data!C891*Data!D891-Data!E891,2)</f>
        <v>0</v>
      </c>
      <c r="I891" s="52">
        <f>IF(AND(OR(Sel_Mode="All",Data!I891=Sel_Mode),OR(Sel_Gender="All",D891=Sel_Gender),OR(Sel_Category="All",Data!B891=Sel_Category),OR(Sel_Month="All",C891=Sel_Month),OR(Sel_County="All",Data!L891=Sel_County)),1,0)</f>
        <v>1</v>
      </c>
    </row>
    <row r="892" spans="1:9" x14ac:dyDescent="0.25">
      <c r="A892" s="52" t="str">
        <f>Data!A892</f>
        <v>TX500891</v>
      </c>
      <c r="B892" s="52">
        <f>MONTH(Data!F892)</f>
        <v>2</v>
      </c>
      <c r="C892" s="52" t="str">
        <f>TEXT(Data!F892,"mmm")</f>
        <v>Feb</v>
      </c>
      <c r="D892" s="52" t="str">
        <f>Data!O892</f>
        <v>Female</v>
      </c>
      <c r="E892" s="52">
        <f>Data!G892-Data!F892</f>
        <v>1</v>
      </c>
      <c r="F892" s="52">
        <f>IF(Data!J892&lt;=5,Data!J892,IF(Data!J892&lt;=10,"6 TO 10","More than 10"))</f>
        <v>3</v>
      </c>
      <c r="G892" s="52">
        <f t="shared" si="13"/>
        <v>1</v>
      </c>
      <c r="H892" s="52">
        <f>ROUND(Data!C892*Data!D892-Data!E892,2)</f>
        <v>0</v>
      </c>
      <c r="I892" s="52">
        <f>IF(AND(OR(Sel_Mode="All",Data!I892=Sel_Mode),OR(Sel_Gender="All",D892=Sel_Gender),OR(Sel_Category="All",Data!B892=Sel_Category),OR(Sel_Month="All",C892=Sel_Month),OR(Sel_County="All",Data!L892=Sel_County)),1,0)</f>
        <v>1</v>
      </c>
    </row>
    <row r="893" spans="1:9" x14ac:dyDescent="0.25">
      <c r="A893" s="52" t="str">
        <f>Data!A893</f>
        <v>TX500892</v>
      </c>
      <c r="B893" s="52">
        <f>MONTH(Data!F893)</f>
        <v>2</v>
      </c>
      <c r="C893" s="52" t="str">
        <f>TEXT(Data!F893,"mmm")</f>
        <v>Feb</v>
      </c>
      <c r="D893" s="52" t="str">
        <f>Data!O893</f>
        <v>Male</v>
      </c>
      <c r="E893" s="52">
        <f>Data!G893-Data!F893</f>
        <v>2</v>
      </c>
      <c r="F893" s="52">
        <f>IF(Data!J893&lt;=5,Data!J893,IF(Data!J893&lt;=10,"6 TO 10","More than 10"))</f>
        <v>4</v>
      </c>
      <c r="G893" s="52">
        <f t="shared" si="13"/>
        <v>2</v>
      </c>
      <c r="H893" s="52">
        <f>ROUND(Data!C893*Data!D893-Data!E893,2)</f>
        <v>0</v>
      </c>
      <c r="I893" s="52">
        <f>IF(AND(OR(Sel_Mode="All",Data!I893=Sel_Mode),OR(Sel_Gender="All",D893=Sel_Gender),OR(Sel_Category="All",Data!B893=Sel_Category),OR(Sel_Month="All",C893=Sel_Month),OR(Sel_County="All",Data!L893=Sel_County)),1,0)</f>
        <v>1</v>
      </c>
    </row>
    <row r="894" spans="1:9" x14ac:dyDescent="0.25">
      <c r="A894" s="52" t="str">
        <f>Data!A894</f>
        <v>TX500893</v>
      </c>
      <c r="B894" s="52">
        <f>MONTH(Data!F894)</f>
        <v>2</v>
      </c>
      <c r="C894" s="52" t="str">
        <f>TEXT(Data!F894,"mmm")</f>
        <v>Feb</v>
      </c>
      <c r="D894" s="52" t="str">
        <f>Data!O894</f>
        <v>Male</v>
      </c>
      <c r="E894" s="52">
        <f>Data!G894-Data!F894</f>
        <v>6</v>
      </c>
      <c r="F894" s="52">
        <f>IF(Data!J894&lt;=5,Data!J894,IF(Data!J894&lt;=10,"6 TO 10","More than 10"))</f>
        <v>5</v>
      </c>
      <c r="G894" s="52">
        <f t="shared" si="13"/>
        <v>6</v>
      </c>
      <c r="H894" s="52">
        <f>ROUND(Data!C894*Data!D894-Data!E894,2)</f>
        <v>0</v>
      </c>
      <c r="I894" s="52">
        <f>IF(AND(OR(Sel_Mode="All",Data!I894=Sel_Mode),OR(Sel_Gender="All",D894=Sel_Gender),OR(Sel_Category="All",Data!B894=Sel_Category),OR(Sel_Month="All",C894=Sel_Month),OR(Sel_County="All",Data!L894=Sel_County)),1,0)</f>
        <v>1</v>
      </c>
    </row>
    <row r="895" spans="1:9" x14ac:dyDescent="0.25">
      <c r="A895" s="52" t="str">
        <f>Data!A895</f>
        <v>TX500894</v>
      </c>
      <c r="B895" s="52">
        <f>MONTH(Data!F895)</f>
        <v>2</v>
      </c>
      <c r="C895" s="52" t="str">
        <f>TEXT(Data!F895,"mmm")</f>
        <v>Feb</v>
      </c>
      <c r="D895" s="52" t="str">
        <f>Data!O895</f>
        <v>Female</v>
      </c>
      <c r="E895" s="52">
        <f>Data!G895-Data!F895</f>
        <v>2</v>
      </c>
      <c r="F895" s="52">
        <f>IF(Data!J895&lt;=5,Data!J895,IF(Data!J895&lt;=10,"6 TO 10","More than 10"))</f>
        <v>4</v>
      </c>
      <c r="G895" s="52">
        <f t="shared" si="13"/>
        <v>2</v>
      </c>
      <c r="H895" s="52">
        <f>ROUND(Data!C895*Data!D895-Data!E895,2)</f>
        <v>0</v>
      </c>
      <c r="I895" s="52">
        <f>IF(AND(OR(Sel_Mode="All",Data!I895=Sel_Mode),OR(Sel_Gender="All",D895=Sel_Gender),OR(Sel_Category="All",Data!B895=Sel_Category),OR(Sel_Month="All",C895=Sel_Month),OR(Sel_County="All",Data!L895=Sel_County)),1,0)</f>
        <v>1</v>
      </c>
    </row>
    <row r="896" spans="1:9" x14ac:dyDescent="0.25">
      <c r="A896" s="52" t="str">
        <f>Data!A896</f>
        <v>TX500895</v>
      </c>
      <c r="B896" s="52">
        <f>MONTH(Data!F896)</f>
        <v>2</v>
      </c>
      <c r="C896" s="52" t="str">
        <f>TEXT(Data!F896,"mmm")</f>
        <v>Feb</v>
      </c>
      <c r="D896" s="52" t="str">
        <f>Data!O896</f>
        <v>Female</v>
      </c>
      <c r="E896" s="52">
        <f>Data!G896-Data!F896</f>
        <v>2</v>
      </c>
      <c r="F896" s="52">
        <f>IF(Data!J896&lt;=5,Data!J896,IF(Data!J896&lt;=10,"6 TO 10","More than 10"))</f>
        <v>2</v>
      </c>
      <c r="G896" s="52">
        <f t="shared" si="13"/>
        <v>2</v>
      </c>
      <c r="H896" s="52">
        <f>ROUND(Data!C896*Data!D896-Data!E896,2)</f>
        <v>0</v>
      </c>
      <c r="I896" s="52">
        <f>IF(AND(OR(Sel_Mode="All",Data!I896=Sel_Mode),OR(Sel_Gender="All",D896=Sel_Gender),OR(Sel_Category="All",Data!B896=Sel_Category),OR(Sel_Month="All",C896=Sel_Month),OR(Sel_County="All",Data!L896=Sel_County)),1,0)</f>
        <v>1</v>
      </c>
    </row>
    <row r="897" spans="1:9" x14ac:dyDescent="0.25">
      <c r="A897" s="52" t="str">
        <f>Data!A897</f>
        <v>TX500896</v>
      </c>
      <c r="B897" s="52">
        <f>MONTH(Data!F897)</f>
        <v>2</v>
      </c>
      <c r="C897" s="52" t="str">
        <f>TEXT(Data!F897,"mmm")</f>
        <v>Feb</v>
      </c>
      <c r="D897" s="52" t="str">
        <f>Data!O897</f>
        <v>Female</v>
      </c>
      <c r="E897" s="52">
        <f>Data!G897-Data!F897</f>
        <v>1</v>
      </c>
      <c r="F897" s="52">
        <f>IF(Data!J897&lt;=5,Data!J897,IF(Data!J897&lt;=10,"6 TO 10","More than 10"))</f>
        <v>4</v>
      </c>
      <c r="G897" s="52">
        <f t="shared" si="13"/>
        <v>1</v>
      </c>
      <c r="H897" s="52">
        <f>ROUND(Data!C897*Data!D897-Data!E897,2)</f>
        <v>0</v>
      </c>
      <c r="I897" s="52">
        <f>IF(AND(OR(Sel_Mode="All",Data!I897=Sel_Mode),OR(Sel_Gender="All",D897=Sel_Gender),OR(Sel_Category="All",Data!B897=Sel_Category),OR(Sel_Month="All",C897=Sel_Month),OR(Sel_County="All",Data!L897=Sel_County)),1,0)</f>
        <v>1</v>
      </c>
    </row>
    <row r="898" spans="1:9" x14ac:dyDescent="0.25">
      <c r="A898" s="52" t="str">
        <f>Data!A898</f>
        <v>TX500897</v>
      </c>
      <c r="B898" s="52">
        <f>MONTH(Data!F898)</f>
        <v>2</v>
      </c>
      <c r="C898" s="52" t="str">
        <f>TEXT(Data!F898,"mmm")</f>
        <v>Feb</v>
      </c>
      <c r="D898" s="52" t="str">
        <f>Data!O898</f>
        <v>Female</v>
      </c>
      <c r="E898" s="52">
        <f>Data!G898-Data!F898</f>
        <v>5</v>
      </c>
      <c r="F898" s="52">
        <f>IF(Data!J898&lt;=5,Data!J898,IF(Data!J898&lt;=10,"6 TO 10","More than 10"))</f>
        <v>4</v>
      </c>
      <c r="G898" s="52">
        <f t="shared" ref="G898:G961" si="14">IF(E898&gt;=8,"8+",E898)</f>
        <v>5</v>
      </c>
      <c r="H898" s="52">
        <f>ROUND(Data!C898*Data!D898-Data!E898,2)</f>
        <v>0</v>
      </c>
      <c r="I898" s="52">
        <f>IF(AND(OR(Sel_Mode="All",Data!I898=Sel_Mode),OR(Sel_Gender="All",D898=Sel_Gender),OR(Sel_Category="All",Data!B898=Sel_Category),OR(Sel_Month="All",C898=Sel_Month),OR(Sel_County="All",Data!L898=Sel_County)),1,0)</f>
        <v>1</v>
      </c>
    </row>
    <row r="899" spans="1:9" x14ac:dyDescent="0.25">
      <c r="A899" s="52" t="str">
        <f>Data!A899</f>
        <v>TX500898</v>
      </c>
      <c r="B899" s="52">
        <f>MONTH(Data!F899)</f>
        <v>2</v>
      </c>
      <c r="C899" s="52" t="str">
        <f>TEXT(Data!F899,"mmm")</f>
        <v>Feb</v>
      </c>
      <c r="D899" s="52" t="str">
        <f>Data!O899</f>
        <v>Female</v>
      </c>
      <c r="E899" s="52">
        <f>Data!G899-Data!F899</f>
        <v>2</v>
      </c>
      <c r="F899" s="52">
        <f>IF(Data!J899&lt;=5,Data!J899,IF(Data!J899&lt;=10,"6 TO 10","More than 10"))</f>
        <v>4</v>
      </c>
      <c r="G899" s="52">
        <f t="shared" si="14"/>
        <v>2</v>
      </c>
      <c r="H899" s="52">
        <f>ROUND(Data!C899*Data!D899-Data!E899,2)</f>
        <v>0</v>
      </c>
      <c r="I899" s="52">
        <f>IF(AND(OR(Sel_Mode="All",Data!I899=Sel_Mode),OR(Sel_Gender="All",D899=Sel_Gender),OR(Sel_Category="All",Data!B899=Sel_Category),OR(Sel_Month="All",C899=Sel_Month),OR(Sel_County="All",Data!L899=Sel_County)),1,0)</f>
        <v>1</v>
      </c>
    </row>
    <row r="900" spans="1:9" x14ac:dyDescent="0.25">
      <c r="A900" s="52" t="str">
        <f>Data!A900</f>
        <v>TX500899</v>
      </c>
      <c r="B900" s="52">
        <f>MONTH(Data!F900)</f>
        <v>2</v>
      </c>
      <c r="C900" s="52" t="str">
        <f>TEXT(Data!F900,"mmm")</f>
        <v>Feb</v>
      </c>
      <c r="D900" s="52" t="str">
        <f>Data!O900</f>
        <v>Female</v>
      </c>
      <c r="E900" s="52">
        <f>Data!G900-Data!F900</f>
        <v>1</v>
      </c>
      <c r="F900" s="52">
        <f>IF(Data!J900&lt;=5,Data!J900,IF(Data!J900&lt;=10,"6 TO 10","More than 10"))</f>
        <v>4</v>
      </c>
      <c r="G900" s="52">
        <f t="shared" si="14"/>
        <v>1</v>
      </c>
      <c r="H900" s="52">
        <f>ROUND(Data!C900*Data!D900-Data!E900,2)</f>
        <v>0</v>
      </c>
      <c r="I900" s="52">
        <f>IF(AND(OR(Sel_Mode="All",Data!I900=Sel_Mode),OR(Sel_Gender="All",D900=Sel_Gender),OR(Sel_Category="All",Data!B900=Sel_Category),OR(Sel_Month="All",C900=Sel_Month),OR(Sel_County="All",Data!L900=Sel_County)),1,0)</f>
        <v>1</v>
      </c>
    </row>
    <row r="901" spans="1:9" x14ac:dyDescent="0.25">
      <c r="A901" s="52" t="str">
        <f>Data!A901</f>
        <v>TX500900</v>
      </c>
      <c r="B901" s="52">
        <f>MONTH(Data!F901)</f>
        <v>2</v>
      </c>
      <c r="C901" s="52" t="str">
        <f>TEXT(Data!F901,"mmm")</f>
        <v>Feb</v>
      </c>
      <c r="D901" s="52" t="str">
        <f>Data!O901</f>
        <v>Unknown</v>
      </c>
      <c r="E901" s="52">
        <f>Data!G901-Data!F901</f>
        <v>1</v>
      </c>
      <c r="F901" s="52">
        <f>IF(Data!J901&lt;=5,Data!J901,IF(Data!J901&lt;=10,"6 TO 10","More than 10"))</f>
        <v>4</v>
      </c>
      <c r="G901" s="52">
        <f t="shared" si="14"/>
        <v>1</v>
      </c>
      <c r="H901" s="52">
        <f>ROUND(Data!C901*Data!D901-Data!E901,2)</f>
        <v>0</v>
      </c>
      <c r="I901" s="52">
        <f>IF(AND(OR(Sel_Mode="All",Data!I901=Sel_Mode),OR(Sel_Gender="All",D901=Sel_Gender),OR(Sel_Category="All",Data!B901=Sel_Category),OR(Sel_Month="All",C901=Sel_Month),OR(Sel_County="All",Data!L901=Sel_County)),1,0)</f>
        <v>1</v>
      </c>
    </row>
    <row r="902" spans="1:9" x14ac:dyDescent="0.25">
      <c r="A902" s="52" t="str">
        <f>Data!A902</f>
        <v>TX500901</v>
      </c>
      <c r="B902" s="52">
        <f>MONTH(Data!F902)</f>
        <v>2</v>
      </c>
      <c r="C902" s="52" t="str">
        <f>TEXT(Data!F902,"mmm")</f>
        <v>Feb</v>
      </c>
      <c r="D902" s="52" t="str">
        <f>Data!O902</f>
        <v>Female</v>
      </c>
      <c r="E902" s="52">
        <f>Data!G902-Data!F902</f>
        <v>2</v>
      </c>
      <c r="F902" s="52">
        <f>IF(Data!J902&lt;=5,Data!J902,IF(Data!J902&lt;=10,"6 TO 10","More than 10"))</f>
        <v>2</v>
      </c>
      <c r="G902" s="52">
        <f t="shared" si="14"/>
        <v>2</v>
      </c>
      <c r="H902" s="52">
        <f>ROUND(Data!C902*Data!D902-Data!E902,2)</f>
        <v>0</v>
      </c>
      <c r="I902" s="52">
        <f>IF(AND(OR(Sel_Mode="All",Data!I902=Sel_Mode),OR(Sel_Gender="All",D902=Sel_Gender),OR(Sel_Category="All",Data!B902=Sel_Category),OR(Sel_Month="All",C902=Sel_Month),OR(Sel_County="All",Data!L902=Sel_County)),1,0)</f>
        <v>1</v>
      </c>
    </row>
    <row r="903" spans="1:9" x14ac:dyDescent="0.25">
      <c r="A903" s="52" t="str">
        <f>Data!A903</f>
        <v>TX500902</v>
      </c>
      <c r="B903" s="52">
        <f>MONTH(Data!F903)</f>
        <v>2</v>
      </c>
      <c r="C903" s="52" t="str">
        <f>TEXT(Data!F903,"mmm")</f>
        <v>Feb</v>
      </c>
      <c r="D903" s="52" t="str">
        <f>Data!O903</f>
        <v>Female</v>
      </c>
      <c r="E903" s="52">
        <f>Data!G903-Data!F903</f>
        <v>1</v>
      </c>
      <c r="F903" s="52">
        <f>IF(Data!J903&lt;=5,Data!J903,IF(Data!J903&lt;=10,"6 TO 10","More than 10"))</f>
        <v>4</v>
      </c>
      <c r="G903" s="52">
        <f t="shared" si="14"/>
        <v>1</v>
      </c>
      <c r="H903" s="52">
        <f>ROUND(Data!C903*Data!D903-Data!E903,2)</f>
        <v>0</v>
      </c>
      <c r="I903" s="52">
        <f>IF(AND(OR(Sel_Mode="All",Data!I903=Sel_Mode),OR(Sel_Gender="All",D903=Sel_Gender),OR(Sel_Category="All",Data!B903=Sel_Category),OR(Sel_Month="All",C903=Sel_Month),OR(Sel_County="All",Data!L903=Sel_County)),1,0)</f>
        <v>1</v>
      </c>
    </row>
    <row r="904" spans="1:9" x14ac:dyDescent="0.25">
      <c r="A904" s="52" t="str">
        <f>Data!A904</f>
        <v>TX500903</v>
      </c>
      <c r="B904" s="52">
        <f>MONTH(Data!F904)</f>
        <v>2</v>
      </c>
      <c r="C904" s="52" t="str">
        <f>TEXT(Data!F904,"mmm")</f>
        <v>Feb</v>
      </c>
      <c r="D904" s="52" t="str">
        <f>Data!O904</f>
        <v>Male</v>
      </c>
      <c r="E904" s="52">
        <f>Data!G904-Data!F904</f>
        <v>1</v>
      </c>
      <c r="F904" s="52">
        <f>IF(Data!J904&lt;=5,Data!J904,IF(Data!J904&lt;=10,"6 TO 10","More than 10"))</f>
        <v>3</v>
      </c>
      <c r="G904" s="52">
        <f t="shared" si="14"/>
        <v>1</v>
      </c>
      <c r="H904" s="52">
        <f>ROUND(Data!C904*Data!D904-Data!E904,2)</f>
        <v>0</v>
      </c>
      <c r="I904" s="52">
        <f>IF(AND(OR(Sel_Mode="All",Data!I904=Sel_Mode),OR(Sel_Gender="All",D904=Sel_Gender),OR(Sel_Category="All",Data!B904=Sel_Category),OR(Sel_Month="All",C904=Sel_Month),OR(Sel_County="All",Data!L904=Sel_County)),1,0)</f>
        <v>1</v>
      </c>
    </row>
    <row r="905" spans="1:9" x14ac:dyDescent="0.25">
      <c r="A905" s="52" t="str">
        <f>Data!A905</f>
        <v>TX500904</v>
      </c>
      <c r="B905" s="52">
        <f>MONTH(Data!F905)</f>
        <v>2</v>
      </c>
      <c r="C905" s="52" t="str">
        <f>TEXT(Data!F905,"mmm")</f>
        <v>Feb</v>
      </c>
      <c r="D905" s="52" t="str">
        <f>Data!O905</f>
        <v>Female</v>
      </c>
      <c r="E905" s="52">
        <f>Data!G905-Data!F905</f>
        <v>2</v>
      </c>
      <c r="F905" s="52">
        <f>IF(Data!J905&lt;=5,Data!J905,IF(Data!J905&lt;=10,"6 TO 10","More than 10"))</f>
        <v>4</v>
      </c>
      <c r="G905" s="52">
        <f t="shared" si="14"/>
        <v>2</v>
      </c>
      <c r="H905" s="52">
        <f>ROUND(Data!C905*Data!D905-Data!E905,2)</f>
        <v>0</v>
      </c>
      <c r="I905" s="52">
        <f>IF(AND(OR(Sel_Mode="All",Data!I905=Sel_Mode),OR(Sel_Gender="All",D905=Sel_Gender),OR(Sel_Category="All",Data!B905=Sel_Category),OR(Sel_Month="All",C905=Sel_Month),OR(Sel_County="All",Data!L905=Sel_County)),1,0)</f>
        <v>1</v>
      </c>
    </row>
    <row r="906" spans="1:9" x14ac:dyDescent="0.25">
      <c r="A906" s="52" t="str">
        <f>Data!A906</f>
        <v>TX500905</v>
      </c>
      <c r="B906" s="52">
        <f>MONTH(Data!F906)</f>
        <v>2</v>
      </c>
      <c r="C906" s="52" t="str">
        <f>TEXT(Data!F906,"mmm")</f>
        <v>Feb</v>
      </c>
      <c r="D906" s="52" t="str">
        <f>Data!O906</f>
        <v>Other</v>
      </c>
      <c r="E906" s="52">
        <f>Data!G906-Data!F906</f>
        <v>3</v>
      </c>
      <c r="F906" s="52">
        <f>IF(Data!J906&lt;=5,Data!J906,IF(Data!J906&lt;=10,"6 TO 10","More than 10"))</f>
        <v>3</v>
      </c>
      <c r="G906" s="52">
        <f t="shared" si="14"/>
        <v>3</v>
      </c>
      <c r="H906" s="52">
        <f>ROUND(Data!C906*Data!D906-Data!E906,2)</f>
        <v>0</v>
      </c>
      <c r="I906" s="52">
        <f>IF(AND(OR(Sel_Mode="All",Data!I906=Sel_Mode),OR(Sel_Gender="All",D906=Sel_Gender),OR(Sel_Category="All",Data!B906=Sel_Category),OR(Sel_Month="All",C906=Sel_Month),OR(Sel_County="All",Data!L906=Sel_County)),1,0)</f>
        <v>1</v>
      </c>
    </row>
    <row r="907" spans="1:9" x14ac:dyDescent="0.25">
      <c r="A907" s="52" t="str">
        <f>Data!A907</f>
        <v>TX500906</v>
      </c>
      <c r="B907" s="52">
        <f>MONTH(Data!F907)</f>
        <v>2</v>
      </c>
      <c r="C907" s="52" t="str">
        <f>TEXT(Data!F907,"mmm")</f>
        <v>Feb</v>
      </c>
      <c r="D907" s="52" t="str">
        <f>Data!O907</f>
        <v>Unknown</v>
      </c>
      <c r="E907" s="52">
        <f>Data!G907-Data!F907</f>
        <v>4</v>
      </c>
      <c r="F907" s="52">
        <f>IF(Data!J907&lt;=5,Data!J907,IF(Data!J907&lt;=10,"6 TO 10","More than 10"))</f>
        <v>2</v>
      </c>
      <c r="G907" s="52">
        <f t="shared" si="14"/>
        <v>4</v>
      </c>
      <c r="H907" s="52">
        <f>ROUND(Data!C907*Data!D907-Data!E907,2)</f>
        <v>0</v>
      </c>
      <c r="I907" s="52">
        <f>IF(AND(OR(Sel_Mode="All",Data!I907=Sel_Mode),OR(Sel_Gender="All",D907=Sel_Gender),OR(Sel_Category="All",Data!B907=Sel_Category),OR(Sel_Month="All",C907=Sel_Month),OR(Sel_County="All",Data!L907=Sel_County)),1,0)</f>
        <v>1</v>
      </c>
    </row>
    <row r="908" spans="1:9" x14ac:dyDescent="0.25">
      <c r="A908" s="52" t="str">
        <f>Data!A908</f>
        <v>TX500907</v>
      </c>
      <c r="B908" s="52">
        <f>MONTH(Data!F908)</f>
        <v>2</v>
      </c>
      <c r="C908" s="52" t="str">
        <f>TEXT(Data!F908,"mmm")</f>
        <v>Feb</v>
      </c>
      <c r="D908" s="52" t="str">
        <f>Data!O908</f>
        <v>Female</v>
      </c>
      <c r="E908" s="52">
        <f>Data!G908-Data!F908</f>
        <v>13</v>
      </c>
      <c r="F908" s="52">
        <f>IF(Data!J908&lt;=5,Data!J908,IF(Data!J908&lt;=10,"6 TO 10","More than 10"))</f>
        <v>5</v>
      </c>
      <c r="G908" s="52" t="str">
        <f t="shared" si="14"/>
        <v>8+</v>
      </c>
      <c r="H908" s="52">
        <f>ROUND(Data!C908*Data!D908-Data!E908,2)</f>
        <v>0</v>
      </c>
      <c r="I908" s="52">
        <f>IF(AND(OR(Sel_Mode="All",Data!I908=Sel_Mode),OR(Sel_Gender="All",D908=Sel_Gender),OR(Sel_Category="All",Data!B908=Sel_Category),OR(Sel_Month="All",C908=Sel_Month),OR(Sel_County="All",Data!L908=Sel_County)),1,0)</f>
        <v>1</v>
      </c>
    </row>
    <row r="909" spans="1:9" x14ac:dyDescent="0.25">
      <c r="A909" s="52" t="str">
        <f>Data!A909</f>
        <v>TX500908</v>
      </c>
      <c r="B909" s="52">
        <f>MONTH(Data!F909)</f>
        <v>2</v>
      </c>
      <c r="C909" s="52" t="str">
        <f>TEXT(Data!F909,"mmm")</f>
        <v>Feb</v>
      </c>
      <c r="D909" s="52" t="str">
        <f>Data!O909</f>
        <v>Male</v>
      </c>
      <c r="E909" s="52">
        <f>Data!G909-Data!F909</f>
        <v>2</v>
      </c>
      <c r="F909" s="52">
        <f>IF(Data!J909&lt;=5,Data!J909,IF(Data!J909&lt;=10,"6 TO 10","More than 10"))</f>
        <v>3</v>
      </c>
      <c r="G909" s="52">
        <f t="shared" si="14"/>
        <v>2</v>
      </c>
      <c r="H909" s="52">
        <f>ROUND(Data!C909*Data!D909-Data!E909,2)</f>
        <v>0</v>
      </c>
      <c r="I909" s="52">
        <f>IF(AND(OR(Sel_Mode="All",Data!I909=Sel_Mode),OR(Sel_Gender="All",D909=Sel_Gender),OR(Sel_Category="All",Data!B909=Sel_Category),OR(Sel_Month="All",C909=Sel_Month),OR(Sel_County="All",Data!L909=Sel_County)),1,0)</f>
        <v>1</v>
      </c>
    </row>
    <row r="910" spans="1:9" x14ac:dyDescent="0.25">
      <c r="A910" s="52" t="str">
        <f>Data!A910</f>
        <v>TX500909</v>
      </c>
      <c r="B910" s="52">
        <f>MONTH(Data!F910)</f>
        <v>2</v>
      </c>
      <c r="C910" s="52" t="str">
        <f>TEXT(Data!F910,"mmm")</f>
        <v>Feb</v>
      </c>
      <c r="D910" s="52" t="str">
        <f>Data!O910</f>
        <v>Male</v>
      </c>
      <c r="E910" s="52">
        <f>Data!G910-Data!F910</f>
        <v>1</v>
      </c>
      <c r="F910" s="52">
        <f>IF(Data!J910&lt;=5,Data!J910,IF(Data!J910&lt;=10,"6 TO 10","More than 10"))</f>
        <v>3</v>
      </c>
      <c r="G910" s="52">
        <f t="shared" si="14"/>
        <v>1</v>
      </c>
      <c r="H910" s="52">
        <f>ROUND(Data!C910*Data!D910-Data!E910,2)</f>
        <v>0</v>
      </c>
      <c r="I910" s="52">
        <f>IF(AND(OR(Sel_Mode="All",Data!I910=Sel_Mode),OR(Sel_Gender="All",D910=Sel_Gender),OR(Sel_Category="All",Data!B910=Sel_Category),OR(Sel_Month="All",C910=Sel_Month),OR(Sel_County="All",Data!L910=Sel_County)),1,0)</f>
        <v>1</v>
      </c>
    </row>
    <row r="911" spans="1:9" x14ac:dyDescent="0.25">
      <c r="A911" s="52" t="str">
        <f>Data!A911</f>
        <v>TX500910</v>
      </c>
      <c r="B911" s="52">
        <f>MONTH(Data!F911)</f>
        <v>2</v>
      </c>
      <c r="C911" s="52" t="str">
        <f>TEXT(Data!F911,"mmm")</f>
        <v>Feb</v>
      </c>
      <c r="D911" s="52" t="str">
        <f>Data!O911</f>
        <v>Unknown</v>
      </c>
      <c r="E911" s="52">
        <f>Data!G911-Data!F911</f>
        <v>0</v>
      </c>
      <c r="F911" s="52">
        <f>IF(Data!J911&lt;=5,Data!J911,IF(Data!J911&lt;=10,"6 TO 10","More than 10"))</f>
        <v>5</v>
      </c>
      <c r="G911" s="52">
        <f t="shared" si="14"/>
        <v>0</v>
      </c>
      <c r="H911" s="52">
        <f>ROUND(Data!C911*Data!D911-Data!E911,2)</f>
        <v>0</v>
      </c>
      <c r="I911" s="52">
        <f>IF(AND(OR(Sel_Mode="All",Data!I911=Sel_Mode),OR(Sel_Gender="All",D911=Sel_Gender),OR(Sel_Category="All",Data!B911=Sel_Category),OR(Sel_Month="All",C911=Sel_Month),OR(Sel_County="All",Data!L911=Sel_County)),1,0)</f>
        <v>1</v>
      </c>
    </row>
    <row r="912" spans="1:9" x14ac:dyDescent="0.25">
      <c r="A912" s="52" t="str">
        <f>Data!A912</f>
        <v>TX500911</v>
      </c>
      <c r="B912" s="52">
        <f>MONTH(Data!F912)</f>
        <v>2</v>
      </c>
      <c r="C912" s="52" t="str">
        <f>TEXT(Data!F912,"mmm")</f>
        <v>Feb</v>
      </c>
      <c r="D912" s="52" t="str">
        <f>Data!O912</f>
        <v>Male</v>
      </c>
      <c r="E912" s="52">
        <f>Data!G912-Data!F912</f>
        <v>1</v>
      </c>
      <c r="F912" s="52">
        <f>IF(Data!J912&lt;=5,Data!J912,IF(Data!J912&lt;=10,"6 TO 10","More than 10"))</f>
        <v>3</v>
      </c>
      <c r="G912" s="52">
        <f t="shared" si="14"/>
        <v>1</v>
      </c>
      <c r="H912" s="52">
        <f>ROUND(Data!C912*Data!D912-Data!E912,2)</f>
        <v>0</v>
      </c>
      <c r="I912" s="52">
        <f>IF(AND(OR(Sel_Mode="All",Data!I912=Sel_Mode),OR(Sel_Gender="All",D912=Sel_Gender),OR(Sel_Category="All",Data!B912=Sel_Category),OR(Sel_Month="All",C912=Sel_Month),OR(Sel_County="All",Data!L912=Sel_County)),1,0)</f>
        <v>1</v>
      </c>
    </row>
    <row r="913" spans="1:9" x14ac:dyDescent="0.25">
      <c r="A913" s="52" t="str">
        <f>Data!A913</f>
        <v>TX500912</v>
      </c>
      <c r="B913" s="52">
        <f>MONTH(Data!F913)</f>
        <v>2</v>
      </c>
      <c r="C913" s="52" t="str">
        <f>TEXT(Data!F913,"mmm")</f>
        <v>Feb</v>
      </c>
      <c r="D913" s="52" t="str">
        <f>Data!O913</f>
        <v>Male</v>
      </c>
      <c r="E913" s="52">
        <f>Data!G913-Data!F913</f>
        <v>2</v>
      </c>
      <c r="F913" s="52">
        <f>IF(Data!J913&lt;=5,Data!J913,IF(Data!J913&lt;=10,"6 TO 10","More than 10"))</f>
        <v>3</v>
      </c>
      <c r="G913" s="52">
        <f t="shared" si="14"/>
        <v>2</v>
      </c>
      <c r="H913" s="52">
        <f>ROUND(Data!C913*Data!D913-Data!E913,2)</f>
        <v>0</v>
      </c>
      <c r="I913" s="52">
        <f>IF(AND(OR(Sel_Mode="All",Data!I913=Sel_Mode),OR(Sel_Gender="All",D913=Sel_Gender),OR(Sel_Category="All",Data!B913=Sel_Category),OR(Sel_Month="All",C913=Sel_Month),OR(Sel_County="All",Data!L913=Sel_County)),1,0)</f>
        <v>1</v>
      </c>
    </row>
    <row r="914" spans="1:9" x14ac:dyDescent="0.25">
      <c r="A914" s="52" t="str">
        <f>Data!A914</f>
        <v>TX500913</v>
      </c>
      <c r="B914" s="52">
        <f>MONTH(Data!F914)</f>
        <v>2</v>
      </c>
      <c r="C914" s="52" t="str">
        <f>TEXT(Data!F914,"mmm")</f>
        <v>Feb</v>
      </c>
      <c r="D914" s="52" t="str">
        <f>Data!O914</f>
        <v>Male</v>
      </c>
      <c r="E914" s="52">
        <f>Data!G914-Data!F914</f>
        <v>2</v>
      </c>
      <c r="F914" s="52">
        <f>IF(Data!J914&lt;=5,Data!J914,IF(Data!J914&lt;=10,"6 TO 10","More than 10"))</f>
        <v>4</v>
      </c>
      <c r="G914" s="52">
        <f t="shared" si="14"/>
        <v>2</v>
      </c>
      <c r="H914" s="52">
        <f>ROUND(Data!C914*Data!D914-Data!E914,2)</f>
        <v>0</v>
      </c>
      <c r="I914" s="52">
        <f>IF(AND(OR(Sel_Mode="All",Data!I914=Sel_Mode),OR(Sel_Gender="All",D914=Sel_Gender),OR(Sel_Category="All",Data!B914=Sel_Category),OR(Sel_Month="All",C914=Sel_Month),OR(Sel_County="All",Data!L914=Sel_County)),1,0)</f>
        <v>1</v>
      </c>
    </row>
    <row r="915" spans="1:9" x14ac:dyDescent="0.25">
      <c r="A915" s="52" t="str">
        <f>Data!A915</f>
        <v>TX500914</v>
      </c>
      <c r="B915" s="52">
        <f>MONTH(Data!F915)</f>
        <v>2</v>
      </c>
      <c r="C915" s="52" t="str">
        <f>TEXT(Data!F915,"mmm")</f>
        <v>Feb</v>
      </c>
      <c r="D915" s="52" t="str">
        <f>Data!O915</f>
        <v>Unknown</v>
      </c>
      <c r="E915" s="52">
        <f>Data!G915-Data!F915</f>
        <v>2</v>
      </c>
      <c r="F915" s="52">
        <f>IF(Data!J915&lt;=5,Data!J915,IF(Data!J915&lt;=10,"6 TO 10","More than 10"))</f>
        <v>3</v>
      </c>
      <c r="G915" s="52">
        <f t="shared" si="14"/>
        <v>2</v>
      </c>
      <c r="H915" s="52">
        <f>ROUND(Data!C915*Data!D915-Data!E915,2)</f>
        <v>0</v>
      </c>
      <c r="I915" s="52">
        <f>IF(AND(OR(Sel_Mode="All",Data!I915=Sel_Mode),OR(Sel_Gender="All",D915=Sel_Gender),OR(Sel_Category="All",Data!B915=Sel_Category),OR(Sel_Month="All",C915=Sel_Month),OR(Sel_County="All",Data!L915=Sel_County)),1,0)</f>
        <v>1</v>
      </c>
    </row>
    <row r="916" spans="1:9" x14ac:dyDescent="0.25">
      <c r="A916" s="52" t="str">
        <f>Data!A916</f>
        <v>TX500915</v>
      </c>
      <c r="B916" s="52">
        <f>MONTH(Data!F916)</f>
        <v>2</v>
      </c>
      <c r="C916" s="52" t="str">
        <f>TEXT(Data!F916,"mmm")</f>
        <v>Feb</v>
      </c>
      <c r="D916" s="52" t="str">
        <f>Data!O916</f>
        <v>Female</v>
      </c>
      <c r="E916" s="52">
        <f>Data!G916-Data!F916</f>
        <v>1</v>
      </c>
      <c r="F916" s="52">
        <f>IF(Data!J916&lt;=5,Data!J916,IF(Data!J916&lt;=10,"6 TO 10","More than 10"))</f>
        <v>5</v>
      </c>
      <c r="G916" s="52">
        <f t="shared" si="14"/>
        <v>1</v>
      </c>
      <c r="H916" s="52">
        <f>ROUND(Data!C916*Data!D916-Data!E916,2)</f>
        <v>0</v>
      </c>
      <c r="I916" s="52">
        <f>IF(AND(OR(Sel_Mode="All",Data!I916=Sel_Mode),OR(Sel_Gender="All",D916=Sel_Gender),OR(Sel_Category="All",Data!B916=Sel_Category),OR(Sel_Month="All",C916=Sel_Month),OR(Sel_County="All",Data!L916=Sel_County)),1,0)</f>
        <v>1</v>
      </c>
    </row>
    <row r="917" spans="1:9" x14ac:dyDescent="0.25">
      <c r="A917" s="52" t="str">
        <f>Data!A917</f>
        <v>TX500916</v>
      </c>
      <c r="B917" s="52">
        <f>MONTH(Data!F917)</f>
        <v>2</v>
      </c>
      <c r="C917" s="52" t="str">
        <f>TEXT(Data!F917,"mmm")</f>
        <v>Feb</v>
      </c>
      <c r="D917" s="52" t="str">
        <f>Data!O917</f>
        <v>Female</v>
      </c>
      <c r="E917" s="52">
        <f>Data!G917-Data!F917</f>
        <v>4</v>
      </c>
      <c r="F917" s="52">
        <f>IF(Data!J917&lt;=5,Data!J917,IF(Data!J917&lt;=10,"6 TO 10","More than 10"))</f>
        <v>3</v>
      </c>
      <c r="G917" s="52">
        <f t="shared" si="14"/>
        <v>4</v>
      </c>
      <c r="H917" s="52">
        <f>ROUND(Data!C917*Data!D917-Data!E917,2)</f>
        <v>0</v>
      </c>
      <c r="I917" s="52">
        <f>IF(AND(OR(Sel_Mode="All",Data!I917=Sel_Mode),OR(Sel_Gender="All",D917=Sel_Gender),OR(Sel_Category="All",Data!B917=Sel_Category),OR(Sel_Month="All",C917=Sel_Month),OR(Sel_County="All",Data!L917=Sel_County)),1,0)</f>
        <v>1</v>
      </c>
    </row>
    <row r="918" spans="1:9" x14ac:dyDescent="0.25">
      <c r="A918" s="52" t="str">
        <f>Data!A918</f>
        <v>TX500917</v>
      </c>
      <c r="B918" s="52">
        <f>MONTH(Data!F918)</f>
        <v>2</v>
      </c>
      <c r="C918" s="52" t="str">
        <f>TEXT(Data!F918,"mmm")</f>
        <v>Feb</v>
      </c>
      <c r="D918" s="52" t="str">
        <f>Data!O918</f>
        <v>Male</v>
      </c>
      <c r="E918" s="52">
        <f>Data!G918-Data!F918</f>
        <v>2</v>
      </c>
      <c r="F918" s="52">
        <f>IF(Data!J918&lt;=5,Data!J918,IF(Data!J918&lt;=10,"6 TO 10","More than 10"))</f>
        <v>3</v>
      </c>
      <c r="G918" s="52">
        <f t="shared" si="14"/>
        <v>2</v>
      </c>
      <c r="H918" s="52">
        <f>ROUND(Data!C918*Data!D918-Data!E918,2)</f>
        <v>0</v>
      </c>
      <c r="I918" s="52">
        <f>IF(AND(OR(Sel_Mode="All",Data!I918=Sel_Mode),OR(Sel_Gender="All",D918=Sel_Gender),OR(Sel_Category="All",Data!B918=Sel_Category),OR(Sel_Month="All",C918=Sel_Month),OR(Sel_County="All",Data!L918=Sel_County)),1,0)</f>
        <v>1</v>
      </c>
    </row>
    <row r="919" spans="1:9" x14ac:dyDescent="0.25">
      <c r="A919" s="52" t="str">
        <f>Data!A919</f>
        <v>TX500918</v>
      </c>
      <c r="B919" s="52">
        <f>MONTH(Data!F919)</f>
        <v>2</v>
      </c>
      <c r="C919" s="52" t="str">
        <f>TEXT(Data!F919,"mmm")</f>
        <v>Feb</v>
      </c>
      <c r="D919" s="52" t="str">
        <f>Data!O919</f>
        <v>Female</v>
      </c>
      <c r="E919" s="52">
        <f>Data!G919-Data!F919</f>
        <v>4</v>
      </c>
      <c r="F919" s="52">
        <f>IF(Data!J919&lt;=5,Data!J919,IF(Data!J919&lt;=10,"6 TO 10","More than 10"))</f>
        <v>2</v>
      </c>
      <c r="G919" s="52">
        <f t="shared" si="14"/>
        <v>4</v>
      </c>
      <c r="H919" s="52">
        <f>ROUND(Data!C919*Data!D919-Data!E919,2)</f>
        <v>0</v>
      </c>
      <c r="I919" s="52">
        <f>IF(AND(OR(Sel_Mode="All",Data!I919=Sel_Mode),OR(Sel_Gender="All",D919=Sel_Gender),OR(Sel_Category="All",Data!B919=Sel_Category),OR(Sel_Month="All",C919=Sel_Month),OR(Sel_County="All",Data!L919=Sel_County)),1,0)</f>
        <v>1</v>
      </c>
    </row>
    <row r="920" spans="1:9" x14ac:dyDescent="0.25">
      <c r="A920" s="52" t="str">
        <f>Data!A920</f>
        <v>TX500919</v>
      </c>
      <c r="B920" s="52">
        <f>MONTH(Data!F920)</f>
        <v>2</v>
      </c>
      <c r="C920" s="52" t="str">
        <f>TEXT(Data!F920,"mmm")</f>
        <v>Feb</v>
      </c>
      <c r="D920" s="52" t="str">
        <f>Data!O920</f>
        <v>Male</v>
      </c>
      <c r="E920" s="52">
        <f>Data!G920-Data!F920</f>
        <v>4</v>
      </c>
      <c r="F920" s="52">
        <f>IF(Data!J920&lt;=5,Data!J920,IF(Data!J920&lt;=10,"6 TO 10","More than 10"))</f>
        <v>4</v>
      </c>
      <c r="G920" s="52">
        <f t="shared" si="14"/>
        <v>4</v>
      </c>
      <c r="H920" s="52">
        <f>ROUND(Data!C920*Data!D920-Data!E920,2)</f>
        <v>0</v>
      </c>
      <c r="I920" s="52">
        <f>IF(AND(OR(Sel_Mode="All",Data!I920=Sel_Mode),OR(Sel_Gender="All",D920=Sel_Gender),OR(Sel_Category="All",Data!B920=Sel_Category),OR(Sel_Month="All",C920=Sel_Month),OR(Sel_County="All",Data!L920=Sel_County)),1,0)</f>
        <v>1</v>
      </c>
    </row>
    <row r="921" spans="1:9" x14ac:dyDescent="0.25">
      <c r="A921" s="52" t="str">
        <f>Data!A921</f>
        <v>TX500920</v>
      </c>
      <c r="B921" s="52">
        <f>MONTH(Data!F921)</f>
        <v>2</v>
      </c>
      <c r="C921" s="52" t="str">
        <f>TEXT(Data!F921,"mmm")</f>
        <v>Feb</v>
      </c>
      <c r="D921" s="52" t="str">
        <f>Data!O921</f>
        <v>Female</v>
      </c>
      <c r="E921" s="52">
        <f>Data!G921-Data!F921</f>
        <v>3</v>
      </c>
      <c r="F921" s="52">
        <f>IF(Data!J921&lt;=5,Data!J921,IF(Data!J921&lt;=10,"6 TO 10","More than 10"))</f>
        <v>4</v>
      </c>
      <c r="G921" s="52">
        <f t="shared" si="14"/>
        <v>3</v>
      </c>
      <c r="H921" s="52">
        <f>ROUND(Data!C921*Data!D921-Data!E921,2)</f>
        <v>0</v>
      </c>
      <c r="I921" s="52">
        <f>IF(AND(OR(Sel_Mode="All",Data!I921=Sel_Mode),OR(Sel_Gender="All",D921=Sel_Gender),OR(Sel_Category="All",Data!B921=Sel_Category),OR(Sel_Month="All",C921=Sel_Month),OR(Sel_County="All",Data!L921=Sel_County)),1,0)</f>
        <v>1</v>
      </c>
    </row>
    <row r="922" spans="1:9" x14ac:dyDescent="0.25">
      <c r="A922" s="52" t="str">
        <f>Data!A922</f>
        <v>TX500921</v>
      </c>
      <c r="B922" s="52">
        <f>MONTH(Data!F922)</f>
        <v>2</v>
      </c>
      <c r="C922" s="52" t="str">
        <f>TEXT(Data!F922,"mmm")</f>
        <v>Feb</v>
      </c>
      <c r="D922" s="52" t="str">
        <f>Data!O922</f>
        <v>Unknown</v>
      </c>
      <c r="E922" s="52">
        <f>Data!G922-Data!F922</f>
        <v>1</v>
      </c>
      <c r="F922" s="52">
        <f>IF(Data!J922&lt;=5,Data!J922,IF(Data!J922&lt;=10,"6 TO 10","More than 10"))</f>
        <v>3</v>
      </c>
      <c r="G922" s="52">
        <f t="shared" si="14"/>
        <v>1</v>
      </c>
      <c r="H922" s="52">
        <f>ROUND(Data!C922*Data!D922-Data!E922,2)</f>
        <v>0</v>
      </c>
      <c r="I922" s="52">
        <f>IF(AND(OR(Sel_Mode="All",Data!I922=Sel_Mode),OR(Sel_Gender="All",D922=Sel_Gender),OR(Sel_Category="All",Data!B922=Sel_Category),OR(Sel_Month="All",C922=Sel_Month),OR(Sel_County="All",Data!L922=Sel_County)),1,0)</f>
        <v>1</v>
      </c>
    </row>
    <row r="923" spans="1:9" x14ac:dyDescent="0.25">
      <c r="A923" s="52" t="str">
        <f>Data!A923</f>
        <v>TX500922</v>
      </c>
      <c r="B923" s="52">
        <f>MONTH(Data!F923)</f>
        <v>2</v>
      </c>
      <c r="C923" s="52" t="str">
        <f>TEXT(Data!F923,"mmm")</f>
        <v>Feb</v>
      </c>
      <c r="D923" s="52" t="str">
        <f>Data!O923</f>
        <v>Other</v>
      </c>
      <c r="E923" s="52">
        <f>Data!G923-Data!F923</f>
        <v>2</v>
      </c>
      <c r="F923" s="52">
        <f>IF(Data!J923&lt;=5,Data!J923,IF(Data!J923&lt;=10,"6 TO 10","More than 10"))</f>
        <v>5</v>
      </c>
      <c r="G923" s="52">
        <f t="shared" si="14"/>
        <v>2</v>
      </c>
      <c r="H923" s="52">
        <f>ROUND(Data!C923*Data!D923-Data!E923,2)</f>
        <v>0</v>
      </c>
      <c r="I923" s="52">
        <f>IF(AND(OR(Sel_Mode="All",Data!I923=Sel_Mode),OR(Sel_Gender="All",D923=Sel_Gender),OR(Sel_Category="All",Data!B923=Sel_Category),OR(Sel_Month="All",C923=Sel_Month),OR(Sel_County="All",Data!L923=Sel_County)),1,0)</f>
        <v>1</v>
      </c>
    </row>
    <row r="924" spans="1:9" x14ac:dyDescent="0.25">
      <c r="A924" s="52" t="str">
        <f>Data!A924</f>
        <v>TX500923</v>
      </c>
      <c r="B924" s="52">
        <f>MONTH(Data!F924)</f>
        <v>2</v>
      </c>
      <c r="C924" s="52" t="str">
        <f>TEXT(Data!F924,"mmm")</f>
        <v>Feb</v>
      </c>
      <c r="D924" s="52" t="str">
        <f>Data!O924</f>
        <v>Female</v>
      </c>
      <c r="E924" s="52">
        <f>Data!G924-Data!F924</f>
        <v>5</v>
      </c>
      <c r="F924" s="52">
        <f>IF(Data!J924&lt;=5,Data!J924,IF(Data!J924&lt;=10,"6 TO 10","More than 10"))</f>
        <v>5</v>
      </c>
      <c r="G924" s="52">
        <f t="shared" si="14"/>
        <v>5</v>
      </c>
      <c r="H924" s="52">
        <f>ROUND(Data!C924*Data!D924-Data!E924,2)</f>
        <v>0</v>
      </c>
      <c r="I924" s="52">
        <f>IF(AND(OR(Sel_Mode="All",Data!I924=Sel_Mode),OR(Sel_Gender="All",D924=Sel_Gender),OR(Sel_Category="All",Data!B924=Sel_Category),OR(Sel_Month="All",C924=Sel_Month),OR(Sel_County="All",Data!L924=Sel_County)),1,0)</f>
        <v>1</v>
      </c>
    </row>
    <row r="925" spans="1:9" x14ac:dyDescent="0.25">
      <c r="A925" s="52" t="str">
        <f>Data!A925</f>
        <v>TX500924</v>
      </c>
      <c r="B925" s="52">
        <f>MONTH(Data!F925)</f>
        <v>2</v>
      </c>
      <c r="C925" s="52" t="str">
        <f>TEXT(Data!F925,"mmm")</f>
        <v>Feb</v>
      </c>
      <c r="D925" s="52" t="str">
        <f>Data!O925</f>
        <v>Female</v>
      </c>
      <c r="E925" s="52">
        <f>Data!G925-Data!F925</f>
        <v>2</v>
      </c>
      <c r="F925" s="52">
        <f>IF(Data!J925&lt;=5,Data!J925,IF(Data!J925&lt;=10,"6 TO 10","More than 10"))</f>
        <v>5</v>
      </c>
      <c r="G925" s="52">
        <f t="shared" si="14"/>
        <v>2</v>
      </c>
      <c r="H925" s="52">
        <f>ROUND(Data!C925*Data!D925-Data!E925,2)</f>
        <v>0</v>
      </c>
      <c r="I925" s="52">
        <f>IF(AND(OR(Sel_Mode="All",Data!I925=Sel_Mode),OR(Sel_Gender="All",D925=Sel_Gender),OR(Sel_Category="All",Data!B925=Sel_Category),OR(Sel_Month="All",C925=Sel_Month),OR(Sel_County="All",Data!L925=Sel_County)),1,0)</f>
        <v>1</v>
      </c>
    </row>
    <row r="926" spans="1:9" x14ac:dyDescent="0.25">
      <c r="A926" s="52" t="str">
        <f>Data!A926</f>
        <v>TX500925</v>
      </c>
      <c r="B926" s="52">
        <f>MONTH(Data!F926)</f>
        <v>2</v>
      </c>
      <c r="C926" s="52" t="str">
        <f>TEXT(Data!F926,"mmm")</f>
        <v>Feb</v>
      </c>
      <c r="D926" s="52" t="str">
        <f>Data!O926</f>
        <v>Male</v>
      </c>
      <c r="E926" s="52">
        <f>Data!G926-Data!F926</f>
        <v>4</v>
      </c>
      <c r="F926" s="52">
        <f>IF(Data!J926&lt;=5,Data!J926,IF(Data!J926&lt;=10,"6 TO 10","More than 10"))</f>
        <v>5</v>
      </c>
      <c r="G926" s="52">
        <f t="shared" si="14"/>
        <v>4</v>
      </c>
      <c r="H926" s="52">
        <f>ROUND(Data!C926*Data!D926-Data!E926,2)</f>
        <v>0</v>
      </c>
      <c r="I926" s="52">
        <f>IF(AND(OR(Sel_Mode="All",Data!I926=Sel_Mode),OR(Sel_Gender="All",D926=Sel_Gender),OR(Sel_Category="All",Data!B926=Sel_Category),OR(Sel_Month="All",C926=Sel_Month),OR(Sel_County="All",Data!L926=Sel_County)),1,0)</f>
        <v>1</v>
      </c>
    </row>
    <row r="927" spans="1:9" x14ac:dyDescent="0.25">
      <c r="A927" s="52" t="str">
        <f>Data!A927</f>
        <v>TX500926</v>
      </c>
      <c r="B927" s="52">
        <f>MONTH(Data!F927)</f>
        <v>2</v>
      </c>
      <c r="C927" s="52" t="str">
        <f>TEXT(Data!F927,"mmm")</f>
        <v>Feb</v>
      </c>
      <c r="D927" s="52" t="str">
        <f>Data!O927</f>
        <v>Unknown</v>
      </c>
      <c r="E927" s="52">
        <f>Data!G927-Data!F927</f>
        <v>2</v>
      </c>
      <c r="F927" s="52">
        <f>IF(Data!J927&lt;=5,Data!J927,IF(Data!J927&lt;=10,"6 TO 10","More than 10"))</f>
        <v>3</v>
      </c>
      <c r="G927" s="52">
        <f t="shared" si="14"/>
        <v>2</v>
      </c>
      <c r="H927" s="52">
        <f>ROUND(Data!C927*Data!D927-Data!E927,2)</f>
        <v>0</v>
      </c>
      <c r="I927" s="52">
        <f>IF(AND(OR(Sel_Mode="All",Data!I927=Sel_Mode),OR(Sel_Gender="All",D927=Sel_Gender),OR(Sel_Category="All",Data!B927=Sel_Category),OR(Sel_Month="All",C927=Sel_Month),OR(Sel_County="All",Data!L927=Sel_County)),1,0)</f>
        <v>1</v>
      </c>
    </row>
    <row r="928" spans="1:9" x14ac:dyDescent="0.25">
      <c r="A928" s="52" t="str">
        <f>Data!A928</f>
        <v>TX500927</v>
      </c>
      <c r="B928" s="52">
        <f>MONTH(Data!F928)</f>
        <v>2</v>
      </c>
      <c r="C928" s="52" t="str">
        <f>TEXT(Data!F928,"mmm")</f>
        <v>Feb</v>
      </c>
      <c r="D928" s="52" t="str">
        <f>Data!O928</f>
        <v>Female</v>
      </c>
      <c r="E928" s="52">
        <f>Data!G928-Data!F928</f>
        <v>2</v>
      </c>
      <c r="F928" s="52">
        <f>IF(Data!J928&lt;=5,Data!J928,IF(Data!J928&lt;=10,"6 TO 10","More than 10"))</f>
        <v>4</v>
      </c>
      <c r="G928" s="52">
        <f t="shared" si="14"/>
        <v>2</v>
      </c>
      <c r="H928" s="52">
        <f>ROUND(Data!C928*Data!D928-Data!E928,2)</f>
        <v>0</v>
      </c>
      <c r="I928" s="52">
        <f>IF(AND(OR(Sel_Mode="All",Data!I928=Sel_Mode),OR(Sel_Gender="All",D928=Sel_Gender),OR(Sel_Category="All",Data!B928=Sel_Category),OR(Sel_Month="All",C928=Sel_Month),OR(Sel_County="All",Data!L928=Sel_County)),1,0)</f>
        <v>1</v>
      </c>
    </row>
    <row r="929" spans="1:9" x14ac:dyDescent="0.25">
      <c r="A929" s="52" t="str">
        <f>Data!A929</f>
        <v>TX500928</v>
      </c>
      <c r="B929" s="52">
        <f>MONTH(Data!F929)</f>
        <v>2</v>
      </c>
      <c r="C929" s="52" t="str">
        <f>TEXT(Data!F929,"mmm")</f>
        <v>Feb</v>
      </c>
      <c r="D929" s="52" t="str">
        <f>Data!O929</f>
        <v>Female</v>
      </c>
      <c r="E929" s="52">
        <f>Data!G929-Data!F929</f>
        <v>2</v>
      </c>
      <c r="F929" s="52">
        <f>IF(Data!J929&lt;=5,Data!J929,IF(Data!J929&lt;=10,"6 TO 10","More than 10"))</f>
        <v>4</v>
      </c>
      <c r="G929" s="52">
        <f t="shared" si="14"/>
        <v>2</v>
      </c>
      <c r="H929" s="52">
        <f>ROUND(Data!C929*Data!D929-Data!E929,2)</f>
        <v>0</v>
      </c>
      <c r="I929" s="52">
        <f>IF(AND(OR(Sel_Mode="All",Data!I929=Sel_Mode),OR(Sel_Gender="All",D929=Sel_Gender),OR(Sel_Category="All",Data!B929=Sel_Category),OR(Sel_Month="All",C929=Sel_Month),OR(Sel_County="All",Data!L929=Sel_County)),1,0)</f>
        <v>1</v>
      </c>
    </row>
    <row r="930" spans="1:9" x14ac:dyDescent="0.25">
      <c r="A930" s="52" t="str">
        <f>Data!A930</f>
        <v>TX500929</v>
      </c>
      <c r="B930" s="52">
        <f>MONTH(Data!F930)</f>
        <v>2</v>
      </c>
      <c r="C930" s="52" t="str">
        <f>TEXT(Data!F930,"mmm")</f>
        <v>Feb</v>
      </c>
      <c r="D930" s="52" t="str">
        <f>Data!O930</f>
        <v>Female</v>
      </c>
      <c r="E930" s="52">
        <f>Data!G930-Data!F930</f>
        <v>2</v>
      </c>
      <c r="F930" s="52">
        <f>IF(Data!J930&lt;=5,Data!J930,IF(Data!J930&lt;=10,"6 TO 10","More than 10"))</f>
        <v>5</v>
      </c>
      <c r="G930" s="52">
        <f t="shared" si="14"/>
        <v>2</v>
      </c>
      <c r="H930" s="52">
        <f>ROUND(Data!C930*Data!D930-Data!E930,2)</f>
        <v>0</v>
      </c>
      <c r="I930" s="52">
        <f>IF(AND(OR(Sel_Mode="All",Data!I930=Sel_Mode),OR(Sel_Gender="All",D930=Sel_Gender),OR(Sel_Category="All",Data!B930=Sel_Category),OR(Sel_Month="All",C930=Sel_Month),OR(Sel_County="All",Data!L930=Sel_County)),1,0)</f>
        <v>1</v>
      </c>
    </row>
    <row r="931" spans="1:9" x14ac:dyDescent="0.25">
      <c r="A931" s="52" t="str">
        <f>Data!A931</f>
        <v>TX500930</v>
      </c>
      <c r="B931" s="52">
        <f>MONTH(Data!F931)</f>
        <v>2</v>
      </c>
      <c r="C931" s="52" t="str">
        <f>TEXT(Data!F931,"mmm")</f>
        <v>Feb</v>
      </c>
      <c r="D931" s="52" t="str">
        <f>Data!O931</f>
        <v>Female</v>
      </c>
      <c r="E931" s="52">
        <f>Data!G931-Data!F931</f>
        <v>8</v>
      </c>
      <c r="F931" s="52">
        <f>IF(Data!J931&lt;=5,Data!J931,IF(Data!J931&lt;=10,"6 TO 10","More than 10"))</f>
        <v>3</v>
      </c>
      <c r="G931" s="52" t="str">
        <f t="shared" si="14"/>
        <v>8+</v>
      </c>
      <c r="H931" s="52">
        <f>ROUND(Data!C931*Data!D931-Data!E931,2)</f>
        <v>0</v>
      </c>
      <c r="I931" s="52">
        <f>IF(AND(OR(Sel_Mode="All",Data!I931=Sel_Mode),OR(Sel_Gender="All",D931=Sel_Gender),OR(Sel_Category="All",Data!B931=Sel_Category),OR(Sel_Month="All",C931=Sel_Month),OR(Sel_County="All",Data!L931=Sel_County)),1,0)</f>
        <v>1</v>
      </c>
    </row>
    <row r="932" spans="1:9" x14ac:dyDescent="0.25">
      <c r="A932" s="52" t="str">
        <f>Data!A932</f>
        <v>TX500931</v>
      </c>
      <c r="B932" s="52">
        <f>MONTH(Data!F932)</f>
        <v>2</v>
      </c>
      <c r="C932" s="52" t="str">
        <f>TEXT(Data!F932,"mmm")</f>
        <v>Feb</v>
      </c>
      <c r="D932" s="52" t="str">
        <f>Data!O932</f>
        <v>Female</v>
      </c>
      <c r="E932" s="52">
        <f>Data!G932-Data!F932</f>
        <v>0</v>
      </c>
      <c r="F932" s="52">
        <f>IF(Data!J932&lt;=5,Data!J932,IF(Data!J932&lt;=10,"6 TO 10","More than 10"))</f>
        <v>3</v>
      </c>
      <c r="G932" s="52">
        <f t="shared" si="14"/>
        <v>0</v>
      </c>
      <c r="H932" s="52">
        <f>ROUND(Data!C932*Data!D932-Data!E932,2)</f>
        <v>0</v>
      </c>
      <c r="I932" s="52">
        <f>IF(AND(OR(Sel_Mode="All",Data!I932=Sel_Mode),OR(Sel_Gender="All",D932=Sel_Gender),OR(Sel_Category="All",Data!B932=Sel_Category),OR(Sel_Month="All",C932=Sel_Month),OR(Sel_County="All",Data!L932=Sel_County)),1,0)</f>
        <v>1</v>
      </c>
    </row>
    <row r="933" spans="1:9" x14ac:dyDescent="0.25">
      <c r="A933" s="52" t="str">
        <f>Data!A933</f>
        <v>TX500932</v>
      </c>
      <c r="B933" s="52">
        <f>MONTH(Data!F933)</f>
        <v>2</v>
      </c>
      <c r="C933" s="52" t="str">
        <f>TEXT(Data!F933,"mmm")</f>
        <v>Feb</v>
      </c>
      <c r="D933" s="52" t="str">
        <f>Data!O933</f>
        <v>Male</v>
      </c>
      <c r="E933" s="52">
        <f>Data!G933-Data!F933</f>
        <v>1</v>
      </c>
      <c r="F933" s="52">
        <f>IF(Data!J933&lt;=5,Data!J933,IF(Data!J933&lt;=10,"6 TO 10","More than 10"))</f>
        <v>5</v>
      </c>
      <c r="G933" s="52">
        <f t="shared" si="14"/>
        <v>1</v>
      </c>
      <c r="H933" s="52">
        <f>ROUND(Data!C933*Data!D933-Data!E933,2)</f>
        <v>0</v>
      </c>
      <c r="I933" s="52">
        <f>IF(AND(OR(Sel_Mode="All",Data!I933=Sel_Mode),OR(Sel_Gender="All",D933=Sel_Gender),OR(Sel_Category="All",Data!B933=Sel_Category),OR(Sel_Month="All",C933=Sel_Month),OR(Sel_County="All",Data!L933=Sel_County)),1,0)</f>
        <v>1</v>
      </c>
    </row>
    <row r="934" spans="1:9" x14ac:dyDescent="0.25">
      <c r="A934" s="52" t="str">
        <f>Data!A934</f>
        <v>TX500933</v>
      </c>
      <c r="B934" s="52">
        <f>MONTH(Data!F934)</f>
        <v>2</v>
      </c>
      <c r="C934" s="52" t="str">
        <f>TEXT(Data!F934,"mmm")</f>
        <v>Feb</v>
      </c>
      <c r="D934" s="52" t="str">
        <f>Data!O934</f>
        <v>Female</v>
      </c>
      <c r="E934" s="52">
        <f>Data!G934-Data!F934</f>
        <v>1</v>
      </c>
      <c r="F934" s="52">
        <f>IF(Data!J934&lt;=5,Data!J934,IF(Data!J934&lt;=10,"6 TO 10","More than 10"))</f>
        <v>3</v>
      </c>
      <c r="G934" s="52">
        <f t="shared" si="14"/>
        <v>1</v>
      </c>
      <c r="H934" s="52">
        <f>ROUND(Data!C934*Data!D934-Data!E934,2)</f>
        <v>0</v>
      </c>
      <c r="I934" s="52">
        <f>IF(AND(OR(Sel_Mode="All",Data!I934=Sel_Mode),OR(Sel_Gender="All",D934=Sel_Gender),OR(Sel_Category="All",Data!B934=Sel_Category),OR(Sel_Month="All",C934=Sel_Month),OR(Sel_County="All",Data!L934=Sel_County)),1,0)</f>
        <v>1</v>
      </c>
    </row>
    <row r="935" spans="1:9" x14ac:dyDescent="0.25">
      <c r="A935" s="52" t="str">
        <f>Data!A935</f>
        <v>TX500934</v>
      </c>
      <c r="B935" s="52">
        <f>MONTH(Data!F935)</f>
        <v>2</v>
      </c>
      <c r="C935" s="52" t="str">
        <f>TEXT(Data!F935,"mmm")</f>
        <v>Feb</v>
      </c>
      <c r="D935" s="52" t="str">
        <f>Data!O935</f>
        <v>Female</v>
      </c>
      <c r="E935" s="52">
        <f>Data!G935-Data!F935</f>
        <v>3</v>
      </c>
      <c r="F935" s="52">
        <f>IF(Data!J935&lt;=5,Data!J935,IF(Data!J935&lt;=10,"6 TO 10","More than 10"))</f>
        <v>5</v>
      </c>
      <c r="G935" s="52">
        <f t="shared" si="14"/>
        <v>3</v>
      </c>
      <c r="H935" s="52">
        <f>ROUND(Data!C935*Data!D935-Data!E935,2)</f>
        <v>0</v>
      </c>
      <c r="I935" s="52">
        <f>IF(AND(OR(Sel_Mode="All",Data!I935=Sel_Mode),OR(Sel_Gender="All",D935=Sel_Gender),OR(Sel_Category="All",Data!B935=Sel_Category),OR(Sel_Month="All",C935=Sel_Month),OR(Sel_County="All",Data!L935=Sel_County)),1,0)</f>
        <v>1</v>
      </c>
    </row>
    <row r="936" spans="1:9" x14ac:dyDescent="0.25">
      <c r="A936" s="52" t="str">
        <f>Data!A936</f>
        <v>TX500935</v>
      </c>
      <c r="B936" s="52">
        <f>MONTH(Data!F936)</f>
        <v>2</v>
      </c>
      <c r="C936" s="52" t="str">
        <f>TEXT(Data!F936,"mmm")</f>
        <v>Feb</v>
      </c>
      <c r="D936" s="52" t="str">
        <f>Data!O936</f>
        <v>Male</v>
      </c>
      <c r="E936" s="52">
        <f>Data!G936-Data!F936</f>
        <v>7</v>
      </c>
      <c r="F936" s="52">
        <f>IF(Data!J936&lt;=5,Data!J936,IF(Data!J936&lt;=10,"6 TO 10","More than 10"))</f>
        <v>4</v>
      </c>
      <c r="G936" s="52">
        <f t="shared" si="14"/>
        <v>7</v>
      </c>
      <c r="H936" s="52">
        <f>ROUND(Data!C936*Data!D936-Data!E936,2)</f>
        <v>0</v>
      </c>
      <c r="I936" s="52">
        <f>IF(AND(OR(Sel_Mode="All",Data!I936=Sel_Mode),OR(Sel_Gender="All",D936=Sel_Gender),OR(Sel_Category="All",Data!B936=Sel_Category),OR(Sel_Month="All",C936=Sel_Month),OR(Sel_County="All",Data!L936=Sel_County)),1,0)</f>
        <v>1</v>
      </c>
    </row>
    <row r="937" spans="1:9" x14ac:dyDescent="0.25">
      <c r="A937" s="52" t="str">
        <f>Data!A937</f>
        <v>TX500936</v>
      </c>
      <c r="B937" s="52">
        <f>MONTH(Data!F937)</f>
        <v>2</v>
      </c>
      <c r="C937" s="52" t="str">
        <f>TEXT(Data!F937,"mmm")</f>
        <v>Feb</v>
      </c>
      <c r="D937" s="52" t="str">
        <f>Data!O937</f>
        <v>Female</v>
      </c>
      <c r="E937" s="52">
        <f>Data!G937-Data!F937</f>
        <v>4</v>
      </c>
      <c r="F937" s="52">
        <f>IF(Data!J937&lt;=5,Data!J937,IF(Data!J937&lt;=10,"6 TO 10","More than 10"))</f>
        <v>4</v>
      </c>
      <c r="G937" s="52">
        <f t="shared" si="14"/>
        <v>4</v>
      </c>
      <c r="H937" s="52">
        <f>ROUND(Data!C937*Data!D937-Data!E937,2)</f>
        <v>0</v>
      </c>
      <c r="I937" s="52">
        <f>IF(AND(OR(Sel_Mode="All",Data!I937=Sel_Mode),OR(Sel_Gender="All",D937=Sel_Gender),OR(Sel_Category="All",Data!B937=Sel_Category),OR(Sel_Month="All",C937=Sel_Month),OR(Sel_County="All",Data!L937=Sel_County)),1,0)</f>
        <v>1</v>
      </c>
    </row>
    <row r="938" spans="1:9" x14ac:dyDescent="0.25">
      <c r="A938" s="52" t="str">
        <f>Data!A938</f>
        <v>TX500937</v>
      </c>
      <c r="B938" s="52">
        <f>MONTH(Data!F938)</f>
        <v>2</v>
      </c>
      <c r="C938" s="52" t="str">
        <f>TEXT(Data!F938,"mmm")</f>
        <v>Feb</v>
      </c>
      <c r="D938" s="52" t="str">
        <f>Data!O938</f>
        <v>Male</v>
      </c>
      <c r="E938" s="52">
        <f>Data!G938-Data!F938</f>
        <v>2</v>
      </c>
      <c r="F938" s="52">
        <f>IF(Data!J938&lt;=5,Data!J938,IF(Data!J938&lt;=10,"6 TO 10","More than 10"))</f>
        <v>4</v>
      </c>
      <c r="G938" s="52">
        <f t="shared" si="14"/>
        <v>2</v>
      </c>
      <c r="H938" s="52">
        <f>ROUND(Data!C938*Data!D938-Data!E938,2)</f>
        <v>0</v>
      </c>
      <c r="I938" s="52">
        <f>IF(AND(OR(Sel_Mode="All",Data!I938=Sel_Mode),OR(Sel_Gender="All",D938=Sel_Gender),OR(Sel_Category="All",Data!B938=Sel_Category),OR(Sel_Month="All",C938=Sel_Month),OR(Sel_County="All",Data!L938=Sel_County)),1,0)</f>
        <v>1</v>
      </c>
    </row>
    <row r="939" spans="1:9" x14ac:dyDescent="0.25">
      <c r="A939" s="52" t="str">
        <f>Data!A939</f>
        <v>TX500938</v>
      </c>
      <c r="B939" s="52">
        <f>MONTH(Data!F939)</f>
        <v>2</v>
      </c>
      <c r="C939" s="52" t="str">
        <f>TEXT(Data!F939,"mmm")</f>
        <v>Feb</v>
      </c>
      <c r="D939" s="52" t="str">
        <f>Data!O939</f>
        <v>Male</v>
      </c>
      <c r="E939" s="52">
        <f>Data!G939-Data!F939</f>
        <v>3</v>
      </c>
      <c r="F939" s="52">
        <f>IF(Data!J939&lt;=5,Data!J939,IF(Data!J939&lt;=10,"6 TO 10","More than 10"))</f>
        <v>5</v>
      </c>
      <c r="G939" s="52">
        <f t="shared" si="14"/>
        <v>3</v>
      </c>
      <c r="H939" s="52">
        <f>ROUND(Data!C939*Data!D939-Data!E939,2)</f>
        <v>0</v>
      </c>
      <c r="I939" s="52">
        <f>IF(AND(OR(Sel_Mode="All",Data!I939=Sel_Mode),OR(Sel_Gender="All",D939=Sel_Gender),OR(Sel_Category="All",Data!B939=Sel_Category),OR(Sel_Month="All",C939=Sel_Month),OR(Sel_County="All",Data!L939=Sel_County)),1,0)</f>
        <v>1</v>
      </c>
    </row>
    <row r="940" spans="1:9" x14ac:dyDescent="0.25">
      <c r="A940" s="52" t="str">
        <f>Data!A940</f>
        <v>TX500939</v>
      </c>
      <c r="B940" s="52">
        <f>MONTH(Data!F940)</f>
        <v>2</v>
      </c>
      <c r="C940" s="52" t="str">
        <f>TEXT(Data!F940,"mmm")</f>
        <v>Feb</v>
      </c>
      <c r="D940" s="52" t="str">
        <f>Data!O940</f>
        <v>Female</v>
      </c>
      <c r="E940" s="52">
        <f>Data!G940-Data!F940</f>
        <v>1</v>
      </c>
      <c r="F940" s="52">
        <f>IF(Data!J940&lt;=5,Data!J940,IF(Data!J940&lt;=10,"6 TO 10","More than 10"))</f>
        <v>4</v>
      </c>
      <c r="G940" s="52">
        <f t="shared" si="14"/>
        <v>1</v>
      </c>
      <c r="H940" s="52">
        <f>ROUND(Data!C940*Data!D940-Data!E940,2)</f>
        <v>0</v>
      </c>
      <c r="I940" s="52">
        <f>IF(AND(OR(Sel_Mode="All",Data!I940=Sel_Mode),OR(Sel_Gender="All",D940=Sel_Gender),OR(Sel_Category="All",Data!B940=Sel_Category),OR(Sel_Month="All",C940=Sel_Month),OR(Sel_County="All",Data!L940=Sel_County)),1,0)</f>
        <v>1</v>
      </c>
    </row>
    <row r="941" spans="1:9" x14ac:dyDescent="0.25">
      <c r="A941" s="52" t="str">
        <f>Data!A941</f>
        <v>TX500940</v>
      </c>
      <c r="B941" s="52">
        <f>MONTH(Data!F941)</f>
        <v>2</v>
      </c>
      <c r="C941" s="52" t="str">
        <f>TEXT(Data!F941,"mmm")</f>
        <v>Feb</v>
      </c>
      <c r="D941" s="52" t="str">
        <f>Data!O941</f>
        <v>Female</v>
      </c>
      <c r="E941" s="52">
        <f>Data!G941-Data!F941</f>
        <v>2</v>
      </c>
      <c r="F941" s="52">
        <f>IF(Data!J941&lt;=5,Data!J941,IF(Data!J941&lt;=10,"6 TO 10","More than 10"))</f>
        <v>3</v>
      </c>
      <c r="G941" s="52">
        <f t="shared" si="14"/>
        <v>2</v>
      </c>
      <c r="H941" s="52">
        <f>ROUND(Data!C941*Data!D941-Data!E941,2)</f>
        <v>0</v>
      </c>
      <c r="I941" s="52">
        <f>IF(AND(OR(Sel_Mode="All",Data!I941=Sel_Mode),OR(Sel_Gender="All",D941=Sel_Gender),OR(Sel_Category="All",Data!B941=Sel_Category),OR(Sel_Month="All",C941=Sel_Month),OR(Sel_County="All",Data!L941=Sel_County)),1,0)</f>
        <v>1</v>
      </c>
    </row>
    <row r="942" spans="1:9" x14ac:dyDescent="0.25">
      <c r="A942" s="52" t="str">
        <f>Data!A942</f>
        <v>TX500941</v>
      </c>
      <c r="B942" s="52">
        <f>MONTH(Data!F942)</f>
        <v>2</v>
      </c>
      <c r="C942" s="52" t="str">
        <f>TEXT(Data!F942,"mmm")</f>
        <v>Feb</v>
      </c>
      <c r="D942" s="52" t="str">
        <f>Data!O942</f>
        <v>Male</v>
      </c>
      <c r="E942" s="52">
        <f>Data!G942-Data!F942</f>
        <v>2</v>
      </c>
      <c r="F942" s="52">
        <f>IF(Data!J942&lt;=5,Data!J942,IF(Data!J942&lt;=10,"6 TO 10","More than 10"))</f>
        <v>3</v>
      </c>
      <c r="G942" s="52">
        <f t="shared" si="14"/>
        <v>2</v>
      </c>
      <c r="H942" s="52">
        <f>ROUND(Data!C942*Data!D942-Data!E942,2)</f>
        <v>0</v>
      </c>
      <c r="I942" s="52">
        <f>IF(AND(OR(Sel_Mode="All",Data!I942=Sel_Mode),OR(Sel_Gender="All",D942=Sel_Gender),OR(Sel_Category="All",Data!B942=Sel_Category),OR(Sel_Month="All",C942=Sel_Month),OR(Sel_County="All",Data!L942=Sel_County)),1,0)</f>
        <v>1</v>
      </c>
    </row>
    <row r="943" spans="1:9" x14ac:dyDescent="0.25">
      <c r="A943" s="52" t="str">
        <f>Data!A943</f>
        <v>TX500942</v>
      </c>
      <c r="B943" s="52">
        <f>MONTH(Data!F943)</f>
        <v>2</v>
      </c>
      <c r="C943" s="52" t="str">
        <f>TEXT(Data!F943,"mmm")</f>
        <v>Feb</v>
      </c>
      <c r="D943" s="52" t="str">
        <f>Data!O943</f>
        <v>Male</v>
      </c>
      <c r="E943" s="52">
        <f>Data!G943-Data!F943</f>
        <v>4</v>
      </c>
      <c r="F943" s="52">
        <f>IF(Data!J943&lt;=5,Data!J943,IF(Data!J943&lt;=10,"6 TO 10","More than 10"))</f>
        <v>5</v>
      </c>
      <c r="G943" s="52">
        <f t="shared" si="14"/>
        <v>4</v>
      </c>
      <c r="H943" s="52">
        <f>ROUND(Data!C943*Data!D943-Data!E943,2)</f>
        <v>0</v>
      </c>
      <c r="I943" s="52">
        <f>IF(AND(OR(Sel_Mode="All",Data!I943=Sel_Mode),OR(Sel_Gender="All",D943=Sel_Gender),OR(Sel_Category="All",Data!B943=Sel_Category),OR(Sel_Month="All",C943=Sel_Month),OR(Sel_County="All",Data!L943=Sel_County)),1,0)</f>
        <v>1</v>
      </c>
    </row>
    <row r="944" spans="1:9" x14ac:dyDescent="0.25">
      <c r="A944" s="52" t="str">
        <f>Data!A944</f>
        <v>TX500943</v>
      </c>
      <c r="B944" s="52">
        <f>MONTH(Data!F944)</f>
        <v>2</v>
      </c>
      <c r="C944" s="52" t="str">
        <f>TEXT(Data!F944,"mmm")</f>
        <v>Feb</v>
      </c>
      <c r="D944" s="52" t="str">
        <f>Data!O944</f>
        <v>Unknown</v>
      </c>
      <c r="E944" s="52">
        <f>Data!G944-Data!F944</f>
        <v>2</v>
      </c>
      <c r="F944" s="52">
        <f>IF(Data!J944&lt;=5,Data!J944,IF(Data!J944&lt;=10,"6 TO 10","More than 10"))</f>
        <v>4</v>
      </c>
      <c r="G944" s="52">
        <f t="shared" si="14"/>
        <v>2</v>
      </c>
      <c r="H944" s="52">
        <f>ROUND(Data!C944*Data!D944-Data!E944,2)</f>
        <v>0</v>
      </c>
      <c r="I944" s="52">
        <f>IF(AND(OR(Sel_Mode="All",Data!I944=Sel_Mode),OR(Sel_Gender="All",D944=Sel_Gender),OR(Sel_Category="All",Data!B944=Sel_Category),OR(Sel_Month="All",C944=Sel_Month),OR(Sel_County="All",Data!L944=Sel_County)),1,0)</f>
        <v>1</v>
      </c>
    </row>
    <row r="945" spans="1:9" x14ac:dyDescent="0.25">
      <c r="A945" s="52" t="str">
        <f>Data!A945</f>
        <v>TX500944</v>
      </c>
      <c r="B945" s="52">
        <f>MONTH(Data!F945)</f>
        <v>2</v>
      </c>
      <c r="C945" s="52" t="str">
        <f>TEXT(Data!F945,"mmm")</f>
        <v>Feb</v>
      </c>
      <c r="D945" s="52" t="str">
        <f>Data!O945</f>
        <v>Male</v>
      </c>
      <c r="E945" s="52">
        <f>Data!G945-Data!F945</f>
        <v>1</v>
      </c>
      <c r="F945" s="52">
        <f>IF(Data!J945&lt;=5,Data!J945,IF(Data!J945&lt;=10,"6 TO 10","More than 10"))</f>
        <v>3</v>
      </c>
      <c r="G945" s="52">
        <f t="shared" si="14"/>
        <v>1</v>
      </c>
      <c r="H945" s="52">
        <f>ROUND(Data!C945*Data!D945-Data!E945,2)</f>
        <v>0</v>
      </c>
      <c r="I945" s="52">
        <f>IF(AND(OR(Sel_Mode="All",Data!I945=Sel_Mode),OR(Sel_Gender="All",D945=Sel_Gender),OR(Sel_Category="All",Data!B945=Sel_Category),OR(Sel_Month="All",C945=Sel_Month),OR(Sel_County="All",Data!L945=Sel_County)),1,0)</f>
        <v>1</v>
      </c>
    </row>
    <row r="946" spans="1:9" x14ac:dyDescent="0.25">
      <c r="A946" s="52" t="str">
        <f>Data!A946</f>
        <v>TX500945</v>
      </c>
      <c r="B946" s="52">
        <f>MONTH(Data!F946)</f>
        <v>2</v>
      </c>
      <c r="C946" s="52" t="str">
        <f>TEXT(Data!F946,"mmm")</f>
        <v>Feb</v>
      </c>
      <c r="D946" s="52" t="str">
        <f>Data!O946</f>
        <v>Male</v>
      </c>
      <c r="E946" s="52">
        <f>Data!G946-Data!F946</f>
        <v>14</v>
      </c>
      <c r="F946" s="52">
        <f>IF(Data!J946&lt;=5,Data!J946,IF(Data!J946&lt;=10,"6 TO 10","More than 10"))</f>
        <v>4</v>
      </c>
      <c r="G946" s="52" t="str">
        <f t="shared" si="14"/>
        <v>8+</v>
      </c>
      <c r="H946" s="52">
        <f>ROUND(Data!C946*Data!D946-Data!E946,2)</f>
        <v>0</v>
      </c>
      <c r="I946" s="52">
        <f>IF(AND(OR(Sel_Mode="All",Data!I946=Sel_Mode),OR(Sel_Gender="All",D946=Sel_Gender),OR(Sel_Category="All",Data!B946=Sel_Category),OR(Sel_Month="All",C946=Sel_Month),OR(Sel_County="All",Data!L946=Sel_County)),1,0)</f>
        <v>1</v>
      </c>
    </row>
    <row r="947" spans="1:9" x14ac:dyDescent="0.25">
      <c r="A947" s="52" t="str">
        <f>Data!A947</f>
        <v>TX500946</v>
      </c>
      <c r="B947" s="52">
        <f>MONTH(Data!F947)</f>
        <v>2</v>
      </c>
      <c r="C947" s="52" t="str">
        <f>TEXT(Data!F947,"mmm")</f>
        <v>Feb</v>
      </c>
      <c r="D947" s="52" t="str">
        <f>Data!O947</f>
        <v>Female</v>
      </c>
      <c r="E947" s="52">
        <f>Data!G947-Data!F947</f>
        <v>1</v>
      </c>
      <c r="F947" s="52">
        <f>IF(Data!J947&lt;=5,Data!J947,IF(Data!J947&lt;=10,"6 TO 10","More than 10"))</f>
        <v>5</v>
      </c>
      <c r="G947" s="52">
        <f t="shared" si="14"/>
        <v>1</v>
      </c>
      <c r="H947" s="52">
        <f>ROUND(Data!C947*Data!D947-Data!E947,2)</f>
        <v>0</v>
      </c>
      <c r="I947" s="52">
        <f>IF(AND(OR(Sel_Mode="All",Data!I947=Sel_Mode),OR(Sel_Gender="All",D947=Sel_Gender),OR(Sel_Category="All",Data!B947=Sel_Category),OR(Sel_Month="All",C947=Sel_Month),OR(Sel_County="All",Data!L947=Sel_County)),1,0)</f>
        <v>1</v>
      </c>
    </row>
    <row r="948" spans="1:9" x14ac:dyDescent="0.25">
      <c r="A948" s="52" t="str">
        <f>Data!A948</f>
        <v>TX500947</v>
      </c>
      <c r="B948" s="52">
        <f>MONTH(Data!F948)</f>
        <v>2</v>
      </c>
      <c r="C948" s="52" t="str">
        <f>TEXT(Data!F948,"mmm")</f>
        <v>Feb</v>
      </c>
      <c r="D948" s="52" t="str">
        <f>Data!O948</f>
        <v>Female</v>
      </c>
      <c r="E948" s="52">
        <f>Data!G948-Data!F948</f>
        <v>6</v>
      </c>
      <c r="F948" s="52">
        <f>IF(Data!J948&lt;=5,Data!J948,IF(Data!J948&lt;=10,"6 TO 10","More than 10"))</f>
        <v>4</v>
      </c>
      <c r="G948" s="52">
        <f t="shared" si="14"/>
        <v>6</v>
      </c>
      <c r="H948" s="52">
        <f>ROUND(Data!C948*Data!D948-Data!E948,2)</f>
        <v>0</v>
      </c>
      <c r="I948" s="52">
        <f>IF(AND(OR(Sel_Mode="All",Data!I948=Sel_Mode),OR(Sel_Gender="All",D948=Sel_Gender),OR(Sel_Category="All",Data!B948=Sel_Category),OR(Sel_Month="All",C948=Sel_Month),OR(Sel_County="All",Data!L948=Sel_County)),1,0)</f>
        <v>1</v>
      </c>
    </row>
    <row r="949" spans="1:9" x14ac:dyDescent="0.25">
      <c r="A949" s="52" t="str">
        <f>Data!A949</f>
        <v>TX500948</v>
      </c>
      <c r="B949" s="52">
        <f>MONTH(Data!F949)</f>
        <v>2</v>
      </c>
      <c r="C949" s="52" t="str">
        <f>TEXT(Data!F949,"mmm")</f>
        <v>Feb</v>
      </c>
      <c r="D949" s="52" t="str">
        <f>Data!O949</f>
        <v>Female</v>
      </c>
      <c r="E949" s="52">
        <f>Data!G949-Data!F949</f>
        <v>1</v>
      </c>
      <c r="F949" s="52">
        <f>IF(Data!J949&lt;=5,Data!J949,IF(Data!J949&lt;=10,"6 TO 10","More than 10"))</f>
        <v>3</v>
      </c>
      <c r="G949" s="52">
        <f t="shared" si="14"/>
        <v>1</v>
      </c>
      <c r="H949" s="52">
        <f>ROUND(Data!C949*Data!D949-Data!E949,2)</f>
        <v>0</v>
      </c>
      <c r="I949" s="52">
        <f>IF(AND(OR(Sel_Mode="All",Data!I949=Sel_Mode),OR(Sel_Gender="All",D949=Sel_Gender),OR(Sel_Category="All",Data!B949=Sel_Category),OR(Sel_Month="All",C949=Sel_Month),OR(Sel_County="All",Data!L949=Sel_County)),1,0)</f>
        <v>1</v>
      </c>
    </row>
    <row r="950" spans="1:9" x14ac:dyDescent="0.25">
      <c r="A950" s="52" t="str">
        <f>Data!A950</f>
        <v>TX500949</v>
      </c>
      <c r="B950" s="52">
        <f>MONTH(Data!F950)</f>
        <v>2</v>
      </c>
      <c r="C950" s="52" t="str">
        <f>TEXT(Data!F950,"mmm")</f>
        <v>Feb</v>
      </c>
      <c r="D950" s="52" t="str">
        <f>Data!O950</f>
        <v>Female</v>
      </c>
      <c r="E950" s="52">
        <f>Data!G950-Data!F950</f>
        <v>6</v>
      </c>
      <c r="F950" s="52">
        <f>IF(Data!J950&lt;=5,Data!J950,IF(Data!J950&lt;=10,"6 TO 10","More than 10"))</f>
        <v>5</v>
      </c>
      <c r="G950" s="52">
        <f t="shared" si="14"/>
        <v>6</v>
      </c>
      <c r="H950" s="52">
        <f>ROUND(Data!C950*Data!D950-Data!E950,2)</f>
        <v>0</v>
      </c>
      <c r="I950" s="52">
        <f>IF(AND(OR(Sel_Mode="All",Data!I950=Sel_Mode),OR(Sel_Gender="All",D950=Sel_Gender),OR(Sel_Category="All",Data!B950=Sel_Category),OR(Sel_Month="All",C950=Sel_Month),OR(Sel_County="All",Data!L950=Sel_County)),1,0)</f>
        <v>1</v>
      </c>
    </row>
    <row r="951" spans="1:9" x14ac:dyDescent="0.25">
      <c r="A951" s="52" t="str">
        <f>Data!A951</f>
        <v>TX500950</v>
      </c>
      <c r="B951" s="52">
        <f>MONTH(Data!F951)</f>
        <v>2</v>
      </c>
      <c r="C951" s="52" t="str">
        <f>TEXT(Data!F951,"mmm")</f>
        <v>Feb</v>
      </c>
      <c r="D951" s="52" t="str">
        <f>Data!O951</f>
        <v>Female</v>
      </c>
      <c r="E951" s="52">
        <f>Data!G951-Data!F951</f>
        <v>2</v>
      </c>
      <c r="F951" s="52">
        <f>IF(Data!J951&lt;=5,Data!J951,IF(Data!J951&lt;=10,"6 TO 10","More than 10"))</f>
        <v>3</v>
      </c>
      <c r="G951" s="52">
        <f t="shared" si="14"/>
        <v>2</v>
      </c>
      <c r="H951" s="52">
        <f>ROUND(Data!C951*Data!D951-Data!E951,2)</f>
        <v>0</v>
      </c>
      <c r="I951" s="52">
        <f>IF(AND(OR(Sel_Mode="All",Data!I951=Sel_Mode),OR(Sel_Gender="All",D951=Sel_Gender),OR(Sel_Category="All",Data!B951=Sel_Category),OR(Sel_Month="All",C951=Sel_Month),OR(Sel_County="All",Data!L951=Sel_County)),1,0)</f>
        <v>1</v>
      </c>
    </row>
    <row r="952" spans="1:9" x14ac:dyDescent="0.25">
      <c r="A952" s="52" t="str">
        <f>Data!A952</f>
        <v>TX500951</v>
      </c>
      <c r="B952" s="52">
        <f>MONTH(Data!F952)</f>
        <v>2</v>
      </c>
      <c r="C952" s="52" t="str">
        <f>TEXT(Data!F952,"mmm")</f>
        <v>Feb</v>
      </c>
      <c r="D952" s="52" t="str">
        <f>Data!O952</f>
        <v>Male</v>
      </c>
      <c r="E952" s="52">
        <f>Data!G952-Data!F952</f>
        <v>4</v>
      </c>
      <c r="F952" s="52">
        <f>IF(Data!J952&lt;=5,Data!J952,IF(Data!J952&lt;=10,"6 TO 10","More than 10"))</f>
        <v>4</v>
      </c>
      <c r="G952" s="52">
        <f t="shared" si="14"/>
        <v>4</v>
      </c>
      <c r="H952" s="52">
        <f>ROUND(Data!C952*Data!D952-Data!E952,2)</f>
        <v>0</v>
      </c>
      <c r="I952" s="52">
        <f>IF(AND(OR(Sel_Mode="All",Data!I952=Sel_Mode),OR(Sel_Gender="All",D952=Sel_Gender),OR(Sel_Category="All",Data!B952=Sel_Category),OR(Sel_Month="All",C952=Sel_Month),OR(Sel_County="All",Data!L952=Sel_County)),1,0)</f>
        <v>1</v>
      </c>
    </row>
    <row r="953" spans="1:9" x14ac:dyDescent="0.25">
      <c r="A953" s="52" t="str">
        <f>Data!A953</f>
        <v>TX500952</v>
      </c>
      <c r="B953" s="52">
        <f>MONTH(Data!F953)</f>
        <v>2</v>
      </c>
      <c r="C953" s="52" t="str">
        <f>TEXT(Data!F953,"mmm")</f>
        <v>Feb</v>
      </c>
      <c r="D953" s="52" t="str">
        <f>Data!O953</f>
        <v>Female</v>
      </c>
      <c r="E953" s="52">
        <f>Data!G953-Data!F953</f>
        <v>4</v>
      </c>
      <c r="F953" s="52">
        <f>IF(Data!J953&lt;=5,Data!J953,IF(Data!J953&lt;=10,"6 TO 10","More than 10"))</f>
        <v>3</v>
      </c>
      <c r="G953" s="52">
        <f t="shared" si="14"/>
        <v>4</v>
      </c>
      <c r="H953" s="52">
        <f>ROUND(Data!C953*Data!D953-Data!E953,2)</f>
        <v>0</v>
      </c>
      <c r="I953" s="52">
        <f>IF(AND(OR(Sel_Mode="All",Data!I953=Sel_Mode),OR(Sel_Gender="All",D953=Sel_Gender),OR(Sel_Category="All",Data!B953=Sel_Category),OR(Sel_Month="All",C953=Sel_Month),OR(Sel_County="All",Data!L953=Sel_County)),1,0)</f>
        <v>1</v>
      </c>
    </row>
    <row r="954" spans="1:9" x14ac:dyDescent="0.25">
      <c r="A954" s="52" t="str">
        <f>Data!A954</f>
        <v>TX500953</v>
      </c>
      <c r="B954" s="52">
        <f>MONTH(Data!F954)</f>
        <v>2</v>
      </c>
      <c r="C954" s="52" t="str">
        <f>TEXT(Data!F954,"mmm")</f>
        <v>Feb</v>
      </c>
      <c r="D954" s="52" t="str">
        <f>Data!O954</f>
        <v>Male</v>
      </c>
      <c r="E954" s="52">
        <f>Data!G954-Data!F954</f>
        <v>4</v>
      </c>
      <c r="F954" s="52">
        <f>IF(Data!J954&lt;=5,Data!J954,IF(Data!J954&lt;=10,"6 TO 10","More than 10"))</f>
        <v>3</v>
      </c>
      <c r="G954" s="52">
        <f t="shared" si="14"/>
        <v>4</v>
      </c>
      <c r="H954" s="52">
        <f>ROUND(Data!C954*Data!D954-Data!E954,2)</f>
        <v>0</v>
      </c>
      <c r="I954" s="52">
        <f>IF(AND(OR(Sel_Mode="All",Data!I954=Sel_Mode),OR(Sel_Gender="All",D954=Sel_Gender),OR(Sel_Category="All",Data!B954=Sel_Category),OR(Sel_Month="All",C954=Sel_Month),OR(Sel_County="All",Data!L954=Sel_County)),1,0)</f>
        <v>1</v>
      </c>
    </row>
    <row r="955" spans="1:9" x14ac:dyDescent="0.25">
      <c r="A955" s="52" t="str">
        <f>Data!A955</f>
        <v>TX500954</v>
      </c>
      <c r="B955" s="52">
        <f>MONTH(Data!F955)</f>
        <v>2</v>
      </c>
      <c r="C955" s="52" t="str">
        <f>TEXT(Data!F955,"mmm")</f>
        <v>Feb</v>
      </c>
      <c r="D955" s="52" t="str">
        <f>Data!O955</f>
        <v>Male</v>
      </c>
      <c r="E955" s="52">
        <f>Data!G955-Data!F955</f>
        <v>3</v>
      </c>
      <c r="F955" s="52">
        <f>IF(Data!J955&lt;=5,Data!J955,IF(Data!J955&lt;=10,"6 TO 10","More than 10"))</f>
        <v>4</v>
      </c>
      <c r="G955" s="52">
        <f t="shared" si="14"/>
        <v>3</v>
      </c>
      <c r="H955" s="52">
        <f>ROUND(Data!C955*Data!D955-Data!E955,2)</f>
        <v>0</v>
      </c>
      <c r="I955" s="52">
        <f>IF(AND(OR(Sel_Mode="All",Data!I955=Sel_Mode),OR(Sel_Gender="All",D955=Sel_Gender),OR(Sel_Category="All",Data!B955=Sel_Category),OR(Sel_Month="All",C955=Sel_Month),OR(Sel_County="All",Data!L955=Sel_County)),1,0)</f>
        <v>1</v>
      </c>
    </row>
    <row r="956" spans="1:9" x14ac:dyDescent="0.25">
      <c r="A956" s="52" t="str">
        <f>Data!A956</f>
        <v>TX500955</v>
      </c>
      <c r="B956" s="52">
        <f>MONTH(Data!F956)</f>
        <v>2</v>
      </c>
      <c r="C956" s="52" t="str">
        <f>TEXT(Data!F956,"mmm")</f>
        <v>Feb</v>
      </c>
      <c r="D956" s="52" t="str">
        <f>Data!O956</f>
        <v>Male</v>
      </c>
      <c r="E956" s="52">
        <f>Data!G956-Data!F956</f>
        <v>1</v>
      </c>
      <c r="F956" s="52">
        <f>IF(Data!J956&lt;=5,Data!J956,IF(Data!J956&lt;=10,"6 TO 10","More than 10"))</f>
        <v>4</v>
      </c>
      <c r="G956" s="52">
        <f t="shared" si="14"/>
        <v>1</v>
      </c>
      <c r="H956" s="52">
        <f>ROUND(Data!C956*Data!D956-Data!E956,2)</f>
        <v>0</v>
      </c>
      <c r="I956" s="52">
        <f>IF(AND(OR(Sel_Mode="All",Data!I956=Sel_Mode),OR(Sel_Gender="All",D956=Sel_Gender),OR(Sel_Category="All",Data!B956=Sel_Category),OR(Sel_Month="All",C956=Sel_Month),OR(Sel_County="All",Data!L956=Sel_County)),1,0)</f>
        <v>1</v>
      </c>
    </row>
    <row r="957" spans="1:9" x14ac:dyDescent="0.25">
      <c r="A957" s="52" t="str">
        <f>Data!A957</f>
        <v>TX500956</v>
      </c>
      <c r="B957" s="52">
        <f>MONTH(Data!F957)</f>
        <v>2</v>
      </c>
      <c r="C957" s="52" t="str">
        <f>TEXT(Data!F957,"mmm")</f>
        <v>Feb</v>
      </c>
      <c r="D957" s="52" t="str">
        <f>Data!O957</f>
        <v>Male</v>
      </c>
      <c r="E957" s="52">
        <f>Data!G957-Data!F957</f>
        <v>2</v>
      </c>
      <c r="F957" s="52">
        <f>IF(Data!J957&lt;=5,Data!J957,IF(Data!J957&lt;=10,"6 TO 10","More than 10"))</f>
        <v>5</v>
      </c>
      <c r="G957" s="52">
        <f t="shared" si="14"/>
        <v>2</v>
      </c>
      <c r="H957" s="52">
        <f>ROUND(Data!C957*Data!D957-Data!E957,2)</f>
        <v>0</v>
      </c>
      <c r="I957" s="52">
        <f>IF(AND(OR(Sel_Mode="All",Data!I957=Sel_Mode),OR(Sel_Gender="All",D957=Sel_Gender),OR(Sel_Category="All",Data!B957=Sel_Category),OR(Sel_Month="All",C957=Sel_Month),OR(Sel_County="All",Data!L957=Sel_County)),1,0)</f>
        <v>1</v>
      </c>
    </row>
    <row r="958" spans="1:9" x14ac:dyDescent="0.25">
      <c r="A958" s="52" t="str">
        <f>Data!A958</f>
        <v>TX500957</v>
      </c>
      <c r="B958" s="52">
        <f>MONTH(Data!F958)</f>
        <v>2</v>
      </c>
      <c r="C958" s="52" t="str">
        <f>TEXT(Data!F958,"mmm")</f>
        <v>Feb</v>
      </c>
      <c r="D958" s="52" t="str">
        <f>Data!O958</f>
        <v>Male</v>
      </c>
      <c r="E958" s="52">
        <f>Data!G958-Data!F958</f>
        <v>1</v>
      </c>
      <c r="F958" s="52">
        <f>IF(Data!J958&lt;=5,Data!J958,IF(Data!J958&lt;=10,"6 TO 10","More than 10"))</f>
        <v>4</v>
      </c>
      <c r="G958" s="52">
        <f t="shared" si="14"/>
        <v>1</v>
      </c>
      <c r="H958" s="52">
        <f>ROUND(Data!C958*Data!D958-Data!E958,2)</f>
        <v>0</v>
      </c>
      <c r="I958" s="52">
        <f>IF(AND(OR(Sel_Mode="All",Data!I958=Sel_Mode),OR(Sel_Gender="All",D958=Sel_Gender),OR(Sel_Category="All",Data!B958=Sel_Category),OR(Sel_Month="All",C958=Sel_Month),OR(Sel_County="All",Data!L958=Sel_County)),1,0)</f>
        <v>1</v>
      </c>
    </row>
    <row r="959" spans="1:9" x14ac:dyDescent="0.25">
      <c r="A959" s="52" t="str">
        <f>Data!A959</f>
        <v>TX500958</v>
      </c>
      <c r="B959" s="52">
        <f>MONTH(Data!F959)</f>
        <v>2</v>
      </c>
      <c r="C959" s="52" t="str">
        <f>TEXT(Data!F959,"mmm")</f>
        <v>Feb</v>
      </c>
      <c r="D959" s="52" t="str">
        <f>Data!O959</f>
        <v>Male</v>
      </c>
      <c r="E959" s="52">
        <f>Data!G959-Data!F959</f>
        <v>0</v>
      </c>
      <c r="F959" s="52">
        <f>IF(Data!J959&lt;=5,Data!J959,IF(Data!J959&lt;=10,"6 TO 10","More than 10"))</f>
        <v>4</v>
      </c>
      <c r="G959" s="52">
        <f t="shared" si="14"/>
        <v>0</v>
      </c>
      <c r="H959" s="52">
        <f>ROUND(Data!C959*Data!D959-Data!E959,2)</f>
        <v>0</v>
      </c>
      <c r="I959" s="52">
        <f>IF(AND(OR(Sel_Mode="All",Data!I959=Sel_Mode),OR(Sel_Gender="All",D959=Sel_Gender),OR(Sel_Category="All",Data!B959=Sel_Category),OR(Sel_Month="All",C959=Sel_Month),OR(Sel_County="All",Data!L959=Sel_County)),1,0)</f>
        <v>1</v>
      </c>
    </row>
    <row r="960" spans="1:9" x14ac:dyDescent="0.25">
      <c r="A960" s="52" t="str">
        <f>Data!A960</f>
        <v>TX500959</v>
      </c>
      <c r="B960" s="52">
        <f>MONTH(Data!F960)</f>
        <v>2</v>
      </c>
      <c r="C960" s="52" t="str">
        <f>TEXT(Data!F960,"mmm")</f>
        <v>Feb</v>
      </c>
      <c r="D960" s="52" t="str">
        <f>Data!O960</f>
        <v>Female</v>
      </c>
      <c r="E960" s="52">
        <f>Data!G960-Data!F960</f>
        <v>1</v>
      </c>
      <c r="F960" s="52">
        <f>IF(Data!J960&lt;=5,Data!J960,IF(Data!J960&lt;=10,"6 TO 10","More than 10"))</f>
        <v>5</v>
      </c>
      <c r="G960" s="52">
        <f t="shared" si="14"/>
        <v>1</v>
      </c>
      <c r="H960" s="52">
        <f>ROUND(Data!C960*Data!D960-Data!E960,2)</f>
        <v>0</v>
      </c>
      <c r="I960" s="52">
        <f>IF(AND(OR(Sel_Mode="All",Data!I960=Sel_Mode),OR(Sel_Gender="All",D960=Sel_Gender),OR(Sel_Category="All",Data!B960=Sel_Category),OR(Sel_Month="All",C960=Sel_Month),OR(Sel_County="All",Data!L960=Sel_County)),1,0)</f>
        <v>1</v>
      </c>
    </row>
    <row r="961" spans="1:9" x14ac:dyDescent="0.25">
      <c r="A961" s="52" t="str">
        <f>Data!A961</f>
        <v>TX500960</v>
      </c>
      <c r="B961" s="52">
        <f>MONTH(Data!F961)</f>
        <v>2</v>
      </c>
      <c r="C961" s="52" t="str">
        <f>TEXT(Data!F961,"mmm")</f>
        <v>Feb</v>
      </c>
      <c r="D961" s="52" t="str">
        <f>Data!O961</f>
        <v>Female</v>
      </c>
      <c r="E961" s="52">
        <f>Data!G961-Data!F961</f>
        <v>2</v>
      </c>
      <c r="F961" s="52">
        <f>IF(Data!J961&lt;=5,Data!J961,IF(Data!J961&lt;=10,"6 TO 10","More than 10"))</f>
        <v>3</v>
      </c>
      <c r="G961" s="52">
        <f t="shared" si="14"/>
        <v>2</v>
      </c>
      <c r="H961" s="52">
        <f>ROUND(Data!C961*Data!D961-Data!E961,2)</f>
        <v>0</v>
      </c>
      <c r="I961" s="52">
        <f>IF(AND(OR(Sel_Mode="All",Data!I961=Sel_Mode),OR(Sel_Gender="All",D961=Sel_Gender),OR(Sel_Category="All",Data!B961=Sel_Category),OR(Sel_Month="All",C961=Sel_Month),OR(Sel_County="All",Data!L961=Sel_County)),1,0)</f>
        <v>1</v>
      </c>
    </row>
    <row r="962" spans="1:9" x14ac:dyDescent="0.25">
      <c r="A962" s="52" t="str">
        <f>Data!A962</f>
        <v>TX500961</v>
      </c>
      <c r="B962" s="52">
        <f>MONTH(Data!F962)</f>
        <v>2</v>
      </c>
      <c r="C962" s="52" t="str">
        <f>TEXT(Data!F962,"mmm")</f>
        <v>Feb</v>
      </c>
      <c r="D962" s="52" t="str">
        <f>Data!O962</f>
        <v>Female</v>
      </c>
      <c r="E962" s="52">
        <f>Data!G962-Data!F962</f>
        <v>0</v>
      </c>
      <c r="F962" s="52">
        <f>IF(Data!J962&lt;=5,Data!J962,IF(Data!J962&lt;=10,"6 TO 10","More than 10"))</f>
        <v>2</v>
      </c>
      <c r="G962" s="52">
        <f t="shared" ref="G962:G1025" si="15">IF(E962&gt;=8,"8+",E962)</f>
        <v>0</v>
      </c>
      <c r="H962" s="52">
        <f>ROUND(Data!C962*Data!D962-Data!E962,2)</f>
        <v>0</v>
      </c>
      <c r="I962" s="52">
        <f>IF(AND(OR(Sel_Mode="All",Data!I962=Sel_Mode),OR(Sel_Gender="All",D962=Sel_Gender),OR(Sel_Category="All",Data!B962=Sel_Category),OR(Sel_Month="All",C962=Sel_Month),OR(Sel_County="All",Data!L962=Sel_County)),1,0)</f>
        <v>1</v>
      </c>
    </row>
    <row r="963" spans="1:9" x14ac:dyDescent="0.25">
      <c r="A963" s="52" t="str">
        <f>Data!A963</f>
        <v>TX500962</v>
      </c>
      <c r="B963" s="52">
        <f>MONTH(Data!F963)</f>
        <v>2</v>
      </c>
      <c r="C963" s="52" t="str">
        <f>TEXT(Data!F963,"mmm")</f>
        <v>Feb</v>
      </c>
      <c r="D963" s="52" t="str">
        <f>Data!O963</f>
        <v>Male</v>
      </c>
      <c r="E963" s="52">
        <f>Data!G963-Data!F963</f>
        <v>4</v>
      </c>
      <c r="F963" s="52">
        <f>IF(Data!J963&lt;=5,Data!J963,IF(Data!J963&lt;=10,"6 TO 10","More than 10"))</f>
        <v>5</v>
      </c>
      <c r="G963" s="52">
        <f t="shared" si="15"/>
        <v>4</v>
      </c>
      <c r="H963" s="52">
        <f>ROUND(Data!C963*Data!D963-Data!E963,2)</f>
        <v>0</v>
      </c>
      <c r="I963" s="52">
        <f>IF(AND(OR(Sel_Mode="All",Data!I963=Sel_Mode),OR(Sel_Gender="All",D963=Sel_Gender),OR(Sel_Category="All",Data!B963=Sel_Category),OR(Sel_Month="All",C963=Sel_Month),OR(Sel_County="All",Data!L963=Sel_County)),1,0)</f>
        <v>1</v>
      </c>
    </row>
    <row r="964" spans="1:9" x14ac:dyDescent="0.25">
      <c r="A964" s="52" t="str">
        <f>Data!A964</f>
        <v>TX500963</v>
      </c>
      <c r="B964" s="52">
        <f>MONTH(Data!F964)</f>
        <v>2</v>
      </c>
      <c r="C964" s="52" t="str">
        <f>TEXT(Data!F964,"mmm")</f>
        <v>Feb</v>
      </c>
      <c r="D964" s="52" t="str">
        <f>Data!O964</f>
        <v>Female</v>
      </c>
      <c r="E964" s="52">
        <f>Data!G964-Data!F964</f>
        <v>3</v>
      </c>
      <c r="F964" s="52">
        <f>IF(Data!J964&lt;=5,Data!J964,IF(Data!J964&lt;=10,"6 TO 10","More than 10"))</f>
        <v>4</v>
      </c>
      <c r="G964" s="52">
        <f t="shared" si="15"/>
        <v>3</v>
      </c>
      <c r="H964" s="52">
        <f>ROUND(Data!C964*Data!D964-Data!E964,2)</f>
        <v>0</v>
      </c>
      <c r="I964" s="52">
        <f>IF(AND(OR(Sel_Mode="All",Data!I964=Sel_Mode),OR(Sel_Gender="All",D964=Sel_Gender),OR(Sel_Category="All",Data!B964=Sel_Category),OR(Sel_Month="All",C964=Sel_Month),OR(Sel_County="All",Data!L964=Sel_County)),1,0)</f>
        <v>1</v>
      </c>
    </row>
    <row r="965" spans="1:9" x14ac:dyDescent="0.25">
      <c r="A965" s="52" t="str">
        <f>Data!A965</f>
        <v>TX500964</v>
      </c>
      <c r="B965" s="52">
        <f>MONTH(Data!F965)</f>
        <v>2</v>
      </c>
      <c r="C965" s="52" t="str">
        <f>TEXT(Data!F965,"mmm")</f>
        <v>Feb</v>
      </c>
      <c r="D965" s="52" t="str">
        <f>Data!O965</f>
        <v>Female</v>
      </c>
      <c r="E965" s="52">
        <f>Data!G965-Data!F965</f>
        <v>1</v>
      </c>
      <c r="F965" s="52">
        <f>IF(Data!J965&lt;=5,Data!J965,IF(Data!J965&lt;=10,"6 TO 10","More than 10"))</f>
        <v>4</v>
      </c>
      <c r="G965" s="52">
        <f t="shared" si="15"/>
        <v>1</v>
      </c>
      <c r="H965" s="52">
        <f>ROUND(Data!C965*Data!D965-Data!E965,2)</f>
        <v>0</v>
      </c>
      <c r="I965" s="52">
        <f>IF(AND(OR(Sel_Mode="All",Data!I965=Sel_Mode),OR(Sel_Gender="All",D965=Sel_Gender),OR(Sel_Category="All",Data!B965=Sel_Category),OR(Sel_Month="All",C965=Sel_Month),OR(Sel_County="All",Data!L965=Sel_County)),1,0)</f>
        <v>1</v>
      </c>
    </row>
    <row r="966" spans="1:9" x14ac:dyDescent="0.25">
      <c r="A966" s="52" t="str">
        <f>Data!A966</f>
        <v>TX500965</v>
      </c>
      <c r="B966" s="52">
        <f>MONTH(Data!F966)</f>
        <v>2</v>
      </c>
      <c r="C966" s="52" t="str">
        <f>TEXT(Data!F966,"mmm")</f>
        <v>Feb</v>
      </c>
      <c r="D966" s="52" t="str">
        <f>Data!O966</f>
        <v>Female</v>
      </c>
      <c r="E966" s="52">
        <f>Data!G966-Data!F966</f>
        <v>4</v>
      </c>
      <c r="F966" s="52">
        <f>IF(Data!J966&lt;=5,Data!J966,IF(Data!J966&lt;=10,"6 TO 10","More than 10"))</f>
        <v>4</v>
      </c>
      <c r="G966" s="52">
        <f t="shared" si="15"/>
        <v>4</v>
      </c>
      <c r="H966" s="52">
        <f>ROUND(Data!C966*Data!D966-Data!E966,2)</f>
        <v>0</v>
      </c>
      <c r="I966" s="52">
        <f>IF(AND(OR(Sel_Mode="All",Data!I966=Sel_Mode),OR(Sel_Gender="All",D966=Sel_Gender),OR(Sel_Category="All",Data!B966=Sel_Category),OR(Sel_Month="All",C966=Sel_Month),OR(Sel_County="All",Data!L966=Sel_County)),1,0)</f>
        <v>1</v>
      </c>
    </row>
    <row r="967" spans="1:9" x14ac:dyDescent="0.25">
      <c r="A967" s="52" t="str">
        <f>Data!A967</f>
        <v>TX500966</v>
      </c>
      <c r="B967" s="52">
        <f>MONTH(Data!F967)</f>
        <v>2</v>
      </c>
      <c r="C967" s="52" t="str">
        <f>TEXT(Data!F967,"mmm")</f>
        <v>Feb</v>
      </c>
      <c r="D967" s="52" t="str">
        <f>Data!O967</f>
        <v>Male</v>
      </c>
      <c r="E967" s="52">
        <f>Data!G967-Data!F967</f>
        <v>3</v>
      </c>
      <c r="F967" s="52">
        <f>IF(Data!J967&lt;=5,Data!J967,IF(Data!J967&lt;=10,"6 TO 10","More than 10"))</f>
        <v>4</v>
      </c>
      <c r="G967" s="52">
        <f t="shared" si="15"/>
        <v>3</v>
      </c>
      <c r="H967" s="52">
        <f>ROUND(Data!C967*Data!D967-Data!E967,2)</f>
        <v>0</v>
      </c>
      <c r="I967" s="52">
        <f>IF(AND(OR(Sel_Mode="All",Data!I967=Sel_Mode),OR(Sel_Gender="All",D967=Sel_Gender),OR(Sel_Category="All",Data!B967=Sel_Category),OR(Sel_Month="All",C967=Sel_Month),OR(Sel_County="All",Data!L967=Sel_County)),1,0)</f>
        <v>1</v>
      </c>
    </row>
    <row r="968" spans="1:9" x14ac:dyDescent="0.25">
      <c r="A968" s="52" t="str">
        <f>Data!A968</f>
        <v>TX500967</v>
      </c>
      <c r="B968" s="52">
        <f>MONTH(Data!F968)</f>
        <v>2</v>
      </c>
      <c r="C968" s="52" t="str">
        <f>TEXT(Data!F968,"mmm")</f>
        <v>Feb</v>
      </c>
      <c r="D968" s="52" t="str">
        <f>Data!O968</f>
        <v>Male</v>
      </c>
      <c r="E968" s="52">
        <f>Data!G968-Data!F968</f>
        <v>1</v>
      </c>
      <c r="F968" s="52">
        <f>IF(Data!J968&lt;=5,Data!J968,IF(Data!J968&lt;=10,"6 TO 10","More than 10"))</f>
        <v>4</v>
      </c>
      <c r="G968" s="52">
        <f t="shared" si="15"/>
        <v>1</v>
      </c>
      <c r="H968" s="52">
        <f>ROUND(Data!C968*Data!D968-Data!E968,2)</f>
        <v>0</v>
      </c>
      <c r="I968" s="52">
        <f>IF(AND(OR(Sel_Mode="All",Data!I968=Sel_Mode),OR(Sel_Gender="All",D968=Sel_Gender),OR(Sel_Category="All",Data!B968=Sel_Category),OR(Sel_Month="All",C968=Sel_Month),OR(Sel_County="All",Data!L968=Sel_County)),1,0)</f>
        <v>1</v>
      </c>
    </row>
    <row r="969" spans="1:9" x14ac:dyDescent="0.25">
      <c r="A969" s="52" t="str">
        <f>Data!A969</f>
        <v>TX500968</v>
      </c>
      <c r="B969" s="52">
        <f>MONTH(Data!F969)</f>
        <v>2</v>
      </c>
      <c r="C969" s="52" t="str">
        <f>TEXT(Data!F969,"mmm")</f>
        <v>Feb</v>
      </c>
      <c r="D969" s="52" t="str">
        <f>Data!O969</f>
        <v>Female</v>
      </c>
      <c r="E969" s="52">
        <f>Data!G969-Data!F969</f>
        <v>4</v>
      </c>
      <c r="F969" s="52">
        <f>IF(Data!J969&lt;=5,Data!J969,IF(Data!J969&lt;=10,"6 TO 10","More than 10"))</f>
        <v>4</v>
      </c>
      <c r="G969" s="52">
        <f t="shared" si="15"/>
        <v>4</v>
      </c>
      <c r="H969" s="52">
        <f>ROUND(Data!C969*Data!D969-Data!E969,2)</f>
        <v>0</v>
      </c>
      <c r="I969" s="52">
        <f>IF(AND(OR(Sel_Mode="All",Data!I969=Sel_Mode),OR(Sel_Gender="All",D969=Sel_Gender),OR(Sel_Category="All",Data!B969=Sel_Category),OR(Sel_Month="All",C969=Sel_Month),OR(Sel_County="All",Data!L969=Sel_County)),1,0)</f>
        <v>1</v>
      </c>
    </row>
    <row r="970" spans="1:9" x14ac:dyDescent="0.25">
      <c r="A970" s="52" t="str">
        <f>Data!A970</f>
        <v>TX500969</v>
      </c>
      <c r="B970" s="52">
        <f>MONTH(Data!F970)</f>
        <v>2</v>
      </c>
      <c r="C970" s="52" t="str">
        <f>TEXT(Data!F970,"mmm")</f>
        <v>Feb</v>
      </c>
      <c r="D970" s="52" t="str">
        <f>Data!O970</f>
        <v>Male</v>
      </c>
      <c r="E970" s="52">
        <f>Data!G970-Data!F970</f>
        <v>1</v>
      </c>
      <c r="F970" s="52">
        <f>IF(Data!J970&lt;=5,Data!J970,IF(Data!J970&lt;=10,"6 TO 10","More than 10"))</f>
        <v>5</v>
      </c>
      <c r="G970" s="52">
        <f t="shared" si="15"/>
        <v>1</v>
      </c>
      <c r="H970" s="52">
        <f>ROUND(Data!C970*Data!D970-Data!E970,2)</f>
        <v>0</v>
      </c>
      <c r="I970" s="52">
        <f>IF(AND(OR(Sel_Mode="All",Data!I970=Sel_Mode),OR(Sel_Gender="All",D970=Sel_Gender),OR(Sel_Category="All",Data!B970=Sel_Category),OR(Sel_Month="All",C970=Sel_Month),OR(Sel_County="All",Data!L970=Sel_County)),1,0)</f>
        <v>1</v>
      </c>
    </row>
    <row r="971" spans="1:9" x14ac:dyDescent="0.25">
      <c r="A971" s="52" t="str">
        <f>Data!A971</f>
        <v>TX500970</v>
      </c>
      <c r="B971" s="52">
        <f>MONTH(Data!F971)</f>
        <v>2</v>
      </c>
      <c r="C971" s="52" t="str">
        <f>TEXT(Data!F971,"mmm")</f>
        <v>Feb</v>
      </c>
      <c r="D971" s="52" t="str">
        <f>Data!O971</f>
        <v>Female</v>
      </c>
      <c r="E971" s="52">
        <f>Data!G971-Data!F971</f>
        <v>1</v>
      </c>
      <c r="F971" s="52">
        <f>IF(Data!J971&lt;=5,Data!J971,IF(Data!J971&lt;=10,"6 TO 10","More than 10"))</f>
        <v>4</v>
      </c>
      <c r="G971" s="52">
        <f t="shared" si="15"/>
        <v>1</v>
      </c>
      <c r="H971" s="52">
        <f>ROUND(Data!C971*Data!D971-Data!E971,2)</f>
        <v>0</v>
      </c>
      <c r="I971" s="52">
        <f>IF(AND(OR(Sel_Mode="All",Data!I971=Sel_Mode),OR(Sel_Gender="All",D971=Sel_Gender),OR(Sel_Category="All",Data!B971=Sel_Category),OR(Sel_Month="All",C971=Sel_Month),OR(Sel_County="All",Data!L971=Sel_County)),1,0)</f>
        <v>1</v>
      </c>
    </row>
    <row r="972" spans="1:9" x14ac:dyDescent="0.25">
      <c r="A972" s="52" t="str">
        <f>Data!A972</f>
        <v>TX500971</v>
      </c>
      <c r="B972" s="52">
        <f>MONTH(Data!F972)</f>
        <v>2</v>
      </c>
      <c r="C972" s="52" t="str">
        <f>TEXT(Data!F972,"mmm")</f>
        <v>Feb</v>
      </c>
      <c r="D972" s="52" t="str">
        <f>Data!O972</f>
        <v>Female</v>
      </c>
      <c r="E972" s="52">
        <f>Data!G972-Data!F972</f>
        <v>2</v>
      </c>
      <c r="F972" s="52">
        <f>IF(Data!J972&lt;=5,Data!J972,IF(Data!J972&lt;=10,"6 TO 10","More than 10"))</f>
        <v>4</v>
      </c>
      <c r="G972" s="52">
        <f t="shared" si="15"/>
        <v>2</v>
      </c>
      <c r="H972" s="52">
        <f>ROUND(Data!C972*Data!D972-Data!E972,2)</f>
        <v>0</v>
      </c>
      <c r="I972" s="52">
        <f>IF(AND(OR(Sel_Mode="All",Data!I972=Sel_Mode),OR(Sel_Gender="All",D972=Sel_Gender),OR(Sel_Category="All",Data!B972=Sel_Category),OR(Sel_Month="All",C972=Sel_Month),OR(Sel_County="All",Data!L972=Sel_County)),1,0)</f>
        <v>1</v>
      </c>
    </row>
    <row r="973" spans="1:9" x14ac:dyDescent="0.25">
      <c r="A973" s="52" t="str">
        <f>Data!A973</f>
        <v>TX500972</v>
      </c>
      <c r="B973" s="52">
        <f>MONTH(Data!F973)</f>
        <v>2</v>
      </c>
      <c r="C973" s="52" t="str">
        <f>TEXT(Data!F973,"mmm")</f>
        <v>Feb</v>
      </c>
      <c r="D973" s="52" t="str">
        <f>Data!O973</f>
        <v>Male</v>
      </c>
      <c r="E973" s="52">
        <f>Data!G973-Data!F973</f>
        <v>1</v>
      </c>
      <c r="F973" s="52">
        <f>IF(Data!J973&lt;=5,Data!J973,IF(Data!J973&lt;=10,"6 TO 10","More than 10"))</f>
        <v>4</v>
      </c>
      <c r="G973" s="52">
        <f t="shared" si="15"/>
        <v>1</v>
      </c>
      <c r="H973" s="52">
        <f>ROUND(Data!C973*Data!D973-Data!E973,2)</f>
        <v>0</v>
      </c>
      <c r="I973" s="52">
        <f>IF(AND(OR(Sel_Mode="All",Data!I973=Sel_Mode),OR(Sel_Gender="All",D973=Sel_Gender),OR(Sel_Category="All",Data!B973=Sel_Category),OR(Sel_Month="All",C973=Sel_Month),OR(Sel_County="All",Data!L973=Sel_County)),1,0)</f>
        <v>1</v>
      </c>
    </row>
    <row r="974" spans="1:9" x14ac:dyDescent="0.25">
      <c r="A974" s="52" t="str">
        <f>Data!A974</f>
        <v>TX500973</v>
      </c>
      <c r="B974" s="52">
        <f>MONTH(Data!F974)</f>
        <v>2</v>
      </c>
      <c r="C974" s="52" t="str">
        <f>TEXT(Data!F974,"mmm")</f>
        <v>Feb</v>
      </c>
      <c r="D974" s="52" t="str">
        <f>Data!O974</f>
        <v>Female</v>
      </c>
      <c r="E974" s="52">
        <f>Data!G974-Data!F974</f>
        <v>2</v>
      </c>
      <c r="F974" s="52">
        <f>IF(Data!J974&lt;=5,Data!J974,IF(Data!J974&lt;=10,"6 TO 10","More than 10"))</f>
        <v>2</v>
      </c>
      <c r="G974" s="52">
        <f t="shared" si="15"/>
        <v>2</v>
      </c>
      <c r="H974" s="52">
        <f>ROUND(Data!C974*Data!D974-Data!E974,2)</f>
        <v>0</v>
      </c>
      <c r="I974" s="52">
        <f>IF(AND(OR(Sel_Mode="All",Data!I974=Sel_Mode),OR(Sel_Gender="All",D974=Sel_Gender),OR(Sel_Category="All",Data!B974=Sel_Category),OR(Sel_Month="All",C974=Sel_Month),OR(Sel_County="All",Data!L974=Sel_County)),1,0)</f>
        <v>1</v>
      </c>
    </row>
    <row r="975" spans="1:9" x14ac:dyDescent="0.25">
      <c r="A975" s="52" t="str">
        <f>Data!A975</f>
        <v>TX500974</v>
      </c>
      <c r="B975" s="52">
        <f>MONTH(Data!F975)</f>
        <v>2</v>
      </c>
      <c r="C975" s="52" t="str">
        <f>TEXT(Data!F975,"mmm")</f>
        <v>Feb</v>
      </c>
      <c r="D975" s="52" t="str">
        <f>Data!O975</f>
        <v>Male</v>
      </c>
      <c r="E975" s="52">
        <f>Data!G975-Data!F975</f>
        <v>1</v>
      </c>
      <c r="F975" s="52">
        <f>IF(Data!J975&lt;=5,Data!J975,IF(Data!J975&lt;=10,"6 TO 10","More than 10"))</f>
        <v>4</v>
      </c>
      <c r="G975" s="52">
        <f t="shared" si="15"/>
        <v>1</v>
      </c>
      <c r="H975" s="52">
        <f>ROUND(Data!C975*Data!D975-Data!E975,2)</f>
        <v>0</v>
      </c>
      <c r="I975" s="52">
        <f>IF(AND(OR(Sel_Mode="All",Data!I975=Sel_Mode),OR(Sel_Gender="All",D975=Sel_Gender),OR(Sel_Category="All",Data!B975=Sel_Category),OR(Sel_Month="All",C975=Sel_Month),OR(Sel_County="All",Data!L975=Sel_County)),1,0)</f>
        <v>1</v>
      </c>
    </row>
    <row r="976" spans="1:9" x14ac:dyDescent="0.25">
      <c r="A976" s="52" t="str">
        <f>Data!A976</f>
        <v>TX500975</v>
      </c>
      <c r="B976" s="52">
        <f>MONTH(Data!F976)</f>
        <v>2</v>
      </c>
      <c r="C976" s="52" t="str">
        <f>TEXT(Data!F976,"mmm")</f>
        <v>Feb</v>
      </c>
      <c r="D976" s="52" t="str">
        <f>Data!O976</f>
        <v>Female</v>
      </c>
      <c r="E976" s="52">
        <f>Data!G976-Data!F976</f>
        <v>6</v>
      </c>
      <c r="F976" s="52">
        <f>IF(Data!J976&lt;=5,Data!J976,IF(Data!J976&lt;=10,"6 TO 10","More than 10"))</f>
        <v>4</v>
      </c>
      <c r="G976" s="52">
        <f t="shared" si="15"/>
        <v>6</v>
      </c>
      <c r="H976" s="52">
        <f>ROUND(Data!C976*Data!D976-Data!E976,2)</f>
        <v>0</v>
      </c>
      <c r="I976" s="52">
        <f>IF(AND(OR(Sel_Mode="All",Data!I976=Sel_Mode),OR(Sel_Gender="All",D976=Sel_Gender),OR(Sel_Category="All",Data!B976=Sel_Category),OR(Sel_Month="All",C976=Sel_Month),OR(Sel_County="All",Data!L976=Sel_County)),1,0)</f>
        <v>1</v>
      </c>
    </row>
    <row r="977" spans="1:9" x14ac:dyDescent="0.25">
      <c r="A977" s="52" t="str">
        <f>Data!A977</f>
        <v>TX500976</v>
      </c>
      <c r="B977" s="52">
        <f>MONTH(Data!F977)</f>
        <v>2</v>
      </c>
      <c r="C977" s="52" t="str">
        <f>TEXT(Data!F977,"mmm")</f>
        <v>Feb</v>
      </c>
      <c r="D977" s="52" t="str">
        <f>Data!O977</f>
        <v>Female</v>
      </c>
      <c r="E977" s="52">
        <f>Data!G977-Data!F977</f>
        <v>2</v>
      </c>
      <c r="F977" s="52">
        <f>IF(Data!J977&lt;=5,Data!J977,IF(Data!J977&lt;=10,"6 TO 10","More than 10"))</f>
        <v>4</v>
      </c>
      <c r="G977" s="52">
        <f t="shared" si="15"/>
        <v>2</v>
      </c>
      <c r="H977" s="52">
        <f>ROUND(Data!C977*Data!D977-Data!E977,2)</f>
        <v>0</v>
      </c>
      <c r="I977" s="52">
        <f>IF(AND(OR(Sel_Mode="All",Data!I977=Sel_Mode),OR(Sel_Gender="All",D977=Sel_Gender),OR(Sel_Category="All",Data!B977=Sel_Category),OR(Sel_Month="All",C977=Sel_Month),OR(Sel_County="All",Data!L977=Sel_County)),1,0)</f>
        <v>1</v>
      </c>
    </row>
    <row r="978" spans="1:9" x14ac:dyDescent="0.25">
      <c r="A978" s="52" t="str">
        <f>Data!A978</f>
        <v>TX500977</v>
      </c>
      <c r="B978" s="52">
        <f>MONTH(Data!F978)</f>
        <v>2</v>
      </c>
      <c r="C978" s="52" t="str">
        <f>TEXT(Data!F978,"mmm")</f>
        <v>Feb</v>
      </c>
      <c r="D978" s="52" t="str">
        <f>Data!O978</f>
        <v>Female</v>
      </c>
      <c r="E978" s="52">
        <f>Data!G978-Data!F978</f>
        <v>1</v>
      </c>
      <c r="F978" s="52">
        <f>IF(Data!J978&lt;=5,Data!J978,IF(Data!J978&lt;=10,"6 TO 10","More than 10"))</f>
        <v>4</v>
      </c>
      <c r="G978" s="52">
        <f t="shared" si="15"/>
        <v>1</v>
      </c>
      <c r="H978" s="52">
        <f>ROUND(Data!C978*Data!D978-Data!E978,2)</f>
        <v>0</v>
      </c>
      <c r="I978" s="52">
        <f>IF(AND(OR(Sel_Mode="All",Data!I978=Sel_Mode),OR(Sel_Gender="All",D978=Sel_Gender),OR(Sel_Category="All",Data!B978=Sel_Category),OR(Sel_Month="All",C978=Sel_Month),OR(Sel_County="All",Data!L978=Sel_County)),1,0)</f>
        <v>1</v>
      </c>
    </row>
    <row r="979" spans="1:9" x14ac:dyDescent="0.25">
      <c r="A979" s="52" t="str">
        <f>Data!A979</f>
        <v>TX500978</v>
      </c>
      <c r="B979" s="52">
        <f>MONTH(Data!F979)</f>
        <v>2</v>
      </c>
      <c r="C979" s="52" t="str">
        <f>TEXT(Data!F979,"mmm")</f>
        <v>Feb</v>
      </c>
      <c r="D979" s="52" t="str">
        <f>Data!O979</f>
        <v>Female</v>
      </c>
      <c r="E979" s="52">
        <f>Data!G979-Data!F979</f>
        <v>3</v>
      </c>
      <c r="F979" s="52">
        <f>IF(Data!J979&lt;=5,Data!J979,IF(Data!J979&lt;=10,"6 TO 10","More than 10"))</f>
        <v>5</v>
      </c>
      <c r="G979" s="52">
        <f t="shared" si="15"/>
        <v>3</v>
      </c>
      <c r="H979" s="52">
        <f>ROUND(Data!C979*Data!D979-Data!E979,2)</f>
        <v>0</v>
      </c>
      <c r="I979" s="52">
        <f>IF(AND(OR(Sel_Mode="All",Data!I979=Sel_Mode),OR(Sel_Gender="All",D979=Sel_Gender),OR(Sel_Category="All",Data!B979=Sel_Category),OR(Sel_Month="All",C979=Sel_Month),OR(Sel_County="All",Data!L979=Sel_County)),1,0)</f>
        <v>1</v>
      </c>
    </row>
    <row r="980" spans="1:9" x14ac:dyDescent="0.25">
      <c r="A980" s="52" t="str">
        <f>Data!A980</f>
        <v>TX500979</v>
      </c>
      <c r="B980" s="52">
        <f>MONTH(Data!F980)</f>
        <v>2</v>
      </c>
      <c r="C980" s="52" t="str">
        <f>TEXT(Data!F980,"mmm")</f>
        <v>Feb</v>
      </c>
      <c r="D980" s="52" t="str">
        <f>Data!O980</f>
        <v>Female</v>
      </c>
      <c r="E980" s="52">
        <f>Data!G980-Data!F980</f>
        <v>4</v>
      </c>
      <c r="F980" s="52">
        <f>IF(Data!J980&lt;=5,Data!J980,IF(Data!J980&lt;=10,"6 TO 10","More than 10"))</f>
        <v>3</v>
      </c>
      <c r="G980" s="52">
        <f t="shared" si="15"/>
        <v>4</v>
      </c>
      <c r="H980" s="52">
        <f>ROUND(Data!C980*Data!D980-Data!E980,2)</f>
        <v>0</v>
      </c>
      <c r="I980" s="52">
        <f>IF(AND(OR(Sel_Mode="All",Data!I980=Sel_Mode),OR(Sel_Gender="All",D980=Sel_Gender),OR(Sel_Category="All",Data!B980=Sel_Category),OR(Sel_Month="All",C980=Sel_Month),OR(Sel_County="All",Data!L980=Sel_County)),1,0)</f>
        <v>1</v>
      </c>
    </row>
    <row r="981" spans="1:9" x14ac:dyDescent="0.25">
      <c r="A981" s="52" t="str">
        <f>Data!A981</f>
        <v>TX500980</v>
      </c>
      <c r="B981" s="52">
        <f>MONTH(Data!F981)</f>
        <v>2</v>
      </c>
      <c r="C981" s="52" t="str">
        <f>TEXT(Data!F981,"mmm")</f>
        <v>Feb</v>
      </c>
      <c r="D981" s="52" t="str">
        <f>Data!O981</f>
        <v>Female</v>
      </c>
      <c r="E981" s="52">
        <f>Data!G981-Data!F981</f>
        <v>5</v>
      </c>
      <c r="F981" s="52">
        <f>IF(Data!J981&lt;=5,Data!J981,IF(Data!J981&lt;=10,"6 TO 10","More than 10"))</f>
        <v>4</v>
      </c>
      <c r="G981" s="52">
        <f t="shared" si="15"/>
        <v>5</v>
      </c>
      <c r="H981" s="52">
        <f>ROUND(Data!C981*Data!D981-Data!E981,2)</f>
        <v>0</v>
      </c>
      <c r="I981" s="52">
        <f>IF(AND(OR(Sel_Mode="All",Data!I981=Sel_Mode),OR(Sel_Gender="All",D981=Sel_Gender),OR(Sel_Category="All",Data!B981=Sel_Category),OR(Sel_Month="All",C981=Sel_Month),OR(Sel_County="All",Data!L981=Sel_County)),1,0)</f>
        <v>1</v>
      </c>
    </row>
    <row r="982" spans="1:9" x14ac:dyDescent="0.25">
      <c r="A982" s="52" t="str">
        <f>Data!A982</f>
        <v>TX500981</v>
      </c>
      <c r="B982" s="52">
        <f>MONTH(Data!F982)</f>
        <v>2</v>
      </c>
      <c r="C982" s="52" t="str">
        <f>TEXT(Data!F982,"mmm")</f>
        <v>Feb</v>
      </c>
      <c r="D982" s="52" t="str">
        <f>Data!O982</f>
        <v>Male</v>
      </c>
      <c r="E982" s="52">
        <f>Data!G982-Data!F982</f>
        <v>5</v>
      </c>
      <c r="F982" s="52">
        <f>IF(Data!J982&lt;=5,Data!J982,IF(Data!J982&lt;=10,"6 TO 10","More than 10"))</f>
        <v>5</v>
      </c>
      <c r="G982" s="52">
        <f t="shared" si="15"/>
        <v>5</v>
      </c>
      <c r="H982" s="52">
        <f>ROUND(Data!C982*Data!D982-Data!E982,2)</f>
        <v>0</v>
      </c>
      <c r="I982" s="52">
        <f>IF(AND(OR(Sel_Mode="All",Data!I982=Sel_Mode),OR(Sel_Gender="All",D982=Sel_Gender),OR(Sel_Category="All",Data!B982=Sel_Category),OR(Sel_Month="All",C982=Sel_Month),OR(Sel_County="All",Data!L982=Sel_County)),1,0)</f>
        <v>1</v>
      </c>
    </row>
    <row r="983" spans="1:9" x14ac:dyDescent="0.25">
      <c r="A983" s="52" t="str">
        <f>Data!A983</f>
        <v>TX500982</v>
      </c>
      <c r="B983" s="52">
        <f>MONTH(Data!F983)</f>
        <v>2</v>
      </c>
      <c r="C983" s="52" t="str">
        <f>TEXT(Data!F983,"mmm")</f>
        <v>Feb</v>
      </c>
      <c r="D983" s="52" t="str">
        <f>Data!O983</f>
        <v>Female</v>
      </c>
      <c r="E983" s="52">
        <f>Data!G983-Data!F983</f>
        <v>3</v>
      </c>
      <c r="F983" s="52">
        <f>IF(Data!J983&lt;=5,Data!J983,IF(Data!J983&lt;=10,"6 TO 10","More than 10"))</f>
        <v>4</v>
      </c>
      <c r="G983" s="52">
        <f t="shared" si="15"/>
        <v>3</v>
      </c>
      <c r="H983" s="52">
        <f>ROUND(Data!C983*Data!D983-Data!E983,2)</f>
        <v>0</v>
      </c>
      <c r="I983" s="52">
        <f>IF(AND(OR(Sel_Mode="All",Data!I983=Sel_Mode),OR(Sel_Gender="All",D983=Sel_Gender),OR(Sel_Category="All",Data!B983=Sel_Category),OR(Sel_Month="All",C983=Sel_Month),OR(Sel_County="All",Data!L983=Sel_County)),1,0)</f>
        <v>1</v>
      </c>
    </row>
    <row r="984" spans="1:9" x14ac:dyDescent="0.25">
      <c r="A984" s="52" t="str">
        <f>Data!A984</f>
        <v>TX500983</v>
      </c>
      <c r="B984" s="52">
        <f>MONTH(Data!F984)</f>
        <v>2</v>
      </c>
      <c r="C984" s="52" t="str">
        <f>TEXT(Data!F984,"mmm")</f>
        <v>Feb</v>
      </c>
      <c r="D984" s="52" t="str">
        <f>Data!O984</f>
        <v>Female</v>
      </c>
      <c r="E984" s="52">
        <f>Data!G984-Data!F984</f>
        <v>1</v>
      </c>
      <c r="F984" s="52">
        <f>IF(Data!J984&lt;=5,Data!J984,IF(Data!J984&lt;=10,"6 TO 10","More than 10"))</f>
        <v>5</v>
      </c>
      <c r="G984" s="52">
        <f t="shared" si="15"/>
        <v>1</v>
      </c>
      <c r="H984" s="52">
        <f>ROUND(Data!C984*Data!D984-Data!E984,2)</f>
        <v>0</v>
      </c>
      <c r="I984" s="52">
        <f>IF(AND(OR(Sel_Mode="All",Data!I984=Sel_Mode),OR(Sel_Gender="All",D984=Sel_Gender),OR(Sel_Category="All",Data!B984=Sel_Category),OR(Sel_Month="All",C984=Sel_Month),OR(Sel_County="All",Data!L984=Sel_County)),1,0)</f>
        <v>1</v>
      </c>
    </row>
    <row r="985" spans="1:9" x14ac:dyDescent="0.25">
      <c r="A985" s="52" t="str">
        <f>Data!A985</f>
        <v>TX500984</v>
      </c>
      <c r="B985" s="52">
        <f>MONTH(Data!F985)</f>
        <v>2</v>
      </c>
      <c r="C985" s="52" t="str">
        <f>TEXT(Data!F985,"mmm")</f>
        <v>Feb</v>
      </c>
      <c r="D985" s="52" t="str">
        <f>Data!O985</f>
        <v>Female</v>
      </c>
      <c r="E985" s="52">
        <f>Data!G985-Data!F985</f>
        <v>1</v>
      </c>
      <c r="F985" s="52">
        <f>IF(Data!J985&lt;=5,Data!J985,IF(Data!J985&lt;=10,"6 TO 10","More than 10"))</f>
        <v>3</v>
      </c>
      <c r="G985" s="52">
        <f t="shared" si="15"/>
        <v>1</v>
      </c>
      <c r="H985" s="52">
        <f>ROUND(Data!C985*Data!D985-Data!E985,2)</f>
        <v>0</v>
      </c>
      <c r="I985" s="52">
        <f>IF(AND(OR(Sel_Mode="All",Data!I985=Sel_Mode),OR(Sel_Gender="All",D985=Sel_Gender),OR(Sel_Category="All",Data!B985=Sel_Category),OR(Sel_Month="All",C985=Sel_Month),OR(Sel_County="All",Data!L985=Sel_County)),1,0)</f>
        <v>1</v>
      </c>
    </row>
    <row r="986" spans="1:9" x14ac:dyDescent="0.25">
      <c r="A986" s="52" t="str">
        <f>Data!A986</f>
        <v>TX500985</v>
      </c>
      <c r="B986" s="52">
        <f>MONTH(Data!F986)</f>
        <v>2</v>
      </c>
      <c r="C986" s="52" t="str">
        <f>TEXT(Data!F986,"mmm")</f>
        <v>Feb</v>
      </c>
      <c r="D986" s="52" t="str">
        <f>Data!O986</f>
        <v>Male</v>
      </c>
      <c r="E986" s="52">
        <f>Data!G986-Data!F986</f>
        <v>4</v>
      </c>
      <c r="F986" s="52">
        <f>IF(Data!J986&lt;=5,Data!J986,IF(Data!J986&lt;=10,"6 TO 10","More than 10"))</f>
        <v>5</v>
      </c>
      <c r="G986" s="52">
        <f t="shared" si="15"/>
        <v>4</v>
      </c>
      <c r="H986" s="52">
        <f>ROUND(Data!C986*Data!D986-Data!E986,2)</f>
        <v>0</v>
      </c>
      <c r="I986" s="52">
        <f>IF(AND(OR(Sel_Mode="All",Data!I986=Sel_Mode),OR(Sel_Gender="All",D986=Sel_Gender),OR(Sel_Category="All",Data!B986=Sel_Category),OR(Sel_Month="All",C986=Sel_Month),OR(Sel_County="All",Data!L986=Sel_County)),1,0)</f>
        <v>1</v>
      </c>
    </row>
    <row r="987" spans="1:9" x14ac:dyDescent="0.25">
      <c r="A987" s="52" t="str">
        <f>Data!A987</f>
        <v>TX500986</v>
      </c>
      <c r="B987" s="52">
        <f>MONTH(Data!F987)</f>
        <v>2</v>
      </c>
      <c r="C987" s="52" t="str">
        <f>TEXT(Data!F987,"mmm")</f>
        <v>Feb</v>
      </c>
      <c r="D987" s="52" t="str">
        <f>Data!O987</f>
        <v>Male</v>
      </c>
      <c r="E987" s="52">
        <f>Data!G987-Data!F987</f>
        <v>1</v>
      </c>
      <c r="F987" s="52">
        <f>IF(Data!J987&lt;=5,Data!J987,IF(Data!J987&lt;=10,"6 TO 10","More than 10"))</f>
        <v>3</v>
      </c>
      <c r="G987" s="52">
        <f t="shared" si="15"/>
        <v>1</v>
      </c>
      <c r="H987" s="52">
        <f>ROUND(Data!C987*Data!D987-Data!E987,2)</f>
        <v>0</v>
      </c>
      <c r="I987" s="52">
        <f>IF(AND(OR(Sel_Mode="All",Data!I987=Sel_Mode),OR(Sel_Gender="All",D987=Sel_Gender),OR(Sel_Category="All",Data!B987=Sel_Category),OR(Sel_Month="All",C987=Sel_Month),OR(Sel_County="All",Data!L987=Sel_County)),1,0)</f>
        <v>1</v>
      </c>
    </row>
    <row r="988" spans="1:9" x14ac:dyDescent="0.25">
      <c r="A988" s="52" t="str">
        <f>Data!A988</f>
        <v>TX500987</v>
      </c>
      <c r="B988" s="52">
        <f>MONTH(Data!F988)</f>
        <v>2</v>
      </c>
      <c r="C988" s="52" t="str">
        <f>TEXT(Data!F988,"mmm")</f>
        <v>Feb</v>
      </c>
      <c r="D988" s="52" t="str">
        <f>Data!O988</f>
        <v>Unknown</v>
      </c>
      <c r="E988" s="52">
        <f>Data!G988-Data!F988</f>
        <v>2</v>
      </c>
      <c r="F988" s="52">
        <f>IF(Data!J988&lt;=5,Data!J988,IF(Data!J988&lt;=10,"6 TO 10","More than 10"))</f>
        <v>5</v>
      </c>
      <c r="G988" s="52">
        <f t="shared" si="15"/>
        <v>2</v>
      </c>
      <c r="H988" s="52">
        <f>ROUND(Data!C988*Data!D988-Data!E988,2)</f>
        <v>0</v>
      </c>
      <c r="I988" s="52">
        <f>IF(AND(OR(Sel_Mode="All",Data!I988=Sel_Mode),OR(Sel_Gender="All",D988=Sel_Gender),OR(Sel_Category="All",Data!B988=Sel_Category),OR(Sel_Month="All",C988=Sel_Month),OR(Sel_County="All",Data!L988=Sel_County)),1,0)</f>
        <v>1</v>
      </c>
    </row>
    <row r="989" spans="1:9" x14ac:dyDescent="0.25">
      <c r="A989" s="52" t="str">
        <f>Data!A989</f>
        <v>TX500988</v>
      </c>
      <c r="B989" s="52">
        <f>MONTH(Data!F989)</f>
        <v>2</v>
      </c>
      <c r="C989" s="52" t="str">
        <f>TEXT(Data!F989,"mmm")</f>
        <v>Feb</v>
      </c>
      <c r="D989" s="52" t="str">
        <f>Data!O989</f>
        <v>Male</v>
      </c>
      <c r="E989" s="52">
        <f>Data!G989-Data!F989</f>
        <v>3</v>
      </c>
      <c r="F989" s="52">
        <f>IF(Data!J989&lt;=5,Data!J989,IF(Data!J989&lt;=10,"6 TO 10","More than 10"))</f>
        <v>4</v>
      </c>
      <c r="G989" s="52">
        <f t="shared" si="15"/>
        <v>3</v>
      </c>
      <c r="H989" s="52">
        <f>ROUND(Data!C989*Data!D989-Data!E989,2)</f>
        <v>0</v>
      </c>
      <c r="I989" s="52">
        <f>IF(AND(OR(Sel_Mode="All",Data!I989=Sel_Mode),OR(Sel_Gender="All",D989=Sel_Gender),OR(Sel_Category="All",Data!B989=Sel_Category),OR(Sel_Month="All",C989=Sel_Month),OR(Sel_County="All",Data!L989=Sel_County)),1,0)</f>
        <v>1</v>
      </c>
    </row>
    <row r="990" spans="1:9" x14ac:dyDescent="0.25">
      <c r="A990" s="52" t="str">
        <f>Data!A990</f>
        <v>TX500989</v>
      </c>
      <c r="B990" s="52">
        <f>MONTH(Data!F990)</f>
        <v>2</v>
      </c>
      <c r="C990" s="52" t="str">
        <f>TEXT(Data!F990,"mmm")</f>
        <v>Feb</v>
      </c>
      <c r="D990" s="52" t="str">
        <f>Data!O990</f>
        <v>Female</v>
      </c>
      <c r="E990" s="52">
        <f>Data!G990-Data!F990</f>
        <v>4</v>
      </c>
      <c r="F990" s="52">
        <f>IF(Data!J990&lt;=5,Data!J990,IF(Data!J990&lt;=10,"6 TO 10","More than 10"))</f>
        <v>4</v>
      </c>
      <c r="G990" s="52">
        <f t="shared" si="15"/>
        <v>4</v>
      </c>
      <c r="H990" s="52">
        <f>ROUND(Data!C990*Data!D990-Data!E990,2)</f>
        <v>0</v>
      </c>
      <c r="I990" s="52">
        <f>IF(AND(OR(Sel_Mode="All",Data!I990=Sel_Mode),OR(Sel_Gender="All",D990=Sel_Gender),OR(Sel_Category="All",Data!B990=Sel_Category),OR(Sel_Month="All",C990=Sel_Month),OR(Sel_County="All",Data!L990=Sel_County)),1,0)</f>
        <v>1</v>
      </c>
    </row>
    <row r="991" spans="1:9" x14ac:dyDescent="0.25">
      <c r="A991" s="52" t="str">
        <f>Data!A991</f>
        <v>TX500990</v>
      </c>
      <c r="B991" s="52">
        <f>MONTH(Data!F991)</f>
        <v>2</v>
      </c>
      <c r="C991" s="52" t="str">
        <f>TEXT(Data!F991,"mmm")</f>
        <v>Feb</v>
      </c>
      <c r="D991" s="52" t="str">
        <f>Data!O991</f>
        <v>Female</v>
      </c>
      <c r="E991" s="52">
        <f>Data!G991-Data!F991</f>
        <v>1</v>
      </c>
      <c r="F991" s="52">
        <f>IF(Data!J991&lt;=5,Data!J991,IF(Data!J991&lt;=10,"6 TO 10","More than 10"))</f>
        <v>4</v>
      </c>
      <c r="G991" s="52">
        <f t="shared" si="15"/>
        <v>1</v>
      </c>
      <c r="H991" s="52">
        <f>ROUND(Data!C991*Data!D991-Data!E991,2)</f>
        <v>0</v>
      </c>
      <c r="I991" s="52">
        <f>IF(AND(OR(Sel_Mode="All",Data!I991=Sel_Mode),OR(Sel_Gender="All",D991=Sel_Gender),OR(Sel_Category="All",Data!B991=Sel_Category),OR(Sel_Month="All",C991=Sel_Month),OR(Sel_County="All",Data!L991=Sel_County)),1,0)</f>
        <v>1</v>
      </c>
    </row>
    <row r="992" spans="1:9" x14ac:dyDescent="0.25">
      <c r="A992" s="52" t="str">
        <f>Data!A992</f>
        <v>TX500991</v>
      </c>
      <c r="B992" s="52">
        <f>MONTH(Data!F992)</f>
        <v>2</v>
      </c>
      <c r="C992" s="52" t="str">
        <f>TEXT(Data!F992,"mmm")</f>
        <v>Feb</v>
      </c>
      <c r="D992" s="52" t="str">
        <f>Data!O992</f>
        <v>Unknown</v>
      </c>
      <c r="E992" s="52">
        <f>Data!G992-Data!F992</f>
        <v>6</v>
      </c>
      <c r="F992" s="52">
        <f>IF(Data!J992&lt;=5,Data!J992,IF(Data!J992&lt;=10,"6 TO 10","More than 10"))</f>
        <v>4</v>
      </c>
      <c r="G992" s="52">
        <f t="shared" si="15"/>
        <v>6</v>
      </c>
      <c r="H992" s="52">
        <f>ROUND(Data!C992*Data!D992-Data!E992,2)</f>
        <v>0</v>
      </c>
      <c r="I992" s="52">
        <f>IF(AND(OR(Sel_Mode="All",Data!I992=Sel_Mode),OR(Sel_Gender="All",D992=Sel_Gender),OR(Sel_Category="All",Data!B992=Sel_Category),OR(Sel_Month="All",C992=Sel_Month),OR(Sel_County="All",Data!L992=Sel_County)),1,0)</f>
        <v>1</v>
      </c>
    </row>
    <row r="993" spans="1:9" x14ac:dyDescent="0.25">
      <c r="A993" s="52" t="str">
        <f>Data!A993</f>
        <v>TX500992</v>
      </c>
      <c r="B993" s="52">
        <f>MONTH(Data!F993)</f>
        <v>2</v>
      </c>
      <c r="C993" s="52" t="str">
        <f>TEXT(Data!F993,"mmm")</f>
        <v>Feb</v>
      </c>
      <c r="D993" s="52" t="str">
        <f>Data!O993</f>
        <v>Female</v>
      </c>
      <c r="E993" s="52">
        <f>Data!G993-Data!F993</f>
        <v>1</v>
      </c>
      <c r="F993" s="52">
        <f>IF(Data!J993&lt;=5,Data!J993,IF(Data!J993&lt;=10,"6 TO 10","More than 10"))</f>
        <v>5</v>
      </c>
      <c r="G993" s="52">
        <f t="shared" si="15"/>
        <v>1</v>
      </c>
      <c r="H993" s="52">
        <f>ROUND(Data!C993*Data!D993-Data!E993,2)</f>
        <v>0</v>
      </c>
      <c r="I993" s="52">
        <f>IF(AND(OR(Sel_Mode="All",Data!I993=Sel_Mode),OR(Sel_Gender="All",D993=Sel_Gender),OR(Sel_Category="All",Data!B993=Sel_Category),OR(Sel_Month="All",C993=Sel_Month),OR(Sel_County="All",Data!L993=Sel_County)),1,0)</f>
        <v>1</v>
      </c>
    </row>
    <row r="994" spans="1:9" x14ac:dyDescent="0.25">
      <c r="A994" s="52" t="str">
        <f>Data!A994</f>
        <v>TX500993</v>
      </c>
      <c r="B994" s="52">
        <f>MONTH(Data!F994)</f>
        <v>2</v>
      </c>
      <c r="C994" s="52" t="str">
        <f>TEXT(Data!F994,"mmm")</f>
        <v>Feb</v>
      </c>
      <c r="D994" s="52" t="str">
        <f>Data!O994</f>
        <v>Other</v>
      </c>
      <c r="E994" s="52">
        <f>Data!G994-Data!F994</f>
        <v>1</v>
      </c>
      <c r="F994" s="52">
        <f>IF(Data!J994&lt;=5,Data!J994,IF(Data!J994&lt;=10,"6 TO 10","More than 10"))</f>
        <v>5</v>
      </c>
      <c r="G994" s="52">
        <f t="shared" si="15"/>
        <v>1</v>
      </c>
      <c r="H994" s="52">
        <f>ROUND(Data!C994*Data!D994-Data!E994,2)</f>
        <v>0</v>
      </c>
      <c r="I994" s="52">
        <f>IF(AND(OR(Sel_Mode="All",Data!I994=Sel_Mode),OR(Sel_Gender="All",D994=Sel_Gender),OR(Sel_Category="All",Data!B994=Sel_Category),OR(Sel_Month="All",C994=Sel_Month),OR(Sel_County="All",Data!L994=Sel_County)),1,0)</f>
        <v>1</v>
      </c>
    </row>
    <row r="995" spans="1:9" x14ac:dyDescent="0.25">
      <c r="A995" s="52" t="str">
        <f>Data!A995</f>
        <v>TX500994</v>
      </c>
      <c r="B995" s="52">
        <f>MONTH(Data!F995)</f>
        <v>2</v>
      </c>
      <c r="C995" s="52" t="str">
        <f>TEXT(Data!F995,"mmm")</f>
        <v>Feb</v>
      </c>
      <c r="D995" s="52" t="str">
        <f>Data!O995</f>
        <v>Female</v>
      </c>
      <c r="E995" s="52">
        <f>Data!G995-Data!F995</f>
        <v>4</v>
      </c>
      <c r="F995" s="52">
        <f>IF(Data!J995&lt;=5,Data!J995,IF(Data!J995&lt;=10,"6 TO 10","More than 10"))</f>
        <v>4</v>
      </c>
      <c r="G995" s="52">
        <f t="shared" si="15"/>
        <v>4</v>
      </c>
      <c r="H995" s="52">
        <f>ROUND(Data!C995*Data!D995-Data!E995,2)</f>
        <v>0</v>
      </c>
      <c r="I995" s="52">
        <f>IF(AND(OR(Sel_Mode="All",Data!I995=Sel_Mode),OR(Sel_Gender="All",D995=Sel_Gender),OR(Sel_Category="All",Data!B995=Sel_Category),OR(Sel_Month="All",C995=Sel_Month),OR(Sel_County="All",Data!L995=Sel_County)),1,0)</f>
        <v>1</v>
      </c>
    </row>
    <row r="996" spans="1:9" x14ac:dyDescent="0.25">
      <c r="A996" s="52" t="str">
        <f>Data!A996</f>
        <v>TX500995</v>
      </c>
      <c r="B996" s="52">
        <f>MONTH(Data!F996)</f>
        <v>2</v>
      </c>
      <c r="C996" s="52" t="str">
        <f>TEXT(Data!F996,"mmm")</f>
        <v>Feb</v>
      </c>
      <c r="D996" s="52" t="str">
        <f>Data!O996</f>
        <v>Female</v>
      </c>
      <c r="E996" s="52">
        <f>Data!G996-Data!F996</f>
        <v>3</v>
      </c>
      <c r="F996" s="52">
        <f>IF(Data!J996&lt;=5,Data!J996,IF(Data!J996&lt;=10,"6 TO 10","More than 10"))</f>
        <v>4</v>
      </c>
      <c r="G996" s="52">
        <f t="shared" si="15"/>
        <v>3</v>
      </c>
      <c r="H996" s="52">
        <f>ROUND(Data!C996*Data!D996-Data!E996,2)</f>
        <v>0</v>
      </c>
      <c r="I996" s="52">
        <f>IF(AND(OR(Sel_Mode="All",Data!I996=Sel_Mode),OR(Sel_Gender="All",D996=Sel_Gender),OR(Sel_Category="All",Data!B996=Sel_Category),OR(Sel_Month="All",C996=Sel_Month),OR(Sel_County="All",Data!L996=Sel_County)),1,0)</f>
        <v>1</v>
      </c>
    </row>
    <row r="997" spans="1:9" x14ac:dyDescent="0.25">
      <c r="A997" s="52" t="str">
        <f>Data!A997</f>
        <v>TX500996</v>
      </c>
      <c r="B997" s="52">
        <f>MONTH(Data!F997)</f>
        <v>2</v>
      </c>
      <c r="C997" s="52" t="str">
        <f>TEXT(Data!F997,"mmm")</f>
        <v>Feb</v>
      </c>
      <c r="D997" s="52" t="str">
        <f>Data!O997</f>
        <v>Female</v>
      </c>
      <c r="E997" s="52">
        <f>Data!G997-Data!F997</f>
        <v>1</v>
      </c>
      <c r="F997" s="52">
        <f>IF(Data!J997&lt;=5,Data!J997,IF(Data!J997&lt;=10,"6 TO 10","More than 10"))</f>
        <v>5</v>
      </c>
      <c r="G997" s="52">
        <f t="shared" si="15"/>
        <v>1</v>
      </c>
      <c r="H997" s="52">
        <f>ROUND(Data!C997*Data!D997-Data!E997,2)</f>
        <v>0</v>
      </c>
      <c r="I997" s="52">
        <f>IF(AND(OR(Sel_Mode="All",Data!I997=Sel_Mode),OR(Sel_Gender="All",D997=Sel_Gender),OR(Sel_Category="All",Data!B997=Sel_Category),OR(Sel_Month="All",C997=Sel_Month),OR(Sel_County="All",Data!L997=Sel_County)),1,0)</f>
        <v>1</v>
      </c>
    </row>
    <row r="998" spans="1:9" x14ac:dyDescent="0.25">
      <c r="A998" s="52" t="str">
        <f>Data!A998</f>
        <v>TX500997</v>
      </c>
      <c r="B998" s="52">
        <f>MONTH(Data!F998)</f>
        <v>2</v>
      </c>
      <c r="C998" s="52" t="str">
        <f>TEXT(Data!F998,"mmm")</f>
        <v>Feb</v>
      </c>
      <c r="D998" s="52" t="str">
        <f>Data!O998</f>
        <v>Female</v>
      </c>
      <c r="E998" s="52">
        <f>Data!G998-Data!F998</f>
        <v>3</v>
      </c>
      <c r="F998" s="52">
        <f>IF(Data!J998&lt;=5,Data!J998,IF(Data!J998&lt;=10,"6 TO 10","More than 10"))</f>
        <v>4</v>
      </c>
      <c r="G998" s="52">
        <f t="shared" si="15"/>
        <v>3</v>
      </c>
      <c r="H998" s="52">
        <f>ROUND(Data!C998*Data!D998-Data!E998,2)</f>
        <v>0</v>
      </c>
      <c r="I998" s="52">
        <f>IF(AND(OR(Sel_Mode="All",Data!I998=Sel_Mode),OR(Sel_Gender="All",D998=Sel_Gender),OR(Sel_Category="All",Data!B998=Sel_Category),OR(Sel_Month="All",C998=Sel_Month),OR(Sel_County="All",Data!L998=Sel_County)),1,0)</f>
        <v>1</v>
      </c>
    </row>
    <row r="999" spans="1:9" x14ac:dyDescent="0.25">
      <c r="A999" s="52" t="str">
        <f>Data!A999</f>
        <v>TX500998</v>
      </c>
      <c r="B999" s="52">
        <f>MONTH(Data!F999)</f>
        <v>2</v>
      </c>
      <c r="C999" s="52" t="str">
        <f>TEXT(Data!F999,"mmm")</f>
        <v>Feb</v>
      </c>
      <c r="D999" s="52" t="str">
        <f>Data!O999</f>
        <v>Female</v>
      </c>
      <c r="E999" s="52">
        <f>Data!G999-Data!F999</f>
        <v>3</v>
      </c>
      <c r="F999" s="52">
        <f>IF(Data!J999&lt;=5,Data!J999,IF(Data!J999&lt;=10,"6 TO 10","More than 10"))</f>
        <v>4</v>
      </c>
      <c r="G999" s="52">
        <f t="shared" si="15"/>
        <v>3</v>
      </c>
      <c r="H999" s="52">
        <f>ROUND(Data!C999*Data!D999-Data!E999,2)</f>
        <v>0</v>
      </c>
      <c r="I999" s="52">
        <f>IF(AND(OR(Sel_Mode="All",Data!I999=Sel_Mode),OR(Sel_Gender="All",D999=Sel_Gender),OR(Sel_Category="All",Data!B999=Sel_Category),OR(Sel_Month="All",C999=Sel_Month),OR(Sel_County="All",Data!L999=Sel_County)),1,0)</f>
        <v>1</v>
      </c>
    </row>
    <row r="1000" spans="1:9" x14ac:dyDescent="0.25">
      <c r="A1000" s="52" t="str">
        <f>Data!A1000</f>
        <v>TX500999</v>
      </c>
      <c r="B1000" s="52">
        <f>MONTH(Data!F1000)</f>
        <v>2</v>
      </c>
      <c r="C1000" s="52" t="str">
        <f>TEXT(Data!F1000,"mmm")</f>
        <v>Feb</v>
      </c>
      <c r="D1000" s="52" t="str">
        <f>Data!O1000</f>
        <v>Female</v>
      </c>
      <c r="E1000" s="52">
        <f>Data!G1000-Data!F1000</f>
        <v>2</v>
      </c>
      <c r="F1000" s="52">
        <f>IF(Data!J1000&lt;=5,Data!J1000,IF(Data!J1000&lt;=10,"6 TO 10","More than 10"))</f>
        <v>4</v>
      </c>
      <c r="G1000" s="52">
        <f t="shared" si="15"/>
        <v>2</v>
      </c>
      <c r="H1000" s="52">
        <f>ROUND(Data!C1000*Data!D1000-Data!E1000,2)</f>
        <v>0</v>
      </c>
      <c r="I1000" s="52">
        <f>IF(AND(OR(Sel_Mode="All",Data!I1000=Sel_Mode),OR(Sel_Gender="All",D1000=Sel_Gender),OR(Sel_Category="All",Data!B1000=Sel_Category),OR(Sel_Month="All",C1000=Sel_Month),OR(Sel_County="All",Data!L1000=Sel_County)),1,0)</f>
        <v>1</v>
      </c>
    </row>
    <row r="1001" spans="1:9" x14ac:dyDescent="0.25">
      <c r="A1001" s="52" t="str">
        <f>Data!A1001</f>
        <v>TX501000</v>
      </c>
      <c r="B1001" s="52">
        <f>MONTH(Data!F1001)</f>
        <v>2</v>
      </c>
      <c r="C1001" s="52" t="str">
        <f>TEXT(Data!F1001,"mmm")</f>
        <v>Feb</v>
      </c>
      <c r="D1001" s="52" t="str">
        <f>Data!O1001</f>
        <v>Female</v>
      </c>
      <c r="E1001" s="52">
        <f>Data!G1001-Data!F1001</f>
        <v>1</v>
      </c>
      <c r="F1001" s="52">
        <f>IF(Data!J1001&lt;=5,Data!J1001,IF(Data!J1001&lt;=10,"6 TO 10","More than 10"))</f>
        <v>3</v>
      </c>
      <c r="G1001" s="52">
        <f t="shared" si="15"/>
        <v>1</v>
      </c>
      <c r="H1001" s="52">
        <f>ROUND(Data!C1001*Data!D1001-Data!E1001,2)</f>
        <v>0</v>
      </c>
      <c r="I1001" s="52">
        <f>IF(AND(OR(Sel_Mode="All",Data!I1001=Sel_Mode),OR(Sel_Gender="All",D1001=Sel_Gender),OR(Sel_Category="All",Data!B1001=Sel_Category),OR(Sel_Month="All",C1001=Sel_Month),OR(Sel_County="All",Data!L1001=Sel_County)),1,0)</f>
        <v>1</v>
      </c>
    </row>
    <row r="1002" spans="1:9" x14ac:dyDescent="0.25">
      <c r="A1002" s="52" t="str">
        <f>Data!A1002</f>
        <v>TX501001</v>
      </c>
      <c r="B1002" s="52">
        <f>MONTH(Data!F1002)</f>
        <v>2</v>
      </c>
      <c r="C1002" s="52" t="str">
        <f>TEXT(Data!F1002,"mmm")</f>
        <v>Feb</v>
      </c>
      <c r="D1002" s="52" t="str">
        <f>Data!O1002</f>
        <v>Female</v>
      </c>
      <c r="E1002" s="52">
        <f>Data!G1002-Data!F1002</f>
        <v>4</v>
      </c>
      <c r="F1002" s="52">
        <f>IF(Data!J1002&lt;=5,Data!J1002,IF(Data!J1002&lt;=10,"6 TO 10","More than 10"))</f>
        <v>5</v>
      </c>
      <c r="G1002" s="52">
        <f t="shared" si="15"/>
        <v>4</v>
      </c>
      <c r="H1002" s="52">
        <f>ROUND(Data!C1002*Data!D1002-Data!E1002,2)</f>
        <v>0</v>
      </c>
      <c r="I1002" s="52">
        <f>IF(AND(OR(Sel_Mode="All",Data!I1002=Sel_Mode),OR(Sel_Gender="All",D1002=Sel_Gender),OR(Sel_Category="All",Data!B1002=Sel_Category),OR(Sel_Month="All",C1002=Sel_Month),OR(Sel_County="All",Data!L1002=Sel_County)),1,0)</f>
        <v>1</v>
      </c>
    </row>
    <row r="1003" spans="1:9" x14ac:dyDescent="0.25">
      <c r="A1003" s="52" t="str">
        <f>Data!A1003</f>
        <v>TX501002</v>
      </c>
      <c r="B1003" s="52">
        <f>MONTH(Data!F1003)</f>
        <v>2</v>
      </c>
      <c r="C1003" s="52" t="str">
        <f>TEXT(Data!F1003,"mmm")</f>
        <v>Feb</v>
      </c>
      <c r="D1003" s="52" t="str">
        <f>Data!O1003</f>
        <v>Female</v>
      </c>
      <c r="E1003" s="52">
        <f>Data!G1003-Data!F1003</f>
        <v>11</v>
      </c>
      <c r="F1003" s="52">
        <f>IF(Data!J1003&lt;=5,Data!J1003,IF(Data!J1003&lt;=10,"6 TO 10","More than 10"))</f>
        <v>3</v>
      </c>
      <c r="G1003" s="52" t="str">
        <f t="shared" si="15"/>
        <v>8+</v>
      </c>
      <c r="H1003" s="52">
        <f>ROUND(Data!C1003*Data!D1003-Data!E1003,2)</f>
        <v>0</v>
      </c>
      <c r="I1003" s="52">
        <f>IF(AND(OR(Sel_Mode="All",Data!I1003=Sel_Mode),OR(Sel_Gender="All",D1003=Sel_Gender),OR(Sel_Category="All",Data!B1003=Sel_Category),OR(Sel_Month="All",C1003=Sel_Month),OR(Sel_County="All",Data!L1003=Sel_County)),1,0)</f>
        <v>1</v>
      </c>
    </row>
    <row r="1004" spans="1:9" x14ac:dyDescent="0.25">
      <c r="A1004" s="52" t="str">
        <f>Data!A1004</f>
        <v>TX501003</v>
      </c>
      <c r="B1004" s="52">
        <f>MONTH(Data!F1004)</f>
        <v>2</v>
      </c>
      <c r="C1004" s="52" t="str">
        <f>TEXT(Data!F1004,"mmm")</f>
        <v>Feb</v>
      </c>
      <c r="D1004" s="52" t="str">
        <f>Data!O1004</f>
        <v>Female</v>
      </c>
      <c r="E1004" s="52">
        <f>Data!G1004-Data!F1004</f>
        <v>2</v>
      </c>
      <c r="F1004" s="52">
        <f>IF(Data!J1004&lt;=5,Data!J1004,IF(Data!J1004&lt;=10,"6 TO 10","More than 10"))</f>
        <v>3</v>
      </c>
      <c r="G1004" s="52">
        <f t="shared" si="15"/>
        <v>2</v>
      </c>
      <c r="H1004" s="52">
        <f>ROUND(Data!C1004*Data!D1004-Data!E1004,2)</f>
        <v>0</v>
      </c>
      <c r="I1004" s="52">
        <f>IF(AND(OR(Sel_Mode="All",Data!I1004=Sel_Mode),OR(Sel_Gender="All",D1004=Sel_Gender),OR(Sel_Category="All",Data!B1004=Sel_Category),OR(Sel_Month="All",C1004=Sel_Month),OR(Sel_County="All",Data!L1004=Sel_County)),1,0)</f>
        <v>1</v>
      </c>
    </row>
    <row r="1005" spans="1:9" x14ac:dyDescent="0.25">
      <c r="A1005" s="52" t="str">
        <f>Data!A1005</f>
        <v>TX501004</v>
      </c>
      <c r="B1005" s="52">
        <f>MONTH(Data!F1005)</f>
        <v>2</v>
      </c>
      <c r="C1005" s="52" t="str">
        <f>TEXT(Data!F1005,"mmm")</f>
        <v>Feb</v>
      </c>
      <c r="D1005" s="52" t="str">
        <f>Data!O1005</f>
        <v>Male</v>
      </c>
      <c r="E1005" s="52">
        <f>Data!G1005-Data!F1005</f>
        <v>2</v>
      </c>
      <c r="F1005" s="52">
        <f>IF(Data!J1005&lt;=5,Data!J1005,IF(Data!J1005&lt;=10,"6 TO 10","More than 10"))</f>
        <v>5</v>
      </c>
      <c r="G1005" s="52">
        <f t="shared" si="15"/>
        <v>2</v>
      </c>
      <c r="H1005" s="52">
        <f>ROUND(Data!C1005*Data!D1005-Data!E1005,2)</f>
        <v>0</v>
      </c>
      <c r="I1005" s="52">
        <f>IF(AND(OR(Sel_Mode="All",Data!I1005=Sel_Mode),OR(Sel_Gender="All",D1005=Sel_Gender),OR(Sel_Category="All",Data!B1005=Sel_Category),OR(Sel_Month="All",C1005=Sel_Month),OR(Sel_County="All",Data!L1005=Sel_County)),1,0)</f>
        <v>1</v>
      </c>
    </row>
    <row r="1006" spans="1:9" x14ac:dyDescent="0.25">
      <c r="A1006" s="52" t="str">
        <f>Data!A1006</f>
        <v>TX501005</v>
      </c>
      <c r="B1006" s="52">
        <f>MONTH(Data!F1006)</f>
        <v>2</v>
      </c>
      <c r="C1006" s="52" t="str">
        <f>TEXT(Data!F1006,"mmm")</f>
        <v>Feb</v>
      </c>
      <c r="D1006" s="52" t="str">
        <f>Data!O1006</f>
        <v>Male</v>
      </c>
      <c r="E1006" s="52">
        <f>Data!G1006-Data!F1006</f>
        <v>1</v>
      </c>
      <c r="F1006" s="52">
        <f>IF(Data!J1006&lt;=5,Data!J1006,IF(Data!J1006&lt;=10,"6 TO 10","More than 10"))</f>
        <v>2</v>
      </c>
      <c r="G1006" s="52">
        <f t="shared" si="15"/>
        <v>1</v>
      </c>
      <c r="H1006" s="52">
        <f>ROUND(Data!C1006*Data!D1006-Data!E1006,2)</f>
        <v>0</v>
      </c>
      <c r="I1006" s="52">
        <f>IF(AND(OR(Sel_Mode="All",Data!I1006=Sel_Mode),OR(Sel_Gender="All",D1006=Sel_Gender),OR(Sel_Category="All",Data!B1006=Sel_Category),OR(Sel_Month="All",C1006=Sel_Month),OR(Sel_County="All",Data!L1006=Sel_County)),1,0)</f>
        <v>1</v>
      </c>
    </row>
    <row r="1007" spans="1:9" x14ac:dyDescent="0.25">
      <c r="A1007" s="52" t="str">
        <f>Data!A1007</f>
        <v>TX501006</v>
      </c>
      <c r="B1007" s="52">
        <f>MONTH(Data!F1007)</f>
        <v>2</v>
      </c>
      <c r="C1007" s="52" t="str">
        <f>TEXT(Data!F1007,"mmm")</f>
        <v>Feb</v>
      </c>
      <c r="D1007" s="52" t="str">
        <f>Data!O1007</f>
        <v>Female</v>
      </c>
      <c r="E1007" s="52">
        <f>Data!G1007-Data!F1007</f>
        <v>1</v>
      </c>
      <c r="F1007" s="52">
        <f>IF(Data!J1007&lt;=5,Data!J1007,IF(Data!J1007&lt;=10,"6 TO 10","More than 10"))</f>
        <v>1</v>
      </c>
      <c r="G1007" s="52">
        <f t="shared" si="15"/>
        <v>1</v>
      </c>
      <c r="H1007" s="52">
        <f>ROUND(Data!C1007*Data!D1007-Data!E1007,2)</f>
        <v>0</v>
      </c>
      <c r="I1007" s="52">
        <f>IF(AND(OR(Sel_Mode="All",Data!I1007=Sel_Mode),OR(Sel_Gender="All",D1007=Sel_Gender),OR(Sel_Category="All",Data!B1007=Sel_Category),OR(Sel_Month="All",C1007=Sel_Month),OR(Sel_County="All",Data!L1007=Sel_County)),1,0)</f>
        <v>1</v>
      </c>
    </row>
    <row r="1008" spans="1:9" x14ac:dyDescent="0.25">
      <c r="A1008" s="52" t="str">
        <f>Data!A1008</f>
        <v>TX501007</v>
      </c>
      <c r="B1008" s="52">
        <f>MONTH(Data!F1008)</f>
        <v>2</v>
      </c>
      <c r="C1008" s="52" t="str">
        <f>TEXT(Data!F1008,"mmm")</f>
        <v>Feb</v>
      </c>
      <c r="D1008" s="52" t="str">
        <f>Data!O1008</f>
        <v>Female</v>
      </c>
      <c r="E1008" s="52">
        <f>Data!G1008-Data!F1008</f>
        <v>2</v>
      </c>
      <c r="F1008" s="52">
        <f>IF(Data!J1008&lt;=5,Data!J1008,IF(Data!J1008&lt;=10,"6 TO 10","More than 10"))</f>
        <v>4</v>
      </c>
      <c r="G1008" s="52">
        <f t="shared" si="15"/>
        <v>2</v>
      </c>
      <c r="H1008" s="52">
        <f>ROUND(Data!C1008*Data!D1008-Data!E1008,2)</f>
        <v>0</v>
      </c>
      <c r="I1008" s="52">
        <f>IF(AND(OR(Sel_Mode="All",Data!I1008=Sel_Mode),OR(Sel_Gender="All",D1008=Sel_Gender),OR(Sel_Category="All",Data!B1008=Sel_Category),OR(Sel_Month="All",C1008=Sel_Month),OR(Sel_County="All",Data!L1008=Sel_County)),1,0)</f>
        <v>1</v>
      </c>
    </row>
    <row r="1009" spans="1:9" x14ac:dyDescent="0.25">
      <c r="A1009" s="52" t="str">
        <f>Data!A1009</f>
        <v>TX501008</v>
      </c>
      <c r="B1009" s="52">
        <f>MONTH(Data!F1009)</f>
        <v>2</v>
      </c>
      <c r="C1009" s="52" t="str">
        <f>TEXT(Data!F1009,"mmm")</f>
        <v>Feb</v>
      </c>
      <c r="D1009" s="52" t="str">
        <f>Data!O1009</f>
        <v>Unknown</v>
      </c>
      <c r="E1009" s="52">
        <f>Data!G1009-Data!F1009</f>
        <v>2</v>
      </c>
      <c r="F1009" s="52">
        <f>IF(Data!J1009&lt;=5,Data!J1009,IF(Data!J1009&lt;=10,"6 TO 10","More than 10"))</f>
        <v>4</v>
      </c>
      <c r="G1009" s="52">
        <f t="shared" si="15"/>
        <v>2</v>
      </c>
      <c r="H1009" s="52">
        <f>ROUND(Data!C1009*Data!D1009-Data!E1009,2)</f>
        <v>0</v>
      </c>
      <c r="I1009" s="52">
        <f>IF(AND(OR(Sel_Mode="All",Data!I1009=Sel_Mode),OR(Sel_Gender="All",D1009=Sel_Gender),OR(Sel_Category="All",Data!B1009=Sel_Category),OR(Sel_Month="All",C1009=Sel_Month),OR(Sel_County="All",Data!L1009=Sel_County)),1,0)</f>
        <v>1</v>
      </c>
    </row>
    <row r="1010" spans="1:9" x14ac:dyDescent="0.25">
      <c r="A1010" s="52" t="str">
        <f>Data!A1010</f>
        <v>TX501009</v>
      </c>
      <c r="B1010" s="52">
        <f>MONTH(Data!F1010)</f>
        <v>2</v>
      </c>
      <c r="C1010" s="52" t="str">
        <f>TEXT(Data!F1010,"mmm")</f>
        <v>Feb</v>
      </c>
      <c r="D1010" s="52" t="str">
        <f>Data!O1010</f>
        <v>Female</v>
      </c>
      <c r="E1010" s="52">
        <f>Data!G1010-Data!F1010</f>
        <v>1</v>
      </c>
      <c r="F1010" s="52">
        <f>IF(Data!J1010&lt;=5,Data!J1010,IF(Data!J1010&lt;=10,"6 TO 10","More than 10"))</f>
        <v>3</v>
      </c>
      <c r="G1010" s="52">
        <f t="shared" si="15"/>
        <v>1</v>
      </c>
      <c r="H1010" s="52">
        <f>ROUND(Data!C1010*Data!D1010-Data!E1010,2)</f>
        <v>0</v>
      </c>
      <c r="I1010" s="52">
        <f>IF(AND(OR(Sel_Mode="All",Data!I1010=Sel_Mode),OR(Sel_Gender="All",D1010=Sel_Gender),OR(Sel_Category="All",Data!B1010=Sel_Category),OR(Sel_Month="All",C1010=Sel_Month),OR(Sel_County="All",Data!L1010=Sel_County)),1,0)</f>
        <v>1</v>
      </c>
    </row>
    <row r="1011" spans="1:9" x14ac:dyDescent="0.25">
      <c r="A1011" s="52" t="str">
        <f>Data!A1011</f>
        <v>TX501010</v>
      </c>
      <c r="B1011" s="52">
        <f>MONTH(Data!F1011)</f>
        <v>2</v>
      </c>
      <c r="C1011" s="52" t="str">
        <f>TEXT(Data!F1011,"mmm")</f>
        <v>Feb</v>
      </c>
      <c r="D1011" s="52" t="str">
        <f>Data!O1011</f>
        <v>Other</v>
      </c>
      <c r="E1011" s="52">
        <f>Data!G1011-Data!F1011</f>
        <v>2</v>
      </c>
      <c r="F1011" s="52">
        <f>IF(Data!J1011&lt;=5,Data!J1011,IF(Data!J1011&lt;=10,"6 TO 10","More than 10"))</f>
        <v>4</v>
      </c>
      <c r="G1011" s="52">
        <f t="shared" si="15"/>
        <v>2</v>
      </c>
      <c r="H1011" s="52">
        <f>ROUND(Data!C1011*Data!D1011-Data!E1011,2)</f>
        <v>0</v>
      </c>
      <c r="I1011" s="52">
        <f>IF(AND(OR(Sel_Mode="All",Data!I1011=Sel_Mode),OR(Sel_Gender="All",D1011=Sel_Gender),OR(Sel_Category="All",Data!B1011=Sel_Category),OR(Sel_Month="All",C1011=Sel_Month),OR(Sel_County="All",Data!L1011=Sel_County)),1,0)</f>
        <v>1</v>
      </c>
    </row>
    <row r="1012" spans="1:9" x14ac:dyDescent="0.25">
      <c r="A1012" s="52" t="str">
        <f>Data!A1012</f>
        <v>TX501011</v>
      </c>
      <c r="B1012" s="52">
        <f>MONTH(Data!F1012)</f>
        <v>2</v>
      </c>
      <c r="C1012" s="52" t="str">
        <f>TEXT(Data!F1012,"mmm")</f>
        <v>Feb</v>
      </c>
      <c r="D1012" s="52" t="str">
        <f>Data!O1012</f>
        <v>Female</v>
      </c>
      <c r="E1012" s="52">
        <f>Data!G1012-Data!F1012</f>
        <v>3</v>
      </c>
      <c r="F1012" s="52">
        <f>IF(Data!J1012&lt;=5,Data!J1012,IF(Data!J1012&lt;=10,"6 TO 10","More than 10"))</f>
        <v>4</v>
      </c>
      <c r="G1012" s="52">
        <f t="shared" si="15"/>
        <v>3</v>
      </c>
      <c r="H1012" s="52">
        <f>ROUND(Data!C1012*Data!D1012-Data!E1012,2)</f>
        <v>0</v>
      </c>
      <c r="I1012" s="52">
        <f>IF(AND(OR(Sel_Mode="All",Data!I1012=Sel_Mode),OR(Sel_Gender="All",D1012=Sel_Gender),OR(Sel_Category="All",Data!B1012=Sel_Category),OR(Sel_Month="All",C1012=Sel_Month),OR(Sel_County="All",Data!L1012=Sel_County)),1,0)</f>
        <v>1</v>
      </c>
    </row>
    <row r="1013" spans="1:9" x14ac:dyDescent="0.25">
      <c r="A1013" s="52" t="str">
        <f>Data!A1013</f>
        <v>TX501012</v>
      </c>
      <c r="B1013" s="52">
        <f>MONTH(Data!F1013)</f>
        <v>2</v>
      </c>
      <c r="C1013" s="52" t="str">
        <f>TEXT(Data!F1013,"mmm")</f>
        <v>Feb</v>
      </c>
      <c r="D1013" s="52" t="str">
        <f>Data!O1013</f>
        <v>Other</v>
      </c>
      <c r="E1013" s="52">
        <f>Data!G1013-Data!F1013</f>
        <v>3</v>
      </c>
      <c r="F1013" s="52">
        <f>IF(Data!J1013&lt;=5,Data!J1013,IF(Data!J1013&lt;=10,"6 TO 10","More than 10"))</f>
        <v>5</v>
      </c>
      <c r="G1013" s="52">
        <f t="shared" si="15"/>
        <v>3</v>
      </c>
      <c r="H1013" s="52">
        <f>ROUND(Data!C1013*Data!D1013-Data!E1013,2)</f>
        <v>0</v>
      </c>
      <c r="I1013" s="52">
        <f>IF(AND(OR(Sel_Mode="All",Data!I1013=Sel_Mode),OR(Sel_Gender="All",D1013=Sel_Gender),OR(Sel_Category="All",Data!B1013=Sel_Category),OR(Sel_Month="All",C1013=Sel_Month),OR(Sel_County="All",Data!L1013=Sel_County)),1,0)</f>
        <v>1</v>
      </c>
    </row>
    <row r="1014" spans="1:9" x14ac:dyDescent="0.25">
      <c r="A1014" s="52" t="str">
        <f>Data!A1014</f>
        <v>TX501013</v>
      </c>
      <c r="B1014" s="52">
        <f>MONTH(Data!F1014)</f>
        <v>2</v>
      </c>
      <c r="C1014" s="52" t="str">
        <f>TEXT(Data!F1014,"mmm")</f>
        <v>Feb</v>
      </c>
      <c r="D1014" s="52" t="str">
        <f>Data!O1014</f>
        <v>Unknown</v>
      </c>
      <c r="E1014" s="52">
        <f>Data!G1014-Data!F1014</f>
        <v>2</v>
      </c>
      <c r="F1014" s="52">
        <f>IF(Data!J1014&lt;=5,Data!J1014,IF(Data!J1014&lt;=10,"6 TO 10","More than 10"))</f>
        <v>5</v>
      </c>
      <c r="G1014" s="52">
        <f t="shared" si="15"/>
        <v>2</v>
      </c>
      <c r="H1014" s="52">
        <f>ROUND(Data!C1014*Data!D1014-Data!E1014,2)</f>
        <v>0</v>
      </c>
      <c r="I1014" s="52">
        <f>IF(AND(OR(Sel_Mode="All",Data!I1014=Sel_Mode),OR(Sel_Gender="All",D1014=Sel_Gender),OR(Sel_Category="All",Data!B1014=Sel_Category),OR(Sel_Month="All",C1014=Sel_Month),OR(Sel_County="All",Data!L1014=Sel_County)),1,0)</f>
        <v>1</v>
      </c>
    </row>
    <row r="1015" spans="1:9" x14ac:dyDescent="0.25">
      <c r="A1015" s="52" t="str">
        <f>Data!A1015</f>
        <v>TX501014</v>
      </c>
      <c r="B1015" s="52">
        <f>MONTH(Data!F1015)</f>
        <v>2</v>
      </c>
      <c r="C1015" s="52" t="str">
        <f>TEXT(Data!F1015,"mmm")</f>
        <v>Feb</v>
      </c>
      <c r="D1015" s="52" t="str">
        <f>Data!O1015</f>
        <v>Female</v>
      </c>
      <c r="E1015" s="52">
        <f>Data!G1015-Data!F1015</f>
        <v>2</v>
      </c>
      <c r="F1015" s="52">
        <f>IF(Data!J1015&lt;=5,Data!J1015,IF(Data!J1015&lt;=10,"6 TO 10","More than 10"))</f>
        <v>4</v>
      </c>
      <c r="G1015" s="52">
        <f t="shared" si="15"/>
        <v>2</v>
      </c>
      <c r="H1015" s="52">
        <f>ROUND(Data!C1015*Data!D1015-Data!E1015,2)</f>
        <v>0</v>
      </c>
      <c r="I1015" s="52">
        <f>IF(AND(OR(Sel_Mode="All",Data!I1015=Sel_Mode),OR(Sel_Gender="All",D1015=Sel_Gender),OR(Sel_Category="All",Data!B1015=Sel_Category),OR(Sel_Month="All",C1015=Sel_Month),OR(Sel_County="All",Data!L1015=Sel_County)),1,0)</f>
        <v>1</v>
      </c>
    </row>
    <row r="1016" spans="1:9" x14ac:dyDescent="0.25">
      <c r="A1016" s="52" t="str">
        <f>Data!A1016</f>
        <v>TX501015</v>
      </c>
      <c r="B1016" s="52">
        <f>MONTH(Data!F1016)</f>
        <v>2</v>
      </c>
      <c r="C1016" s="52" t="str">
        <f>TEXT(Data!F1016,"mmm")</f>
        <v>Feb</v>
      </c>
      <c r="D1016" s="52" t="str">
        <f>Data!O1016</f>
        <v>Male</v>
      </c>
      <c r="E1016" s="52">
        <f>Data!G1016-Data!F1016</f>
        <v>3</v>
      </c>
      <c r="F1016" s="52">
        <f>IF(Data!J1016&lt;=5,Data!J1016,IF(Data!J1016&lt;=10,"6 TO 10","More than 10"))</f>
        <v>4</v>
      </c>
      <c r="G1016" s="52">
        <f t="shared" si="15"/>
        <v>3</v>
      </c>
      <c r="H1016" s="52">
        <f>ROUND(Data!C1016*Data!D1016-Data!E1016,2)</f>
        <v>0</v>
      </c>
      <c r="I1016" s="52">
        <f>IF(AND(OR(Sel_Mode="All",Data!I1016=Sel_Mode),OR(Sel_Gender="All",D1016=Sel_Gender),OR(Sel_Category="All",Data!B1016=Sel_Category),OR(Sel_Month="All",C1016=Sel_Month),OR(Sel_County="All",Data!L1016=Sel_County)),1,0)</f>
        <v>1</v>
      </c>
    </row>
    <row r="1017" spans="1:9" x14ac:dyDescent="0.25">
      <c r="A1017" s="52" t="str">
        <f>Data!A1017</f>
        <v>TX501016</v>
      </c>
      <c r="B1017" s="52">
        <f>MONTH(Data!F1017)</f>
        <v>2</v>
      </c>
      <c r="C1017" s="52" t="str">
        <f>TEXT(Data!F1017,"mmm")</f>
        <v>Feb</v>
      </c>
      <c r="D1017" s="52" t="str">
        <f>Data!O1017</f>
        <v>Female</v>
      </c>
      <c r="E1017" s="52">
        <f>Data!G1017-Data!F1017</f>
        <v>1</v>
      </c>
      <c r="F1017" s="52">
        <f>IF(Data!J1017&lt;=5,Data!J1017,IF(Data!J1017&lt;=10,"6 TO 10","More than 10"))</f>
        <v>4</v>
      </c>
      <c r="G1017" s="52">
        <f t="shared" si="15"/>
        <v>1</v>
      </c>
      <c r="H1017" s="52">
        <f>ROUND(Data!C1017*Data!D1017-Data!E1017,2)</f>
        <v>0</v>
      </c>
      <c r="I1017" s="52">
        <f>IF(AND(OR(Sel_Mode="All",Data!I1017=Sel_Mode),OR(Sel_Gender="All",D1017=Sel_Gender),OR(Sel_Category="All",Data!B1017=Sel_Category),OR(Sel_Month="All",C1017=Sel_Month),OR(Sel_County="All",Data!L1017=Sel_County)),1,0)</f>
        <v>1</v>
      </c>
    </row>
    <row r="1018" spans="1:9" x14ac:dyDescent="0.25">
      <c r="A1018" s="52" t="str">
        <f>Data!A1018</f>
        <v>TX501017</v>
      </c>
      <c r="B1018" s="52">
        <f>MONTH(Data!F1018)</f>
        <v>2</v>
      </c>
      <c r="C1018" s="52" t="str">
        <f>TEXT(Data!F1018,"mmm")</f>
        <v>Feb</v>
      </c>
      <c r="D1018" s="52" t="str">
        <f>Data!O1018</f>
        <v>Female</v>
      </c>
      <c r="E1018" s="52">
        <f>Data!G1018-Data!F1018</f>
        <v>1</v>
      </c>
      <c r="F1018" s="52">
        <f>IF(Data!J1018&lt;=5,Data!J1018,IF(Data!J1018&lt;=10,"6 TO 10","More than 10"))</f>
        <v>4</v>
      </c>
      <c r="G1018" s="52">
        <f t="shared" si="15"/>
        <v>1</v>
      </c>
      <c r="H1018" s="52">
        <f>ROUND(Data!C1018*Data!D1018-Data!E1018,2)</f>
        <v>0</v>
      </c>
      <c r="I1018" s="52">
        <f>IF(AND(OR(Sel_Mode="All",Data!I1018=Sel_Mode),OR(Sel_Gender="All",D1018=Sel_Gender),OR(Sel_Category="All",Data!B1018=Sel_Category),OR(Sel_Month="All",C1018=Sel_Month),OR(Sel_County="All",Data!L1018=Sel_County)),1,0)</f>
        <v>1</v>
      </c>
    </row>
    <row r="1019" spans="1:9" x14ac:dyDescent="0.25">
      <c r="A1019" s="52" t="str">
        <f>Data!A1019</f>
        <v>TX501018</v>
      </c>
      <c r="B1019" s="52">
        <f>MONTH(Data!F1019)</f>
        <v>2</v>
      </c>
      <c r="C1019" s="52" t="str">
        <f>TEXT(Data!F1019,"mmm")</f>
        <v>Feb</v>
      </c>
      <c r="D1019" s="52" t="str">
        <f>Data!O1019</f>
        <v>Unknown</v>
      </c>
      <c r="E1019" s="52">
        <f>Data!G1019-Data!F1019</f>
        <v>1</v>
      </c>
      <c r="F1019" s="52">
        <f>IF(Data!J1019&lt;=5,Data!J1019,IF(Data!J1019&lt;=10,"6 TO 10","More than 10"))</f>
        <v>4</v>
      </c>
      <c r="G1019" s="52">
        <f t="shared" si="15"/>
        <v>1</v>
      </c>
      <c r="H1019" s="52">
        <f>ROUND(Data!C1019*Data!D1019-Data!E1019,2)</f>
        <v>0</v>
      </c>
      <c r="I1019" s="52">
        <f>IF(AND(OR(Sel_Mode="All",Data!I1019=Sel_Mode),OR(Sel_Gender="All",D1019=Sel_Gender),OR(Sel_Category="All",Data!B1019=Sel_Category),OR(Sel_Month="All",C1019=Sel_Month),OR(Sel_County="All",Data!L1019=Sel_County)),1,0)</f>
        <v>1</v>
      </c>
    </row>
    <row r="1020" spans="1:9" x14ac:dyDescent="0.25">
      <c r="A1020" s="52" t="str">
        <f>Data!A1020</f>
        <v>TX501019</v>
      </c>
      <c r="B1020" s="52">
        <f>MONTH(Data!F1020)</f>
        <v>2</v>
      </c>
      <c r="C1020" s="52" t="str">
        <f>TEXT(Data!F1020,"mmm")</f>
        <v>Feb</v>
      </c>
      <c r="D1020" s="52" t="str">
        <f>Data!O1020</f>
        <v>Female</v>
      </c>
      <c r="E1020" s="52">
        <f>Data!G1020-Data!F1020</f>
        <v>2</v>
      </c>
      <c r="F1020" s="52">
        <f>IF(Data!J1020&lt;=5,Data!J1020,IF(Data!J1020&lt;=10,"6 TO 10","More than 10"))</f>
        <v>3</v>
      </c>
      <c r="G1020" s="52">
        <f t="shared" si="15"/>
        <v>2</v>
      </c>
      <c r="H1020" s="52">
        <f>ROUND(Data!C1020*Data!D1020-Data!E1020,2)</f>
        <v>0</v>
      </c>
      <c r="I1020" s="52">
        <f>IF(AND(OR(Sel_Mode="All",Data!I1020=Sel_Mode),OR(Sel_Gender="All",D1020=Sel_Gender),OR(Sel_Category="All",Data!B1020=Sel_Category),OR(Sel_Month="All",C1020=Sel_Month),OR(Sel_County="All",Data!L1020=Sel_County)),1,0)</f>
        <v>1</v>
      </c>
    </row>
    <row r="1021" spans="1:9" x14ac:dyDescent="0.25">
      <c r="A1021" s="52" t="str">
        <f>Data!A1021</f>
        <v>TX501020</v>
      </c>
      <c r="B1021" s="52">
        <f>MONTH(Data!F1021)</f>
        <v>2</v>
      </c>
      <c r="C1021" s="52" t="str">
        <f>TEXT(Data!F1021,"mmm")</f>
        <v>Feb</v>
      </c>
      <c r="D1021" s="52" t="str">
        <f>Data!O1021</f>
        <v>Male</v>
      </c>
      <c r="E1021" s="52">
        <f>Data!G1021-Data!F1021</f>
        <v>4</v>
      </c>
      <c r="F1021" s="52">
        <f>IF(Data!J1021&lt;=5,Data!J1021,IF(Data!J1021&lt;=10,"6 TO 10","More than 10"))</f>
        <v>5</v>
      </c>
      <c r="G1021" s="52">
        <f t="shared" si="15"/>
        <v>4</v>
      </c>
      <c r="H1021" s="52">
        <f>ROUND(Data!C1021*Data!D1021-Data!E1021,2)</f>
        <v>0</v>
      </c>
      <c r="I1021" s="52">
        <f>IF(AND(OR(Sel_Mode="All",Data!I1021=Sel_Mode),OR(Sel_Gender="All",D1021=Sel_Gender),OR(Sel_Category="All",Data!B1021=Sel_Category),OR(Sel_Month="All",C1021=Sel_Month),OR(Sel_County="All",Data!L1021=Sel_County)),1,0)</f>
        <v>1</v>
      </c>
    </row>
    <row r="1022" spans="1:9" x14ac:dyDescent="0.25">
      <c r="A1022" s="52" t="str">
        <f>Data!A1022</f>
        <v>TX501021</v>
      </c>
      <c r="B1022" s="52">
        <f>MONTH(Data!F1022)</f>
        <v>2</v>
      </c>
      <c r="C1022" s="52" t="str">
        <f>TEXT(Data!F1022,"mmm")</f>
        <v>Feb</v>
      </c>
      <c r="D1022" s="52" t="str">
        <f>Data!O1022</f>
        <v>Female</v>
      </c>
      <c r="E1022" s="52">
        <f>Data!G1022-Data!F1022</f>
        <v>7</v>
      </c>
      <c r="F1022" s="52">
        <f>IF(Data!J1022&lt;=5,Data!J1022,IF(Data!J1022&lt;=10,"6 TO 10","More than 10"))</f>
        <v>3</v>
      </c>
      <c r="G1022" s="52">
        <f t="shared" si="15"/>
        <v>7</v>
      </c>
      <c r="H1022" s="52">
        <f>ROUND(Data!C1022*Data!D1022-Data!E1022,2)</f>
        <v>0</v>
      </c>
      <c r="I1022" s="52">
        <f>IF(AND(OR(Sel_Mode="All",Data!I1022=Sel_Mode),OR(Sel_Gender="All",D1022=Sel_Gender),OR(Sel_Category="All",Data!B1022=Sel_Category),OR(Sel_Month="All",C1022=Sel_Month),OR(Sel_County="All",Data!L1022=Sel_County)),1,0)</f>
        <v>1</v>
      </c>
    </row>
    <row r="1023" spans="1:9" x14ac:dyDescent="0.25">
      <c r="A1023" s="52" t="str">
        <f>Data!A1023</f>
        <v>TX501022</v>
      </c>
      <c r="B1023" s="52">
        <f>MONTH(Data!F1023)</f>
        <v>2</v>
      </c>
      <c r="C1023" s="52" t="str">
        <f>TEXT(Data!F1023,"mmm")</f>
        <v>Feb</v>
      </c>
      <c r="D1023" s="52" t="str">
        <f>Data!O1023</f>
        <v>Male</v>
      </c>
      <c r="E1023" s="52">
        <f>Data!G1023-Data!F1023</f>
        <v>2</v>
      </c>
      <c r="F1023" s="52">
        <f>IF(Data!J1023&lt;=5,Data!J1023,IF(Data!J1023&lt;=10,"6 TO 10","More than 10"))</f>
        <v>5</v>
      </c>
      <c r="G1023" s="52">
        <f t="shared" si="15"/>
        <v>2</v>
      </c>
      <c r="H1023" s="52">
        <f>ROUND(Data!C1023*Data!D1023-Data!E1023,2)</f>
        <v>0</v>
      </c>
      <c r="I1023" s="52">
        <f>IF(AND(OR(Sel_Mode="All",Data!I1023=Sel_Mode),OR(Sel_Gender="All",D1023=Sel_Gender),OR(Sel_Category="All",Data!B1023=Sel_Category),OR(Sel_Month="All",C1023=Sel_Month),OR(Sel_County="All",Data!L1023=Sel_County)),1,0)</f>
        <v>1</v>
      </c>
    </row>
    <row r="1024" spans="1:9" x14ac:dyDescent="0.25">
      <c r="A1024" s="52" t="str">
        <f>Data!A1024</f>
        <v>TX501023</v>
      </c>
      <c r="B1024" s="52">
        <f>MONTH(Data!F1024)</f>
        <v>2</v>
      </c>
      <c r="C1024" s="52" t="str">
        <f>TEXT(Data!F1024,"mmm")</f>
        <v>Feb</v>
      </c>
      <c r="D1024" s="52" t="str">
        <f>Data!O1024</f>
        <v>Male</v>
      </c>
      <c r="E1024" s="52">
        <f>Data!G1024-Data!F1024</f>
        <v>2</v>
      </c>
      <c r="F1024" s="52">
        <f>IF(Data!J1024&lt;=5,Data!J1024,IF(Data!J1024&lt;=10,"6 TO 10","More than 10"))</f>
        <v>4</v>
      </c>
      <c r="G1024" s="52">
        <f t="shared" si="15"/>
        <v>2</v>
      </c>
      <c r="H1024" s="52">
        <f>ROUND(Data!C1024*Data!D1024-Data!E1024,2)</f>
        <v>0</v>
      </c>
      <c r="I1024" s="52">
        <f>IF(AND(OR(Sel_Mode="All",Data!I1024=Sel_Mode),OR(Sel_Gender="All",D1024=Sel_Gender),OR(Sel_Category="All",Data!B1024=Sel_Category),OR(Sel_Month="All",C1024=Sel_Month),OR(Sel_County="All",Data!L1024=Sel_County)),1,0)</f>
        <v>1</v>
      </c>
    </row>
    <row r="1025" spans="1:9" x14ac:dyDescent="0.25">
      <c r="A1025" s="52" t="str">
        <f>Data!A1025</f>
        <v>TX501024</v>
      </c>
      <c r="B1025" s="52">
        <f>MONTH(Data!F1025)</f>
        <v>2</v>
      </c>
      <c r="C1025" s="52" t="str">
        <f>TEXT(Data!F1025,"mmm")</f>
        <v>Feb</v>
      </c>
      <c r="D1025" s="52" t="str">
        <f>Data!O1025</f>
        <v>Male</v>
      </c>
      <c r="E1025" s="52">
        <f>Data!G1025-Data!F1025</f>
        <v>0</v>
      </c>
      <c r="F1025" s="52">
        <f>IF(Data!J1025&lt;=5,Data!J1025,IF(Data!J1025&lt;=10,"6 TO 10","More than 10"))</f>
        <v>5</v>
      </c>
      <c r="G1025" s="52">
        <f t="shared" si="15"/>
        <v>0</v>
      </c>
      <c r="H1025" s="52">
        <f>ROUND(Data!C1025*Data!D1025-Data!E1025,2)</f>
        <v>0</v>
      </c>
      <c r="I1025" s="52">
        <f>IF(AND(OR(Sel_Mode="All",Data!I1025=Sel_Mode),OR(Sel_Gender="All",D1025=Sel_Gender),OR(Sel_Category="All",Data!B1025=Sel_Category),OR(Sel_Month="All",C1025=Sel_Month),OR(Sel_County="All",Data!L1025=Sel_County)),1,0)</f>
        <v>1</v>
      </c>
    </row>
    <row r="1026" spans="1:9" x14ac:dyDescent="0.25">
      <c r="A1026" s="52" t="str">
        <f>Data!A1026</f>
        <v>TX501025</v>
      </c>
      <c r="B1026" s="52">
        <f>MONTH(Data!F1026)</f>
        <v>2</v>
      </c>
      <c r="C1026" s="52" t="str">
        <f>TEXT(Data!F1026,"mmm")</f>
        <v>Feb</v>
      </c>
      <c r="D1026" s="52" t="str">
        <f>Data!O1026</f>
        <v>Female</v>
      </c>
      <c r="E1026" s="52">
        <f>Data!G1026-Data!F1026</f>
        <v>1</v>
      </c>
      <c r="F1026" s="52">
        <f>IF(Data!J1026&lt;=5,Data!J1026,IF(Data!J1026&lt;=10,"6 TO 10","More than 10"))</f>
        <v>4</v>
      </c>
      <c r="G1026" s="52">
        <f t="shared" ref="G1026:G1089" si="16">IF(E1026&gt;=8,"8+",E1026)</f>
        <v>1</v>
      </c>
      <c r="H1026" s="52">
        <f>ROUND(Data!C1026*Data!D1026-Data!E1026,2)</f>
        <v>0</v>
      </c>
      <c r="I1026" s="52">
        <f>IF(AND(OR(Sel_Mode="All",Data!I1026=Sel_Mode),OR(Sel_Gender="All",D1026=Sel_Gender),OR(Sel_Category="All",Data!B1026=Sel_Category),OR(Sel_Month="All",C1026=Sel_Month),OR(Sel_County="All",Data!L1026=Sel_County)),1,0)</f>
        <v>1</v>
      </c>
    </row>
    <row r="1027" spans="1:9" x14ac:dyDescent="0.25">
      <c r="A1027" s="52" t="str">
        <f>Data!A1027</f>
        <v>TX501026</v>
      </c>
      <c r="B1027" s="52">
        <f>MONTH(Data!F1027)</f>
        <v>2</v>
      </c>
      <c r="C1027" s="52" t="str">
        <f>TEXT(Data!F1027,"mmm")</f>
        <v>Feb</v>
      </c>
      <c r="D1027" s="52" t="str">
        <f>Data!O1027</f>
        <v>Female</v>
      </c>
      <c r="E1027" s="52">
        <f>Data!G1027-Data!F1027</f>
        <v>4</v>
      </c>
      <c r="F1027" s="52">
        <f>IF(Data!J1027&lt;=5,Data!J1027,IF(Data!J1027&lt;=10,"6 TO 10","More than 10"))</f>
        <v>3</v>
      </c>
      <c r="G1027" s="52">
        <f t="shared" si="16"/>
        <v>4</v>
      </c>
      <c r="H1027" s="52">
        <f>ROUND(Data!C1027*Data!D1027-Data!E1027,2)</f>
        <v>0</v>
      </c>
      <c r="I1027" s="52">
        <f>IF(AND(OR(Sel_Mode="All",Data!I1027=Sel_Mode),OR(Sel_Gender="All",D1027=Sel_Gender),OR(Sel_Category="All",Data!B1027=Sel_Category),OR(Sel_Month="All",C1027=Sel_Month),OR(Sel_County="All",Data!L1027=Sel_County)),1,0)</f>
        <v>1</v>
      </c>
    </row>
    <row r="1028" spans="1:9" x14ac:dyDescent="0.25">
      <c r="A1028" s="52" t="str">
        <f>Data!A1028</f>
        <v>TX501027</v>
      </c>
      <c r="B1028" s="52">
        <f>MONTH(Data!F1028)</f>
        <v>2</v>
      </c>
      <c r="C1028" s="52" t="str">
        <f>TEXT(Data!F1028,"mmm")</f>
        <v>Feb</v>
      </c>
      <c r="D1028" s="52" t="str">
        <f>Data!O1028</f>
        <v>Female</v>
      </c>
      <c r="E1028" s="52">
        <f>Data!G1028-Data!F1028</f>
        <v>3</v>
      </c>
      <c r="F1028" s="52">
        <f>IF(Data!J1028&lt;=5,Data!J1028,IF(Data!J1028&lt;=10,"6 TO 10","More than 10"))</f>
        <v>4</v>
      </c>
      <c r="G1028" s="52">
        <f t="shared" si="16"/>
        <v>3</v>
      </c>
      <c r="H1028" s="52">
        <f>ROUND(Data!C1028*Data!D1028-Data!E1028,2)</f>
        <v>0</v>
      </c>
      <c r="I1028" s="52">
        <f>IF(AND(OR(Sel_Mode="All",Data!I1028=Sel_Mode),OR(Sel_Gender="All",D1028=Sel_Gender),OR(Sel_Category="All",Data!B1028=Sel_Category),OR(Sel_Month="All",C1028=Sel_Month),OR(Sel_County="All",Data!L1028=Sel_County)),1,0)</f>
        <v>1</v>
      </c>
    </row>
    <row r="1029" spans="1:9" x14ac:dyDescent="0.25">
      <c r="A1029" s="52" t="str">
        <f>Data!A1029</f>
        <v>TX501028</v>
      </c>
      <c r="B1029" s="52">
        <f>MONTH(Data!F1029)</f>
        <v>2</v>
      </c>
      <c r="C1029" s="52" t="str">
        <f>TEXT(Data!F1029,"mmm")</f>
        <v>Feb</v>
      </c>
      <c r="D1029" s="52" t="str">
        <f>Data!O1029</f>
        <v>Female</v>
      </c>
      <c r="E1029" s="52">
        <f>Data!G1029-Data!F1029</f>
        <v>5</v>
      </c>
      <c r="F1029" s="52">
        <f>IF(Data!J1029&lt;=5,Data!J1029,IF(Data!J1029&lt;=10,"6 TO 10","More than 10"))</f>
        <v>4</v>
      </c>
      <c r="G1029" s="52">
        <f t="shared" si="16"/>
        <v>5</v>
      </c>
      <c r="H1029" s="52">
        <f>ROUND(Data!C1029*Data!D1029-Data!E1029,2)</f>
        <v>0</v>
      </c>
      <c r="I1029" s="52">
        <f>IF(AND(OR(Sel_Mode="All",Data!I1029=Sel_Mode),OR(Sel_Gender="All",D1029=Sel_Gender),OR(Sel_Category="All",Data!B1029=Sel_Category),OR(Sel_Month="All",C1029=Sel_Month),OR(Sel_County="All",Data!L1029=Sel_County)),1,0)</f>
        <v>1</v>
      </c>
    </row>
    <row r="1030" spans="1:9" x14ac:dyDescent="0.25">
      <c r="A1030" s="52" t="str">
        <f>Data!A1030</f>
        <v>TX501029</v>
      </c>
      <c r="B1030" s="52">
        <f>MONTH(Data!F1030)</f>
        <v>2</v>
      </c>
      <c r="C1030" s="52" t="str">
        <f>TEXT(Data!F1030,"mmm")</f>
        <v>Feb</v>
      </c>
      <c r="D1030" s="52" t="str">
        <f>Data!O1030</f>
        <v>Female</v>
      </c>
      <c r="E1030" s="52">
        <f>Data!G1030-Data!F1030</f>
        <v>5</v>
      </c>
      <c r="F1030" s="52">
        <f>IF(Data!J1030&lt;=5,Data!J1030,IF(Data!J1030&lt;=10,"6 TO 10","More than 10"))</f>
        <v>4</v>
      </c>
      <c r="G1030" s="52">
        <f t="shared" si="16"/>
        <v>5</v>
      </c>
      <c r="H1030" s="52">
        <f>ROUND(Data!C1030*Data!D1030-Data!E1030,2)</f>
        <v>0</v>
      </c>
      <c r="I1030" s="52">
        <f>IF(AND(OR(Sel_Mode="All",Data!I1030=Sel_Mode),OR(Sel_Gender="All",D1030=Sel_Gender),OR(Sel_Category="All",Data!B1030=Sel_Category),OR(Sel_Month="All",C1030=Sel_Month),OR(Sel_County="All",Data!L1030=Sel_County)),1,0)</f>
        <v>1</v>
      </c>
    </row>
    <row r="1031" spans="1:9" x14ac:dyDescent="0.25">
      <c r="A1031" s="52" t="str">
        <f>Data!A1031</f>
        <v>TX501030</v>
      </c>
      <c r="B1031" s="52">
        <f>MONTH(Data!F1031)</f>
        <v>2</v>
      </c>
      <c r="C1031" s="52" t="str">
        <f>TEXT(Data!F1031,"mmm")</f>
        <v>Feb</v>
      </c>
      <c r="D1031" s="52" t="str">
        <f>Data!O1031</f>
        <v>Male</v>
      </c>
      <c r="E1031" s="52">
        <f>Data!G1031-Data!F1031</f>
        <v>1</v>
      </c>
      <c r="F1031" s="52">
        <f>IF(Data!J1031&lt;=5,Data!J1031,IF(Data!J1031&lt;=10,"6 TO 10","More than 10"))</f>
        <v>5</v>
      </c>
      <c r="G1031" s="52">
        <f t="shared" si="16"/>
        <v>1</v>
      </c>
      <c r="H1031" s="52">
        <f>ROUND(Data!C1031*Data!D1031-Data!E1031,2)</f>
        <v>0</v>
      </c>
      <c r="I1031" s="52">
        <f>IF(AND(OR(Sel_Mode="All",Data!I1031=Sel_Mode),OR(Sel_Gender="All",D1031=Sel_Gender),OR(Sel_Category="All",Data!B1031=Sel_Category),OR(Sel_Month="All",C1031=Sel_Month),OR(Sel_County="All",Data!L1031=Sel_County)),1,0)</f>
        <v>1</v>
      </c>
    </row>
    <row r="1032" spans="1:9" x14ac:dyDescent="0.25">
      <c r="A1032" s="52" t="str">
        <f>Data!A1032</f>
        <v>TX501031</v>
      </c>
      <c r="B1032" s="52">
        <f>MONTH(Data!F1032)</f>
        <v>2</v>
      </c>
      <c r="C1032" s="52" t="str">
        <f>TEXT(Data!F1032,"mmm")</f>
        <v>Feb</v>
      </c>
      <c r="D1032" s="52" t="str">
        <f>Data!O1032</f>
        <v>Female</v>
      </c>
      <c r="E1032" s="52">
        <f>Data!G1032-Data!F1032</f>
        <v>1</v>
      </c>
      <c r="F1032" s="52">
        <f>IF(Data!J1032&lt;=5,Data!J1032,IF(Data!J1032&lt;=10,"6 TO 10","More than 10"))</f>
        <v>3</v>
      </c>
      <c r="G1032" s="52">
        <f t="shared" si="16"/>
        <v>1</v>
      </c>
      <c r="H1032" s="52">
        <f>ROUND(Data!C1032*Data!D1032-Data!E1032,2)</f>
        <v>0</v>
      </c>
      <c r="I1032" s="52">
        <f>IF(AND(OR(Sel_Mode="All",Data!I1032=Sel_Mode),OR(Sel_Gender="All",D1032=Sel_Gender),OR(Sel_Category="All",Data!B1032=Sel_Category),OR(Sel_Month="All",C1032=Sel_Month),OR(Sel_County="All",Data!L1032=Sel_County)),1,0)</f>
        <v>1</v>
      </c>
    </row>
    <row r="1033" spans="1:9" x14ac:dyDescent="0.25">
      <c r="A1033" s="52" t="str">
        <f>Data!A1033</f>
        <v>TX501032</v>
      </c>
      <c r="B1033" s="52">
        <f>MONTH(Data!F1033)</f>
        <v>2</v>
      </c>
      <c r="C1033" s="52" t="str">
        <f>TEXT(Data!F1033,"mmm")</f>
        <v>Feb</v>
      </c>
      <c r="D1033" s="52" t="str">
        <f>Data!O1033</f>
        <v>Male</v>
      </c>
      <c r="E1033" s="52">
        <f>Data!G1033-Data!F1033</f>
        <v>7</v>
      </c>
      <c r="F1033" s="52">
        <f>IF(Data!J1033&lt;=5,Data!J1033,IF(Data!J1033&lt;=10,"6 TO 10","More than 10"))</f>
        <v>5</v>
      </c>
      <c r="G1033" s="52">
        <f t="shared" si="16"/>
        <v>7</v>
      </c>
      <c r="H1033" s="52">
        <f>ROUND(Data!C1033*Data!D1033-Data!E1033,2)</f>
        <v>0</v>
      </c>
      <c r="I1033" s="52">
        <f>IF(AND(OR(Sel_Mode="All",Data!I1033=Sel_Mode),OR(Sel_Gender="All",D1033=Sel_Gender),OR(Sel_Category="All",Data!B1033=Sel_Category),OR(Sel_Month="All",C1033=Sel_Month),OR(Sel_County="All",Data!L1033=Sel_County)),1,0)</f>
        <v>1</v>
      </c>
    </row>
    <row r="1034" spans="1:9" x14ac:dyDescent="0.25">
      <c r="A1034" s="52" t="str">
        <f>Data!A1034</f>
        <v>TX501033</v>
      </c>
      <c r="B1034" s="52">
        <f>MONTH(Data!F1034)</f>
        <v>2</v>
      </c>
      <c r="C1034" s="52" t="str">
        <f>TEXT(Data!F1034,"mmm")</f>
        <v>Feb</v>
      </c>
      <c r="D1034" s="52" t="str">
        <f>Data!O1034</f>
        <v>Female</v>
      </c>
      <c r="E1034" s="52">
        <f>Data!G1034-Data!F1034</f>
        <v>4</v>
      </c>
      <c r="F1034" s="52">
        <f>IF(Data!J1034&lt;=5,Data!J1034,IF(Data!J1034&lt;=10,"6 TO 10","More than 10"))</f>
        <v>5</v>
      </c>
      <c r="G1034" s="52">
        <f t="shared" si="16"/>
        <v>4</v>
      </c>
      <c r="H1034" s="52">
        <f>ROUND(Data!C1034*Data!D1034-Data!E1034,2)</f>
        <v>0</v>
      </c>
      <c r="I1034" s="52">
        <f>IF(AND(OR(Sel_Mode="All",Data!I1034=Sel_Mode),OR(Sel_Gender="All",D1034=Sel_Gender),OR(Sel_Category="All",Data!B1034=Sel_Category),OR(Sel_Month="All",C1034=Sel_Month),OR(Sel_County="All",Data!L1034=Sel_County)),1,0)</f>
        <v>1</v>
      </c>
    </row>
    <row r="1035" spans="1:9" x14ac:dyDescent="0.25">
      <c r="A1035" s="52" t="str">
        <f>Data!A1035</f>
        <v>TX501034</v>
      </c>
      <c r="B1035" s="52">
        <f>MONTH(Data!F1035)</f>
        <v>2</v>
      </c>
      <c r="C1035" s="52" t="str">
        <f>TEXT(Data!F1035,"mmm")</f>
        <v>Feb</v>
      </c>
      <c r="D1035" s="52" t="str">
        <f>Data!O1035</f>
        <v>Unknown</v>
      </c>
      <c r="E1035" s="52">
        <f>Data!G1035-Data!F1035</f>
        <v>4</v>
      </c>
      <c r="F1035" s="52">
        <f>IF(Data!J1035&lt;=5,Data!J1035,IF(Data!J1035&lt;=10,"6 TO 10","More than 10"))</f>
        <v>5</v>
      </c>
      <c r="G1035" s="52">
        <f t="shared" si="16"/>
        <v>4</v>
      </c>
      <c r="H1035" s="52">
        <f>ROUND(Data!C1035*Data!D1035-Data!E1035,2)</f>
        <v>0</v>
      </c>
      <c r="I1035" s="52">
        <f>IF(AND(OR(Sel_Mode="All",Data!I1035=Sel_Mode),OR(Sel_Gender="All",D1035=Sel_Gender),OR(Sel_Category="All",Data!B1035=Sel_Category),OR(Sel_Month="All",C1035=Sel_Month),OR(Sel_County="All",Data!L1035=Sel_County)),1,0)</f>
        <v>1</v>
      </c>
    </row>
    <row r="1036" spans="1:9" x14ac:dyDescent="0.25">
      <c r="A1036" s="52" t="str">
        <f>Data!A1036</f>
        <v>TX501035</v>
      </c>
      <c r="B1036" s="52">
        <f>MONTH(Data!F1036)</f>
        <v>2</v>
      </c>
      <c r="C1036" s="52" t="str">
        <f>TEXT(Data!F1036,"mmm")</f>
        <v>Feb</v>
      </c>
      <c r="D1036" s="52" t="str">
        <f>Data!O1036</f>
        <v>Female</v>
      </c>
      <c r="E1036" s="52">
        <f>Data!G1036-Data!F1036</f>
        <v>1</v>
      </c>
      <c r="F1036" s="52">
        <f>IF(Data!J1036&lt;=5,Data!J1036,IF(Data!J1036&lt;=10,"6 TO 10","More than 10"))</f>
        <v>4</v>
      </c>
      <c r="G1036" s="52">
        <f t="shared" si="16"/>
        <v>1</v>
      </c>
      <c r="H1036" s="52">
        <f>ROUND(Data!C1036*Data!D1036-Data!E1036,2)</f>
        <v>0</v>
      </c>
      <c r="I1036" s="52">
        <f>IF(AND(OR(Sel_Mode="All",Data!I1036=Sel_Mode),OR(Sel_Gender="All",D1036=Sel_Gender),OR(Sel_Category="All",Data!B1036=Sel_Category),OR(Sel_Month="All",C1036=Sel_Month),OR(Sel_County="All",Data!L1036=Sel_County)),1,0)</f>
        <v>1</v>
      </c>
    </row>
    <row r="1037" spans="1:9" x14ac:dyDescent="0.25">
      <c r="A1037" s="52" t="str">
        <f>Data!A1037</f>
        <v>TX501036</v>
      </c>
      <c r="B1037" s="52">
        <f>MONTH(Data!F1037)</f>
        <v>2</v>
      </c>
      <c r="C1037" s="52" t="str">
        <f>TEXT(Data!F1037,"mmm")</f>
        <v>Feb</v>
      </c>
      <c r="D1037" s="52" t="str">
        <f>Data!O1037</f>
        <v>Male</v>
      </c>
      <c r="E1037" s="52">
        <f>Data!G1037-Data!F1037</f>
        <v>1</v>
      </c>
      <c r="F1037" s="52">
        <f>IF(Data!J1037&lt;=5,Data!J1037,IF(Data!J1037&lt;=10,"6 TO 10","More than 10"))</f>
        <v>5</v>
      </c>
      <c r="G1037" s="52">
        <f t="shared" si="16"/>
        <v>1</v>
      </c>
      <c r="H1037" s="52">
        <f>ROUND(Data!C1037*Data!D1037-Data!E1037,2)</f>
        <v>0</v>
      </c>
      <c r="I1037" s="52">
        <f>IF(AND(OR(Sel_Mode="All",Data!I1037=Sel_Mode),OR(Sel_Gender="All",D1037=Sel_Gender),OR(Sel_Category="All",Data!B1037=Sel_Category),OR(Sel_Month="All",C1037=Sel_Month),OR(Sel_County="All",Data!L1037=Sel_County)),1,0)</f>
        <v>1</v>
      </c>
    </row>
    <row r="1038" spans="1:9" x14ac:dyDescent="0.25">
      <c r="A1038" s="52" t="str">
        <f>Data!A1038</f>
        <v>TX501037</v>
      </c>
      <c r="B1038" s="52">
        <f>MONTH(Data!F1038)</f>
        <v>2</v>
      </c>
      <c r="C1038" s="52" t="str">
        <f>TEXT(Data!F1038,"mmm")</f>
        <v>Feb</v>
      </c>
      <c r="D1038" s="52" t="str">
        <f>Data!O1038</f>
        <v>Male</v>
      </c>
      <c r="E1038" s="52">
        <f>Data!G1038-Data!F1038</f>
        <v>1</v>
      </c>
      <c r="F1038" s="52">
        <f>IF(Data!J1038&lt;=5,Data!J1038,IF(Data!J1038&lt;=10,"6 TO 10","More than 10"))</f>
        <v>5</v>
      </c>
      <c r="G1038" s="52">
        <f t="shared" si="16"/>
        <v>1</v>
      </c>
      <c r="H1038" s="52">
        <f>ROUND(Data!C1038*Data!D1038-Data!E1038,2)</f>
        <v>0</v>
      </c>
      <c r="I1038" s="52">
        <f>IF(AND(OR(Sel_Mode="All",Data!I1038=Sel_Mode),OR(Sel_Gender="All",D1038=Sel_Gender),OR(Sel_Category="All",Data!B1038=Sel_Category),OR(Sel_Month="All",C1038=Sel_Month),OR(Sel_County="All",Data!L1038=Sel_County)),1,0)</f>
        <v>1</v>
      </c>
    </row>
    <row r="1039" spans="1:9" x14ac:dyDescent="0.25">
      <c r="A1039" s="52" t="str">
        <f>Data!A1039</f>
        <v>TX501038</v>
      </c>
      <c r="B1039" s="52">
        <f>MONTH(Data!F1039)</f>
        <v>2</v>
      </c>
      <c r="C1039" s="52" t="str">
        <f>TEXT(Data!F1039,"mmm")</f>
        <v>Feb</v>
      </c>
      <c r="D1039" s="52" t="str">
        <f>Data!O1039</f>
        <v>Female</v>
      </c>
      <c r="E1039" s="52">
        <f>Data!G1039-Data!F1039</f>
        <v>3</v>
      </c>
      <c r="F1039" s="52">
        <f>IF(Data!J1039&lt;=5,Data!J1039,IF(Data!J1039&lt;=10,"6 TO 10","More than 10"))</f>
        <v>3</v>
      </c>
      <c r="G1039" s="52">
        <f t="shared" si="16"/>
        <v>3</v>
      </c>
      <c r="H1039" s="52">
        <f>ROUND(Data!C1039*Data!D1039-Data!E1039,2)</f>
        <v>0</v>
      </c>
      <c r="I1039" s="52">
        <f>IF(AND(OR(Sel_Mode="All",Data!I1039=Sel_Mode),OR(Sel_Gender="All",D1039=Sel_Gender),OR(Sel_Category="All",Data!B1039=Sel_Category),OR(Sel_Month="All",C1039=Sel_Month),OR(Sel_County="All",Data!L1039=Sel_County)),1,0)</f>
        <v>1</v>
      </c>
    </row>
    <row r="1040" spans="1:9" x14ac:dyDescent="0.25">
      <c r="A1040" s="52" t="str">
        <f>Data!A1040</f>
        <v>TX501039</v>
      </c>
      <c r="B1040" s="52">
        <f>MONTH(Data!F1040)</f>
        <v>2</v>
      </c>
      <c r="C1040" s="52" t="str">
        <f>TEXT(Data!F1040,"mmm")</f>
        <v>Feb</v>
      </c>
      <c r="D1040" s="52" t="str">
        <f>Data!O1040</f>
        <v>Female</v>
      </c>
      <c r="E1040" s="52">
        <f>Data!G1040-Data!F1040</f>
        <v>2</v>
      </c>
      <c r="F1040" s="52">
        <f>IF(Data!J1040&lt;=5,Data!J1040,IF(Data!J1040&lt;=10,"6 TO 10","More than 10"))</f>
        <v>5</v>
      </c>
      <c r="G1040" s="52">
        <f t="shared" si="16"/>
        <v>2</v>
      </c>
      <c r="H1040" s="52">
        <f>ROUND(Data!C1040*Data!D1040-Data!E1040,2)</f>
        <v>0</v>
      </c>
      <c r="I1040" s="52">
        <f>IF(AND(OR(Sel_Mode="All",Data!I1040=Sel_Mode),OR(Sel_Gender="All",D1040=Sel_Gender),OR(Sel_Category="All",Data!B1040=Sel_Category),OR(Sel_Month="All",C1040=Sel_Month),OR(Sel_County="All",Data!L1040=Sel_County)),1,0)</f>
        <v>1</v>
      </c>
    </row>
    <row r="1041" spans="1:9" x14ac:dyDescent="0.25">
      <c r="A1041" s="52" t="str">
        <f>Data!A1041</f>
        <v>TX501040</v>
      </c>
      <c r="B1041" s="52">
        <f>MONTH(Data!F1041)</f>
        <v>2</v>
      </c>
      <c r="C1041" s="52" t="str">
        <f>TEXT(Data!F1041,"mmm")</f>
        <v>Feb</v>
      </c>
      <c r="D1041" s="52" t="str">
        <f>Data!O1041</f>
        <v>Male</v>
      </c>
      <c r="E1041" s="52">
        <f>Data!G1041-Data!F1041</f>
        <v>2</v>
      </c>
      <c r="F1041" s="52">
        <f>IF(Data!J1041&lt;=5,Data!J1041,IF(Data!J1041&lt;=10,"6 TO 10","More than 10"))</f>
        <v>4</v>
      </c>
      <c r="G1041" s="52">
        <f t="shared" si="16"/>
        <v>2</v>
      </c>
      <c r="H1041" s="52">
        <f>ROUND(Data!C1041*Data!D1041-Data!E1041,2)</f>
        <v>0</v>
      </c>
      <c r="I1041" s="52">
        <f>IF(AND(OR(Sel_Mode="All",Data!I1041=Sel_Mode),OR(Sel_Gender="All",D1041=Sel_Gender),OR(Sel_Category="All",Data!B1041=Sel_Category),OR(Sel_Month="All",C1041=Sel_Month),OR(Sel_County="All",Data!L1041=Sel_County)),1,0)</f>
        <v>1</v>
      </c>
    </row>
    <row r="1042" spans="1:9" x14ac:dyDescent="0.25">
      <c r="A1042" s="52" t="str">
        <f>Data!A1042</f>
        <v>TX501041</v>
      </c>
      <c r="B1042" s="52">
        <f>MONTH(Data!F1042)</f>
        <v>2</v>
      </c>
      <c r="C1042" s="52" t="str">
        <f>TEXT(Data!F1042,"mmm")</f>
        <v>Feb</v>
      </c>
      <c r="D1042" s="52" t="str">
        <f>Data!O1042</f>
        <v>Unknown</v>
      </c>
      <c r="E1042" s="52">
        <f>Data!G1042-Data!F1042</f>
        <v>1</v>
      </c>
      <c r="F1042" s="52">
        <f>IF(Data!J1042&lt;=5,Data!J1042,IF(Data!J1042&lt;=10,"6 TO 10","More than 10"))</f>
        <v>3</v>
      </c>
      <c r="G1042" s="52">
        <f t="shared" si="16"/>
        <v>1</v>
      </c>
      <c r="H1042" s="52">
        <f>ROUND(Data!C1042*Data!D1042-Data!E1042,2)</f>
        <v>0</v>
      </c>
      <c r="I1042" s="52">
        <f>IF(AND(OR(Sel_Mode="All",Data!I1042=Sel_Mode),OR(Sel_Gender="All",D1042=Sel_Gender),OR(Sel_Category="All",Data!B1042=Sel_Category),OR(Sel_Month="All",C1042=Sel_Month),OR(Sel_County="All",Data!L1042=Sel_County)),1,0)</f>
        <v>1</v>
      </c>
    </row>
    <row r="1043" spans="1:9" x14ac:dyDescent="0.25">
      <c r="A1043" s="52" t="str">
        <f>Data!A1043</f>
        <v>TX501042</v>
      </c>
      <c r="B1043" s="52">
        <f>MONTH(Data!F1043)</f>
        <v>2</v>
      </c>
      <c r="C1043" s="52" t="str">
        <f>TEXT(Data!F1043,"mmm")</f>
        <v>Feb</v>
      </c>
      <c r="D1043" s="52" t="str">
        <f>Data!O1043</f>
        <v>Female</v>
      </c>
      <c r="E1043" s="52">
        <f>Data!G1043-Data!F1043</f>
        <v>7</v>
      </c>
      <c r="F1043" s="52">
        <f>IF(Data!J1043&lt;=5,Data!J1043,IF(Data!J1043&lt;=10,"6 TO 10","More than 10"))</f>
        <v>4</v>
      </c>
      <c r="G1043" s="52">
        <f t="shared" si="16"/>
        <v>7</v>
      </c>
      <c r="H1043" s="52">
        <f>ROUND(Data!C1043*Data!D1043-Data!E1043,2)</f>
        <v>0</v>
      </c>
      <c r="I1043" s="52">
        <f>IF(AND(OR(Sel_Mode="All",Data!I1043=Sel_Mode),OR(Sel_Gender="All",D1043=Sel_Gender),OR(Sel_Category="All",Data!B1043=Sel_Category),OR(Sel_Month="All",C1043=Sel_Month),OR(Sel_County="All",Data!L1043=Sel_County)),1,0)</f>
        <v>1</v>
      </c>
    </row>
    <row r="1044" spans="1:9" x14ac:dyDescent="0.25">
      <c r="A1044" s="52" t="str">
        <f>Data!A1044</f>
        <v>TX501043</v>
      </c>
      <c r="B1044" s="52">
        <f>MONTH(Data!F1044)</f>
        <v>2</v>
      </c>
      <c r="C1044" s="52" t="str">
        <f>TEXT(Data!F1044,"mmm")</f>
        <v>Feb</v>
      </c>
      <c r="D1044" s="52" t="str">
        <f>Data!O1044</f>
        <v>Male</v>
      </c>
      <c r="E1044" s="52">
        <f>Data!G1044-Data!F1044</f>
        <v>1</v>
      </c>
      <c r="F1044" s="52">
        <f>IF(Data!J1044&lt;=5,Data!J1044,IF(Data!J1044&lt;=10,"6 TO 10","More than 10"))</f>
        <v>4</v>
      </c>
      <c r="G1044" s="52">
        <f t="shared" si="16"/>
        <v>1</v>
      </c>
      <c r="H1044" s="52">
        <f>ROUND(Data!C1044*Data!D1044-Data!E1044,2)</f>
        <v>0</v>
      </c>
      <c r="I1044" s="52">
        <f>IF(AND(OR(Sel_Mode="All",Data!I1044=Sel_Mode),OR(Sel_Gender="All",D1044=Sel_Gender),OR(Sel_Category="All",Data!B1044=Sel_Category),OR(Sel_Month="All",C1044=Sel_Month),OR(Sel_County="All",Data!L1044=Sel_County)),1,0)</f>
        <v>1</v>
      </c>
    </row>
    <row r="1045" spans="1:9" x14ac:dyDescent="0.25">
      <c r="A1045" s="52" t="str">
        <f>Data!A1045</f>
        <v>TX501044</v>
      </c>
      <c r="B1045" s="52">
        <f>MONTH(Data!F1045)</f>
        <v>2</v>
      </c>
      <c r="C1045" s="52" t="str">
        <f>TEXT(Data!F1045,"mmm")</f>
        <v>Feb</v>
      </c>
      <c r="D1045" s="52" t="str">
        <f>Data!O1045</f>
        <v>Female</v>
      </c>
      <c r="E1045" s="52">
        <f>Data!G1045-Data!F1045</f>
        <v>1</v>
      </c>
      <c r="F1045" s="52">
        <f>IF(Data!J1045&lt;=5,Data!J1045,IF(Data!J1045&lt;=10,"6 TO 10","More than 10"))</f>
        <v>4</v>
      </c>
      <c r="G1045" s="52">
        <f t="shared" si="16"/>
        <v>1</v>
      </c>
      <c r="H1045" s="52">
        <f>ROUND(Data!C1045*Data!D1045-Data!E1045,2)</f>
        <v>0</v>
      </c>
      <c r="I1045" s="52">
        <f>IF(AND(OR(Sel_Mode="All",Data!I1045=Sel_Mode),OR(Sel_Gender="All",D1045=Sel_Gender),OR(Sel_Category="All",Data!B1045=Sel_Category),OR(Sel_Month="All",C1045=Sel_Month),OR(Sel_County="All",Data!L1045=Sel_County)),1,0)</f>
        <v>1</v>
      </c>
    </row>
    <row r="1046" spans="1:9" x14ac:dyDescent="0.25">
      <c r="A1046" s="52" t="str">
        <f>Data!A1046</f>
        <v>TX501045</v>
      </c>
      <c r="B1046" s="52">
        <f>MONTH(Data!F1046)</f>
        <v>2</v>
      </c>
      <c r="C1046" s="52" t="str">
        <f>TEXT(Data!F1046,"mmm")</f>
        <v>Feb</v>
      </c>
      <c r="D1046" s="52" t="str">
        <f>Data!O1046</f>
        <v>Male</v>
      </c>
      <c r="E1046" s="52">
        <f>Data!G1046-Data!F1046</f>
        <v>1</v>
      </c>
      <c r="F1046" s="52">
        <f>IF(Data!J1046&lt;=5,Data!J1046,IF(Data!J1046&lt;=10,"6 TO 10","More than 10"))</f>
        <v>5</v>
      </c>
      <c r="G1046" s="52">
        <f t="shared" si="16"/>
        <v>1</v>
      </c>
      <c r="H1046" s="52">
        <f>ROUND(Data!C1046*Data!D1046-Data!E1046,2)</f>
        <v>0</v>
      </c>
      <c r="I1046" s="52">
        <f>IF(AND(OR(Sel_Mode="All",Data!I1046=Sel_Mode),OR(Sel_Gender="All",D1046=Sel_Gender),OR(Sel_Category="All",Data!B1046=Sel_Category),OR(Sel_Month="All",C1046=Sel_Month),OR(Sel_County="All",Data!L1046=Sel_County)),1,0)</f>
        <v>1</v>
      </c>
    </row>
    <row r="1047" spans="1:9" x14ac:dyDescent="0.25">
      <c r="A1047" s="52" t="str">
        <f>Data!A1047</f>
        <v>TX501046</v>
      </c>
      <c r="B1047" s="52">
        <f>MONTH(Data!F1047)</f>
        <v>2</v>
      </c>
      <c r="C1047" s="52" t="str">
        <f>TEXT(Data!F1047,"mmm")</f>
        <v>Feb</v>
      </c>
      <c r="D1047" s="52" t="str">
        <f>Data!O1047</f>
        <v>Female</v>
      </c>
      <c r="E1047" s="52">
        <f>Data!G1047-Data!F1047</f>
        <v>8</v>
      </c>
      <c r="F1047" s="52">
        <f>IF(Data!J1047&lt;=5,Data!J1047,IF(Data!J1047&lt;=10,"6 TO 10","More than 10"))</f>
        <v>3</v>
      </c>
      <c r="G1047" s="52" t="str">
        <f t="shared" si="16"/>
        <v>8+</v>
      </c>
      <c r="H1047" s="52">
        <f>ROUND(Data!C1047*Data!D1047-Data!E1047,2)</f>
        <v>0</v>
      </c>
      <c r="I1047" s="52">
        <f>IF(AND(OR(Sel_Mode="All",Data!I1047=Sel_Mode),OR(Sel_Gender="All",D1047=Sel_Gender),OR(Sel_Category="All",Data!B1047=Sel_Category),OR(Sel_Month="All",C1047=Sel_Month),OR(Sel_County="All",Data!L1047=Sel_County)),1,0)</f>
        <v>1</v>
      </c>
    </row>
    <row r="1048" spans="1:9" x14ac:dyDescent="0.25">
      <c r="A1048" s="52" t="str">
        <f>Data!A1048</f>
        <v>TX501047</v>
      </c>
      <c r="B1048" s="52">
        <f>MONTH(Data!F1048)</f>
        <v>2</v>
      </c>
      <c r="C1048" s="52" t="str">
        <f>TEXT(Data!F1048,"mmm")</f>
        <v>Feb</v>
      </c>
      <c r="D1048" s="52" t="str">
        <f>Data!O1048</f>
        <v>Female</v>
      </c>
      <c r="E1048" s="52">
        <f>Data!G1048-Data!F1048</f>
        <v>2</v>
      </c>
      <c r="F1048" s="52">
        <f>IF(Data!J1048&lt;=5,Data!J1048,IF(Data!J1048&lt;=10,"6 TO 10","More than 10"))</f>
        <v>4</v>
      </c>
      <c r="G1048" s="52">
        <f t="shared" si="16"/>
        <v>2</v>
      </c>
      <c r="H1048" s="52">
        <f>ROUND(Data!C1048*Data!D1048-Data!E1048,2)</f>
        <v>0</v>
      </c>
      <c r="I1048" s="52">
        <f>IF(AND(OR(Sel_Mode="All",Data!I1048=Sel_Mode),OR(Sel_Gender="All",D1048=Sel_Gender),OR(Sel_Category="All",Data!B1048=Sel_Category),OR(Sel_Month="All",C1048=Sel_Month),OR(Sel_County="All",Data!L1048=Sel_County)),1,0)</f>
        <v>1</v>
      </c>
    </row>
    <row r="1049" spans="1:9" x14ac:dyDescent="0.25">
      <c r="A1049" s="52" t="str">
        <f>Data!A1049</f>
        <v>TX501048</v>
      </c>
      <c r="B1049" s="52">
        <f>MONTH(Data!F1049)</f>
        <v>2</v>
      </c>
      <c r="C1049" s="52" t="str">
        <f>TEXT(Data!F1049,"mmm")</f>
        <v>Feb</v>
      </c>
      <c r="D1049" s="52" t="str">
        <f>Data!O1049</f>
        <v>Female</v>
      </c>
      <c r="E1049" s="52">
        <f>Data!G1049-Data!F1049</f>
        <v>0</v>
      </c>
      <c r="F1049" s="52">
        <f>IF(Data!J1049&lt;=5,Data!J1049,IF(Data!J1049&lt;=10,"6 TO 10","More than 10"))</f>
        <v>5</v>
      </c>
      <c r="G1049" s="52">
        <f t="shared" si="16"/>
        <v>0</v>
      </c>
      <c r="H1049" s="52">
        <f>ROUND(Data!C1049*Data!D1049-Data!E1049,2)</f>
        <v>0</v>
      </c>
      <c r="I1049" s="52">
        <f>IF(AND(OR(Sel_Mode="All",Data!I1049=Sel_Mode),OR(Sel_Gender="All",D1049=Sel_Gender),OR(Sel_Category="All",Data!B1049=Sel_Category),OR(Sel_Month="All",C1049=Sel_Month),OR(Sel_County="All",Data!L1049=Sel_County)),1,0)</f>
        <v>1</v>
      </c>
    </row>
    <row r="1050" spans="1:9" x14ac:dyDescent="0.25">
      <c r="A1050" s="52" t="str">
        <f>Data!A1050</f>
        <v>TX501049</v>
      </c>
      <c r="B1050" s="52">
        <f>MONTH(Data!F1050)</f>
        <v>2</v>
      </c>
      <c r="C1050" s="52" t="str">
        <f>TEXT(Data!F1050,"mmm")</f>
        <v>Feb</v>
      </c>
      <c r="D1050" s="52" t="str">
        <f>Data!O1050</f>
        <v>Female</v>
      </c>
      <c r="E1050" s="52">
        <f>Data!G1050-Data!F1050</f>
        <v>4</v>
      </c>
      <c r="F1050" s="52">
        <f>IF(Data!J1050&lt;=5,Data!J1050,IF(Data!J1050&lt;=10,"6 TO 10","More than 10"))</f>
        <v>5</v>
      </c>
      <c r="G1050" s="52">
        <f t="shared" si="16"/>
        <v>4</v>
      </c>
      <c r="H1050" s="52">
        <f>ROUND(Data!C1050*Data!D1050-Data!E1050,2)</f>
        <v>0</v>
      </c>
      <c r="I1050" s="52">
        <f>IF(AND(OR(Sel_Mode="All",Data!I1050=Sel_Mode),OR(Sel_Gender="All",D1050=Sel_Gender),OR(Sel_Category="All",Data!B1050=Sel_Category),OR(Sel_Month="All",C1050=Sel_Month),OR(Sel_County="All",Data!L1050=Sel_County)),1,0)</f>
        <v>1</v>
      </c>
    </row>
    <row r="1051" spans="1:9" x14ac:dyDescent="0.25">
      <c r="A1051" s="52" t="str">
        <f>Data!A1051</f>
        <v>TX501050</v>
      </c>
      <c r="B1051" s="52">
        <f>MONTH(Data!F1051)</f>
        <v>2</v>
      </c>
      <c r="C1051" s="52" t="str">
        <f>TEXT(Data!F1051,"mmm")</f>
        <v>Feb</v>
      </c>
      <c r="D1051" s="52" t="str">
        <f>Data!O1051</f>
        <v>Male</v>
      </c>
      <c r="E1051" s="52">
        <f>Data!G1051-Data!F1051</f>
        <v>2</v>
      </c>
      <c r="F1051" s="52">
        <f>IF(Data!J1051&lt;=5,Data!J1051,IF(Data!J1051&lt;=10,"6 TO 10","More than 10"))</f>
        <v>4</v>
      </c>
      <c r="G1051" s="52">
        <f t="shared" si="16"/>
        <v>2</v>
      </c>
      <c r="H1051" s="52">
        <f>ROUND(Data!C1051*Data!D1051-Data!E1051,2)</f>
        <v>0</v>
      </c>
      <c r="I1051" s="52">
        <f>IF(AND(OR(Sel_Mode="All",Data!I1051=Sel_Mode),OR(Sel_Gender="All",D1051=Sel_Gender),OR(Sel_Category="All",Data!B1051=Sel_Category),OR(Sel_Month="All",C1051=Sel_Month),OR(Sel_County="All",Data!L1051=Sel_County)),1,0)</f>
        <v>1</v>
      </c>
    </row>
    <row r="1052" spans="1:9" x14ac:dyDescent="0.25">
      <c r="A1052" s="52" t="str">
        <f>Data!A1052</f>
        <v>TX501051</v>
      </c>
      <c r="B1052" s="52">
        <f>MONTH(Data!F1052)</f>
        <v>2</v>
      </c>
      <c r="C1052" s="52" t="str">
        <f>TEXT(Data!F1052,"mmm")</f>
        <v>Feb</v>
      </c>
      <c r="D1052" s="52" t="str">
        <f>Data!O1052</f>
        <v>Male</v>
      </c>
      <c r="E1052" s="52">
        <f>Data!G1052-Data!F1052</f>
        <v>3</v>
      </c>
      <c r="F1052" s="52">
        <f>IF(Data!J1052&lt;=5,Data!J1052,IF(Data!J1052&lt;=10,"6 TO 10","More than 10"))</f>
        <v>4</v>
      </c>
      <c r="G1052" s="52">
        <f t="shared" si="16"/>
        <v>3</v>
      </c>
      <c r="H1052" s="52">
        <f>ROUND(Data!C1052*Data!D1052-Data!E1052,2)</f>
        <v>0</v>
      </c>
      <c r="I1052" s="52">
        <f>IF(AND(OR(Sel_Mode="All",Data!I1052=Sel_Mode),OR(Sel_Gender="All",D1052=Sel_Gender),OR(Sel_Category="All",Data!B1052=Sel_Category),OR(Sel_Month="All",C1052=Sel_Month),OR(Sel_County="All",Data!L1052=Sel_County)),1,0)</f>
        <v>1</v>
      </c>
    </row>
    <row r="1053" spans="1:9" x14ac:dyDescent="0.25">
      <c r="A1053" s="52" t="str">
        <f>Data!A1053</f>
        <v>TX501052</v>
      </c>
      <c r="B1053" s="52">
        <f>MONTH(Data!F1053)</f>
        <v>2</v>
      </c>
      <c r="C1053" s="52" t="str">
        <f>TEXT(Data!F1053,"mmm")</f>
        <v>Feb</v>
      </c>
      <c r="D1053" s="52" t="str">
        <f>Data!O1053</f>
        <v>Female</v>
      </c>
      <c r="E1053" s="52">
        <f>Data!G1053-Data!F1053</f>
        <v>1</v>
      </c>
      <c r="F1053" s="52">
        <f>IF(Data!J1053&lt;=5,Data!J1053,IF(Data!J1053&lt;=10,"6 TO 10","More than 10"))</f>
        <v>5</v>
      </c>
      <c r="G1053" s="52">
        <f t="shared" si="16"/>
        <v>1</v>
      </c>
      <c r="H1053" s="52">
        <f>ROUND(Data!C1053*Data!D1053-Data!E1053,2)</f>
        <v>0</v>
      </c>
      <c r="I1053" s="52">
        <f>IF(AND(OR(Sel_Mode="All",Data!I1053=Sel_Mode),OR(Sel_Gender="All",D1053=Sel_Gender),OR(Sel_Category="All",Data!B1053=Sel_Category),OR(Sel_Month="All",C1053=Sel_Month),OR(Sel_County="All",Data!L1053=Sel_County)),1,0)</f>
        <v>1</v>
      </c>
    </row>
    <row r="1054" spans="1:9" x14ac:dyDescent="0.25">
      <c r="A1054" s="52" t="str">
        <f>Data!A1054</f>
        <v>TX501053</v>
      </c>
      <c r="B1054" s="52">
        <f>MONTH(Data!F1054)</f>
        <v>2</v>
      </c>
      <c r="C1054" s="52" t="str">
        <f>TEXT(Data!F1054,"mmm")</f>
        <v>Feb</v>
      </c>
      <c r="D1054" s="52" t="str">
        <f>Data!O1054</f>
        <v>Male</v>
      </c>
      <c r="E1054" s="52">
        <f>Data!G1054-Data!F1054</f>
        <v>1</v>
      </c>
      <c r="F1054" s="52">
        <f>IF(Data!J1054&lt;=5,Data!J1054,IF(Data!J1054&lt;=10,"6 TO 10","More than 10"))</f>
        <v>4</v>
      </c>
      <c r="G1054" s="52">
        <f t="shared" si="16"/>
        <v>1</v>
      </c>
      <c r="H1054" s="52">
        <f>ROUND(Data!C1054*Data!D1054-Data!E1054,2)</f>
        <v>0</v>
      </c>
      <c r="I1054" s="52">
        <f>IF(AND(OR(Sel_Mode="All",Data!I1054=Sel_Mode),OR(Sel_Gender="All",D1054=Sel_Gender),OR(Sel_Category="All",Data!B1054=Sel_Category),OR(Sel_Month="All",C1054=Sel_Month),OR(Sel_County="All",Data!L1054=Sel_County)),1,0)</f>
        <v>1</v>
      </c>
    </row>
    <row r="1055" spans="1:9" x14ac:dyDescent="0.25">
      <c r="A1055" s="52" t="str">
        <f>Data!A1055</f>
        <v>TX501054</v>
      </c>
      <c r="B1055" s="52">
        <f>MONTH(Data!F1055)</f>
        <v>2</v>
      </c>
      <c r="C1055" s="52" t="str">
        <f>TEXT(Data!F1055,"mmm")</f>
        <v>Feb</v>
      </c>
      <c r="D1055" s="52" t="str">
        <f>Data!O1055</f>
        <v>Female</v>
      </c>
      <c r="E1055" s="52">
        <f>Data!G1055-Data!F1055</f>
        <v>1</v>
      </c>
      <c r="F1055" s="52">
        <f>IF(Data!J1055&lt;=5,Data!J1055,IF(Data!J1055&lt;=10,"6 TO 10","More than 10"))</f>
        <v>5</v>
      </c>
      <c r="G1055" s="52">
        <f t="shared" si="16"/>
        <v>1</v>
      </c>
      <c r="H1055" s="52">
        <f>ROUND(Data!C1055*Data!D1055-Data!E1055,2)</f>
        <v>0</v>
      </c>
      <c r="I1055" s="52">
        <f>IF(AND(OR(Sel_Mode="All",Data!I1055=Sel_Mode),OR(Sel_Gender="All",D1055=Sel_Gender),OR(Sel_Category="All",Data!B1055=Sel_Category),OR(Sel_Month="All",C1055=Sel_Month),OR(Sel_County="All",Data!L1055=Sel_County)),1,0)</f>
        <v>1</v>
      </c>
    </row>
    <row r="1056" spans="1:9" x14ac:dyDescent="0.25">
      <c r="A1056" s="52" t="str">
        <f>Data!A1056</f>
        <v>TX501055</v>
      </c>
      <c r="B1056" s="52">
        <f>MONTH(Data!F1056)</f>
        <v>2</v>
      </c>
      <c r="C1056" s="52" t="str">
        <f>TEXT(Data!F1056,"mmm")</f>
        <v>Feb</v>
      </c>
      <c r="D1056" s="52" t="str">
        <f>Data!O1056</f>
        <v>Male</v>
      </c>
      <c r="E1056" s="52">
        <f>Data!G1056-Data!F1056</f>
        <v>4</v>
      </c>
      <c r="F1056" s="52">
        <f>IF(Data!J1056&lt;=5,Data!J1056,IF(Data!J1056&lt;=10,"6 TO 10","More than 10"))</f>
        <v>4</v>
      </c>
      <c r="G1056" s="52">
        <f t="shared" si="16"/>
        <v>4</v>
      </c>
      <c r="H1056" s="52">
        <f>ROUND(Data!C1056*Data!D1056-Data!E1056,2)</f>
        <v>0</v>
      </c>
      <c r="I1056" s="52">
        <f>IF(AND(OR(Sel_Mode="All",Data!I1056=Sel_Mode),OR(Sel_Gender="All",D1056=Sel_Gender),OR(Sel_Category="All",Data!B1056=Sel_Category),OR(Sel_Month="All",C1056=Sel_Month),OR(Sel_County="All",Data!L1056=Sel_County)),1,0)</f>
        <v>1</v>
      </c>
    </row>
    <row r="1057" spans="1:9" x14ac:dyDescent="0.25">
      <c r="A1057" s="52" t="str">
        <f>Data!A1057</f>
        <v>TX501056</v>
      </c>
      <c r="B1057" s="52">
        <f>MONTH(Data!F1057)</f>
        <v>2</v>
      </c>
      <c r="C1057" s="52" t="str">
        <f>TEXT(Data!F1057,"mmm")</f>
        <v>Feb</v>
      </c>
      <c r="D1057" s="52" t="str">
        <f>Data!O1057</f>
        <v>Male</v>
      </c>
      <c r="E1057" s="52">
        <f>Data!G1057-Data!F1057</f>
        <v>2</v>
      </c>
      <c r="F1057" s="52">
        <f>IF(Data!J1057&lt;=5,Data!J1057,IF(Data!J1057&lt;=10,"6 TO 10","More than 10"))</f>
        <v>5</v>
      </c>
      <c r="G1057" s="52">
        <f t="shared" si="16"/>
        <v>2</v>
      </c>
      <c r="H1057" s="52">
        <f>ROUND(Data!C1057*Data!D1057-Data!E1057,2)</f>
        <v>0</v>
      </c>
      <c r="I1057" s="52">
        <f>IF(AND(OR(Sel_Mode="All",Data!I1057=Sel_Mode),OR(Sel_Gender="All",D1057=Sel_Gender),OR(Sel_Category="All",Data!B1057=Sel_Category),OR(Sel_Month="All",C1057=Sel_Month),OR(Sel_County="All",Data!L1057=Sel_County)),1,0)</f>
        <v>1</v>
      </c>
    </row>
    <row r="1058" spans="1:9" x14ac:dyDescent="0.25">
      <c r="A1058" s="52" t="str">
        <f>Data!A1058</f>
        <v>TX501057</v>
      </c>
      <c r="B1058" s="52">
        <f>MONTH(Data!F1058)</f>
        <v>2</v>
      </c>
      <c r="C1058" s="52" t="str">
        <f>TEXT(Data!F1058,"mmm")</f>
        <v>Feb</v>
      </c>
      <c r="D1058" s="52" t="str">
        <f>Data!O1058</f>
        <v>Female</v>
      </c>
      <c r="E1058" s="52">
        <f>Data!G1058-Data!F1058</f>
        <v>3</v>
      </c>
      <c r="F1058" s="52">
        <f>IF(Data!J1058&lt;=5,Data!J1058,IF(Data!J1058&lt;=10,"6 TO 10","More than 10"))</f>
        <v>4</v>
      </c>
      <c r="G1058" s="52">
        <f t="shared" si="16"/>
        <v>3</v>
      </c>
      <c r="H1058" s="52">
        <f>ROUND(Data!C1058*Data!D1058-Data!E1058,2)</f>
        <v>0</v>
      </c>
      <c r="I1058" s="52">
        <f>IF(AND(OR(Sel_Mode="All",Data!I1058=Sel_Mode),OR(Sel_Gender="All",D1058=Sel_Gender),OR(Sel_Category="All",Data!B1058=Sel_Category),OR(Sel_Month="All",C1058=Sel_Month),OR(Sel_County="All",Data!L1058=Sel_County)),1,0)</f>
        <v>1</v>
      </c>
    </row>
    <row r="1059" spans="1:9" x14ac:dyDescent="0.25">
      <c r="A1059" s="52" t="str">
        <f>Data!A1059</f>
        <v>TX501058</v>
      </c>
      <c r="B1059" s="52">
        <f>MONTH(Data!F1059)</f>
        <v>2</v>
      </c>
      <c r="C1059" s="52" t="str">
        <f>TEXT(Data!F1059,"mmm")</f>
        <v>Feb</v>
      </c>
      <c r="D1059" s="52" t="str">
        <f>Data!O1059</f>
        <v>Female</v>
      </c>
      <c r="E1059" s="52">
        <f>Data!G1059-Data!F1059</f>
        <v>3</v>
      </c>
      <c r="F1059" s="52">
        <f>IF(Data!J1059&lt;=5,Data!J1059,IF(Data!J1059&lt;=10,"6 TO 10","More than 10"))</f>
        <v>4</v>
      </c>
      <c r="G1059" s="52">
        <f t="shared" si="16"/>
        <v>3</v>
      </c>
      <c r="H1059" s="52">
        <f>ROUND(Data!C1059*Data!D1059-Data!E1059,2)</f>
        <v>0</v>
      </c>
      <c r="I1059" s="52">
        <f>IF(AND(OR(Sel_Mode="All",Data!I1059=Sel_Mode),OR(Sel_Gender="All",D1059=Sel_Gender),OR(Sel_Category="All",Data!B1059=Sel_Category),OR(Sel_Month="All",C1059=Sel_Month),OR(Sel_County="All",Data!L1059=Sel_County)),1,0)</f>
        <v>1</v>
      </c>
    </row>
    <row r="1060" spans="1:9" x14ac:dyDescent="0.25">
      <c r="A1060" s="52" t="str">
        <f>Data!A1060</f>
        <v>TX501059</v>
      </c>
      <c r="B1060" s="52">
        <f>MONTH(Data!F1060)</f>
        <v>2</v>
      </c>
      <c r="C1060" s="52" t="str">
        <f>TEXT(Data!F1060,"mmm")</f>
        <v>Feb</v>
      </c>
      <c r="D1060" s="52" t="str">
        <f>Data!O1060</f>
        <v>Female</v>
      </c>
      <c r="E1060" s="52">
        <f>Data!G1060-Data!F1060</f>
        <v>1</v>
      </c>
      <c r="F1060" s="52">
        <f>IF(Data!J1060&lt;=5,Data!J1060,IF(Data!J1060&lt;=10,"6 TO 10","More than 10"))</f>
        <v>3</v>
      </c>
      <c r="G1060" s="52">
        <f t="shared" si="16"/>
        <v>1</v>
      </c>
      <c r="H1060" s="52">
        <f>ROUND(Data!C1060*Data!D1060-Data!E1060,2)</f>
        <v>0</v>
      </c>
      <c r="I1060" s="52">
        <f>IF(AND(OR(Sel_Mode="All",Data!I1060=Sel_Mode),OR(Sel_Gender="All",D1060=Sel_Gender),OR(Sel_Category="All",Data!B1060=Sel_Category),OR(Sel_Month="All",C1060=Sel_Month),OR(Sel_County="All",Data!L1060=Sel_County)),1,0)</f>
        <v>1</v>
      </c>
    </row>
    <row r="1061" spans="1:9" x14ac:dyDescent="0.25">
      <c r="A1061" s="52" t="str">
        <f>Data!A1061</f>
        <v>TX501060</v>
      </c>
      <c r="B1061" s="52">
        <f>MONTH(Data!F1061)</f>
        <v>2</v>
      </c>
      <c r="C1061" s="52" t="str">
        <f>TEXT(Data!F1061,"mmm")</f>
        <v>Feb</v>
      </c>
      <c r="D1061" s="52" t="str">
        <f>Data!O1061</f>
        <v>Male</v>
      </c>
      <c r="E1061" s="52">
        <f>Data!G1061-Data!F1061</f>
        <v>1</v>
      </c>
      <c r="F1061" s="52">
        <f>IF(Data!J1061&lt;=5,Data!J1061,IF(Data!J1061&lt;=10,"6 TO 10","More than 10"))</f>
        <v>4</v>
      </c>
      <c r="G1061" s="52">
        <f t="shared" si="16"/>
        <v>1</v>
      </c>
      <c r="H1061" s="52">
        <f>ROUND(Data!C1061*Data!D1061-Data!E1061,2)</f>
        <v>0</v>
      </c>
      <c r="I1061" s="52">
        <f>IF(AND(OR(Sel_Mode="All",Data!I1061=Sel_Mode),OR(Sel_Gender="All",D1061=Sel_Gender),OR(Sel_Category="All",Data!B1061=Sel_Category),OR(Sel_Month="All",C1061=Sel_Month),OR(Sel_County="All",Data!L1061=Sel_County)),1,0)</f>
        <v>1</v>
      </c>
    </row>
    <row r="1062" spans="1:9" x14ac:dyDescent="0.25">
      <c r="A1062" s="52" t="str">
        <f>Data!A1062</f>
        <v>TX501061</v>
      </c>
      <c r="B1062" s="52">
        <f>MONTH(Data!F1062)</f>
        <v>2</v>
      </c>
      <c r="C1062" s="52" t="str">
        <f>TEXT(Data!F1062,"mmm")</f>
        <v>Feb</v>
      </c>
      <c r="D1062" s="52" t="str">
        <f>Data!O1062</f>
        <v>Unknown</v>
      </c>
      <c r="E1062" s="52">
        <f>Data!G1062-Data!F1062</f>
        <v>2</v>
      </c>
      <c r="F1062" s="52">
        <f>IF(Data!J1062&lt;=5,Data!J1062,IF(Data!J1062&lt;=10,"6 TO 10","More than 10"))</f>
        <v>5</v>
      </c>
      <c r="G1062" s="52">
        <f t="shared" si="16"/>
        <v>2</v>
      </c>
      <c r="H1062" s="52">
        <f>ROUND(Data!C1062*Data!D1062-Data!E1062,2)</f>
        <v>0</v>
      </c>
      <c r="I1062" s="52">
        <f>IF(AND(OR(Sel_Mode="All",Data!I1062=Sel_Mode),OR(Sel_Gender="All",D1062=Sel_Gender),OR(Sel_Category="All",Data!B1062=Sel_Category),OR(Sel_Month="All",C1062=Sel_Month),OR(Sel_County="All",Data!L1062=Sel_County)),1,0)</f>
        <v>1</v>
      </c>
    </row>
    <row r="1063" spans="1:9" x14ac:dyDescent="0.25">
      <c r="A1063" s="52" t="str">
        <f>Data!A1063</f>
        <v>TX501062</v>
      </c>
      <c r="B1063" s="52">
        <f>MONTH(Data!F1063)</f>
        <v>2</v>
      </c>
      <c r="C1063" s="52" t="str">
        <f>TEXT(Data!F1063,"mmm")</f>
        <v>Feb</v>
      </c>
      <c r="D1063" s="52" t="str">
        <f>Data!O1063</f>
        <v>Male</v>
      </c>
      <c r="E1063" s="52">
        <f>Data!G1063-Data!F1063</f>
        <v>1</v>
      </c>
      <c r="F1063" s="52">
        <f>IF(Data!J1063&lt;=5,Data!J1063,IF(Data!J1063&lt;=10,"6 TO 10","More than 10"))</f>
        <v>5</v>
      </c>
      <c r="G1063" s="52">
        <f t="shared" si="16"/>
        <v>1</v>
      </c>
      <c r="H1063" s="52">
        <f>ROUND(Data!C1063*Data!D1063-Data!E1063,2)</f>
        <v>0</v>
      </c>
      <c r="I1063" s="52">
        <f>IF(AND(OR(Sel_Mode="All",Data!I1063=Sel_Mode),OR(Sel_Gender="All",D1063=Sel_Gender),OR(Sel_Category="All",Data!B1063=Sel_Category),OR(Sel_Month="All",C1063=Sel_Month),OR(Sel_County="All",Data!L1063=Sel_County)),1,0)</f>
        <v>1</v>
      </c>
    </row>
    <row r="1064" spans="1:9" x14ac:dyDescent="0.25">
      <c r="A1064" s="52" t="str">
        <f>Data!A1064</f>
        <v>TX501063</v>
      </c>
      <c r="B1064" s="52">
        <f>MONTH(Data!F1064)</f>
        <v>2</v>
      </c>
      <c r="C1064" s="52" t="str">
        <f>TEXT(Data!F1064,"mmm")</f>
        <v>Feb</v>
      </c>
      <c r="D1064" s="52" t="str">
        <f>Data!O1064</f>
        <v>Male</v>
      </c>
      <c r="E1064" s="52">
        <f>Data!G1064-Data!F1064</f>
        <v>2</v>
      </c>
      <c r="F1064" s="52">
        <f>IF(Data!J1064&lt;=5,Data!J1064,IF(Data!J1064&lt;=10,"6 TO 10","More than 10"))</f>
        <v>4</v>
      </c>
      <c r="G1064" s="52">
        <f t="shared" si="16"/>
        <v>2</v>
      </c>
      <c r="H1064" s="52">
        <f>ROUND(Data!C1064*Data!D1064-Data!E1064,2)</f>
        <v>0</v>
      </c>
      <c r="I1064" s="52">
        <f>IF(AND(OR(Sel_Mode="All",Data!I1064=Sel_Mode),OR(Sel_Gender="All",D1064=Sel_Gender),OR(Sel_Category="All",Data!B1064=Sel_Category),OR(Sel_Month="All",C1064=Sel_Month),OR(Sel_County="All",Data!L1064=Sel_County)),1,0)</f>
        <v>1</v>
      </c>
    </row>
    <row r="1065" spans="1:9" x14ac:dyDescent="0.25">
      <c r="A1065" s="52" t="str">
        <f>Data!A1065</f>
        <v>TX501064</v>
      </c>
      <c r="B1065" s="52">
        <f>MONTH(Data!F1065)</f>
        <v>2</v>
      </c>
      <c r="C1065" s="52" t="str">
        <f>TEXT(Data!F1065,"mmm")</f>
        <v>Feb</v>
      </c>
      <c r="D1065" s="52" t="str">
        <f>Data!O1065</f>
        <v>Female</v>
      </c>
      <c r="E1065" s="52">
        <f>Data!G1065-Data!F1065</f>
        <v>2</v>
      </c>
      <c r="F1065" s="52">
        <f>IF(Data!J1065&lt;=5,Data!J1065,IF(Data!J1065&lt;=10,"6 TO 10","More than 10"))</f>
        <v>3</v>
      </c>
      <c r="G1065" s="52">
        <f t="shared" si="16"/>
        <v>2</v>
      </c>
      <c r="H1065" s="52">
        <f>ROUND(Data!C1065*Data!D1065-Data!E1065,2)</f>
        <v>0</v>
      </c>
      <c r="I1065" s="52">
        <f>IF(AND(OR(Sel_Mode="All",Data!I1065=Sel_Mode),OR(Sel_Gender="All",D1065=Sel_Gender),OR(Sel_Category="All",Data!B1065=Sel_Category),OR(Sel_Month="All",C1065=Sel_Month),OR(Sel_County="All",Data!L1065=Sel_County)),1,0)</f>
        <v>1</v>
      </c>
    </row>
    <row r="1066" spans="1:9" x14ac:dyDescent="0.25">
      <c r="A1066" s="52" t="str">
        <f>Data!A1066</f>
        <v>TX501065</v>
      </c>
      <c r="B1066" s="52">
        <f>MONTH(Data!F1066)</f>
        <v>2</v>
      </c>
      <c r="C1066" s="52" t="str">
        <f>TEXT(Data!F1066,"mmm")</f>
        <v>Feb</v>
      </c>
      <c r="D1066" s="52" t="str">
        <f>Data!O1066</f>
        <v>Male</v>
      </c>
      <c r="E1066" s="52">
        <f>Data!G1066-Data!F1066</f>
        <v>2</v>
      </c>
      <c r="F1066" s="52">
        <f>IF(Data!J1066&lt;=5,Data!J1066,IF(Data!J1066&lt;=10,"6 TO 10","More than 10"))</f>
        <v>2</v>
      </c>
      <c r="G1066" s="52">
        <f t="shared" si="16"/>
        <v>2</v>
      </c>
      <c r="H1066" s="52">
        <f>ROUND(Data!C1066*Data!D1066-Data!E1066,2)</f>
        <v>0</v>
      </c>
      <c r="I1066" s="52">
        <f>IF(AND(OR(Sel_Mode="All",Data!I1066=Sel_Mode),OR(Sel_Gender="All",D1066=Sel_Gender),OR(Sel_Category="All",Data!B1066=Sel_Category),OR(Sel_Month="All",C1066=Sel_Month),OR(Sel_County="All",Data!L1066=Sel_County)),1,0)</f>
        <v>1</v>
      </c>
    </row>
    <row r="1067" spans="1:9" x14ac:dyDescent="0.25">
      <c r="A1067" s="52" t="str">
        <f>Data!A1067</f>
        <v>TX501066</v>
      </c>
      <c r="B1067" s="52">
        <f>MONTH(Data!F1067)</f>
        <v>2</v>
      </c>
      <c r="C1067" s="52" t="str">
        <f>TEXT(Data!F1067,"mmm")</f>
        <v>Feb</v>
      </c>
      <c r="D1067" s="52" t="str">
        <f>Data!O1067</f>
        <v>Male</v>
      </c>
      <c r="E1067" s="52">
        <f>Data!G1067-Data!F1067</f>
        <v>0</v>
      </c>
      <c r="F1067" s="52">
        <f>IF(Data!J1067&lt;=5,Data!J1067,IF(Data!J1067&lt;=10,"6 TO 10","More than 10"))</f>
        <v>4</v>
      </c>
      <c r="G1067" s="52">
        <f t="shared" si="16"/>
        <v>0</v>
      </c>
      <c r="H1067" s="52">
        <f>ROUND(Data!C1067*Data!D1067-Data!E1067,2)</f>
        <v>0</v>
      </c>
      <c r="I1067" s="52">
        <f>IF(AND(OR(Sel_Mode="All",Data!I1067=Sel_Mode),OR(Sel_Gender="All",D1067=Sel_Gender),OR(Sel_Category="All",Data!B1067=Sel_Category),OR(Sel_Month="All",C1067=Sel_Month),OR(Sel_County="All",Data!L1067=Sel_County)),1,0)</f>
        <v>1</v>
      </c>
    </row>
    <row r="1068" spans="1:9" x14ac:dyDescent="0.25">
      <c r="A1068" s="52" t="str">
        <f>Data!A1068</f>
        <v>TX501067</v>
      </c>
      <c r="B1068" s="52">
        <f>MONTH(Data!F1068)</f>
        <v>2</v>
      </c>
      <c r="C1068" s="52" t="str">
        <f>TEXT(Data!F1068,"mmm")</f>
        <v>Feb</v>
      </c>
      <c r="D1068" s="52" t="str">
        <f>Data!O1068</f>
        <v>Female</v>
      </c>
      <c r="E1068" s="52">
        <f>Data!G1068-Data!F1068</f>
        <v>3</v>
      </c>
      <c r="F1068" s="52">
        <f>IF(Data!J1068&lt;=5,Data!J1068,IF(Data!J1068&lt;=10,"6 TO 10","More than 10"))</f>
        <v>4</v>
      </c>
      <c r="G1068" s="52">
        <f t="shared" si="16"/>
        <v>3</v>
      </c>
      <c r="H1068" s="52">
        <f>ROUND(Data!C1068*Data!D1068-Data!E1068,2)</f>
        <v>0</v>
      </c>
      <c r="I1068" s="52">
        <f>IF(AND(OR(Sel_Mode="All",Data!I1068=Sel_Mode),OR(Sel_Gender="All",D1068=Sel_Gender),OR(Sel_Category="All",Data!B1068=Sel_Category),OR(Sel_Month="All",C1068=Sel_Month),OR(Sel_County="All",Data!L1068=Sel_County)),1,0)</f>
        <v>1</v>
      </c>
    </row>
    <row r="1069" spans="1:9" x14ac:dyDescent="0.25">
      <c r="A1069" s="52" t="str">
        <f>Data!A1069</f>
        <v>TX501068</v>
      </c>
      <c r="B1069" s="52">
        <f>MONTH(Data!F1069)</f>
        <v>2</v>
      </c>
      <c r="C1069" s="52" t="str">
        <f>TEXT(Data!F1069,"mmm")</f>
        <v>Feb</v>
      </c>
      <c r="D1069" s="52" t="str">
        <f>Data!O1069</f>
        <v>Male</v>
      </c>
      <c r="E1069" s="52">
        <f>Data!G1069-Data!F1069</f>
        <v>3</v>
      </c>
      <c r="F1069" s="52">
        <f>IF(Data!J1069&lt;=5,Data!J1069,IF(Data!J1069&lt;=10,"6 TO 10","More than 10"))</f>
        <v>3</v>
      </c>
      <c r="G1069" s="52">
        <f t="shared" si="16"/>
        <v>3</v>
      </c>
      <c r="H1069" s="52">
        <f>ROUND(Data!C1069*Data!D1069-Data!E1069,2)</f>
        <v>0</v>
      </c>
      <c r="I1069" s="52">
        <f>IF(AND(OR(Sel_Mode="All",Data!I1069=Sel_Mode),OR(Sel_Gender="All",D1069=Sel_Gender),OR(Sel_Category="All",Data!B1069=Sel_Category),OR(Sel_Month="All",C1069=Sel_Month),OR(Sel_County="All",Data!L1069=Sel_County)),1,0)</f>
        <v>1</v>
      </c>
    </row>
    <row r="1070" spans="1:9" x14ac:dyDescent="0.25">
      <c r="A1070" s="52" t="str">
        <f>Data!A1070</f>
        <v>TX501069</v>
      </c>
      <c r="B1070" s="52">
        <f>MONTH(Data!F1070)</f>
        <v>2</v>
      </c>
      <c r="C1070" s="52" t="str">
        <f>TEXT(Data!F1070,"mmm")</f>
        <v>Feb</v>
      </c>
      <c r="D1070" s="52" t="str">
        <f>Data!O1070</f>
        <v>Female</v>
      </c>
      <c r="E1070" s="52">
        <f>Data!G1070-Data!F1070</f>
        <v>8</v>
      </c>
      <c r="F1070" s="52">
        <f>IF(Data!J1070&lt;=5,Data!J1070,IF(Data!J1070&lt;=10,"6 TO 10","More than 10"))</f>
        <v>5</v>
      </c>
      <c r="G1070" s="52" t="str">
        <f t="shared" si="16"/>
        <v>8+</v>
      </c>
      <c r="H1070" s="52">
        <f>ROUND(Data!C1070*Data!D1070-Data!E1070,2)</f>
        <v>0</v>
      </c>
      <c r="I1070" s="52">
        <f>IF(AND(OR(Sel_Mode="All",Data!I1070=Sel_Mode),OR(Sel_Gender="All",D1070=Sel_Gender),OR(Sel_Category="All",Data!B1070=Sel_Category),OR(Sel_Month="All",C1070=Sel_Month),OR(Sel_County="All",Data!L1070=Sel_County)),1,0)</f>
        <v>1</v>
      </c>
    </row>
    <row r="1071" spans="1:9" x14ac:dyDescent="0.25">
      <c r="A1071" s="52" t="str">
        <f>Data!A1071</f>
        <v>TX501070</v>
      </c>
      <c r="B1071" s="52">
        <f>MONTH(Data!F1071)</f>
        <v>2</v>
      </c>
      <c r="C1071" s="52" t="str">
        <f>TEXT(Data!F1071,"mmm")</f>
        <v>Feb</v>
      </c>
      <c r="D1071" s="52" t="str">
        <f>Data!O1071</f>
        <v>Female</v>
      </c>
      <c r="E1071" s="52">
        <f>Data!G1071-Data!F1071</f>
        <v>2</v>
      </c>
      <c r="F1071" s="52">
        <f>IF(Data!J1071&lt;=5,Data!J1071,IF(Data!J1071&lt;=10,"6 TO 10","More than 10"))</f>
        <v>4</v>
      </c>
      <c r="G1071" s="52">
        <f t="shared" si="16"/>
        <v>2</v>
      </c>
      <c r="H1071" s="52">
        <f>ROUND(Data!C1071*Data!D1071-Data!E1071,2)</f>
        <v>0</v>
      </c>
      <c r="I1071" s="52">
        <f>IF(AND(OR(Sel_Mode="All",Data!I1071=Sel_Mode),OR(Sel_Gender="All",D1071=Sel_Gender),OR(Sel_Category="All",Data!B1071=Sel_Category),OR(Sel_Month="All",C1071=Sel_Month),OR(Sel_County="All",Data!L1071=Sel_County)),1,0)</f>
        <v>1</v>
      </c>
    </row>
    <row r="1072" spans="1:9" x14ac:dyDescent="0.25">
      <c r="A1072" s="52" t="str">
        <f>Data!A1072</f>
        <v>TX501071</v>
      </c>
      <c r="B1072" s="52">
        <f>MONTH(Data!F1072)</f>
        <v>2</v>
      </c>
      <c r="C1072" s="52" t="str">
        <f>TEXT(Data!F1072,"mmm")</f>
        <v>Feb</v>
      </c>
      <c r="D1072" s="52" t="str">
        <f>Data!O1072</f>
        <v>Male</v>
      </c>
      <c r="E1072" s="52">
        <f>Data!G1072-Data!F1072</f>
        <v>2</v>
      </c>
      <c r="F1072" s="52">
        <f>IF(Data!J1072&lt;=5,Data!J1072,IF(Data!J1072&lt;=10,"6 TO 10","More than 10"))</f>
        <v>2</v>
      </c>
      <c r="G1072" s="52">
        <f t="shared" si="16"/>
        <v>2</v>
      </c>
      <c r="H1072" s="52">
        <f>ROUND(Data!C1072*Data!D1072-Data!E1072,2)</f>
        <v>0</v>
      </c>
      <c r="I1072" s="52">
        <f>IF(AND(OR(Sel_Mode="All",Data!I1072=Sel_Mode),OR(Sel_Gender="All",D1072=Sel_Gender),OR(Sel_Category="All",Data!B1072=Sel_Category),OR(Sel_Month="All",C1072=Sel_Month),OR(Sel_County="All",Data!L1072=Sel_County)),1,0)</f>
        <v>1</v>
      </c>
    </row>
    <row r="1073" spans="1:9" x14ac:dyDescent="0.25">
      <c r="A1073" s="52" t="str">
        <f>Data!A1073</f>
        <v>TX501072</v>
      </c>
      <c r="B1073" s="52">
        <f>MONTH(Data!F1073)</f>
        <v>2</v>
      </c>
      <c r="C1073" s="52" t="str">
        <f>TEXT(Data!F1073,"mmm")</f>
        <v>Feb</v>
      </c>
      <c r="D1073" s="52" t="str">
        <f>Data!O1073</f>
        <v>Female</v>
      </c>
      <c r="E1073" s="52">
        <f>Data!G1073-Data!F1073</f>
        <v>3</v>
      </c>
      <c r="F1073" s="52">
        <f>IF(Data!J1073&lt;=5,Data!J1073,IF(Data!J1073&lt;=10,"6 TO 10","More than 10"))</f>
        <v>4</v>
      </c>
      <c r="G1073" s="52">
        <f t="shared" si="16"/>
        <v>3</v>
      </c>
      <c r="H1073" s="52">
        <f>ROUND(Data!C1073*Data!D1073-Data!E1073,2)</f>
        <v>0</v>
      </c>
      <c r="I1073" s="52">
        <f>IF(AND(OR(Sel_Mode="All",Data!I1073=Sel_Mode),OR(Sel_Gender="All",D1073=Sel_Gender),OR(Sel_Category="All",Data!B1073=Sel_Category),OR(Sel_Month="All",C1073=Sel_Month),OR(Sel_County="All",Data!L1073=Sel_County)),1,0)</f>
        <v>1</v>
      </c>
    </row>
    <row r="1074" spans="1:9" x14ac:dyDescent="0.25">
      <c r="A1074" s="52" t="str">
        <f>Data!A1074</f>
        <v>TX501073</v>
      </c>
      <c r="B1074" s="52">
        <f>MONTH(Data!F1074)</f>
        <v>2</v>
      </c>
      <c r="C1074" s="52" t="str">
        <f>TEXT(Data!F1074,"mmm")</f>
        <v>Feb</v>
      </c>
      <c r="D1074" s="52" t="str">
        <f>Data!O1074</f>
        <v>Male</v>
      </c>
      <c r="E1074" s="52">
        <f>Data!G1074-Data!F1074</f>
        <v>3</v>
      </c>
      <c r="F1074" s="52">
        <f>IF(Data!J1074&lt;=5,Data!J1074,IF(Data!J1074&lt;=10,"6 TO 10","More than 10"))</f>
        <v>3</v>
      </c>
      <c r="G1074" s="52">
        <f t="shared" si="16"/>
        <v>3</v>
      </c>
      <c r="H1074" s="52">
        <f>ROUND(Data!C1074*Data!D1074-Data!E1074,2)</f>
        <v>0</v>
      </c>
      <c r="I1074" s="52">
        <f>IF(AND(OR(Sel_Mode="All",Data!I1074=Sel_Mode),OR(Sel_Gender="All",D1074=Sel_Gender),OR(Sel_Category="All",Data!B1074=Sel_Category),OR(Sel_Month="All",C1074=Sel_Month),OR(Sel_County="All",Data!L1074=Sel_County)),1,0)</f>
        <v>1</v>
      </c>
    </row>
    <row r="1075" spans="1:9" x14ac:dyDescent="0.25">
      <c r="A1075" s="52" t="str">
        <f>Data!A1075</f>
        <v>TX501074</v>
      </c>
      <c r="B1075" s="52">
        <f>MONTH(Data!F1075)</f>
        <v>2</v>
      </c>
      <c r="C1075" s="52" t="str">
        <f>TEXT(Data!F1075,"mmm")</f>
        <v>Feb</v>
      </c>
      <c r="D1075" s="52" t="str">
        <f>Data!O1075</f>
        <v>Male</v>
      </c>
      <c r="E1075" s="52">
        <f>Data!G1075-Data!F1075</f>
        <v>14</v>
      </c>
      <c r="F1075" s="52">
        <f>IF(Data!J1075&lt;=5,Data!J1075,IF(Data!J1075&lt;=10,"6 TO 10","More than 10"))</f>
        <v>5</v>
      </c>
      <c r="G1075" s="52" t="str">
        <f t="shared" si="16"/>
        <v>8+</v>
      </c>
      <c r="H1075" s="52">
        <f>ROUND(Data!C1075*Data!D1075-Data!E1075,2)</f>
        <v>0</v>
      </c>
      <c r="I1075" s="52">
        <f>IF(AND(OR(Sel_Mode="All",Data!I1075=Sel_Mode),OR(Sel_Gender="All",D1075=Sel_Gender),OR(Sel_Category="All",Data!B1075=Sel_Category),OR(Sel_Month="All",C1075=Sel_Month),OR(Sel_County="All",Data!L1075=Sel_County)),1,0)</f>
        <v>1</v>
      </c>
    </row>
    <row r="1076" spans="1:9" x14ac:dyDescent="0.25">
      <c r="A1076" s="52" t="str">
        <f>Data!A1076</f>
        <v>TX501075</v>
      </c>
      <c r="B1076" s="52">
        <f>MONTH(Data!F1076)</f>
        <v>2</v>
      </c>
      <c r="C1076" s="52" t="str">
        <f>TEXT(Data!F1076,"mmm")</f>
        <v>Feb</v>
      </c>
      <c r="D1076" s="52" t="str">
        <f>Data!O1076</f>
        <v>Male</v>
      </c>
      <c r="E1076" s="52">
        <f>Data!G1076-Data!F1076</f>
        <v>0</v>
      </c>
      <c r="F1076" s="52">
        <f>IF(Data!J1076&lt;=5,Data!J1076,IF(Data!J1076&lt;=10,"6 TO 10","More than 10"))</f>
        <v>2</v>
      </c>
      <c r="G1076" s="52">
        <f t="shared" si="16"/>
        <v>0</v>
      </c>
      <c r="H1076" s="52">
        <f>ROUND(Data!C1076*Data!D1076-Data!E1076,2)</f>
        <v>0</v>
      </c>
      <c r="I1076" s="52">
        <f>IF(AND(OR(Sel_Mode="All",Data!I1076=Sel_Mode),OR(Sel_Gender="All",D1076=Sel_Gender),OR(Sel_Category="All",Data!B1076=Sel_Category),OR(Sel_Month="All",C1076=Sel_Month),OR(Sel_County="All",Data!L1076=Sel_County)),1,0)</f>
        <v>1</v>
      </c>
    </row>
    <row r="1077" spans="1:9" x14ac:dyDescent="0.25">
      <c r="A1077" s="52" t="str">
        <f>Data!A1077</f>
        <v>TX501076</v>
      </c>
      <c r="B1077" s="52">
        <f>MONTH(Data!F1077)</f>
        <v>2</v>
      </c>
      <c r="C1077" s="52" t="str">
        <f>TEXT(Data!F1077,"mmm")</f>
        <v>Feb</v>
      </c>
      <c r="D1077" s="52" t="str">
        <f>Data!O1077</f>
        <v>Male</v>
      </c>
      <c r="E1077" s="52">
        <f>Data!G1077-Data!F1077</f>
        <v>1</v>
      </c>
      <c r="F1077" s="52">
        <f>IF(Data!J1077&lt;=5,Data!J1077,IF(Data!J1077&lt;=10,"6 TO 10","More than 10"))</f>
        <v>4</v>
      </c>
      <c r="G1077" s="52">
        <f t="shared" si="16"/>
        <v>1</v>
      </c>
      <c r="H1077" s="52">
        <f>ROUND(Data!C1077*Data!D1077-Data!E1077,2)</f>
        <v>0</v>
      </c>
      <c r="I1077" s="52">
        <f>IF(AND(OR(Sel_Mode="All",Data!I1077=Sel_Mode),OR(Sel_Gender="All",D1077=Sel_Gender),OR(Sel_Category="All",Data!B1077=Sel_Category),OR(Sel_Month="All",C1077=Sel_Month),OR(Sel_County="All",Data!L1077=Sel_County)),1,0)</f>
        <v>1</v>
      </c>
    </row>
    <row r="1078" spans="1:9" x14ac:dyDescent="0.25">
      <c r="A1078" s="52" t="str">
        <f>Data!A1078</f>
        <v>TX501077</v>
      </c>
      <c r="B1078" s="52">
        <f>MONTH(Data!F1078)</f>
        <v>2</v>
      </c>
      <c r="C1078" s="52" t="str">
        <f>TEXT(Data!F1078,"mmm")</f>
        <v>Feb</v>
      </c>
      <c r="D1078" s="52" t="str">
        <f>Data!O1078</f>
        <v>Male</v>
      </c>
      <c r="E1078" s="52">
        <f>Data!G1078-Data!F1078</f>
        <v>1</v>
      </c>
      <c r="F1078" s="52">
        <f>IF(Data!J1078&lt;=5,Data!J1078,IF(Data!J1078&lt;=10,"6 TO 10","More than 10"))</f>
        <v>3</v>
      </c>
      <c r="G1078" s="52">
        <f t="shared" si="16"/>
        <v>1</v>
      </c>
      <c r="H1078" s="52">
        <f>ROUND(Data!C1078*Data!D1078-Data!E1078,2)</f>
        <v>0</v>
      </c>
      <c r="I1078" s="52">
        <f>IF(AND(OR(Sel_Mode="All",Data!I1078=Sel_Mode),OR(Sel_Gender="All",D1078=Sel_Gender),OR(Sel_Category="All",Data!B1078=Sel_Category),OR(Sel_Month="All",C1078=Sel_Month),OR(Sel_County="All",Data!L1078=Sel_County)),1,0)</f>
        <v>1</v>
      </c>
    </row>
    <row r="1079" spans="1:9" x14ac:dyDescent="0.25">
      <c r="A1079" s="52" t="str">
        <f>Data!A1079</f>
        <v>TX501078</v>
      </c>
      <c r="B1079" s="52">
        <f>MONTH(Data!F1079)</f>
        <v>2</v>
      </c>
      <c r="C1079" s="52" t="str">
        <f>TEXT(Data!F1079,"mmm")</f>
        <v>Feb</v>
      </c>
      <c r="D1079" s="52" t="str">
        <f>Data!O1079</f>
        <v>Male</v>
      </c>
      <c r="E1079" s="52">
        <f>Data!G1079-Data!F1079</f>
        <v>5</v>
      </c>
      <c r="F1079" s="52">
        <f>IF(Data!J1079&lt;=5,Data!J1079,IF(Data!J1079&lt;=10,"6 TO 10","More than 10"))</f>
        <v>3</v>
      </c>
      <c r="G1079" s="52">
        <f t="shared" si="16"/>
        <v>5</v>
      </c>
      <c r="H1079" s="52">
        <f>ROUND(Data!C1079*Data!D1079-Data!E1079,2)</f>
        <v>0</v>
      </c>
      <c r="I1079" s="52">
        <f>IF(AND(OR(Sel_Mode="All",Data!I1079=Sel_Mode),OR(Sel_Gender="All",D1079=Sel_Gender),OR(Sel_Category="All",Data!B1079=Sel_Category),OR(Sel_Month="All",C1079=Sel_Month),OR(Sel_County="All",Data!L1079=Sel_County)),1,0)</f>
        <v>1</v>
      </c>
    </row>
    <row r="1080" spans="1:9" x14ac:dyDescent="0.25">
      <c r="A1080" s="52" t="str">
        <f>Data!A1080</f>
        <v>TX501079</v>
      </c>
      <c r="B1080" s="52">
        <f>MONTH(Data!F1080)</f>
        <v>2</v>
      </c>
      <c r="C1080" s="52" t="str">
        <f>TEXT(Data!F1080,"mmm")</f>
        <v>Feb</v>
      </c>
      <c r="D1080" s="52" t="str">
        <f>Data!O1080</f>
        <v>Male</v>
      </c>
      <c r="E1080" s="52">
        <f>Data!G1080-Data!F1080</f>
        <v>0</v>
      </c>
      <c r="F1080" s="52">
        <f>IF(Data!J1080&lt;=5,Data!J1080,IF(Data!J1080&lt;=10,"6 TO 10","More than 10"))</f>
        <v>5</v>
      </c>
      <c r="G1080" s="52">
        <f t="shared" si="16"/>
        <v>0</v>
      </c>
      <c r="H1080" s="52">
        <f>ROUND(Data!C1080*Data!D1080-Data!E1080,2)</f>
        <v>0</v>
      </c>
      <c r="I1080" s="52">
        <f>IF(AND(OR(Sel_Mode="All",Data!I1080=Sel_Mode),OR(Sel_Gender="All",D1080=Sel_Gender),OR(Sel_Category="All",Data!B1080=Sel_Category),OR(Sel_Month="All",C1080=Sel_Month),OR(Sel_County="All",Data!L1080=Sel_County)),1,0)</f>
        <v>1</v>
      </c>
    </row>
    <row r="1081" spans="1:9" x14ac:dyDescent="0.25">
      <c r="A1081" s="52" t="str">
        <f>Data!A1081</f>
        <v>TX501080</v>
      </c>
      <c r="B1081" s="52">
        <f>MONTH(Data!F1081)</f>
        <v>2</v>
      </c>
      <c r="C1081" s="52" t="str">
        <f>TEXT(Data!F1081,"mmm")</f>
        <v>Feb</v>
      </c>
      <c r="D1081" s="52" t="str">
        <f>Data!O1081</f>
        <v>Male</v>
      </c>
      <c r="E1081" s="52">
        <f>Data!G1081-Data!F1081</f>
        <v>1</v>
      </c>
      <c r="F1081" s="52">
        <f>IF(Data!J1081&lt;=5,Data!J1081,IF(Data!J1081&lt;=10,"6 TO 10","More than 10"))</f>
        <v>3</v>
      </c>
      <c r="G1081" s="52">
        <f t="shared" si="16"/>
        <v>1</v>
      </c>
      <c r="H1081" s="52">
        <f>ROUND(Data!C1081*Data!D1081-Data!E1081,2)</f>
        <v>0</v>
      </c>
      <c r="I1081" s="52">
        <f>IF(AND(OR(Sel_Mode="All",Data!I1081=Sel_Mode),OR(Sel_Gender="All",D1081=Sel_Gender),OR(Sel_Category="All",Data!B1081=Sel_Category),OR(Sel_Month="All",C1081=Sel_Month),OR(Sel_County="All",Data!L1081=Sel_County)),1,0)</f>
        <v>1</v>
      </c>
    </row>
    <row r="1082" spans="1:9" x14ac:dyDescent="0.25">
      <c r="A1082" s="52" t="str">
        <f>Data!A1082</f>
        <v>TX501081</v>
      </c>
      <c r="B1082" s="52">
        <f>MONTH(Data!F1082)</f>
        <v>2</v>
      </c>
      <c r="C1082" s="52" t="str">
        <f>TEXT(Data!F1082,"mmm")</f>
        <v>Feb</v>
      </c>
      <c r="D1082" s="52" t="str">
        <f>Data!O1082</f>
        <v>Female</v>
      </c>
      <c r="E1082" s="52">
        <f>Data!G1082-Data!F1082</f>
        <v>2</v>
      </c>
      <c r="F1082" s="52">
        <f>IF(Data!J1082&lt;=5,Data!J1082,IF(Data!J1082&lt;=10,"6 TO 10","More than 10"))</f>
        <v>4</v>
      </c>
      <c r="G1082" s="52">
        <f t="shared" si="16"/>
        <v>2</v>
      </c>
      <c r="H1082" s="52">
        <f>ROUND(Data!C1082*Data!D1082-Data!E1082,2)</f>
        <v>0</v>
      </c>
      <c r="I1082" s="52">
        <f>IF(AND(OR(Sel_Mode="All",Data!I1082=Sel_Mode),OR(Sel_Gender="All",D1082=Sel_Gender),OR(Sel_Category="All",Data!B1082=Sel_Category),OR(Sel_Month="All",C1082=Sel_Month),OR(Sel_County="All",Data!L1082=Sel_County)),1,0)</f>
        <v>1</v>
      </c>
    </row>
    <row r="1083" spans="1:9" x14ac:dyDescent="0.25">
      <c r="A1083" s="52" t="str">
        <f>Data!A1083</f>
        <v>TX501082</v>
      </c>
      <c r="B1083" s="52">
        <f>MONTH(Data!F1083)</f>
        <v>2</v>
      </c>
      <c r="C1083" s="52" t="str">
        <f>TEXT(Data!F1083,"mmm")</f>
        <v>Feb</v>
      </c>
      <c r="D1083" s="52" t="str">
        <f>Data!O1083</f>
        <v>Female</v>
      </c>
      <c r="E1083" s="52">
        <f>Data!G1083-Data!F1083</f>
        <v>2</v>
      </c>
      <c r="F1083" s="52">
        <f>IF(Data!J1083&lt;=5,Data!J1083,IF(Data!J1083&lt;=10,"6 TO 10","More than 10"))</f>
        <v>5</v>
      </c>
      <c r="G1083" s="52">
        <f t="shared" si="16"/>
        <v>2</v>
      </c>
      <c r="H1083" s="52">
        <f>ROUND(Data!C1083*Data!D1083-Data!E1083,2)</f>
        <v>0</v>
      </c>
      <c r="I1083" s="52">
        <f>IF(AND(OR(Sel_Mode="All",Data!I1083=Sel_Mode),OR(Sel_Gender="All",D1083=Sel_Gender),OR(Sel_Category="All",Data!B1083=Sel_Category),OR(Sel_Month="All",C1083=Sel_Month),OR(Sel_County="All",Data!L1083=Sel_County)),1,0)</f>
        <v>1</v>
      </c>
    </row>
    <row r="1084" spans="1:9" x14ac:dyDescent="0.25">
      <c r="A1084" s="52" t="str">
        <f>Data!A1084</f>
        <v>TX501083</v>
      </c>
      <c r="B1084" s="52">
        <f>MONTH(Data!F1084)</f>
        <v>2</v>
      </c>
      <c r="C1084" s="52" t="str">
        <f>TEXT(Data!F1084,"mmm")</f>
        <v>Feb</v>
      </c>
      <c r="D1084" s="52" t="str">
        <f>Data!O1084</f>
        <v>Female</v>
      </c>
      <c r="E1084" s="52">
        <f>Data!G1084-Data!F1084</f>
        <v>2</v>
      </c>
      <c r="F1084" s="52">
        <f>IF(Data!J1084&lt;=5,Data!J1084,IF(Data!J1084&lt;=10,"6 TO 10","More than 10"))</f>
        <v>4</v>
      </c>
      <c r="G1084" s="52">
        <f t="shared" si="16"/>
        <v>2</v>
      </c>
      <c r="H1084" s="52">
        <f>ROUND(Data!C1084*Data!D1084-Data!E1084,2)</f>
        <v>0</v>
      </c>
      <c r="I1084" s="52">
        <f>IF(AND(OR(Sel_Mode="All",Data!I1084=Sel_Mode),OR(Sel_Gender="All",D1084=Sel_Gender),OR(Sel_Category="All",Data!B1084=Sel_Category),OR(Sel_Month="All",C1084=Sel_Month),OR(Sel_County="All",Data!L1084=Sel_County)),1,0)</f>
        <v>1</v>
      </c>
    </row>
    <row r="1085" spans="1:9" x14ac:dyDescent="0.25">
      <c r="A1085" s="52" t="str">
        <f>Data!A1085</f>
        <v>TX501084</v>
      </c>
      <c r="B1085" s="52">
        <f>MONTH(Data!F1085)</f>
        <v>2</v>
      </c>
      <c r="C1085" s="52" t="str">
        <f>TEXT(Data!F1085,"mmm")</f>
        <v>Feb</v>
      </c>
      <c r="D1085" s="52" t="str">
        <f>Data!O1085</f>
        <v>Female</v>
      </c>
      <c r="E1085" s="52">
        <f>Data!G1085-Data!F1085</f>
        <v>1</v>
      </c>
      <c r="F1085" s="52">
        <f>IF(Data!J1085&lt;=5,Data!J1085,IF(Data!J1085&lt;=10,"6 TO 10","More than 10"))</f>
        <v>3</v>
      </c>
      <c r="G1085" s="52">
        <f t="shared" si="16"/>
        <v>1</v>
      </c>
      <c r="H1085" s="52">
        <f>ROUND(Data!C1085*Data!D1085-Data!E1085,2)</f>
        <v>0</v>
      </c>
      <c r="I1085" s="52">
        <f>IF(AND(OR(Sel_Mode="All",Data!I1085=Sel_Mode),OR(Sel_Gender="All",D1085=Sel_Gender),OR(Sel_Category="All",Data!B1085=Sel_Category),OR(Sel_Month="All",C1085=Sel_Month),OR(Sel_County="All",Data!L1085=Sel_County)),1,0)</f>
        <v>1</v>
      </c>
    </row>
    <row r="1086" spans="1:9" x14ac:dyDescent="0.25">
      <c r="A1086" s="52" t="str">
        <f>Data!A1086</f>
        <v>TX501085</v>
      </c>
      <c r="B1086" s="52">
        <f>MONTH(Data!F1086)</f>
        <v>2</v>
      </c>
      <c r="C1086" s="52" t="str">
        <f>TEXT(Data!F1086,"mmm")</f>
        <v>Feb</v>
      </c>
      <c r="D1086" s="52" t="str">
        <f>Data!O1086</f>
        <v>Female</v>
      </c>
      <c r="E1086" s="52">
        <f>Data!G1086-Data!F1086</f>
        <v>1</v>
      </c>
      <c r="F1086" s="52">
        <f>IF(Data!J1086&lt;=5,Data!J1086,IF(Data!J1086&lt;=10,"6 TO 10","More than 10"))</f>
        <v>4</v>
      </c>
      <c r="G1086" s="52">
        <f t="shared" si="16"/>
        <v>1</v>
      </c>
      <c r="H1086" s="52">
        <f>ROUND(Data!C1086*Data!D1086-Data!E1086,2)</f>
        <v>0</v>
      </c>
      <c r="I1086" s="52">
        <f>IF(AND(OR(Sel_Mode="All",Data!I1086=Sel_Mode),OR(Sel_Gender="All",D1086=Sel_Gender),OR(Sel_Category="All",Data!B1086=Sel_Category),OR(Sel_Month="All",C1086=Sel_Month),OR(Sel_County="All",Data!L1086=Sel_County)),1,0)</f>
        <v>1</v>
      </c>
    </row>
    <row r="1087" spans="1:9" x14ac:dyDescent="0.25">
      <c r="A1087" s="52" t="str">
        <f>Data!A1087</f>
        <v>TX501086</v>
      </c>
      <c r="B1087" s="52">
        <f>MONTH(Data!F1087)</f>
        <v>2</v>
      </c>
      <c r="C1087" s="52" t="str">
        <f>TEXT(Data!F1087,"mmm")</f>
        <v>Feb</v>
      </c>
      <c r="D1087" s="52" t="str">
        <f>Data!O1087</f>
        <v>Female</v>
      </c>
      <c r="E1087" s="52">
        <f>Data!G1087-Data!F1087</f>
        <v>2</v>
      </c>
      <c r="F1087" s="52">
        <f>IF(Data!J1087&lt;=5,Data!J1087,IF(Data!J1087&lt;=10,"6 TO 10","More than 10"))</f>
        <v>2</v>
      </c>
      <c r="G1087" s="52">
        <f t="shared" si="16"/>
        <v>2</v>
      </c>
      <c r="H1087" s="52">
        <f>ROUND(Data!C1087*Data!D1087-Data!E1087,2)</f>
        <v>0</v>
      </c>
      <c r="I1087" s="52">
        <f>IF(AND(OR(Sel_Mode="All",Data!I1087=Sel_Mode),OR(Sel_Gender="All",D1087=Sel_Gender),OR(Sel_Category="All",Data!B1087=Sel_Category),OR(Sel_Month="All",C1087=Sel_Month),OR(Sel_County="All",Data!L1087=Sel_County)),1,0)</f>
        <v>1</v>
      </c>
    </row>
    <row r="1088" spans="1:9" x14ac:dyDescent="0.25">
      <c r="A1088" s="52" t="str">
        <f>Data!A1088</f>
        <v>TX501087</v>
      </c>
      <c r="B1088" s="52">
        <f>MONTH(Data!F1088)</f>
        <v>2</v>
      </c>
      <c r="C1088" s="52" t="str">
        <f>TEXT(Data!F1088,"mmm")</f>
        <v>Feb</v>
      </c>
      <c r="D1088" s="52" t="str">
        <f>Data!O1088</f>
        <v>Female</v>
      </c>
      <c r="E1088" s="52">
        <f>Data!G1088-Data!F1088</f>
        <v>2</v>
      </c>
      <c r="F1088" s="52">
        <f>IF(Data!J1088&lt;=5,Data!J1088,IF(Data!J1088&lt;=10,"6 TO 10","More than 10"))</f>
        <v>3</v>
      </c>
      <c r="G1088" s="52">
        <f t="shared" si="16"/>
        <v>2</v>
      </c>
      <c r="H1088" s="52">
        <f>ROUND(Data!C1088*Data!D1088-Data!E1088,2)</f>
        <v>0</v>
      </c>
      <c r="I1088" s="52">
        <f>IF(AND(OR(Sel_Mode="All",Data!I1088=Sel_Mode),OR(Sel_Gender="All",D1088=Sel_Gender),OR(Sel_Category="All",Data!B1088=Sel_Category),OR(Sel_Month="All",C1088=Sel_Month),OR(Sel_County="All",Data!L1088=Sel_County)),1,0)</f>
        <v>1</v>
      </c>
    </row>
    <row r="1089" spans="1:9" x14ac:dyDescent="0.25">
      <c r="A1089" s="52" t="str">
        <f>Data!A1089</f>
        <v>TX501088</v>
      </c>
      <c r="B1089" s="52">
        <f>MONTH(Data!F1089)</f>
        <v>2</v>
      </c>
      <c r="C1089" s="52" t="str">
        <f>TEXT(Data!F1089,"mmm")</f>
        <v>Feb</v>
      </c>
      <c r="D1089" s="52" t="str">
        <f>Data!O1089</f>
        <v>Male</v>
      </c>
      <c r="E1089" s="52">
        <f>Data!G1089-Data!F1089</f>
        <v>3</v>
      </c>
      <c r="F1089" s="52">
        <f>IF(Data!J1089&lt;=5,Data!J1089,IF(Data!J1089&lt;=10,"6 TO 10","More than 10"))</f>
        <v>4</v>
      </c>
      <c r="G1089" s="52">
        <f t="shared" si="16"/>
        <v>3</v>
      </c>
      <c r="H1089" s="52">
        <f>ROUND(Data!C1089*Data!D1089-Data!E1089,2)</f>
        <v>0</v>
      </c>
      <c r="I1089" s="52">
        <f>IF(AND(OR(Sel_Mode="All",Data!I1089=Sel_Mode),OR(Sel_Gender="All",D1089=Sel_Gender),OR(Sel_Category="All",Data!B1089=Sel_Category),OR(Sel_Month="All",C1089=Sel_Month),OR(Sel_County="All",Data!L1089=Sel_County)),1,0)</f>
        <v>1</v>
      </c>
    </row>
    <row r="1090" spans="1:9" x14ac:dyDescent="0.25">
      <c r="A1090" s="52" t="str">
        <f>Data!A1090</f>
        <v>TX501089</v>
      </c>
      <c r="B1090" s="52">
        <f>MONTH(Data!F1090)</f>
        <v>2</v>
      </c>
      <c r="C1090" s="52" t="str">
        <f>TEXT(Data!F1090,"mmm")</f>
        <v>Feb</v>
      </c>
      <c r="D1090" s="52" t="str">
        <f>Data!O1090</f>
        <v>Female</v>
      </c>
      <c r="E1090" s="52">
        <f>Data!G1090-Data!F1090</f>
        <v>2</v>
      </c>
      <c r="F1090" s="52">
        <f>IF(Data!J1090&lt;=5,Data!J1090,IF(Data!J1090&lt;=10,"6 TO 10","More than 10"))</f>
        <v>3</v>
      </c>
      <c r="G1090" s="52">
        <f t="shared" ref="G1090:G1153" si="17">IF(E1090&gt;=8,"8+",E1090)</f>
        <v>2</v>
      </c>
      <c r="H1090" s="52">
        <f>ROUND(Data!C1090*Data!D1090-Data!E1090,2)</f>
        <v>0</v>
      </c>
      <c r="I1090" s="52">
        <f>IF(AND(OR(Sel_Mode="All",Data!I1090=Sel_Mode),OR(Sel_Gender="All",D1090=Sel_Gender),OR(Sel_Category="All",Data!B1090=Sel_Category),OR(Sel_Month="All",C1090=Sel_Month),OR(Sel_County="All",Data!L1090=Sel_County)),1,0)</f>
        <v>1</v>
      </c>
    </row>
    <row r="1091" spans="1:9" x14ac:dyDescent="0.25">
      <c r="A1091" s="52" t="str">
        <f>Data!A1091</f>
        <v>TX501090</v>
      </c>
      <c r="B1091" s="52">
        <f>MONTH(Data!F1091)</f>
        <v>2</v>
      </c>
      <c r="C1091" s="52" t="str">
        <f>TEXT(Data!F1091,"mmm")</f>
        <v>Feb</v>
      </c>
      <c r="D1091" s="52" t="str">
        <f>Data!O1091</f>
        <v>Male</v>
      </c>
      <c r="E1091" s="52">
        <f>Data!G1091-Data!F1091</f>
        <v>2</v>
      </c>
      <c r="F1091" s="52">
        <f>IF(Data!J1091&lt;=5,Data!J1091,IF(Data!J1091&lt;=10,"6 TO 10","More than 10"))</f>
        <v>3</v>
      </c>
      <c r="G1091" s="52">
        <f t="shared" si="17"/>
        <v>2</v>
      </c>
      <c r="H1091" s="52">
        <f>ROUND(Data!C1091*Data!D1091-Data!E1091,2)</f>
        <v>0</v>
      </c>
      <c r="I1091" s="52">
        <f>IF(AND(OR(Sel_Mode="All",Data!I1091=Sel_Mode),OR(Sel_Gender="All",D1091=Sel_Gender),OR(Sel_Category="All",Data!B1091=Sel_Category),OR(Sel_Month="All",C1091=Sel_Month),OR(Sel_County="All",Data!L1091=Sel_County)),1,0)</f>
        <v>1</v>
      </c>
    </row>
    <row r="1092" spans="1:9" x14ac:dyDescent="0.25">
      <c r="A1092" s="52" t="str">
        <f>Data!A1092</f>
        <v>TX501091</v>
      </c>
      <c r="B1092" s="52">
        <f>MONTH(Data!F1092)</f>
        <v>2</v>
      </c>
      <c r="C1092" s="52" t="str">
        <f>TEXT(Data!F1092,"mmm")</f>
        <v>Feb</v>
      </c>
      <c r="D1092" s="52" t="str">
        <f>Data!O1092</f>
        <v>Unknown</v>
      </c>
      <c r="E1092" s="52">
        <f>Data!G1092-Data!F1092</f>
        <v>1</v>
      </c>
      <c r="F1092" s="52">
        <f>IF(Data!J1092&lt;=5,Data!J1092,IF(Data!J1092&lt;=10,"6 TO 10","More than 10"))</f>
        <v>2</v>
      </c>
      <c r="G1092" s="52">
        <f t="shared" si="17"/>
        <v>1</v>
      </c>
      <c r="H1092" s="52">
        <f>ROUND(Data!C1092*Data!D1092-Data!E1092,2)</f>
        <v>0</v>
      </c>
      <c r="I1092" s="52">
        <f>IF(AND(OR(Sel_Mode="All",Data!I1092=Sel_Mode),OR(Sel_Gender="All",D1092=Sel_Gender),OR(Sel_Category="All",Data!B1092=Sel_Category),OR(Sel_Month="All",C1092=Sel_Month),OR(Sel_County="All",Data!L1092=Sel_County)),1,0)</f>
        <v>1</v>
      </c>
    </row>
    <row r="1093" spans="1:9" x14ac:dyDescent="0.25">
      <c r="A1093" s="52" t="str">
        <f>Data!A1093</f>
        <v>TX501092</v>
      </c>
      <c r="B1093" s="52">
        <f>MONTH(Data!F1093)</f>
        <v>2</v>
      </c>
      <c r="C1093" s="52" t="str">
        <f>TEXT(Data!F1093,"mmm")</f>
        <v>Feb</v>
      </c>
      <c r="D1093" s="52" t="str">
        <f>Data!O1093</f>
        <v>Female</v>
      </c>
      <c r="E1093" s="52">
        <f>Data!G1093-Data!F1093</f>
        <v>1</v>
      </c>
      <c r="F1093" s="52">
        <f>IF(Data!J1093&lt;=5,Data!J1093,IF(Data!J1093&lt;=10,"6 TO 10","More than 10"))</f>
        <v>2</v>
      </c>
      <c r="G1093" s="52">
        <f t="shared" si="17"/>
        <v>1</v>
      </c>
      <c r="H1093" s="52">
        <f>ROUND(Data!C1093*Data!D1093-Data!E1093,2)</f>
        <v>0</v>
      </c>
      <c r="I1093" s="52">
        <f>IF(AND(OR(Sel_Mode="All",Data!I1093=Sel_Mode),OR(Sel_Gender="All",D1093=Sel_Gender),OR(Sel_Category="All",Data!B1093=Sel_Category),OR(Sel_Month="All",C1093=Sel_Month),OR(Sel_County="All",Data!L1093=Sel_County)),1,0)</f>
        <v>1</v>
      </c>
    </row>
    <row r="1094" spans="1:9" x14ac:dyDescent="0.25">
      <c r="A1094" s="52" t="str">
        <f>Data!A1094</f>
        <v>TX501093</v>
      </c>
      <c r="B1094" s="52">
        <f>MONTH(Data!F1094)</f>
        <v>2</v>
      </c>
      <c r="C1094" s="52" t="str">
        <f>TEXT(Data!F1094,"mmm")</f>
        <v>Feb</v>
      </c>
      <c r="D1094" s="52" t="str">
        <f>Data!O1094</f>
        <v>Female</v>
      </c>
      <c r="E1094" s="52">
        <f>Data!G1094-Data!F1094</f>
        <v>5</v>
      </c>
      <c r="F1094" s="52">
        <f>IF(Data!J1094&lt;=5,Data!J1094,IF(Data!J1094&lt;=10,"6 TO 10","More than 10"))</f>
        <v>5</v>
      </c>
      <c r="G1094" s="52">
        <f t="shared" si="17"/>
        <v>5</v>
      </c>
      <c r="H1094" s="52">
        <f>ROUND(Data!C1094*Data!D1094-Data!E1094,2)</f>
        <v>0</v>
      </c>
      <c r="I1094" s="52">
        <f>IF(AND(OR(Sel_Mode="All",Data!I1094=Sel_Mode),OR(Sel_Gender="All",D1094=Sel_Gender),OR(Sel_Category="All",Data!B1094=Sel_Category),OR(Sel_Month="All",C1094=Sel_Month),OR(Sel_County="All",Data!L1094=Sel_County)),1,0)</f>
        <v>1</v>
      </c>
    </row>
    <row r="1095" spans="1:9" x14ac:dyDescent="0.25">
      <c r="A1095" s="52" t="str">
        <f>Data!A1095</f>
        <v>TX501094</v>
      </c>
      <c r="B1095" s="52">
        <f>MONTH(Data!F1095)</f>
        <v>2</v>
      </c>
      <c r="C1095" s="52" t="str">
        <f>TEXT(Data!F1095,"mmm")</f>
        <v>Feb</v>
      </c>
      <c r="D1095" s="52" t="str">
        <f>Data!O1095</f>
        <v>Male</v>
      </c>
      <c r="E1095" s="52">
        <f>Data!G1095-Data!F1095</f>
        <v>14</v>
      </c>
      <c r="F1095" s="52">
        <f>IF(Data!J1095&lt;=5,Data!J1095,IF(Data!J1095&lt;=10,"6 TO 10","More than 10"))</f>
        <v>4</v>
      </c>
      <c r="G1095" s="52" t="str">
        <f t="shared" si="17"/>
        <v>8+</v>
      </c>
      <c r="H1095" s="52">
        <f>ROUND(Data!C1095*Data!D1095-Data!E1095,2)</f>
        <v>0</v>
      </c>
      <c r="I1095" s="52">
        <f>IF(AND(OR(Sel_Mode="All",Data!I1095=Sel_Mode),OR(Sel_Gender="All",D1095=Sel_Gender),OR(Sel_Category="All",Data!B1095=Sel_Category),OR(Sel_Month="All",C1095=Sel_Month),OR(Sel_County="All",Data!L1095=Sel_County)),1,0)</f>
        <v>1</v>
      </c>
    </row>
    <row r="1096" spans="1:9" x14ac:dyDescent="0.25">
      <c r="A1096" s="52" t="str">
        <f>Data!A1096</f>
        <v>TX501095</v>
      </c>
      <c r="B1096" s="52">
        <f>MONTH(Data!F1096)</f>
        <v>2</v>
      </c>
      <c r="C1096" s="52" t="str">
        <f>TEXT(Data!F1096,"mmm")</f>
        <v>Feb</v>
      </c>
      <c r="D1096" s="52" t="str">
        <f>Data!O1096</f>
        <v>Female</v>
      </c>
      <c r="E1096" s="52">
        <f>Data!G1096-Data!F1096</f>
        <v>2</v>
      </c>
      <c r="F1096" s="52">
        <f>IF(Data!J1096&lt;=5,Data!J1096,IF(Data!J1096&lt;=10,"6 TO 10","More than 10"))</f>
        <v>4</v>
      </c>
      <c r="G1096" s="52">
        <f t="shared" si="17"/>
        <v>2</v>
      </c>
      <c r="H1096" s="52">
        <f>ROUND(Data!C1096*Data!D1096-Data!E1096,2)</f>
        <v>0</v>
      </c>
      <c r="I1096" s="52">
        <f>IF(AND(OR(Sel_Mode="All",Data!I1096=Sel_Mode),OR(Sel_Gender="All",D1096=Sel_Gender),OR(Sel_Category="All",Data!B1096=Sel_Category),OR(Sel_Month="All",C1096=Sel_Month),OR(Sel_County="All",Data!L1096=Sel_County)),1,0)</f>
        <v>1</v>
      </c>
    </row>
    <row r="1097" spans="1:9" x14ac:dyDescent="0.25">
      <c r="A1097" s="52" t="str">
        <f>Data!A1097</f>
        <v>TX501096</v>
      </c>
      <c r="B1097" s="52">
        <f>MONTH(Data!F1097)</f>
        <v>2</v>
      </c>
      <c r="C1097" s="52" t="str">
        <f>TEXT(Data!F1097,"mmm")</f>
        <v>Feb</v>
      </c>
      <c r="D1097" s="52" t="str">
        <f>Data!O1097</f>
        <v>Female</v>
      </c>
      <c r="E1097" s="52">
        <f>Data!G1097-Data!F1097</f>
        <v>3</v>
      </c>
      <c r="F1097" s="52">
        <f>IF(Data!J1097&lt;=5,Data!J1097,IF(Data!J1097&lt;=10,"6 TO 10","More than 10"))</f>
        <v>5</v>
      </c>
      <c r="G1097" s="52">
        <f t="shared" si="17"/>
        <v>3</v>
      </c>
      <c r="H1097" s="52">
        <f>ROUND(Data!C1097*Data!D1097-Data!E1097,2)</f>
        <v>0</v>
      </c>
      <c r="I1097" s="52">
        <f>IF(AND(OR(Sel_Mode="All",Data!I1097=Sel_Mode),OR(Sel_Gender="All",D1097=Sel_Gender),OR(Sel_Category="All",Data!B1097=Sel_Category),OR(Sel_Month="All",C1097=Sel_Month),OR(Sel_County="All",Data!L1097=Sel_County)),1,0)</f>
        <v>1</v>
      </c>
    </row>
    <row r="1098" spans="1:9" x14ac:dyDescent="0.25">
      <c r="A1098" s="52" t="str">
        <f>Data!A1098</f>
        <v>TX501097</v>
      </c>
      <c r="B1098" s="52">
        <f>MONTH(Data!F1098)</f>
        <v>2</v>
      </c>
      <c r="C1098" s="52" t="str">
        <f>TEXT(Data!F1098,"mmm")</f>
        <v>Feb</v>
      </c>
      <c r="D1098" s="52" t="str">
        <f>Data!O1098</f>
        <v>Female</v>
      </c>
      <c r="E1098" s="52">
        <f>Data!G1098-Data!F1098</f>
        <v>1</v>
      </c>
      <c r="F1098" s="52">
        <f>IF(Data!J1098&lt;=5,Data!J1098,IF(Data!J1098&lt;=10,"6 TO 10","More than 10"))</f>
        <v>4</v>
      </c>
      <c r="G1098" s="52">
        <f t="shared" si="17"/>
        <v>1</v>
      </c>
      <c r="H1098" s="52">
        <f>ROUND(Data!C1098*Data!D1098-Data!E1098,2)</f>
        <v>0</v>
      </c>
      <c r="I1098" s="52">
        <f>IF(AND(OR(Sel_Mode="All",Data!I1098=Sel_Mode),OR(Sel_Gender="All",D1098=Sel_Gender),OR(Sel_Category="All",Data!B1098=Sel_Category),OR(Sel_Month="All",C1098=Sel_Month),OR(Sel_County="All",Data!L1098=Sel_County)),1,0)</f>
        <v>1</v>
      </c>
    </row>
    <row r="1099" spans="1:9" x14ac:dyDescent="0.25">
      <c r="A1099" s="52" t="str">
        <f>Data!A1099</f>
        <v>TX501098</v>
      </c>
      <c r="B1099" s="52">
        <f>MONTH(Data!F1099)</f>
        <v>2</v>
      </c>
      <c r="C1099" s="52" t="str">
        <f>TEXT(Data!F1099,"mmm")</f>
        <v>Feb</v>
      </c>
      <c r="D1099" s="52" t="str">
        <f>Data!O1099</f>
        <v>Male</v>
      </c>
      <c r="E1099" s="52">
        <f>Data!G1099-Data!F1099</f>
        <v>1</v>
      </c>
      <c r="F1099" s="52">
        <f>IF(Data!J1099&lt;=5,Data!J1099,IF(Data!J1099&lt;=10,"6 TO 10","More than 10"))</f>
        <v>4</v>
      </c>
      <c r="G1099" s="52">
        <f t="shared" si="17"/>
        <v>1</v>
      </c>
      <c r="H1099" s="52">
        <f>ROUND(Data!C1099*Data!D1099-Data!E1099,2)</f>
        <v>0</v>
      </c>
      <c r="I1099" s="52">
        <f>IF(AND(OR(Sel_Mode="All",Data!I1099=Sel_Mode),OR(Sel_Gender="All",D1099=Sel_Gender),OR(Sel_Category="All",Data!B1099=Sel_Category),OR(Sel_Month="All",C1099=Sel_Month),OR(Sel_County="All",Data!L1099=Sel_County)),1,0)</f>
        <v>1</v>
      </c>
    </row>
    <row r="1100" spans="1:9" x14ac:dyDescent="0.25">
      <c r="A1100" s="52" t="str">
        <f>Data!A1100</f>
        <v>TX501099</v>
      </c>
      <c r="B1100" s="52">
        <f>MONTH(Data!F1100)</f>
        <v>2</v>
      </c>
      <c r="C1100" s="52" t="str">
        <f>TEXT(Data!F1100,"mmm")</f>
        <v>Feb</v>
      </c>
      <c r="D1100" s="52" t="str">
        <f>Data!O1100</f>
        <v>Female</v>
      </c>
      <c r="E1100" s="52">
        <f>Data!G1100-Data!F1100</f>
        <v>2</v>
      </c>
      <c r="F1100" s="52">
        <f>IF(Data!J1100&lt;=5,Data!J1100,IF(Data!J1100&lt;=10,"6 TO 10","More than 10"))</f>
        <v>4</v>
      </c>
      <c r="G1100" s="52">
        <f t="shared" si="17"/>
        <v>2</v>
      </c>
      <c r="H1100" s="52">
        <f>ROUND(Data!C1100*Data!D1100-Data!E1100,2)</f>
        <v>0</v>
      </c>
      <c r="I1100" s="52">
        <f>IF(AND(OR(Sel_Mode="All",Data!I1100=Sel_Mode),OR(Sel_Gender="All",D1100=Sel_Gender),OR(Sel_Category="All",Data!B1100=Sel_Category),OR(Sel_Month="All",C1100=Sel_Month),OR(Sel_County="All",Data!L1100=Sel_County)),1,0)</f>
        <v>1</v>
      </c>
    </row>
    <row r="1101" spans="1:9" x14ac:dyDescent="0.25">
      <c r="A1101" s="52" t="str">
        <f>Data!A1101</f>
        <v>TX501100</v>
      </c>
      <c r="B1101" s="52">
        <f>MONTH(Data!F1101)</f>
        <v>2</v>
      </c>
      <c r="C1101" s="52" t="str">
        <f>TEXT(Data!F1101,"mmm")</f>
        <v>Feb</v>
      </c>
      <c r="D1101" s="52" t="str">
        <f>Data!O1101</f>
        <v>Female</v>
      </c>
      <c r="E1101" s="52">
        <f>Data!G1101-Data!F1101</f>
        <v>1</v>
      </c>
      <c r="F1101" s="52">
        <f>IF(Data!J1101&lt;=5,Data!J1101,IF(Data!J1101&lt;=10,"6 TO 10","More than 10"))</f>
        <v>5</v>
      </c>
      <c r="G1101" s="52">
        <f t="shared" si="17"/>
        <v>1</v>
      </c>
      <c r="H1101" s="52">
        <f>ROUND(Data!C1101*Data!D1101-Data!E1101,2)</f>
        <v>0</v>
      </c>
      <c r="I1101" s="52">
        <f>IF(AND(OR(Sel_Mode="All",Data!I1101=Sel_Mode),OR(Sel_Gender="All",D1101=Sel_Gender),OR(Sel_Category="All",Data!B1101=Sel_Category),OR(Sel_Month="All",C1101=Sel_Month),OR(Sel_County="All",Data!L1101=Sel_County)),1,0)</f>
        <v>1</v>
      </c>
    </row>
    <row r="1102" spans="1:9" x14ac:dyDescent="0.25">
      <c r="A1102" s="52" t="str">
        <f>Data!A1102</f>
        <v>TX501101</v>
      </c>
      <c r="B1102" s="52">
        <f>MONTH(Data!F1102)</f>
        <v>2</v>
      </c>
      <c r="C1102" s="52" t="str">
        <f>TEXT(Data!F1102,"mmm")</f>
        <v>Feb</v>
      </c>
      <c r="D1102" s="52" t="str">
        <f>Data!O1102</f>
        <v>Female</v>
      </c>
      <c r="E1102" s="52">
        <f>Data!G1102-Data!F1102</f>
        <v>3</v>
      </c>
      <c r="F1102" s="52">
        <f>IF(Data!J1102&lt;=5,Data!J1102,IF(Data!J1102&lt;=10,"6 TO 10","More than 10"))</f>
        <v>5</v>
      </c>
      <c r="G1102" s="52">
        <f t="shared" si="17"/>
        <v>3</v>
      </c>
      <c r="H1102" s="52">
        <f>ROUND(Data!C1102*Data!D1102-Data!E1102,2)</f>
        <v>0</v>
      </c>
      <c r="I1102" s="52">
        <f>IF(AND(OR(Sel_Mode="All",Data!I1102=Sel_Mode),OR(Sel_Gender="All",D1102=Sel_Gender),OR(Sel_Category="All",Data!B1102=Sel_Category),OR(Sel_Month="All",C1102=Sel_Month),OR(Sel_County="All",Data!L1102=Sel_County)),1,0)</f>
        <v>1</v>
      </c>
    </row>
    <row r="1103" spans="1:9" x14ac:dyDescent="0.25">
      <c r="A1103" s="52" t="str">
        <f>Data!A1103</f>
        <v>TX501102</v>
      </c>
      <c r="B1103" s="52">
        <f>MONTH(Data!F1103)</f>
        <v>2</v>
      </c>
      <c r="C1103" s="52" t="str">
        <f>TEXT(Data!F1103,"mmm")</f>
        <v>Feb</v>
      </c>
      <c r="D1103" s="52" t="str">
        <f>Data!O1103</f>
        <v>Male</v>
      </c>
      <c r="E1103" s="52">
        <f>Data!G1103-Data!F1103</f>
        <v>2</v>
      </c>
      <c r="F1103" s="52">
        <f>IF(Data!J1103&lt;=5,Data!J1103,IF(Data!J1103&lt;=10,"6 TO 10","More than 10"))</f>
        <v>2</v>
      </c>
      <c r="G1103" s="52">
        <f t="shared" si="17"/>
        <v>2</v>
      </c>
      <c r="H1103" s="52">
        <f>ROUND(Data!C1103*Data!D1103-Data!E1103,2)</f>
        <v>0</v>
      </c>
      <c r="I1103" s="52">
        <f>IF(AND(OR(Sel_Mode="All",Data!I1103=Sel_Mode),OR(Sel_Gender="All",D1103=Sel_Gender),OR(Sel_Category="All",Data!B1103=Sel_Category),OR(Sel_Month="All",C1103=Sel_Month),OR(Sel_County="All",Data!L1103=Sel_County)),1,0)</f>
        <v>1</v>
      </c>
    </row>
    <row r="1104" spans="1:9" x14ac:dyDescent="0.25">
      <c r="A1104" s="52" t="str">
        <f>Data!A1104</f>
        <v>TX501103</v>
      </c>
      <c r="B1104" s="52">
        <f>MONTH(Data!F1104)</f>
        <v>2</v>
      </c>
      <c r="C1104" s="52" t="str">
        <f>TEXT(Data!F1104,"mmm")</f>
        <v>Feb</v>
      </c>
      <c r="D1104" s="52" t="str">
        <f>Data!O1104</f>
        <v>Unknown</v>
      </c>
      <c r="E1104" s="52">
        <f>Data!G1104-Data!F1104</f>
        <v>1</v>
      </c>
      <c r="F1104" s="52">
        <f>IF(Data!J1104&lt;=5,Data!J1104,IF(Data!J1104&lt;=10,"6 TO 10","More than 10"))</f>
        <v>3</v>
      </c>
      <c r="G1104" s="52">
        <f t="shared" si="17"/>
        <v>1</v>
      </c>
      <c r="H1104" s="52">
        <f>ROUND(Data!C1104*Data!D1104-Data!E1104,2)</f>
        <v>0</v>
      </c>
      <c r="I1104" s="52">
        <f>IF(AND(OR(Sel_Mode="All",Data!I1104=Sel_Mode),OR(Sel_Gender="All",D1104=Sel_Gender),OR(Sel_Category="All",Data!B1104=Sel_Category),OR(Sel_Month="All",C1104=Sel_Month),OR(Sel_County="All",Data!L1104=Sel_County)),1,0)</f>
        <v>1</v>
      </c>
    </row>
    <row r="1105" spans="1:9" x14ac:dyDescent="0.25">
      <c r="A1105" s="52" t="str">
        <f>Data!A1105</f>
        <v>TX501104</v>
      </c>
      <c r="B1105" s="52">
        <f>MONTH(Data!F1105)</f>
        <v>2</v>
      </c>
      <c r="C1105" s="52" t="str">
        <f>TEXT(Data!F1105,"mmm")</f>
        <v>Feb</v>
      </c>
      <c r="D1105" s="52" t="str">
        <f>Data!O1105</f>
        <v>Female</v>
      </c>
      <c r="E1105" s="52">
        <f>Data!G1105-Data!F1105</f>
        <v>0</v>
      </c>
      <c r="F1105" s="52">
        <f>IF(Data!J1105&lt;=5,Data!J1105,IF(Data!J1105&lt;=10,"6 TO 10","More than 10"))</f>
        <v>4</v>
      </c>
      <c r="G1105" s="52">
        <f t="shared" si="17"/>
        <v>0</v>
      </c>
      <c r="H1105" s="52">
        <f>ROUND(Data!C1105*Data!D1105-Data!E1105,2)</f>
        <v>0</v>
      </c>
      <c r="I1105" s="52">
        <f>IF(AND(OR(Sel_Mode="All",Data!I1105=Sel_Mode),OR(Sel_Gender="All",D1105=Sel_Gender),OR(Sel_Category="All",Data!B1105=Sel_Category),OR(Sel_Month="All",C1105=Sel_Month),OR(Sel_County="All",Data!L1105=Sel_County)),1,0)</f>
        <v>1</v>
      </c>
    </row>
    <row r="1106" spans="1:9" x14ac:dyDescent="0.25">
      <c r="A1106" s="52" t="str">
        <f>Data!A1106</f>
        <v>TX501105</v>
      </c>
      <c r="B1106" s="52">
        <f>MONTH(Data!F1106)</f>
        <v>2</v>
      </c>
      <c r="C1106" s="52" t="str">
        <f>TEXT(Data!F1106,"mmm")</f>
        <v>Feb</v>
      </c>
      <c r="D1106" s="52" t="str">
        <f>Data!O1106</f>
        <v>Male</v>
      </c>
      <c r="E1106" s="52">
        <f>Data!G1106-Data!F1106</f>
        <v>3</v>
      </c>
      <c r="F1106" s="52">
        <f>IF(Data!J1106&lt;=5,Data!J1106,IF(Data!J1106&lt;=10,"6 TO 10","More than 10"))</f>
        <v>4</v>
      </c>
      <c r="G1106" s="52">
        <f t="shared" si="17"/>
        <v>3</v>
      </c>
      <c r="H1106" s="52">
        <f>ROUND(Data!C1106*Data!D1106-Data!E1106,2)</f>
        <v>0</v>
      </c>
      <c r="I1106" s="52">
        <f>IF(AND(OR(Sel_Mode="All",Data!I1106=Sel_Mode),OR(Sel_Gender="All",D1106=Sel_Gender),OR(Sel_Category="All",Data!B1106=Sel_Category),OR(Sel_Month="All",C1106=Sel_Month),OR(Sel_County="All",Data!L1106=Sel_County)),1,0)</f>
        <v>1</v>
      </c>
    </row>
    <row r="1107" spans="1:9" x14ac:dyDescent="0.25">
      <c r="A1107" s="52" t="str">
        <f>Data!A1107</f>
        <v>TX501106</v>
      </c>
      <c r="B1107" s="52">
        <f>MONTH(Data!F1107)</f>
        <v>2</v>
      </c>
      <c r="C1107" s="52" t="str">
        <f>TEXT(Data!F1107,"mmm")</f>
        <v>Feb</v>
      </c>
      <c r="D1107" s="52" t="str">
        <f>Data!O1107</f>
        <v>Other</v>
      </c>
      <c r="E1107" s="52">
        <f>Data!G1107-Data!F1107</f>
        <v>1</v>
      </c>
      <c r="F1107" s="52">
        <f>IF(Data!J1107&lt;=5,Data!J1107,IF(Data!J1107&lt;=10,"6 TO 10","More than 10"))</f>
        <v>5</v>
      </c>
      <c r="G1107" s="52">
        <f t="shared" si="17"/>
        <v>1</v>
      </c>
      <c r="H1107" s="52">
        <f>ROUND(Data!C1107*Data!D1107-Data!E1107,2)</f>
        <v>0</v>
      </c>
      <c r="I1107" s="52">
        <f>IF(AND(OR(Sel_Mode="All",Data!I1107=Sel_Mode),OR(Sel_Gender="All",D1107=Sel_Gender),OR(Sel_Category="All",Data!B1107=Sel_Category),OR(Sel_Month="All",C1107=Sel_Month),OR(Sel_County="All",Data!L1107=Sel_County)),1,0)</f>
        <v>1</v>
      </c>
    </row>
    <row r="1108" spans="1:9" x14ac:dyDescent="0.25">
      <c r="A1108" s="52" t="str">
        <f>Data!A1108</f>
        <v>TX501107</v>
      </c>
      <c r="B1108" s="52">
        <f>MONTH(Data!F1108)</f>
        <v>2</v>
      </c>
      <c r="C1108" s="52" t="str">
        <f>TEXT(Data!F1108,"mmm")</f>
        <v>Feb</v>
      </c>
      <c r="D1108" s="52" t="str">
        <f>Data!O1108</f>
        <v>Male</v>
      </c>
      <c r="E1108" s="52">
        <f>Data!G1108-Data!F1108</f>
        <v>1</v>
      </c>
      <c r="F1108" s="52">
        <f>IF(Data!J1108&lt;=5,Data!J1108,IF(Data!J1108&lt;=10,"6 TO 10","More than 10"))</f>
        <v>5</v>
      </c>
      <c r="G1108" s="52">
        <f t="shared" si="17"/>
        <v>1</v>
      </c>
      <c r="H1108" s="52">
        <f>ROUND(Data!C1108*Data!D1108-Data!E1108,2)</f>
        <v>0</v>
      </c>
      <c r="I1108" s="52">
        <f>IF(AND(OR(Sel_Mode="All",Data!I1108=Sel_Mode),OR(Sel_Gender="All",D1108=Sel_Gender),OR(Sel_Category="All",Data!B1108=Sel_Category),OR(Sel_Month="All",C1108=Sel_Month),OR(Sel_County="All",Data!L1108=Sel_County)),1,0)</f>
        <v>1</v>
      </c>
    </row>
    <row r="1109" spans="1:9" x14ac:dyDescent="0.25">
      <c r="A1109" s="52" t="str">
        <f>Data!A1109</f>
        <v>TX501108</v>
      </c>
      <c r="B1109" s="52">
        <f>MONTH(Data!F1109)</f>
        <v>2</v>
      </c>
      <c r="C1109" s="52" t="str">
        <f>TEXT(Data!F1109,"mmm")</f>
        <v>Feb</v>
      </c>
      <c r="D1109" s="52" t="str">
        <f>Data!O1109</f>
        <v>Female</v>
      </c>
      <c r="E1109" s="52">
        <f>Data!G1109-Data!F1109</f>
        <v>5</v>
      </c>
      <c r="F1109" s="52">
        <f>IF(Data!J1109&lt;=5,Data!J1109,IF(Data!J1109&lt;=10,"6 TO 10","More than 10"))</f>
        <v>4</v>
      </c>
      <c r="G1109" s="52">
        <f t="shared" si="17"/>
        <v>5</v>
      </c>
      <c r="H1109" s="52">
        <f>ROUND(Data!C1109*Data!D1109-Data!E1109,2)</f>
        <v>0</v>
      </c>
      <c r="I1109" s="52">
        <f>IF(AND(OR(Sel_Mode="All",Data!I1109=Sel_Mode),OR(Sel_Gender="All",D1109=Sel_Gender),OR(Sel_Category="All",Data!B1109=Sel_Category),OR(Sel_Month="All",C1109=Sel_Month),OR(Sel_County="All",Data!L1109=Sel_County)),1,0)</f>
        <v>1</v>
      </c>
    </row>
    <row r="1110" spans="1:9" x14ac:dyDescent="0.25">
      <c r="A1110" s="52" t="str">
        <f>Data!A1110</f>
        <v>TX501109</v>
      </c>
      <c r="B1110" s="52">
        <f>MONTH(Data!F1110)</f>
        <v>2</v>
      </c>
      <c r="C1110" s="52" t="str">
        <f>TEXT(Data!F1110,"mmm")</f>
        <v>Feb</v>
      </c>
      <c r="D1110" s="52" t="str">
        <f>Data!O1110</f>
        <v>Female</v>
      </c>
      <c r="E1110" s="52">
        <f>Data!G1110-Data!F1110</f>
        <v>1</v>
      </c>
      <c r="F1110" s="52">
        <f>IF(Data!J1110&lt;=5,Data!J1110,IF(Data!J1110&lt;=10,"6 TO 10","More than 10"))</f>
        <v>4</v>
      </c>
      <c r="G1110" s="52">
        <f t="shared" si="17"/>
        <v>1</v>
      </c>
      <c r="H1110" s="52">
        <f>ROUND(Data!C1110*Data!D1110-Data!E1110,2)</f>
        <v>0</v>
      </c>
      <c r="I1110" s="52">
        <f>IF(AND(OR(Sel_Mode="All",Data!I1110=Sel_Mode),OR(Sel_Gender="All",D1110=Sel_Gender),OR(Sel_Category="All",Data!B1110=Sel_Category),OR(Sel_Month="All",C1110=Sel_Month),OR(Sel_County="All",Data!L1110=Sel_County)),1,0)</f>
        <v>1</v>
      </c>
    </row>
    <row r="1111" spans="1:9" x14ac:dyDescent="0.25">
      <c r="A1111" s="52" t="str">
        <f>Data!A1111</f>
        <v>TX501110</v>
      </c>
      <c r="B1111" s="52">
        <f>MONTH(Data!F1111)</f>
        <v>2</v>
      </c>
      <c r="C1111" s="52" t="str">
        <f>TEXT(Data!F1111,"mmm")</f>
        <v>Feb</v>
      </c>
      <c r="D1111" s="52" t="str">
        <f>Data!O1111</f>
        <v>Female</v>
      </c>
      <c r="E1111" s="52">
        <f>Data!G1111-Data!F1111</f>
        <v>3</v>
      </c>
      <c r="F1111" s="52">
        <f>IF(Data!J1111&lt;=5,Data!J1111,IF(Data!J1111&lt;=10,"6 TO 10","More than 10"))</f>
        <v>5</v>
      </c>
      <c r="G1111" s="52">
        <f t="shared" si="17"/>
        <v>3</v>
      </c>
      <c r="H1111" s="52">
        <f>ROUND(Data!C1111*Data!D1111-Data!E1111,2)</f>
        <v>0</v>
      </c>
      <c r="I1111" s="52">
        <f>IF(AND(OR(Sel_Mode="All",Data!I1111=Sel_Mode),OR(Sel_Gender="All",D1111=Sel_Gender),OR(Sel_Category="All",Data!B1111=Sel_Category),OR(Sel_Month="All",C1111=Sel_Month),OR(Sel_County="All",Data!L1111=Sel_County)),1,0)</f>
        <v>1</v>
      </c>
    </row>
    <row r="1112" spans="1:9" x14ac:dyDescent="0.25">
      <c r="A1112" s="52" t="str">
        <f>Data!A1112</f>
        <v>TX501111</v>
      </c>
      <c r="B1112" s="52">
        <f>MONTH(Data!F1112)</f>
        <v>2</v>
      </c>
      <c r="C1112" s="52" t="str">
        <f>TEXT(Data!F1112,"mmm")</f>
        <v>Feb</v>
      </c>
      <c r="D1112" s="52" t="str">
        <f>Data!O1112</f>
        <v>Male</v>
      </c>
      <c r="E1112" s="52">
        <f>Data!G1112-Data!F1112</f>
        <v>2</v>
      </c>
      <c r="F1112" s="52">
        <f>IF(Data!J1112&lt;=5,Data!J1112,IF(Data!J1112&lt;=10,"6 TO 10","More than 10"))</f>
        <v>5</v>
      </c>
      <c r="G1112" s="52">
        <f t="shared" si="17"/>
        <v>2</v>
      </c>
      <c r="H1112" s="52">
        <f>ROUND(Data!C1112*Data!D1112-Data!E1112,2)</f>
        <v>0</v>
      </c>
      <c r="I1112" s="52">
        <f>IF(AND(OR(Sel_Mode="All",Data!I1112=Sel_Mode),OR(Sel_Gender="All",D1112=Sel_Gender),OR(Sel_Category="All",Data!B1112=Sel_Category),OR(Sel_Month="All",C1112=Sel_Month),OR(Sel_County="All",Data!L1112=Sel_County)),1,0)</f>
        <v>1</v>
      </c>
    </row>
    <row r="1113" spans="1:9" x14ac:dyDescent="0.25">
      <c r="A1113" s="52" t="str">
        <f>Data!A1113</f>
        <v>TX501112</v>
      </c>
      <c r="B1113" s="52">
        <f>MONTH(Data!F1113)</f>
        <v>2</v>
      </c>
      <c r="C1113" s="52" t="str">
        <f>TEXT(Data!F1113,"mmm")</f>
        <v>Feb</v>
      </c>
      <c r="D1113" s="52" t="str">
        <f>Data!O1113</f>
        <v>Other</v>
      </c>
      <c r="E1113" s="52">
        <f>Data!G1113-Data!F1113</f>
        <v>3</v>
      </c>
      <c r="F1113" s="52">
        <f>IF(Data!J1113&lt;=5,Data!J1113,IF(Data!J1113&lt;=10,"6 TO 10","More than 10"))</f>
        <v>5</v>
      </c>
      <c r="G1113" s="52">
        <f t="shared" si="17"/>
        <v>3</v>
      </c>
      <c r="H1113" s="52">
        <f>ROUND(Data!C1113*Data!D1113-Data!E1113,2)</f>
        <v>0</v>
      </c>
      <c r="I1113" s="52">
        <f>IF(AND(OR(Sel_Mode="All",Data!I1113=Sel_Mode),OR(Sel_Gender="All",D1113=Sel_Gender),OR(Sel_Category="All",Data!B1113=Sel_Category),OR(Sel_Month="All",C1113=Sel_Month),OR(Sel_County="All",Data!L1113=Sel_County)),1,0)</f>
        <v>1</v>
      </c>
    </row>
    <row r="1114" spans="1:9" x14ac:dyDescent="0.25">
      <c r="A1114" s="52" t="str">
        <f>Data!A1114</f>
        <v>TX501113</v>
      </c>
      <c r="B1114" s="52">
        <f>MONTH(Data!F1114)</f>
        <v>2</v>
      </c>
      <c r="C1114" s="52" t="str">
        <f>TEXT(Data!F1114,"mmm")</f>
        <v>Feb</v>
      </c>
      <c r="D1114" s="52" t="str">
        <f>Data!O1114</f>
        <v>Female</v>
      </c>
      <c r="E1114" s="52">
        <f>Data!G1114-Data!F1114</f>
        <v>1</v>
      </c>
      <c r="F1114" s="52">
        <f>IF(Data!J1114&lt;=5,Data!J1114,IF(Data!J1114&lt;=10,"6 TO 10","More than 10"))</f>
        <v>4</v>
      </c>
      <c r="G1114" s="52">
        <f t="shared" si="17"/>
        <v>1</v>
      </c>
      <c r="H1114" s="52">
        <f>ROUND(Data!C1114*Data!D1114-Data!E1114,2)</f>
        <v>0</v>
      </c>
      <c r="I1114" s="52">
        <f>IF(AND(OR(Sel_Mode="All",Data!I1114=Sel_Mode),OR(Sel_Gender="All",D1114=Sel_Gender),OR(Sel_Category="All",Data!B1114=Sel_Category),OR(Sel_Month="All",C1114=Sel_Month),OR(Sel_County="All",Data!L1114=Sel_County)),1,0)</f>
        <v>1</v>
      </c>
    </row>
    <row r="1115" spans="1:9" x14ac:dyDescent="0.25">
      <c r="A1115" s="52" t="str">
        <f>Data!A1115</f>
        <v>TX501114</v>
      </c>
      <c r="B1115" s="52">
        <f>MONTH(Data!F1115)</f>
        <v>2</v>
      </c>
      <c r="C1115" s="52" t="str">
        <f>TEXT(Data!F1115,"mmm")</f>
        <v>Feb</v>
      </c>
      <c r="D1115" s="52" t="str">
        <f>Data!O1115</f>
        <v>Female</v>
      </c>
      <c r="E1115" s="52">
        <f>Data!G1115-Data!F1115</f>
        <v>7</v>
      </c>
      <c r="F1115" s="52">
        <f>IF(Data!J1115&lt;=5,Data!J1115,IF(Data!J1115&lt;=10,"6 TO 10","More than 10"))</f>
        <v>4</v>
      </c>
      <c r="G1115" s="52">
        <f t="shared" si="17"/>
        <v>7</v>
      </c>
      <c r="H1115" s="52">
        <f>ROUND(Data!C1115*Data!D1115-Data!E1115,2)</f>
        <v>0</v>
      </c>
      <c r="I1115" s="52">
        <f>IF(AND(OR(Sel_Mode="All",Data!I1115=Sel_Mode),OR(Sel_Gender="All",D1115=Sel_Gender),OR(Sel_Category="All",Data!B1115=Sel_Category),OR(Sel_Month="All",C1115=Sel_Month),OR(Sel_County="All",Data!L1115=Sel_County)),1,0)</f>
        <v>1</v>
      </c>
    </row>
    <row r="1116" spans="1:9" x14ac:dyDescent="0.25">
      <c r="A1116" s="52" t="str">
        <f>Data!A1116</f>
        <v>TX501115</v>
      </c>
      <c r="B1116" s="52">
        <f>MONTH(Data!F1116)</f>
        <v>2</v>
      </c>
      <c r="C1116" s="52" t="str">
        <f>TEXT(Data!F1116,"mmm")</f>
        <v>Feb</v>
      </c>
      <c r="D1116" s="52" t="str">
        <f>Data!O1116</f>
        <v>Female</v>
      </c>
      <c r="E1116" s="52">
        <f>Data!G1116-Data!F1116</f>
        <v>4</v>
      </c>
      <c r="F1116" s="52">
        <f>IF(Data!J1116&lt;=5,Data!J1116,IF(Data!J1116&lt;=10,"6 TO 10","More than 10"))</f>
        <v>5</v>
      </c>
      <c r="G1116" s="52">
        <f t="shared" si="17"/>
        <v>4</v>
      </c>
      <c r="H1116" s="52">
        <f>ROUND(Data!C1116*Data!D1116-Data!E1116,2)</f>
        <v>0</v>
      </c>
      <c r="I1116" s="52">
        <f>IF(AND(OR(Sel_Mode="All",Data!I1116=Sel_Mode),OR(Sel_Gender="All",D1116=Sel_Gender),OR(Sel_Category="All",Data!B1116=Sel_Category),OR(Sel_Month="All",C1116=Sel_Month),OR(Sel_County="All",Data!L1116=Sel_County)),1,0)</f>
        <v>1</v>
      </c>
    </row>
    <row r="1117" spans="1:9" x14ac:dyDescent="0.25">
      <c r="A1117" s="52" t="str">
        <f>Data!A1117</f>
        <v>TX501116</v>
      </c>
      <c r="B1117" s="52">
        <f>MONTH(Data!F1117)</f>
        <v>2</v>
      </c>
      <c r="C1117" s="52" t="str">
        <f>TEXT(Data!F1117,"mmm")</f>
        <v>Feb</v>
      </c>
      <c r="D1117" s="52" t="str">
        <f>Data!O1117</f>
        <v>Female</v>
      </c>
      <c r="E1117" s="52">
        <f>Data!G1117-Data!F1117</f>
        <v>3</v>
      </c>
      <c r="F1117" s="52">
        <f>IF(Data!J1117&lt;=5,Data!J1117,IF(Data!J1117&lt;=10,"6 TO 10","More than 10"))</f>
        <v>4</v>
      </c>
      <c r="G1117" s="52">
        <f t="shared" si="17"/>
        <v>3</v>
      </c>
      <c r="H1117" s="52">
        <f>ROUND(Data!C1117*Data!D1117-Data!E1117,2)</f>
        <v>0</v>
      </c>
      <c r="I1117" s="52">
        <f>IF(AND(OR(Sel_Mode="All",Data!I1117=Sel_Mode),OR(Sel_Gender="All",D1117=Sel_Gender),OR(Sel_Category="All",Data!B1117=Sel_Category),OR(Sel_Month="All",C1117=Sel_Month),OR(Sel_County="All",Data!L1117=Sel_County)),1,0)</f>
        <v>1</v>
      </c>
    </row>
    <row r="1118" spans="1:9" x14ac:dyDescent="0.25">
      <c r="A1118" s="52" t="str">
        <f>Data!A1118</f>
        <v>TX501117</v>
      </c>
      <c r="B1118" s="52">
        <f>MONTH(Data!F1118)</f>
        <v>2</v>
      </c>
      <c r="C1118" s="52" t="str">
        <f>TEXT(Data!F1118,"mmm")</f>
        <v>Feb</v>
      </c>
      <c r="D1118" s="52" t="str">
        <f>Data!O1118</f>
        <v>Female</v>
      </c>
      <c r="E1118" s="52">
        <f>Data!G1118-Data!F1118</f>
        <v>1</v>
      </c>
      <c r="F1118" s="52">
        <f>IF(Data!J1118&lt;=5,Data!J1118,IF(Data!J1118&lt;=10,"6 TO 10","More than 10"))</f>
        <v>4</v>
      </c>
      <c r="G1118" s="52">
        <f t="shared" si="17"/>
        <v>1</v>
      </c>
      <c r="H1118" s="52">
        <f>ROUND(Data!C1118*Data!D1118-Data!E1118,2)</f>
        <v>0</v>
      </c>
      <c r="I1118" s="52">
        <f>IF(AND(OR(Sel_Mode="All",Data!I1118=Sel_Mode),OR(Sel_Gender="All",D1118=Sel_Gender),OR(Sel_Category="All",Data!B1118=Sel_Category),OR(Sel_Month="All",C1118=Sel_Month),OR(Sel_County="All",Data!L1118=Sel_County)),1,0)</f>
        <v>1</v>
      </c>
    </row>
    <row r="1119" spans="1:9" x14ac:dyDescent="0.25">
      <c r="A1119" s="52" t="str">
        <f>Data!A1119</f>
        <v>TX501118</v>
      </c>
      <c r="B1119" s="52">
        <f>MONTH(Data!F1119)</f>
        <v>2</v>
      </c>
      <c r="C1119" s="52" t="str">
        <f>TEXT(Data!F1119,"mmm")</f>
        <v>Feb</v>
      </c>
      <c r="D1119" s="52" t="str">
        <f>Data!O1119</f>
        <v>Female</v>
      </c>
      <c r="E1119" s="52">
        <f>Data!G1119-Data!F1119</f>
        <v>0</v>
      </c>
      <c r="F1119" s="52">
        <f>IF(Data!J1119&lt;=5,Data!J1119,IF(Data!J1119&lt;=10,"6 TO 10","More than 10"))</f>
        <v>4</v>
      </c>
      <c r="G1119" s="52">
        <f t="shared" si="17"/>
        <v>0</v>
      </c>
      <c r="H1119" s="52">
        <f>ROUND(Data!C1119*Data!D1119-Data!E1119,2)</f>
        <v>0</v>
      </c>
      <c r="I1119" s="52">
        <f>IF(AND(OR(Sel_Mode="All",Data!I1119=Sel_Mode),OR(Sel_Gender="All",D1119=Sel_Gender),OR(Sel_Category="All",Data!B1119=Sel_Category),OR(Sel_Month="All",C1119=Sel_Month),OR(Sel_County="All",Data!L1119=Sel_County)),1,0)</f>
        <v>1</v>
      </c>
    </row>
    <row r="1120" spans="1:9" x14ac:dyDescent="0.25">
      <c r="A1120" s="52" t="str">
        <f>Data!A1120</f>
        <v>TX501119</v>
      </c>
      <c r="B1120" s="52">
        <f>MONTH(Data!F1120)</f>
        <v>2</v>
      </c>
      <c r="C1120" s="52" t="str">
        <f>TEXT(Data!F1120,"mmm")</f>
        <v>Feb</v>
      </c>
      <c r="D1120" s="52" t="str">
        <f>Data!O1120</f>
        <v>Female</v>
      </c>
      <c r="E1120" s="52">
        <f>Data!G1120-Data!F1120</f>
        <v>3</v>
      </c>
      <c r="F1120" s="52">
        <f>IF(Data!J1120&lt;=5,Data!J1120,IF(Data!J1120&lt;=10,"6 TO 10","More than 10"))</f>
        <v>5</v>
      </c>
      <c r="G1120" s="52">
        <f t="shared" si="17"/>
        <v>3</v>
      </c>
      <c r="H1120" s="52">
        <f>ROUND(Data!C1120*Data!D1120-Data!E1120,2)</f>
        <v>0</v>
      </c>
      <c r="I1120" s="52">
        <f>IF(AND(OR(Sel_Mode="All",Data!I1120=Sel_Mode),OR(Sel_Gender="All",D1120=Sel_Gender),OR(Sel_Category="All",Data!B1120=Sel_Category),OR(Sel_Month="All",C1120=Sel_Month),OR(Sel_County="All",Data!L1120=Sel_County)),1,0)</f>
        <v>1</v>
      </c>
    </row>
    <row r="1121" spans="1:9" x14ac:dyDescent="0.25">
      <c r="A1121" s="52" t="str">
        <f>Data!A1121</f>
        <v>TX501120</v>
      </c>
      <c r="B1121" s="52">
        <f>MONTH(Data!F1121)</f>
        <v>2</v>
      </c>
      <c r="C1121" s="52" t="str">
        <f>TEXT(Data!F1121,"mmm")</f>
        <v>Feb</v>
      </c>
      <c r="D1121" s="52" t="str">
        <f>Data!O1121</f>
        <v>Female</v>
      </c>
      <c r="E1121" s="52">
        <f>Data!G1121-Data!F1121</f>
        <v>1</v>
      </c>
      <c r="F1121" s="52">
        <f>IF(Data!J1121&lt;=5,Data!J1121,IF(Data!J1121&lt;=10,"6 TO 10","More than 10"))</f>
        <v>3</v>
      </c>
      <c r="G1121" s="52">
        <f t="shared" si="17"/>
        <v>1</v>
      </c>
      <c r="H1121" s="52">
        <f>ROUND(Data!C1121*Data!D1121-Data!E1121,2)</f>
        <v>0</v>
      </c>
      <c r="I1121" s="52">
        <f>IF(AND(OR(Sel_Mode="All",Data!I1121=Sel_Mode),OR(Sel_Gender="All",D1121=Sel_Gender),OR(Sel_Category="All",Data!B1121=Sel_Category),OR(Sel_Month="All",C1121=Sel_Month),OR(Sel_County="All",Data!L1121=Sel_County)),1,0)</f>
        <v>1</v>
      </c>
    </row>
    <row r="1122" spans="1:9" x14ac:dyDescent="0.25">
      <c r="A1122" s="52" t="str">
        <f>Data!A1122</f>
        <v>TX501121</v>
      </c>
      <c r="B1122" s="52">
        <f>MONTH(Data!F1122)</f>
        <v>2</v>
      </c>
      <c r="C1122" s="52" t="str">
        <f>TEXT(Data!F1122,"mmm")</f>
        <v>Feb</v>
      </c>
      <c r="D1122" s="52" t="str">
        <f>Data!O1122</f>
        <v>Female</v>
      </c>
      <c r="E1122" s="52">
        <f>Data!G1122-Data!F1122</f>
        <v>2</v>
      </c>
      <c r="F1122" s="52">
        <f>IF(Data!J1122&lt;=5,Data!J1122,IF(Data!J1122&lt;=10,"6 TO 10","More than 10"))</f>
        <v>4</v>
      </c>
      <c r="G1122" s="52">
        <f t="shared" si="17"/>
        <v>2</v>
      </c>
      <c r="H1122" s="52">
        <f>ROUND(Data!C1122*Data!D1122-Data!E1122,2)</f>
        <v>0</v>
      </c>
      <c r="I1122" s="52">
        <f>IF(AND(OR(Sel_Mode="All",Data!I1122=Sel_Mode),OR(Sel_Gender="All",D1122=Sel_Gender),OR(Sel_Category="All",Data!B1122=Sel_Category),OR(Sel_Month="All",C1122=Sel_Month),OR(Sel_County="All",Data!L1122=Sel_County)),1,0)</f>
        <v>1</v>
      </c>
    </row>
    <row r="1123" spans="1:9" x14ac:dyDescent="0.25">
      <c r="A1123" s="52" t="str">
        <f>Data!A1123</f>
        <v>TX501122</v>
      </c>
      <c r="B1123" s="52">
        <f>MONTH(Data!F1123)</f>
        <v>2</v>
      </c>
      <c r="C1123" s="52" t="str">
        <f>TEXT(Data!F1123,"mmm")</f>
        <v>Feb</v>
      </c>
      <c r="D1123" s="52" t="str">
        <f>Data!O1123</f>
        <v>Male</v>
      </c>
      <c r="E1123" s="52">
        <f>Data!G1123-Data!F1123</f>
        <v>3</v>
      </c>
      <c r="F1123" s="52">
        <f>IF(Data!J1123&lt;=5,Data!J1123,IF(Data!J1123&lt;=10,"6 TO 10","More than 10"))</f>
        <v>2</v>
      </c>
      <c r="G1123" s="52">
        <f t="shared" si="17"/>
        <v>3</v>
      </c>
      <c r="H1123" s="52">
        <f>ROUND(Data!C1123*Data!D1123-Data!E1123,2)</f>
        <v>0</v>
      </c>
      <c r="I1123" s="52">
        <f>IF(AND(OR(Sel_Mode="All",Data!I1123=Sel_Mode),OR(Sel_Gender="All",D1123=Sel_Gender),OR(Sel_Category="All",Data!B1123=Sel_Category),OR(Sel_Month="All",C1123=Sel_Month),OR(Sel_County="All",Data!L1123=Sel_County)),1,0)</f>
        <v>1</v>
      </c>
    </row>
    <row r="1124" spans="1:9" x14ac:dyDescent="0.25">
      <c r="A1124" s="52" t="str">
        <f>Data!A1124</f>
        <v>TX501123</v>
      </c>
      <c r="B1124" s="52">
        <f>MONTH(Data!F1124)</f>
        <v>2</v>
      </c>
      <c r="C1124" s="52" t="str">
        <f>TEXT(Data!F1124,"mmm")</f>
        <v>Feb</v>
      </c>
      <c r="D1124" s="52" t="str">
        <f>Data!O1124</f>
        <v>Female</v>
      </c>
      <c r="E1124" s="52">
        <f>Data!G1124-Data!F1124</f>
        <v>2</v>
      </c>
      <c r="F1124" s="52">
        <f>IF(Data!J1124&lt;=5,Data!J1124,IF(Data!J1124&lt;=10,"6 TO 10","More than 10"))</f>
        <v>5</v>
      </c>
      <c r="G1124" s="52">
        <f t="shared" si="17"/>
        <v>2</v>
      </c>
      <c r="H1124" s="52">
        <f>ROUND(Data!C1124*Data!D1124-Data!E1124,2)</f>
        <v>0</v>
      </c>
      <c r="I1124" s="52">
        <f>IF(AND(OR(Sel_Mode="All",Data!I1124=Sel_Mode),OR(Sel_Gender="All",D1124=Sel_Gender),OR(Sel_Category="All",Data!B1124=Sel_Category),OR(Sel_Month="All",C1124=Sel_Month),OR(Sel_County="All",Data!L1124=Sel_County)),1,0)</f>
        <v>1</v>
      </c>
    </row>
    <row r="1125" spans="1:9" x14ac:dyDescent="0.25">
      <c r="A1125" s="52" t="str">
        <f>Data!A1125</f>
        <v>TX501124</v>
      </c>
      <c r="B1125" s="52">
        <f>MONTH(Data!F1125)</f>
        <v>2</v>
      </c>
      <c r="C1125" s="52" t="str">
        <f>TEXT(Data!F1125,"mmm")</f>
        <v>Feb</v>
      </c>
      <c r="D1125" s="52" t="str">
        <f>Data!O1125</f>
        <v>Male</v>
      </c>
      <c r="E1125" s="52">
        <f>Data!G1125-Data!F1125</f>
        <v>1</v>
      </c>
      <c r="F1125" s="52">
        <f>IF(Data!J1125&lt;=5,Data!J1125,IF(Data!J1125&lt;=10,"6 TO 10","More than 10"))</f>
        <v>3</v>
      </c>
      <c r="G1125" s="52">
        <f t="shared" si="17"/>
        <v>1</v>
      </c>
      <c r="H1125" s="52">
        <f>ROUND(Data!C1125*Data!D1125-Data!E1125,2)</f>
        <v>0</v>
      </c>
      <c r="I1125" s="52">
        <f>IF(AND(OR(Sel_Mode="All",Data!I1125=Sel_Mode),OR(Sel_Gender="All",D1125=Sel_Gender),OR(Sel_Category="All",Data!B1125=Sel_Category),OR(Sel_Month="All",C1125=Sel_Month),OR(Sel_County="All",Data!L1125=Sel_County)),1,0)</f>
        <v>1</v>
      </c>
    </row>
    <row r="1126" spans="1:9" x14ac:dyDescent="0.25">
      <c r="A1126" s="52" t="str">
        <f>Data!A1126</f>
        <v>TX501125</v>
      </c>
      <c r="B1126" s="52">
        <f>MONTH(Data!F1126)</f>
        <v>2</v>
      </c>
      <c r="C1126" s="52" t="str">
        <f>TEXT(Data!F1126,"mmm")</f>
        <v>Feb</v>
      </c>
      <c r="D1126" s="52" t="str">
        <f>Data!O1126</f>
        <v>Female</v>
      </c>
      <c r="E1126" s="52">
        <f>Data!G1126-Data!F1126</f>
        <v>1</v>
      </c>
      <c r="F1126" s="52">
        <f>IF(Data!J1126&lt;=5,Data!J1126,IF(Data!J1126&lt;=10,"6 TO 10","More than 10"))</f>
        <v>4</v>
      </c>
      <c r="G1126" s="52">
        <f t="shared" si="17"/>
        <v>1</v>
      </c>
      <c r="H1126" s="52">
        <f>ROUND(Data!C1126*Data!D1126-Data!E1126,2)</f>
        <v>0</v>
      </c>
      <c r="I1126" s="52">
        <f>IF(AND(OR(Sel_Mode="All",Data!I1126=Sel_Mode),OR(Sel_Gender="All",D1126=Sel_Gender),OR(Sel_Category="All",Data!B1126=Sel_Category),OR(Sel_Month="All",C1126=Sel_Month),OR(Sel_County="All",Data!L1126=Sel_County)),1,0)</f>
        <v>1</v>
      </c>
    </row>
    <row r="1127" spans="1:9" x14ac:dyDescent="0.25">
      <c r="A1127" s="52" t="str">
        <f>Data!A1127</f>
        <v>TX501126</v>
      </c>
      <c r="B1127" s="52">
        <f>MONTH(Data!F1127)</f>
        <v>2</v>
      </c>
      <c r="C1127" s="52" t="str">
        <f>TEXT(Data!F1127,"mmm")</f>
        <v>Feb</v>
      </c>
      <c r="D1127" s="52" t="str">
        <f>Data!O1127</f>
        <v>Female</v>
      </c>
      <c r="E1127" s="52">
        <f>Data!G1127-Data!F1127</f>
        <v>4</v>
      </c>
      <c r="F1127" s="52">
        <f>IF(Data!J1127&lt;=5,Data!J1127,IF(Data!J1127&lt;=10,"6 TO 10","More than 10"))</f>
        <v>4</v>
      </c>
      <c r="G1127" s="52">
        <f t="shared" si="17"/>
        <v>4</v>
      </c>
      <c r="H1127" s="52">
        <f>ROUND(Data!C1127*Data!D1127-Data!E1127,2)</f>
        <v>0</v>
      </c>
      <c r="I1127" s="52">
        <f>IF(AND(OR(Sel_Mode="All",Data!I1127=Sel_Mode),OR(Sel_Gender="All",D1127=Sel_Gender),OR(Sel_Category="All",Data!B1127=Sel_Category),OR(Sel_Month="All",C1127=Sel_Month),OR(Sel_County="All",Data!L1127=Sel_County)),1,0)</f>
        <v>1</v>
      </c>
    </row>
    <row r="1128" spans="1:9" x14ac:dyDescent="0.25">
      <c r="A1128" s="52" t="str">
        <f>Data!A1128</f>
        <v>TX501127</v>
      </c>
      <c r="B1128" s="52">
        <f>MONTH(Data!F1128)</f>
        <v>2</v>
      </c>
      <c r="C1128" s="52" t="str">
        <f>TEXT(Data!F1128,"mmm")</f>
        <v>Feb</v>
      </c>
      <c r="D1128" s="52" t="str">
        <f>Data!O1128</f>
        <v>Female</v>
      </c>
      <c r="E1128" s="52">
        <f>Data!G1128-Data!F1128</f>
        <v>1</v>
      </c>
      <c r="F1128" s="52">
        <f>IF(Data!J1128&lt;=5,Data!J1128,IF(Data!J1128&lt;=10,"6 TO 10","More than 10"))</f>
        <v>4</v>
      </c>
      <c r="G1128" s="52">
        <f t="shared" si="17"/>
        <v>1</v>
      </c>
      <c r="H1128" s="52">
        <f>ROUND(Data!C1128*Data!D1128-Data!E1128,2)</f>
        <v>0</v>
      </c>
      <c r="I1128" s="52">
        <f>IF(AND(OR(Sel_Mode="All",Data!I1128=Sel_Mode),OR(Sel_Gender="All",D1128=Sel_Gender),OR(Sel_Category="All",Data!B1128=Sel_Category),OR(Sel_Month="All",C1128=Sel_Month),OR(Sel_County="All",Data!L1128=Sel_County)),1,0)</f>
        <v>1</v>
      </c>
    </row>
    <row r="1129" spans="1:9" x14ac:dyDescent="0.25">
      <c r="A1129" s="52" t="str">
        <f>Data!A1129</f>
        <v>TX501128</v>
      </c>
      <c r="B1129" s="52">
        <f>MONTH(Data!F1129)</f>
        <v>2</v>
      </c>
      <c r="C1129" s="52" t="str">
        <f>TEXT(Data!F1129,"mmm")</f>
        <v>Feb</v>
      </c>
      <c r="D1129" s="52" t="str">
        <f>Data!O1129</f>
        <v>Female</v>
      </c>
      <c r="E1129" s="52">
        <f>Data!G1129-Data!F1129</f>
        <v>1</v>
      </c>
      <c r="F1129" s="52">
        <f>IF(Data!J1129&lt;=5,Data!J1129,IF(Data!J1129&lt;=10,"6 TO 10","More than 10"))</f>
        <v>5</v>
      </c>
      <c r="G1129" s="52">
        <f t="shared" si="17"/>
        <v>1</v>
      </c>
      <c r="H1129" s="52">
        <f>ROUND(Data!C1129*Data!D1129-Data!E1129,2)</f>
        <v>0</v>
      </c>
      <c r="I1129" s="52">
        <f>IF(AND(OR(Sel_Mode="All",Data!I1129=Sel_Mode),OR(Sel_Gender="All",D1129=Sel_Gender),OR(Sel_Category="All",Data!B1129=Sel_Category),OR(Sel_Month="All",C1129=Sel_Month),OR(Sel_County="All",Data!L1129=Sel_County)),1,0)</f>
        <v>1</v>
      </c>
    </row>
    <row r="1130" spans="1:9" x14ac:dyDescent="0.25">
      <c r="A1130" s="52" t="str">
        <f>Data!A1130</f>
        <v>TX501129</v>
      </c>
      <c r="B1130" s="52">
        <f>MONTH(Data!F1130)</f>
        <v>2</v>
      </c>
      <c r="C1130" s="52" t="str">
        <f>TEXT(Data!F1130,"mmm")</f>
        <v>Feb</v>
      </c>
      <c r="D1130" s="52" t="str">
        <f>Data!O1130</f>
        <v>Female</v>
      </c>
      <c r="E1130" s="52">
        <f>Data!G1130-Data!F1130</f>
        <v>4</v>
      </c>
      <c r="F1130" s="52">
        <f>IF(Data!J1130&lt;=5,Data!J1130,IF(Data!J1130&lt;=10,"6 TO 10","More than 10"))</f>
        <v>4</v>
      </c>
      <c r="G1130" s="52">
        <f t="shared" si="17"/>
        <v>4</v>
      </c>
      <c r="H1130" s="52">
        <f>ROUND(Data!C1130*Data!D1130-Data!E1130,2)</f>
        <v>0</v>
      </c>
      <c r="I1130" s="52">
        <f>IF(AND(OR(Sel_Mode="All",Data!I1130=Sel_Mode),OR(Sel_Gender="All",D1130=Sel_Gender),OR(Sel_Category="All",Data!B1130=Sel_Category),OR(Sel_Month="All",C1130=Sel_Month),OR(Sel_County="All",Data!L1130=Sel_County)),1,0)</f>
        <v>1</v>
      </c>
    </row>
    <row r="1131" spans="1:9" x14ac:dyDescent="0.25">
      <c r="A1131" s="52" t="str">
        <f>Data!A1131</f>
        <v>TX501130</v>
      </c>
      <c r="B1131" s="52">
        <f>MONTH(Data!F1131)</f>
        <v>2</v>
      </c>
      <c r="C1131" s="52" t="str">
        <f>TEXT(Data!F1131,"mmm")</f>
        <v>Feb</v>
      </c>
      <c r="D1131" s="52" t="str">
        <f>Data!O1131</f>
        <v>Female</v>
      </c>
      <c r="E1131" s="52">
        <f>Data!G1131-Data!F1131</f>
        <v>13</v>
      </c>
      <c r="F1131" s="52">
        <f>IF(Data!J1131&lt;=5,Data!J1131,IF(Data!J1131&lt;=10,"6 TO 10","More than 10"))</f>
        <v>4</v>
      </c>
      <c r="G1131" s="52" t="str">
        <f t="shared" si="17"/>
        <v>8+</v>
      </c>
      <c r="H1131" s="52">
        <f>ROUND(Data!C1131*Data!D1131-Data!E1131,2)</f>
        <v>0</v>
      </c>
      <c r="I1131" s="52">
        <f>IF(AND(OR(Sel_Mode="All",Data!I1131=Sel_Mode),OR(Sel_Gender="All",D1131=Sel_Gender),OR(Sel_Category="All",Data!B1131=Sel_Category),OR(Sel_Month="All",C1131=Sel_Month),OR(Sel_County="All",Data!L1131=Sel_County)),1,0)</f>
        <v>1</v>
      </c>
    </row>
    <row r="1132" spans="1:9" x14ac:dyDescent="0.25">
      <c r="A1132" s="52" t="str">
        <f>Data!A1132</f>
        <v>TX501131</v>
      </c>
      <c r="B1132" s="52">
        <f>MONTH(Data!F1132)</f>
        <v>2</v>
      </c>
      <c r="C1132" s="52" t="str">
        <f>TEXT(Data!F1132,"mmm")</f>
        <v>Feb</v>
      </c>
      <c r="D1132" s="52" t="str">
        <f>Data!O1132</f>
        <v>Female</v>
      </c>
      <c r="E1132" s="52">
        <f>Data!G1132-Data!F1132</f>
        <v>1</v>
      </c>
      <c r="F1132" s="52">
        <f>IF(Data!J1132&lt;=5,Data!J1132,IF(Data!J1132&lt;=10,"6 TO 10","More than 10"))</f>
        <v>4</v>
      </c>
      <c r="G1132" s="52">
        <f t="shared" si="17"/>
        <v>1</v>
      </c>
      <c r="H1132" s="52">
        <f>ROUND(Data!C1132*Data!D1132-Data!E1132,2)</f>
        <v>0</v>
      </c>
      <c r="I1132" s="52">
        <f>IF(AND(OR(Sel_Mode="All",Data!I1132=Sel_Mode),OR(Sel_Gender="All",D1132=Sel_Gender),OR(Sel_Category="All",Data!B1132=Sel_Category),OR(Sel_Month="All",C1132=Sel_Month),OR(Sel_County="All",Data!L1132=Sel_County)),1,0)</f>
        <v>1</v>
      </c>
    </row>
    <row r="1133" spans="1:9" x14ac:dyDescent="0.25">
      <c r="A1133" s="52" t="str">
        <f>Data!A1133</f>
        <v>TX501132</v>
      </c>
      <c r="B1133" s="52">
        <f>MONTH(Data!F1133)</f>
        <v>2</v>
      </c>
      <c r="C1133" s="52" t="str">
        <f>TEXT(Data!F1133,"mmm")</f>
        <v>Feb</v>
      </c>
      <c r="D1133" s="52" t="str">
        <f>Data!O1133</f>
        <v>Male</v>
      </c>
      <c r="E1133" s="52">
        <f>Data!G1133-Data!F1133</f>
        <v>1</v>
      </c>
      <c r="F1133" s="52">
        <f>IF(Data!J1133&lt;=5,Data!J1133,IF(Data!J1133&lt;=10,"6 TO 10","More than 10"))</f>
        <v>3</v>
      </c>
      <c r="G1133" s="52">
        <f t="shared" si="17"/>
        <v>1</v>
      </c>
      <c r="H1133" s="52">
        <f>ROUND(Data!C1133*Data!D1133-Data!E1133,2)</f>
        <v>0</v>
      </c>
      <c r="I1133" s="52">
        <f>IF(AND(OR(Sel_Mode="All",Data!I1133=Sel_Mode),OR(Sel_Gender="All",D1133=Sel_Gender),OR(Sel_Category="All",Data!B1133=Sel_Category),OR(Sel_Month="All",C1133=Sel_Month),OR(Sel_County="All",Data!L1133=Sel_County)),1,0)</f>
        <v>1</v>
      </c>
    </row>
    <row r="1134" spans="1:9" x14ac:dyDescent="0.25">
      <c r="A1134" s="52" t="str">
        <f>Data!A1134</f>
        <v>TX501133</v>
      </c>
      <c r="B1134" s="52">
        <f>MONTH(Data!F1134)</f>
        <v>2</v>
      </c>
      <c r="C1134" s="52" t="str">
        <f>TEXT(Data!F1134,"mmm")</f>
        <v>Feb</v>
      </c>
      <c r="D1134" s="52" t="str">
        <f>Data!O1134</f>
        <v>Female</v>
      </c>
      <c r="E1134" s="52">
        <f>Data!G1134-Data!F1134</f>
        <v>1</v>
      </c>
      <c r="F1134" s="52">
        <f>IF(Data!J1134&lt;=5,Data!J1134,IF(Data!J1134&lt;=10,"6 TO 10","More than 10"))</f>
        <v>5</v>
      </c>
      <c r="G1134" s="52">
        <f t="shared" si="17"/>
        <v>1</v>
      </c>
      <c r="H1134" s="52">
        <f>ROUND(Data!C1134*Data!D1134-Data!E1134,2)</f>
        <v>0</v>
      </c>
      <c r="I1134" s="52">
        <f>IF(AND(OR(Sel_Mode="All",Data!I1134=Sel_Mode),OR(Sel_Gender="All",D1134=Sel_Gender),OR(Sel_Category="All",Data!B1134=Sel_Category),OR(Sel_Month="All",C1134=Sel_Month),OR(Sel_County="All",Data!L1134=Sel_County)),1,0)</f>
        <v>1</v>
      </c>
    </row>
    <row r="1135" spans="1:9" x14ac:dyDescent="0.25">
      <c r="A1135" s="52" t="str">
        <f>Data!A1135</f>
        <v>TX501134</v>
      </c>
      <c r="B1135" s="52">
        <f>MONTH(Data!F1135)</f>
        <v>2</v>
      </c>
      <c r="C1135" s="52" t="str">
        <f>TEXT(Data!F1135,"mmm")</f>
        <v>Feb</v>
      </c>
      <c r="D1135" s="52" t="str">
        <f>Data!O1135</f>
        <v>Female</v>
      </c>
      <c r="E1135" s="52">
        <f>Data!G1135-Data!F1135</f>
        <v>1</v>
      </c>
      <c r="F1135" s="52">
        <f>IF(Data!J1135&lt;=5,Data!J1135,IF(Data!J1135&lt;=10,"6 TO 10","More than 10"))</f>
        <v>4</v>
      </c>
      <c r="G1135" s="52">
        <f t="shared" si="17"/>
        <v>1</v>
      </c>
      <c r="H1135" s="52">
        <f>ROUND(Data!C1135*Data!D1135-Data!E1135,2)</f>
        <v>0</v>
      </c>
      <c r="I1135" s="52">
        <f>IF(AND(OR(Sel_Mode="All",Data!I1135=Sel_Mode),OR(Sel_Gender="All",D1135=Sel_Gender),OR(Sel_Category="All",Data!B1135=Sel_Category),OR(Sel_Month="All",C1135=Sel_Month),OR(Sel_County="All",Data!L1135=Sel_County)),1,0)</f>
        <v>1</v>
      </c>
    </row>
    <row r="1136" spans="1:9" x14ac:dyDescent="0.25">
      <c r="A1136" s="52" t="str">
        <f>Data!A1136</f>
        <v>TX501135</v>
      </c>
      <c r="B1136" s="52">
        <f>MONTH(Data!F1136)</f>
        <v>2</v>
      </c>
      <c r="C1136" s="52" t="str">
        <f>TEXT(Data!F1136,"mmm")</f>
        <v>Feb</v>
      </c>
      <c r="D1136" s="52" t="str">
        <f>Data!O1136</f>
        <v>Female</v>
      </c>
      <c r="E1136" s="52">
        <f>Data!G1136-Data!F1136</f>
        <v>0</v>
      </c>
      <c r="F1136" s="52">
        <f>IF(Data!J1136&lt;=5,Data!J1136,IF(Data!J1136&lt;=10,"6 TO 10","More than 10"))</f>
        <v>5</v>
      </c>
      <c r="G1136" s="52">
        <f t="shared" si="17"/>
        <v>0</v>
      </c>
      <c r="H1136" s="52">
        <f>ROUND(Data!C1136*Data!D1136-Data!E1136,2)</f>
        <v>0</v>
      </c>
      <c r="I1136" s="52">
        <f>IF(AND(OR(Sel_Mode="All",Data!I1136=Sel_Mode),OR(Sel_Gender="All",D1136=Sel_Gender),OR(Sel_Category="All",Data!B1136=Sel_Category),OR(Sel_Month="All",C1136=Sel_Month),OR(Sel_County="All",Data!L1136=Sel_County)),1,0)</f>
        <v>1</v>
      </c>
    </row>
    <row r="1137" spans="1:9" x14ac:dyDescent="0.25">
      <c r="A1137" s="52" t="str">
        <f>Data!A1137</f>
        <v>TX501136</v>
      </c>
      <c r="B1137" s="52">
        <f>MONTH(Data!F1137)</f>
        <v>2</v>
      </c>
      <c r="C1137" s="52" t="str">
        <f>TEXT(Data!F1137,"mmm")</f>
        <v>Feb</v>
      </c>
      <c r="D1137" s="52" t="str">
        <f>Data!O1137</f>
        <v>Male</v>
      </c>
      <c r="E1137" s="52">
        <f>Data!G1137-Data!F1137</f>
        <v>1</v>
      </c>
      <c r="F1137" s="52">
        <f>IF(Data!J1137&lt;=5,Data!J1137,IF(Data!J1137&lt;=10,"6 TO 10","More than 10"))</f>
        <v>4</v>
      </c>
      <c r="G1137" s="52">
        <f t="shared" si="17"/>
        <v>1</v>
      </c>
      <c r="H1137" s="52">
        <f>ROUND(Data!C1137*Data!D1137-Data!E1137,2)</f>
        <v>0</v>
      </c>
      <c r="I1137" s="52">
        <f>IF(AND(OR(Sel_Mode="All",Data!I1137=Sel_Mode),OR(Sel_Gender="All",D1137=Sel_Gender),OR(Sel_Category="All",Data!B1137=Sel_Category),OR(Sel_Month="All",C1137=Sel_Month),OR(Sel_County="All",Data!L1137=Sel_County)),1,0)</f>
        <v>1</v>
      </c>
    </row>
    <row r="1138" spans="1:9" x14ac:dyDescent="0.25">
      <c r="A1138" s="52" t="str">
        <f>Data!A1138</f>
        <v>TX501137</v>
      </c>
      <c r="B1138" s="52">
        <f>MONTH(Data!F1138)</f>
        <v>2</v>
      </c>
      <c r="C1138" s="52" t="str">
        <f>TEXT(Data!F1138,"mmm")</f>
        <v>Feb</v>
      </c>
      <c r="D1138" s="52" t="str">
        <f>Data!O1138</f>
        <v>Female</v>
      </c>
      <c r="E1138" s="52">
        <f>Data!G1138-Data!F1138</f>
        <v>3</v>
      </c>
      <c r="F1138" s="52">
        <f>IF(Data!J1138&lt;=5,Data!J1138,IF(Data!J1138&lt;=10,"6 TO 10","More than 10"))</f>
        <v>4</v>
      </c>
      <c r="G1138" s="52">
        <f t="shared" si="17"/>
        <v>3</v>
      </c>
      <c r="H1138" s="52">
        <f>ROUND(Data!C1138*Data!D1138-Data!E1138,2)</f>
        <v>0</v>
      </c>
      <c r="I1138" s="52">
        <f>IF(AND(OR(Sel_Mode="All",Data!I1138=Sel_Mode),OR(Sel_Gender="All",D1138=Sel_Gender),OR(Sel_Category="All",Data!B1138=Sel_Category),OR(Sel_Month="All",C1138=Sel_Month),OR(Sel_County="All",Data!L1138=Sel_County)),1,0)</f>
        <v>1</v>
      </c>
    </row>
    <row r="1139" spans="1:9" x14ac:dyDescent="0.25">
      <c r="A1139" s="52" t="str">
        <f>Data!A1139</f>
        <v>TX501138</v>
      </c>
      <c r="B1139" s="52">
        <f>MONTH(Data!F1139)</f>
        <v>2</v>
      </c>
      <c r="C1139" s="52" t="str">
        <f>TEXT(Data!F1139,"mmm")</f>
        <v>Feb</v>
      </c>
      <c r="D1139" s="52" t="str">
        <f>Data!O1139</f>
        <v>Female</v>
      </c>
      <c r="E1139" s="52">
        <f>Data!G1139-Data!F1139</f>
        <v>2</v>
      </c>
      <c r="F1139" s="52">
        <f>IF(Data!J1139&lt;=5,Data!J1139,IF(Data!J1139&lt;=10,"6 TO 10","More than 10"))</f>
        <v>5</v>
      </c>
      <c r="G1139" s="52">
        <f t="shared" si="17"/>
        <v>2</v>
      </c>
      <c r="H1139" s="52">
        <f>ROUND(Data!C1139*Data!D1139-Data!E1139,2)</f>
        <v>0</v>
      </c>
      <c r="I1139" s="52">
        <f>IF(AND(OR(Sel_Mode="All",Data!I1139=Sel_Mode),OR(Sel_Gender="All",D1139=Sel_Gender),OR(Sel_Category="All",Data!B1139=Sel_Category),OR(Sel_Month="All",C1139=Sel_Month),OR(Sel_County="All",Data!L1139=Sel_County)),1,0)</f>
        <v>1</v>
      </c>
    </row>
    <row r="1140" spans="1:9" x14ac:dyDescent="0.25">
      <c r="A1140" s="52" t="str">
        <f>Data!A1140</f>
        <v>TX501139</v>
      </c>
      <c r="B1140" s="52">
        <f>MONTH(Data!F1140)</f>
        <v>2</v>
      </c>
      <c r="C1140" s="52" t="str">
        <f>TEXT(Data!F1140,"mmm")</f>
        <v>Feb</v>
      </c>
      <c r="D1140" s="52" t="str">
        <f>Data!O1140</f>
        <v>Female</v>
      </c>
      <c r="E1140" s="52">
        <f>Data!G1140-Data!F1140</f>
        <v>0</v>
      </c>
      <c r="F1140" s="52">
        <f>IF(Data!J1140&lt;=5,Data!J1140,IF(Data!J1140&lt;=10,"6 TO 10","More than 10"))</f>
        <v>4</v>
      </c>
      <c r="G1140" s="52">
        <f t="shared" si="17"/>
        <v>0</v>
      </c>
      <c r="H1140" s="52">
        <f>ROUND(Data!C1140*Data!D1140-Data!E1140,2)</f>
        <v>0</v>
      </c>
      <c r="I1140" s="52">
        <f>IF(AND(OR(Sel_Mode="All",Data!I1140=Sel_Mode),OR(Sel_Gender="All",D1140=Sel_Gender),OR(Sel_Category="All",Data!B1140=Sel_Category),OR(Sel_Month="All",C1140=Sel_Month),OR(Sel_County="All",Data!L1140=Sel_County)),1,0)</f>
        <v>1</v>
      </c>
    </row>
    <row r="1141" spans="1:9" x14ac:dyDescent="0.25">
      <c r="A1141" s="52" t="str">
        <f>Data!A1141</f>
        <v>TX501140</v>
      </c>
      <c r="B1141" s="52">
        <f>MONTH(Data!F1141)</f>
        <v>2</v>
      </c>
      <c r="C1141" s="52" t="str">
        <f>TEXT(Data!F1141,"mmm")</f>
        <v>Feb</v>
      </c>
      <c r="D1141" s="52" t="str">
        <f>Data!O1141</f>
        <v>Male</v>
      </c>
      <c r="E1141" s="52">
        <f>Data!G1141-Data!F1141</f>
        <v>10</v>
      </c>
      <c r="F1141" s="52">
        <f>IF(Data!J1141&lt;=5,Data!J1141,IF(Data!J1141&lt;=10,"6 TO 10","More than 10"))</f>
        <v>3</v>
      </c>
      <c r="G1141" s="52" t="str">
        <f t="shared" si="17"/>
        <v>8+</v>
      </c>
      <c r="H1141" s="52">
        <f>ROUND(Data!C1141*Data!D1141-Data!E1141,2)</f>
        <v>0</v>
      </c>
      <c r="I1141" s="52">
        <f>IF(AND(OR(Sel_Mode="All",Data!I1141=Sel_Mode),OR(Sel_Gender="All",D1141=Sel_Gender),OR(Sel_Category="All",Data!B1141=Sel_Category),OR(Sel_Month="All",C1141=Sel_Month),OR(Sel_County="All",Data!L1141=Sel_County)),1,0)</f>
        <v>1</v>
      </c>
    </row>
    <row r="1142" spans="1:9" x14ac:dyDescent="0.25">
      <c r="A1142" s="52" t="str">
        <f>Data!A1142</f>
        <v>TX501141</v>
      </c>
      <c r="B1142" s="52">
        <f>MONTH(Data!F1142)</f>
        <v>2</v>
      </c>
      <c r="C1142" s="52" t="str">
        <f>TEXT(Data!F1142,"mmm")</f>
        <v>Feb</v>
      </c>
      <c r="D1142" s="52" t="str">
        <f>Data!O1142</f>
        <v>Male</v>
      </c>
      <c r="E1142" s="52">
        <f>Data!G1142-Data!F1142</f>
        <v>1</v>
      </c>
      <c r="F1142" s="52">
        <f>IF(Data!J1142&lt;=5,Data!J1142,IF(Data!J1142&lt;=10,"6 TO 10","More than 10"))</f>
        <v>3</v>
      </c>
      <c r="G1142" s="52">
        <f t="shared" si="17"/>
        <v>1</v>
      </c>
      <c r="H1142" s="52">
        <f>ROUND(Data!C1142*Data!D1142-Data!E1142,2)</f>
        <v>0</v>
      </c>
      <c r="I1142" s="52">
        <f>IF(AND(OR(Sel_Mode="All",Data!I1142=Sel_Mode),OR(Sel_Gender="All",D1142=Sel_Gender),OR(Sel_Category="All",Data!B1142=Sel_Category),OR(Sel_Month="All",C1142=Sel_Month),OR(Sel_County="All",Data!L1142=Sel_County)),1,0)</f>
        <v>1</v>
      </c>
    </row>
    <row r="1143" spans="1:9" x14ac:dyDescent="0.25">
      <c r="A1143" s="52" t="str">
        <f>Data!A1143</f>
        <v>TX501142</v>
      </c>
      <c r="B1143" s="52">
        <f>MONTH(Data!F1143)</f>
        <v>2</v>
      </c>
      <c r="C1143" s="52" t="str">
        <f>TEXT(Data!F1143,"mmm")</f>
        <v>Feb</v>
      </c>
      <c r="D1143" s="52" t="str">
        <f>Data!O1143</f>
        <v>Female</v>
      </c>
      <c r="E1143" s="52">
        <f>Data!G1143-Data!F1143</f>
        <v>2</v>
      </c>
      <c r="F1143" s="52">
        <f>IF(Data!J1143&lt;=5,Data!J1143,IF(Data!J1143&lt;=10,"6 TO 10","More than 10"))</f>
        <v>2</v>
      </c>
      <c r="G1143" s="52">
        <f t="shared" si="17"/>
        <v>2</v>
      </c>
      <c r="H1143" s="52">
        <f>ROUND(Data!C1143*Data!D1143-Data!E1143,2)</f>
        <v>0</v>
      </c>
      <c r="I1143" s="52">
        <f>IF(AND(OR(Sel_Mode="All",Data!I1143=Sel_Mode),OR(Sel_Gender="All",D1143=Sel_Gender),OR(Sel_Category="All",Data!B1143=Sel_Category),OR(Sel_Month="All",C1143=Sel_Month),OR(Sel_County="All",Data!L1143=Sel_County)),1,0)</f>
        <v>1</v>
      </c>
    </row>
    <row r="1144" spans="1:9" x14ac:dyDescent="0.25">
      <c r="A1144" s="52" t="str">
        <f>Data!A1144</f>
        <v>TX501143</v>
      </c>
      <c r="B1144" s="52">
        <f>MONTH(Data!F1144)</f>
        <v>2</v>
      </c>
      <c r="C1144" s="52" t="str">
        <f>TEXT(Data!F1144,"mmm")</f>
        <v>Feb</v>
      </c>
      <c r="D1144" s="52" t="str">
        <f>Data!O1144</f>
        <v>Female</v>
      </c>
      <c r="E1144" s="52">
        <f>Data!G1144-Data!F1144</f>
        <v>2</v>
      </c>
      <c r="F1144" s="52">
        <f>IF(Data!J1144&lt;=5,Data!J1144,IF(Data!J1144&lt;=10,"6 TO 10","More than 10"))</f>
        <v>5</v>
      </c>
      <c r="G1144" s="52">
        <f t="shared" si="17"/>
        <v>2</v>
      </c>
      <c r="H1144" s="52">
        <f>ROUND(Data!C1144*Data!D1144-Data!E1144,2)</f>
        <v>0</v>
      </c>
      <c r="I1144" s="52">
        <f>IF(AND(OR(Sel_Mode="All",Data!I1144=Sel_Mode),OR(Sel_Gender="All",D1144=Sel_Gender),OR(Sel_Category="All",Data!B1144=Sel_Category),OR(Sel_Month="All",C1144=Sel_Month),OR(Sel_County="All",Data!L1144=Sel_County)),1,0)</f>
        <v>1</v>
      </c>
    </row>
    <row r="1145" spans="1:9" x14ac:dyDescent="0.25">
      <c r="A1145" s="52" t="str">
        <f>Data!A1145</f>
        <v>TX501144</v>
      </c>
      <c r="B1145" s="52">
        <f>MONTH(Data!F1145)</f>
        <v>2</v>
      </c>
      <c r="C1145" s="52" t="str">
        <f>TEXT(Data!F1145,"mmm")</f>
        <v>Feb</v>
      </c>
      <c r="D1145" s="52" t="str">
        <f>Data!O1145</f>
        <v>Male</v>
      </c>
      <c r="E1145" s="52">
        <f>Data!G1145-Data!F1145</f>
        <v>1</v>
      </c>
      <c r="F1145" s="52">
        <f>IF(Data!J1145&lt;=5,Data!J1145,IF(Data!J1145&lt;=10,"6 TO 10","More than 10"))</f>
        <v>2</v>
      </c>
      <c r="G1145" s="52">
        <f t="shared" si="17"/>
        <v>1</v>
      </c>
      <c r="H1145" s="52">
        <f>ROUND(Data!C1145*Data!D1145-Data!E1145,2)</f>
        <v>0</v>
      </c>
      <c r="I1145" s="52">
        <f>IF(AND(OR(Sel_Mode="All",Data!I1145=Sel_Mode),OR(Sel_Gender="All",D1145=Sel_Gender),OR(Sel_Category="All",Data!B1145=Sel_Category),OR(Sel_Month="All",C1145=Sel_Month),OR(Sel_County="All",Data!L1145=Sel_County)),1,0)</f>
        <v>1</v>
      </c>
    </row>
    <row r="1146" spans="1:9" x14ac:dyDescent="0.25">
      <c r="A1146" s="52" t="str">
        <f>Data!A1146</f>
        <v>TX501145</v>
      </c>
      <c r="B1146" s="52">
        <f>MONTH(Data!F1146)</f>
        <v>2</v>
      </c>
      <c r="C1146" s="52" t="str">
        <f>TEXT(Data!F1146,"mmm")</f>
        <v>Feb</v>
      </c>
      <c r="D1146" s="52" t="str">
        <f>Data!O1146</f>
        <v>Female</v>
      </c>
      <c r="E1146" s="52">
        <f>Data!G1146-Data!F1146</f>
        <v>1</v>
      </c>
      <c r="F1146" s="52">
        <f>IF(Data!J1146&lt;=5,Data!J1146,IF(Data!J1146&lt;=10,"6 TO 10","More than 10"))</f>
        <v>3</v>
      </c>
      <c r="G1146" s="52">
        <f t="shared" si="17"/>
        <v>1</v>
      </c>
      <c r="H1146" s="52">
        <f>ROUND(Data!C1146*Data!D1146-Data!E1146,2)</f>
        <v>0</v>
      </c>
      <c r="I1146" s="52">
        <f>IF(AND(OR(Sel_Mode="All",Data!I1146=Sel_Mode),OR(Sel_Gender="All",D1146=Sel_Gender),OR(Sel_Category="All",Data!B1146=Sel_Category),OR(Sel_Month="All",C1146=Sel_Month),OR(Sel_County="All",Data!L1146=Sel_County)),1,0)</f>
        <v>1</v>
      </c>
    </row>
    <row r="1147" spans="1:9" x14ac:dyDescent="0.25">
      <c r="A1147" s="52" t="str">
        <f>Data!A1147</f>
        <v>TX501146</v>
      </c>
      <c r="B1147" s="52">
        <f>MONTH(Data!F1147)</f>
        <v>2</v>
      </c>
      <c r="C1147" s="52" t="str">
        <f>TEXT(Data!F1147,"mmm")</f>
        <v>Feb</v>
      </c>
      <c r="D1147" s="52" t="str">
        <f>Data!O1147</f>
        <v>Female</v>
      </c>
      <c r="E1147" s="52">
        <f>Data!G1147-Data!F1147</f>
        <v>2</v>
      </c>
      <c r="F1147" s="52">
        <f>IF(Data!J1147&lt;=5,Data!J1147,IF(Data!J1147&lt;=10,"6 TO 10","More than 10"))</f>
        <v>3</v>
      </c>
      <c r="G1147" s="52">
        <f t="shared" si="17"/>
        <v>2</v>
      </c>
      <c r="H1147" s="52">
        <f>ROUND(Data!C1147*Data!D1147-Data!E1147,2)</f>
        <v>0</v>
      </c>
      <c r="I1147" s="52">
        <f>IF(AND(OR(Sel_Mode="All",Data!I1147=Sel_Mode),OR(Sel_Gender="All",D1147=Sel_Gender),OR(Sel_Category="All",Data!B1147=Sel_Category),OR(Sel_Month="All",C1147=Sel_Month),OR(Sel_County="All",Data!L1147=Sel_County)),1,0)</f>
        <v>1</v>
      </c>
    </row>
    <row r="1148" spans="1:9" x14ac:dyDescent="0.25">
      <c r="A1148" s="52" t="str">
        <f>Data!A1148</f>
        <v>TX501147</v>
      </c>
      <c r="B1148" s="52">
        <f>MONTH(Data!F1148)</f>
        <v>2</v>
      </c>
      <c r="C1148" s="52" t="str">
        <f>TEXT(Data!F1148,"mmm")</f>
        <v>Feb</v>
      </c>
      <c r="D1148" s="52" t="str">
        <f>Data!O1148</f>
        <v>Female</v>
      </c>
      <c r="E1148" s="52">
        <f>Data!G1148-Data!F1148</f>
        <v>1</v>
      </c>
      <c r="F1148" s="52">
        <f>IF(Data!J1148&lt;=5,Data!J1148,IF(Data!J1148&lt;=10,"6 TO 10","More than 10"))</f>
        <v>4</v>
      </c>
      <c r="G1148" s="52">
        <f t="shared" si="17"/>
        <v>1</v>
      </c>
      <c r="H1148" s="52">
        <f>ROUND(Data!C1148*Data!D1148-Data!E1148,2)</f>
        <v>0</v>
      </c>
      <c r="I1148" s="52">
        <f>IF(AND(OR(Sel_Mode="All",Data!I1148=Sel_Mode),OR(Sel_Gender="All",D1148=Sel_Gender),OR(Sel_Category="All",Data!B1148=Sel_Category),OR(Sel_Month="All",C1148=Sel_Month),OR(Sel_County="All",Data!L1148=Sel_County)),1,0)</f>
        <v>1</v>
      </c>
    </row>
    <row r="1149" spans="1:9" x14ac:dyDescent="0.25">
      <c r="A1149" s="52" t="str">
        <f>Data!A1149</f>
        <v>TX501148</v>
      </c>
      <c r="B1149" s="52">
        <f>MONTH(Data!F1149)</f>
        <v>2</v>
      </c>
      <c r="C1149" s="52" t="str">
        <f>TEXT(Data!F1149,"mmm")</f>
        <v>Feb</v>
      </c>
      <c r="D1149" s="52" t="str">
        <f>Data!O1149</f>
        <v>Female</v>
      </c>
      <c r="E1149" s="52">
        <f>Data!G1149-Data!F1149</f>
        <v>5</v>
      </c>
      <c r="F1149" s="52">
        <f>IF(Data!J1149&lt;=5,Data!J1149,IF(Data!J1149&lt;=10,"6 TO 10","More than 10"))</f>
        <v>5</v>
      </c>
      <c r="G1149" s="52">
        <f t="shared" si="17"/>
        <v>5</v>
      </c>
      <c r="H1149" s="52">
        <f>ROUND(Data!C1149*Data!D1149-Data!E1149,2)</f>
        <v>0</v>
      </c>
      <c r="I1149" s="52">
        <f>IF(AND(OR(Sel_Mode="All",Data!I1149=Sel_Mode),OR(Sel_Gender="All",D1149=Sel_Gender),OR(Sel_Category="All",Data!B1149=Sel_Category),OR(Sel_Month="All",C1149=Sel_Month),OR(Sel_County="All",Data!L1149=Sel_County)),1,0)</f>
        <v>1</v>
      </c>
    </row>
    <row r="1150" spans="1:9" x14ac:dyDescent="0.25">
      <c r="A1150" s="52" t="str">
        <f>Data!A1150</f>
        <v>TX501149</v>
      </c>
      <c r="B1150" s="52">
        <f>MONTH(Data!F1150)</f>
        <v>2</v>
      </c>
      <c r="C1150" s="52" t="str">
        <f>TEXT(Data!F1150,"mmm")</f>
        <v>Feb</v>
      </c>
      <c r="D1150" s="52" t="str">
        <f>Data!O1150</f>
        <v>Male</v>
      </c>
      <c r="E1150" s="52">
        <f>Data!G1150-Data!F1150</f>
        <v>8</v>
      </c>
      <c r="F1150" s="52">
        <f>IF(Data!J1150&lt;=5,Data!J1150,IF(Data!J1150&lt;=10,"6 TO 10","More than 10"))</f>
        <v>3</v>
      </c>
      <c r="G1150" s="52" t="str">
        <f t="shared" si="17"/>
        <v>8+</v>
      </c>
      <c r="H1150" s="52">
        <f>ROUND(Data!C1150*Data!D1150-Data!E1150,2)</f>
        <v>0</v>
      </c>
      <c r="I1150" s="52">
        <f>IF(AND(OR(Sel_Mode="All",Data!I1150=Sel_Mode),OR(Sel_Gender="All",D1150=Sel_Gender),OR(Sel_Category="All",Data!B1150=Sel_Category),OR(Sel_Month="All",C1150=Sel_Month),OR(Sel_County="All",Data!L1150=Sel_County)),1,0)</f>
        <v>1</v>
      </c>
    </row>
    <row r="1151" spans="1:9" x14ac:dyDescent="0.25">
      <c r="A1151" s="52" t="str">
        <f>Data!A1151</f>
        <v>TX501150</v>
      </c>
      <c r="B1151" s="52">
        <f>MONTH(Data!F1151)</f>
        <v>2</v>
      </c>
      <c r="C1151" s="52" t="str">
        <f>TEXT(Data!F1151,"mmm")</f>
        <v>Feb</v>
      </c>
      <c r="D1151" s="52" t="str">
        <f>Data!O1151</f>
        <v>Male</v>
      </c>
      <c r="E1151" s="52">
        <f>Data!G1151-Data!F1151</f>
        <v>3</v>
      </c>
      <c r="F1151" s="52">
        <f>IF(Data!J1151&lt;=5,Data!J1151,IF(Data!J1151&lt;=10,"6 TO 10","More than 10"))</f>
        <v>5</v>
      </c>
      <c r="G1151" s="52">
        <f t="shared" si="17"/>
        <v>3</v>
      </c>
      <c r="H1151" s="52">
        <f>ROUND(Data!C1151*Data!D1151-Data!E1151,2)</f>
        <v>0</v>
      </c>
      <c r="I1151" s="52">
        <f>IF(AND(OR(Sel_Mode="All",Data!I1151=Sel_Mode),OR(Sel_Gender="All",D1151=Sel_Gender),OR(Sel_Category="All",Data!B1151=Sel_Category),OR(Sel_Month="All",C1151=Sel_Month),OR(Sel_County="All",Data!L1151=Sel_County)),1,0)</f>
        <v>1</v>
      </c>
    </row>
    <row r="1152" spans="1:9" x14ac:dyDescent="0.25">
      <c r="A1152" s="52" t="str">
        <f>Data!A1152</f>
        <v>TX501151</v>
      </c>
      <c r="B1152" s="52">
        <f>MONTH(Data!F1152)</f>
        <v>2</v>
      </c>
      <c r="C1152" s="52" t="str">
        <f>TEXT(Data!F1152,"mmm")</f>
        <v>Feb</v>
      </c>
      <c r="D1152" s="52" t="str">
        <f>Data!O1152</f>
        <v>Female</v>
      </c>
      <c r="E1152" s="52">
        <f>Data!G1152-Data!F1152</f>
        <v>1</v>
      </c>
      <c r="F1152" s="52">
        <f>IF(Data!J1152&lt;=5,Data!J1152,IF(Data!J1152&lt;=10,"6 TO 10","More than 10"))</f>
        <v>5</v>
      </c>
      <c r="G1152" s="52">
        <f t="shared" si="17"/>
        <v>1</v>
      </c>
      <c r="H1152" s="52">
        <f>ROUND(Data!C1152*Data!D1152-Data!E1152,2)</f>
        <v>0</v>
      </c>
      <c r="I1152" s="52">
        <f>IF(AND(OR(Sel_Mode="All",Data!I1152=Sel_Mode),OR(Sel_Gender="All",D1152=Sel_Gender),OR(Sel_Category="All",Data!B1152=Sel_Category),OR(Sel_Month="All",C1152=Sel_Month),OR(Sel_County="All",Data!L1152=Sel_County)),1,0)</f>
        <v>1</v>
      </c>
    </row>
    <row r="1153" spans="1:9" x14ac:dyDescent="0.25">
      <c r="A1153" s="52" t="str">
        <f>Data!A1153</f>
        <v>TX501152</v>
      </c>
      <c r="B1153" s="52">
        <f>MONTH(Data!F1153)</f>
        <v>2</v>
      </c>
      <c r="C1153" s="52" t="str">
        <f>TEXT(Data!F1153,"mmm")</f>
        <v>Feb</v>
      </c>
      <c r="D1153" s="52" t="str">
        <f>Data!O1153</f>
        <v>Female</v>
      </c>
      <c r="E1153" s="52">
        <f>Data!G1153-Data!F1153</f>
        <v>1</v>
      </c>
      <c r="F1153" s="52">
        <f>IF(Data!J1153&lt;=5,Data!J1153,IF(Data!J1153&lt;=10,"6 TO 10","More than 10"))</f>
        <v>5</v>
      </c>
      <c r="G1153" s="52">
        <f t="shared" si="17"/>
        <v>1</v>
      </c>
      <c r="H1153" s="52">
        <f>ROUND(Data!C1153*Data!D1153-Data!E1153,2)</f>
        <v>0</v>
      </c>
      <c r="I1153" s="52">
        <f>IF(AND(OR(Sel_Mode="All",Data!I1153=Sel_Mode),OR(Sel_Gender="All",D1153=Sel_Gender),OR(Sel_Category="All",Data!B1153=Sel_Category),OR(Sel_Month="All",C1153=Sel_Month),OR(Sel_County="All",Data!L1153=Sel_County)),1,0)</f>
        <v>1</v>
      </c>
    </row>
    <row r="1154" spans="1:9" x14ac:dyDescent="0.25">
      <c r="A1154" s="52" t="str">
        <f>Data!A1154</f>
        <v>TX501153</v>
      </c>
      <c r="B1154" s="52">
        <f>MONTH(Data!F1154)</f>
        <v>2</v>
      </c>
      <c r="C1154" s="52" t="str">
        <f>TEXT(Data!F1154,"mmm")</f>
        <v>Feb</v>
      </c>
      <c r="D1154" s="52" t="str">
        <f>Data!O1154</f>
        <v>Other</v>
      </c>
      <c r="E1154" s="52">
        <f>Data!G1154-Data!F1154</f>
        <v>1</v>
      </c>
      <c r="F1154" s="52">
        <f>IF(Data!J1154&lt;=5,Data!J1154,IF(Data!J1154&lt;=10,"6 TO 10","More than 10"))</f>
        <v>3</v>
      </c>
      <c r="G1154" s="52">
        <f t="shared" ref="G1154:G1217" si="18">IF(E1154&gt;=8,"8+",E1154)</f>
        <v>1</v>
      </c>
      <c r="H1154" s="52">
        <f>ROUND(Data!C1154*Data!D1154-Data!E1154,2)</f>
        <v>0</v>
      </c>
      <c r="I1154" s="52">
        <f>IF(AND(OR(Sel_Mode="All",Data!I1154=Sel_Mode),OR(Sel_Gender="All",D1154=Sel_Gender),OR(Sel_Category="All",Data!B1154=Sel_Category),OR(Sel_Month="All",C1154=Sel_Month),OR(Sel_County="All",Data!L1154=Sel_County)),1,0)</f>
        <v>1</v>
      </c>
    </row>
    <row r="1155" spans="1:9" x14ac:dyDescent="0.25">
      <c r="A1155" s="52" t="str">
        <f>Data!A1155</f>
        <v>TX501154</v>
      </c>
      <c r="B1155" s="52">
        <f>MONTH(Data!F1155)</f>
        <v>2</v>
      </c>
      <c r="C1155" s="52" t="str">
        <f>TEXT(Data!F1155,"mmm")</f>
        <v>Feb</v>
      </c>
      <c r="D1155" s="52" t="str">
        <f>Data!O1155</f>
        <v>Male</v>
      </c>
      <c r="E1155" s="52">
        <f>Data!G1155-Data!F1155</f>
        <v>3</v>
      </c>
      <c r="F1155" s="52">
        <f>IF(Data!J1155&lt;=5,Data!J1155,IF(Data!J1155&lt;=10,"6 TO 10","More than 10"))</f>
        <v>4</v>
      </c>
      <c r="G1155" s="52">
        <f t="shared" si="18"/>
        <v>3</v>
      </c>
      <c r="H1155" s="52">
        <f>ROUND(Data!C1155*Data!D1155-Data!E1155,2)</f>
        <v>0</v>
      </c>
      <c r="I1155" s="52">
        <f>IF(AND(OR(Sel_Mode="All",Data!I1155=Sel_Mode),OR(Sel_Gender="All",D1155=Sel_Gender),OR(Sel_Category="All",Data!B1155=Sel_Category),OR(Sel_Month="All",C1155=Sel_Month),OR(Sel_County="All",Data!L1155=Sel_County)),1,0)</f>
        <v>1</v>
      </c>
    </row>
    <row r="1156" spans="1:9" x14ac:dyDescent="0.25">
      <c r="A1156" s="52" t="str">
        <f>Data!A1156</f>
        <v>TX501155</v>
      </c>
      <c r="B1156" s="52">
        <f>MONTH(Data!F1156)</f>
        <v>2</v>
      </c>
      <c r="C1156" s="52" t="str">
        <f>TEXT(Data!F1156,"mmm")</f>
        <v>Feb</v>
      </c>
      <c r="D1156" s="52" t="str">
        <f>Data!O1156</f>
        <v>Female</v>
      </c>
      <c r="E1156" s="52">
        <f>Data!G1156-Data!F1156</f>
        <v>4</v>
      </c>
      <c r="F1156" s="52">
        <f>IF(Data!J1156&lt;=5,Data!J1156,IF(Data!J1156&lt;=10,"6 TO 10","More than 10"))</f>
        <v>3</v>
      </c>
      <c r="G1156" s="52">
        <f t="shared" si="18"/>
        <v>4</v>
      </c>
      <c r="H1156" s="52">
        <f>ROUND(Data!C1156*Data!D1156-Data!E1156,2)</f>
        <v>0</v>
      </c>
      <c r="I1156" s="52">
        <f>IF(AND(OR(Sel_Mode="All",Data!I1156=Sel_Mode),OR(Sel_Gender="All",D1156=Sel_Gender),OR(Sel_Category="All",Data!B1156=Sel_Category),OR(Sel_Month="All",C1156=Sel_Month),OR(Sel_County="All",Data!L1156=Sel_County)),1,0)</f>
        <v>1</v>
      </c>
    </row>
    <row r="1157" spans="1:9" x14ac:dyDescent="0.25">
      <c r="A1157" s="52" t="str">
        <f>Data!A1157</f>
        <v>TX501156</v>
      </c>
      <c r="B1157" s="52">
        <f>MONTH(Data!F1157)</f>
        <v>2</v>
      </c>
      <c r="C1157" s="52" t="str">
        <f>TEXT(Data!F1157,"mmm")</f>
        <v>Feb</v>
      </c>
      <c r="D1157" s="52" t="str">
        <f>Data!O1157</f>
        <v>Male</v>
      </c>
      <c r="E1157" s="52">
        <f>Data!G1157-Data!F1157</f>
        <v>1</v>
      </c>
      <c r="F1157" s="52">
        <f>IF(Data!J1157&lt;=5,Data!J1157,IF(Data!J1157&lt;=10,"6 TO 10","More than 10"))</f>
        <v>4</v>
      </c>
      <c r="G1157" s="52">
        <f t="shared" si="18"/>
        <v>1</v>
      </c>
      <c r="H1157" s="52">
        <f>ROUND(Data!C1157*Data!D1157-Data!E1157,2)</f>
        <v>0</v>
      </c>
      <c r="I1157" s="52">
        <f>IF(AND(OR(Sel_Mode="All",Data!I1157=Sel_Mode),OR(Sel_Gender="All",D1157=Sel_Gender),OR(Sel_Category="All",Data!B1157=Sel_Category),OR(Sel_Month="All",C1157=Sel_Month),OR(Sel_County="All",Data!L1157=Sel_County)),1,0)</f>
        <v>1</v>
      </c>
    </row>
    <row r="1158" spans="1:9" x14ac:dyDescent="0.25">
      <c r="A1158" s="52" t="str">
        <f>Data!A1158</f>
        <v>TX501157</v>
      </c>
      <c r="B1158" s="52">
        <f>MONTH(Data!F1158)</f>
        <v>2</v>
      </c>
      <c r="C1158" s="52" t="str">
        <f>TEXT(Data!F1158,"mmm")</f>
        <v>Feb</v>
      </c>
      <c r="D1158" s="52" t="str">
        <f>Data!O1158</f>
        <v>Female</v>
      </c>
      <c r="E1158" s="52">
        <f>Data!G1158-Data!F1158</f>
        <v>2</v>
      </c>
      <c r="F1158" s="52">
        <f>IF(Data!J1158&lt;=5,Data!J1158,IF(Data!J1158&lt;=10,"6 TO 10","More than 10"))</f>
        <v>5</v>
      </c>
      <c r="G1158" s="52">
        <f t="shared" si="18"/>
        <v>2</v>
      </c>
      <c r="H1158" s="52">
        <f>ROUND(Data!C1158*Data!D1158-Data!E1158,2)</f>
        <v>0</v>
      </c>
      <c r="I1158" s="52">
        <f>IF(AND(OR(Sel_Mode="All",Data!I1158=Sel_Mode),OR(Sel_Gender="All",D1158=Sel_Gender),OR(Sel_Category="All",Data!B1158=Sel_Category),OR(Sel_Month="All",C1158=Sel_Month),OR(Sel_County="All",Data!L1158=Sel_County)),1,0)</f>
        <v>1</v>
      </c>
    </row>
    <row r="1159" spans="1:9" x14ac:dyDescent="0.25">
      <c r="A1159" s="52" t="str">
        <f>Data!A1159</f>
        <v>TX501158</v>
      </c>
      <c r="B1159" s="52">
        <f>MONTH(Data!F1159)</f>
        <v>2</v>
      </c>
      <c r="C1159" s="52" t="str">
        <f>TEXT(Data!F1159,"mmm")</f>
        <v>Feb</v>
      </c>
      <c r="D1159" s="52" t="str">
        <f>Data!O1159</f>
        <v>Female</v>
      </c>
      <c r="E1159" s="52">
        <f>Data!G1159-Data!F1159</f>
        <v>1</v>
      </c>
      <c r="F1159" s="52">
        <f>IF(Data!J1159&lt;=5,Data!J1159,IF(Data!J1159&lt;=10,"6 TO 10","More than 10"))</f>
        <v>4</v>
      </c>
      <c r="G1159" s="52">
        <f t="shared" si="18"/>
        <v>1</v>
      </c>
      <c r="H1159" s="52">
        <f>ROUND(Data!C1159*Data!D1159-Data!E1159,2)</f>
        <v>0</v>
      </c>
      <c r="I1159" s="52">
        <f>IF(AND(OR(Sel_Mode="All",Data!I1159=Sel_Mode),OR(Sel_Gender="All",D1159=Sel_Gender),OR(Sel_Category="All",Data!B1159=Sel_Category),OR(Sel_Month="All",C1159=Sel_Month),OR(Sel_County="All",Data!L1159=Sel_County)),1,0)</f>
        <v>1</v>
      </c>
    </row>
    <row r="1160" spans="1:9" x14ac:dyDescent="0.25">
      <c r="A1160" s="52" t="str">
        <f>Data!A1160</f>
        <v>TX501159</v>
      </c>
      <c r="B1160" s="52">
        <f>MONTH(Data!F1160)</f>
        <v>2</v>
      </c>
      <c r="C1160" s="52" t="str">
        <f>TEXT(Data!F1160,"mmm")</f>
        <v>Feb</v>
      </c>
      <c r="D1160" s="52" t="str">
        <f>Data!O1160</f>
        <v>Male</v>
      </c>
      <c r="E1160" s="52">
        <f>Data!G1160-Data!F1160</f>
        <v>4</v>
      </c>
      <c r="F1160" s="52">
        <f>IF(Data!J1160&lt;=5,Data!J1160,IF(Data!J1160&lt;=10,"6 TO 10","More than 10"))</f>
        <v>5</v>
      </c>
      <c r="G1160" s="52">
        <f t="shared" si="18"/>
        <v>4</v>
      </c>
      <c r="H1160" s="52">
        <f>ROUND(Data!C1160*Data!D1160-Data!E1160,2)</f>
        <v>0</v>
      </c>
      <c r="I1160" s="52">
        <f>IF(AND(OR(Sel_Mode="All",Data!I1160=Sel_Mode),OR(Sel_Gender="All",D1160=Sel_Gender),OR(Sel_Category="All",Data!B1160=Sel_Category),OR(Sel_Month="All",C1160=Sel_Month),OR(Sel_County="All",Data!L1160=Sel_County)),1,0)</f>
        <v>1</v>
      </c>
    </row>
    <row r="1161" spans="1:9" x14ac:dyDescent="0.25">
      <c r="A1161" s="52" t="str">
        <f>Data!A1161</f>
        <v>TX501160</v>
      </c>
      <c r="B1161" s="52">
        <f>MONTH(Data!F1161)</f>
        <v>2</v>
      </c>
      <c r="C1161" s="52" t="str">
        <f>TEXT(Data!F1161,"mmm")</f>
        <v>Feb</v>
      </c>
      <c r="D1161" s="52" t="str">
        <f>Data!O1161</f>
        <v>Unknown</v>
      </c>
      <c r="E1161" s="52">
        <f>Data!G1161-Data!F1161</f>
        <v>2</v>
      </c>
      <c r="F1161" s="52">
        <f>IF(Data!J1161&lt;=5,Data!J1161,IF(Data!J1161&lt;=10,"6 TO 10","More than 10"))</f>
        <v>3</v>
      </c>
      <c r="G1161" s="52">
        <f t="shared" si="18"/>
        <v>2</v>
      </c>
      <c r="H1161" s="52">
        <f>ROUND(Data!C1161*Data!D1161-Data!E1161,2)</f>
        <v>0</v>
      </c>
      <c r="I1161" s="52">
        <f>IF(AND(OR(Sel_Mode="All",Data!I1161=Sel_Mode),OR(Sel_Gender="All",D1161=Sel_Gender),OR(Sel_Category="All",Data!B1161=Sel_Category),OR(Sel_Month="All",C1161=Sel_Month),OR(Sel_County="All",Data!L1161=Sel_County)),1,0)</f>
        <v>1</v>
      </c>
    </row>
    <row r="1162" spans="1:9" x14ac:dyDescent="0.25">
      <c r="A1162" s="52" t="str">
        <f>Data!A1162</f>
        <v>TX501161</v>
      </c>
      <c r="B1162" s="52">
        <f>MONTH(Data!F1162)</f>
        <v>2</v>
      </c>
      <c r="C1162" s="52" t="str">
        <f>TEXT(Data!F1162,"mmm")</f>
        <v>Feb</v>
      </c>
      <c r="D1162" s="52" t="str">
        <f>Data!O1162</f>
        <v>Unknown</v>
      </c>
      <c r="E1162" s="52">
        <f>Data!G1162-Data!F1162</f>
        <v>3</v>
      </c>
      <c r="F1162" s="52">
        <f>IF(Data!J1162&lt;=5,Data!J1162,IF(Data!J1162&lt;=10,"6 TO 10","More than 10"))</f>
        <v>3</v>
      </c>
      <c r="G1162" s="52">
        <f t="shared" si="18"/>
        <v>3</v>
      </c>
      <c r="H1162" s="52">
        <f>ROUND(Data!C1162*Data!D1162-Data!E1162,2)</f>
        <v>0</v>
      </c>
      <c r="I1162" s="52">
        <f>IF(AND(OR(Sel_Mode="All",Data!I1162=Sel_Mode),OR(Sel_Gender="All",D1162=Sel_Gender),OR(Sel_Category="All",Data!B1162=Sel_Category),OR(Sel_Month="All",C1162=Sel_Month),OR(Sel_County="All",Data!L1162=Sel_County)),1,0)</f>
        <v>1</v>
      </c>
    </row>
    <row r="1163" spans="1:9" x14ac:dyDescent="0.25">
      <c r="A1163" s="52" t="str">
        <f>Data!A1163</f>
        <v>TX501162</v>
      </c>
      <c r="B1163" s="52">
        <f>MONTH(Data!F1163)</f>
        <v>2</v>
      </c>
      <c r="C1163" s="52" t="str">
        <f>TEXT(Data!F1163,"mmm")</f>
        <v>Feb</v>
      </c>
      <c r="D1163" s="52" t="str">
        <f>Data!O1163</f>
        <v>Male</v>
      </c>
      <c r="E1163" s="52">
        <f>Data!G1163-Data!F1163</f>
        <v>1</v>
      </c>
      <c r="F1163" s="52">
        <f>IF(Data!J1163&lt;=5,Data!J1163,IF(Data!J1163&lt;=10,"6 TO 10","More than 10"))</f>
        <v>5</v>
      </c>
      <c r="G1163" s="52">
        <f t="shared" si="18"/>
        <v>1</v>
      </c>
      <c r="H1163" s="52">
        <f>ROUND(Data!C1163*Data!D1163-Data!E1163,2)</f>
        <v>0</v>
      </c>
      <c r="I1163" s="52">
        <f>IF(AND(OR(Sel_Mode="All",Data!I1163=Sel_Mode),OR(Sel_Gender="All",D1163=Sel_Gender),OR(Sel_Category="All",Data!B1163=Sel_Category),OR(Sel_Month="All",C1163=Sel_Month),OR(Sel_County="All",Data!L1163=Sel_County)),1,0)</f>
        <v>1</v>
      </c>
    </row>
    <row r="1164" spans="1:9" x14ac:dyDescent="0.25">
      <c r="A1164" s="52" t="str">
        <f>Data!A1164</f>
        <v>TX501163</v>
      </c>
      <c r="B1164" s="52">
        <f>MONTH(Data!F1164)</f>
        <v>2</v>
      </c>
      <c r="C1164" s="52" t="str">
        <f>TEXT(Data!F1164,"mmm")</f>
        <v>Feb</v>
      </c>
      <c r="D1164" s="52" t="str">
        <f>Data!O1164</f>
        <v>Female</v>
      </c>
      <c r="E1164" s="52">
        <f>Data!G1164-Data!F1164</f>
        <v>1</v>
      </c>
      <c r="F1164" s="52">
        <f>IF(Data!J1164&lt;=5,Data!J1164,IF(Data!J1164&lt;=10,"6 TO 10","More than 10"))</f>
        <v>2</v>
      </c>
      <c r="G1164" s="52">
        <f t="shared" si="18"/>
        <v>1</v>
      </c>
      <c r="H1164" s="52">
        <f>ROUND(Data!C1164*Data!D1164-Data!E1164,2)</f>
        <v>0</v>
      </c>
      <c r="I1164" s="52">
        <f>IF(AND(OR(Sel_Mode="All",Data!I1164=Sel_Mode),OR(Sel_Gender="All",D1164=Sel_Gender),OR(Sel_Category="All",Data!B1164=Sel_Category),OR(Sel_Month="All",C1164=Sel_Month),OR(Sel_County="All",Data!L1164=Sel_County)),1,0)</f>
        <v>1</v>
      </c>
    </row>
    <row r="1165" spans="1:9" x14ac:dyDescent="0.25">
      <c r="A1165" s="52" t="str">
        <f>Data!A1165</f>
        <v>TX501164</v>
      </c>
      <c r="B1165" s="52">
        <f>MONTH(Data!F1165)</f>
        <v>2</v>
      </c>
      <c r="C1165" s="52" t="str">
        <f>TEXT(Data!F1165,"mmm")</f>
        <v>Feb</v>
      </c>
      <c r="D1165" s="52" t="str">
        <f>Data!O1165</f>
        <v>Male</v>
      </c>
      <c r="E1165" s="52">
        <f>Data!G1165-Data!F1165</f>
        <v>2</v>
      </c>
      <c r="F1165" s="52">
        <f>IF(Data!J1165&lt;=5,Data!J1165,IF(Data!J1165&lt;=10,"6 TO 10","More than 10"))</f>
        <v>5</v>
      </c>
      <c r="G1165" s="52">
        <f t="shared" si="18"/>
        <v>2</v>
      </c>
      <c r="H1165" s="52">
        <f>ROUND(Data!C1165*Data!D1165-Data!E1165,2)</f>
        <v>0</v>
      </c>
      <c r="I1165" s="52">
        <f>IF(AND(OR(Sel_Mode="All",Data!I1165=Sel_Mode),OR(Sel_Gender="All",D1165=Sel_Gender),OR(Sel_Category="All",Data!B1165=Sel_Category),OR(Sel_Month="All",C1165=Sel_Month),OR(Sel_County="All",Data!L1165=Sel_County)),1,0)</f>
        <v>1</v>
      </c>
    </row>
    <row r="1166" spans="1:9" x14ac:dyDescent="0.25">
      <c r="A1166" s="52" t="str">
        <f>Data!A1166</f>
        <v>TX501165</v>
      </c>
      <c r="B1166" s="52">
        <f>MONTH(Data!F1166)</f>
        <v>2</v>
      </c>
      <c r="C1166" s="52" t="str">
        <f>TEXT(Data!F1166,"mmm")</f>
        <v>Feb</v>
      </c>
      <c r="D1166" s="52" t="str">
        <f>Data!O1166</f>
        <v>Female</v>
      </c>
      <c r="E1166" s="52">
        <f>Data!G1166-Data!F1166</f>
        <v>1</v>
      </c>
      <c r="F1166" s="52">
        <f>IF(Data!J1166&lt;=5,Data!J1166,IF(Data!J1166&lt;=10,"6 TO 10","More than 10"))</f>
        <v>2</v>
      </c>
      <c r="G1166" s="52">
        <f t="shared" si="18"/>
        <v>1</v>
      </c>
      <c r="H1166" s="52">
        <f>ROUND(Data!C1166*Data!D1166-Data!E1166,2)</f>
        <v>0</v>
      </c>
      <c r="I1166" s="52">
        <f>IF(AND(OR(Sel_Mode="All",Data!I1166=Sel_Mode),OR(Sel_Gender="All",D1166=Sel_Gender),OR(Sel_Category="All",Data!B1166=Sel_Category),OR(Sel_Month="All",C1166=Sel_Month),OR(Sel_County="All",Data!L1166=Sel_County)),1,0)</f>
        <v>1</v>
      </c>
    </row>
    <row r="1167" spans="1:9" x14ac:dyDescent="0.25">
      <c r="A1167" s="52" t="str">
        <f>Data!A1167</f>
        <v>TX501166</v>
      </c>
      <c r="B1167" s="52">
        <f>MONTH(Data!F1167)</f>
        <v>2</v>
      </c>
      <c r="C1167" s="52" t="str">
        <f>TEXT(Data!F1167,"mmm")</f>
        <v>Feb</v>
      </c>
      <c r="D1167" s="52" t="str">
        <f>Data!O1167</f>
        <v>Female</v>
      </c>
      <c r="E1167" s="52">
        <f>Data!G1167-Data!F1167</f>
        <v>0</v>
      </c>
      <c r="F1167" s="52">
        <f>IF(Data!J1167&lt;=5,Data!J1167,IF(Data!J1167&lt;=10,"6 TO 10","More than 10"))</f>
        <v>5</v>
      </c>
      <c r="G1167" s="52">
        <f t="shared" si="18"/>
        <v>0</v>
      </c>
      <c r="H1167" s="52">
        <f>ROUND(Data!C1167*Data!D1167-Data!E1167,2)</f>
        <v>0</v>
      </c>
      <c r="I1167" s="52">
        <f>IF(AND(OR(Sel_Mode="All",Data!I1167=Sel_Mode),OR(Sel_Gender="All",D1167=Sel_Gender),OR(Sel_Category="All",Data!B1167=Sel_Category),OR(Sel_Month="All",C1167=Sel_Month),OR(Sel_County="All",Data!L1167=Sel_County)),1,0)</f>
        <v>1</v>
      </c>
    </row>
    <row r="1168" spans="1:9" x14ac:dyDescent="0.25">
      <c r="A1168" s="52" t="str">
        <f>Data!A1168</f>
        <v>TX501167</v>
      </c>
      <c r="B1168" s="52">
        <f>MONTH(Data!F1168)</f>
        <v>2</v>
      </c>
      <c r="C1168" s="52" t="str">
        <f>TEXT(Data!F1168,"mmm")</f>
        <v>Feb</v>
      </c>
      <c r="D1168" s="52" t="str">
        <f>Data!O1168</f>
        <v>Female</v>
      </c>
      <c r="E1168" s="52">
        <f>Data!G1168-Data!F1168</f>
        <v>7</v>
      </c>
      <c r="F1168" s="52">
        <f>IF(Data!J1168&lt;=5,Data!J1168,IF(Data!J1168&lt;=10,"6 TO 10","More than 10"))</f>
        <v>5</v>
      </c>
      <c r="G1168" s="52">
        <f t="shared" si="18"/>
        <v>7</v>
      </c>
      <c r="H1168" s="52">
        <f>ROUND(Data!C1168*Data!D1168-Data!E1168,2)</f>
        <v>0</v>
      </c>
      <c r="I1168" s="52">
        <f>IF(AND(OR(Sel_Mode="All",Data!I1168=Sel_Mode),OR(Sel_Gender="All",D1168=Sel_Gender),OR(Sel_Category="All",Data!B1168=Sel_Category),OR(Sel_Month="All",C1168=Sel_Month),OR(Sel_County="All",Data!L1168=Sel_County)),1,0)</f>
        <v>1</v>
      </c>
    </row>
    <row r="1169" spans="1:9" x14ac:dyDescent="0.25">
      <c r="A1169" s="52" t="str">
        <f>Data!A1169</f>
        <v>TX501168</v>
      </c>
      <c r="B1169" s="52">
        <f>MONTH(Data!F1169)</f>
        <v>2</v>
      </c>
      <c r="C1169" s="52" t="str">
        <f>TEXT(Data!F1169,"mmm")</f>
        <v>Feb</v>
      </c>
      <c r="D1169" s="52" t="str">
        <f>Data!O1169</f>
        <v>Female</v>
      </c>
      <c r="E1169" s="52">
        <f>Data!G1169-Data!F1169</f>
        <v>5</v>
      </c>
      <c r="F1169" s="52">
        <f>IF(Data!J1169&lt;=5,Data!J1169,IF(Data!J1169&lt;=10,"6 TO 10","More than 10"))</f>
        <v>5</v>
      </c>
      <c r="G1169" s="52">
        <f t="shared" si="18"/>
        <v>5</v>
      </c>
      <c r="H1169" s="52">
        <f>ROUND(Data!C1169*Data!D1169-Data!E1169,2)</f>
        <v>0</v>
      </c>
      <c r="I1169" s="52">
        <f>IF(AND(OR(Sel_Mode="All",Data!I1169=Sel_Mode),OR(Sel_Gender="All",D1169=Sel_Gender),OR(Sel_Category="All",Data!B1169=Sel_Category),OR(Sel_Month="All",C1169=Sel_Month),OR(Sel_County="All",Data!L1169=Sel_County)),1,0)</f>
        <v>1</v>
      </c>
    </row>
    <row r="1170" spans="1:9" x14ac:dyDescent="0.25">
      <c r="A1170" s="52" t="str">
        <f>Data!A1170</f>
        <v>TX501169</v>
      </c>
      <c r="B1170" s="52">
        <f>MONTH(Data!F1170)</f>
        <v>2</v>
      </c>
      <c r="C1170" s="52" t="str">
        <f>TEXT(Data!F1170,"mmm")</f>
        <v>Feb</v>
      </c>
      <c r="D1170" s="52" t="str">
        <f>Data!O1170</f>
        <v>Female</v>
      </c>
      <c r="E1170" s="52">
        <f>Data!G1170-Data!F1170</f>
        <v>4</v>
      </c>
      <c r="F1170" s="52">
        <f>IF(Data!J1170&lt;=5,Data!J1170,IF(Data!J1170&lt;=10,"6 TO 10","More than 10"))</f>
        <v>5</v>
      </c>
      <c r="G1170" s="52">
        <f t="shared" si="18"/>
        <v>4</v>
      </c>
      <c r="H1170" s="52">
        <f>ROUND(Data!C1170*Data!D1170-Data!E1170,2)</f>
        <v>0</v>
      </c>
      <c r="I1170" s="52">
        <f>IF(AND(OR(Sel_Mode="All",Data!I1170=Sel_Mode),OR(Sel_Gender="All",D1170=Sel_Gender),OR(Sel_Category="All",Data!B1170=Sel_Category),OR(Sel_Month="All",C1170=Sel_Month),OR(Sel_County="All",Data!L1170=Sel_County)),1,0)</f>
        <v>1</v>
      </c>
    </row>
    <row r="1171" spans="1:9" x14ac:dyDescent="0.25">
      <c r="A1171" s="52" t="str">
        <f>Data!A1171</f>
        <v>TX501170</v>
      </c>
      <c r="B1171" s="52">
        <f>MONTH(Data!F1171)</f>
        <v>2</v>
      </c>
      <c r="C1171" s="52" t="str">
        <f>TEXT(Data!F1171,"mmm")</f>
        <v>Feb</v>
      </c>
      <c r="D1171" s="52" t="str">
        <f>Data!O1171</f>
        <v>Female</v>
      </c>
      <c r="E1171" s="52">
        <f>Data!G1171-Data!F1171</f>
        <v>1</v>
      </c>
      <c r="F1171" s="52">
        <f>IF(Data!J1171&lt;=5,Data!J1171,IF(Data!J1171&lt;=10,"6 TO 10","More than 10"))</f>
        <v>4</v>
      </c>
      <c r="G1171" s="52">
        <f t="shared" si="18"/>
        <v>1</v>
      </c>
      <c r="H1171" s="52">
        <f>ROUND(Data!C1171*Data!D1171-Data!E1171,2)</f>
        <v>0</v>
      </c>
      <c r="I1171" s="52">
        <f>IF(AND(OR(Sel_Mode="All",Data!I1171=Sel_Mode),OR(Sel_Gender="All",D1171=Sel_Gender),OR(Sel_Category="All",Data!B1171=Sel_Category),OR(Sel_Month="All",C1171=Sel_Month),OR(Sel_County="All",Data!L1171=Sel_County)),1,0)</f>
        <v>1</v>
      </c>
    </row>
    <row r="1172" spans="1:9" x14ac:dyDescent="0.25">
      <c r="A1172" s="52" t="str">
        <f>Data!A1172</f>
        <v>TX501171</v>
      </c>
      <c r="B1172" s="52">
        <f>MONTH(Data!F1172)</f>
        <v>2</v>
      </c>
      <c r="C1172" s="52" t="str">
        <f>TEXT(Data!F1172,"mmm")</f>
        <v>Feb</v>
      </c>
      <c r="D1172" s="52" t="str">
        <f>Data!O1172</f>
        <v>Female</v>
      </c>
      <c r="E1172" s="52">
        <f>Data!G1172-Data!F1172</f>
        <v>1</v>
      </c>
      <c r="F1172" s="52">
        <f>IF(Data!J1172&lt;=5,Data!J1172,IF(Data!J1172&lt;=10,"6 TO 10","More than 10"))</f>
        <v>5</v>
      </c>
      <c r="G1172" s="52">
        <f t="shared" si="18"/>
        <v>1</v>
      </c>
      <c r="H1172" s="52">
        <f>ROUND(Data!C1172*Data!D1172-Data!E1172,2)</f>
        <v>0</v>
      </c>
      <c r="I1172" s="52">
        <f>IF(AND(OR(Sel_Mode="All",Data!I1172=Sel_Mode),OR(Sel_Gender="All",D1172=Sel_Gender),OR(Sel_Category="All",Data!B1172=Sel_Category),OR(Sel_Month="All",C1172=Sel_Month),OR(Sel_County="All",Data!L1172=Sel_County)),1,0)</f>
        <v>1</v>
      </c>
    </row>
    <row r="1173" spans="1:9" x14ac:dyDescent="0.25">
      <c r="A1173" s="52" t="str">
        <f>Data!A1173</f>
        <v>TX501172</v>
      </c>
      <c r="B1173" s="52">
        <f>MONTH(Data!F1173)</f>
        <v>2</v>
      </c>
      <c r="C1173" s="52" t="str">
        <f>TEXT(Data!F1173,"mmm")</f>
        <v>Feb</v>
      </c>
      <c r="D1173" s="52" t="str">
        <f>Data!O1173</f>
        <v>Male</v>
      </c>
      <c r="E1173" s="52">
        <f>Data!G1173-Data!F1173</f>
        <v>2</v>
      </c>
      <c r="F1173" s="52">
        <f>IF(Data!J1173&lt;=5,Data!J1173,IF(Data!J1173&lt;=10,"6 TO 10","More than 10"))</f>
        <v>4</v>
      </c>
      <c r="G1173" s="52">
        <f t="shared" si="18"/>
        <v>2</v>
      </c>
      <c r="H1173" s="52">
        <f>ROUND(Data!C1173*Data!D1173-Data!E1173,2)</f>
        <v>0</v>
      </c>
      <c r="I1173" s="52">
        <f>IF(AND(OR(Sel_Mode="All",Data!I1173=Sel_Mode),OR(Sel_Gender="All",D1173=Sel_Gender),OR(Sel_Category="All",Data!B1173=Sel_Category),OR(Sel_Month="All",C1173=Sel_Month),OR(Sel_County="All",Data!L1173=Sel_County)),1,0)</f>
        <v>1</v>
      </c>
    </row>
    <row r="1174" spans="1:9" x14ac:dyDescent="0.25">
      <c r="A1174" s="52" t="str">
        <f>Data!A1174</f>
        <v>TX501173</v>
      </c>
      <c r="B1174" s="52">
        <f>MONTH(Data!F1174)</f>
        <v>2</v>
      </c>
      <c r="C1174" s="52" t="str">
        <f>TEXT(Data!F1174,"mmm")</f>
        <v>Feb</v>
      </c>
      <c r="D1174" s="52" t="str">
        <f>Data!O1174</f>
        <v>Male</v>
      </c>
      <c r="E1174" s="52">
        <f>Data!G1174-Data!F1174</f>
        <v>4</v>
      </c>
      <c r="F1174" s="52">
        <f>IF(Data!J1174&lt;=5,Data!J1174,IF(Data!J1174&lt;=10,"6 TO 10","More than 10"))</f>
        <v>4</v>
      </c>
      <c r="G1174" s="52">
        <f t="shared" si="18"/>
        <v>4</v>
      </c>
      <c r="H1174" s="52">
        <f>ROUND(Data!C1174*Data!D1174-Data!E1174,2)</f>
        <v>0</v>
      </c>
      <c r="I1174" s="52">
        <f>IF(AND(OR(Sel_Mode="All",Data!I1174=Sel_Mode),OR(Sel_Gender="All",D1174=Sel_Gender),OR(Sel_Category="All",Data!B1174=Sel_Category),OR(Sel_Month="All",C1174=Sel_Month),OR(Sel_County="All",Data!L1174=Sel_County)),1,0)</f>
        <v>1</v>
      </c>
    </row>
    <row r="1175" spans="1:9" x14ac:dyDescent="0.25">
      <c r="A1175" s="52" t="str">
        <f>Data!A1175</f>
        <v>TX501174</v>
      </c>
      <c r="B1175" s="52">
        <f>MONTH(Data!F1175)</f>
        <v>2</v>
      </c>
      <c r="C1175" s="52" t="str">
        <f>TEXT(Data!F1175,"mmm")</f>
        <v>Feb</v>
      </c>
      <c r="D1175" s="52" t="str">
        <f>Data!O1175</f>
        <v>Female</v>
      </c>
      <c r="E1175" s="52">
        <f>Data!G1175-Data!F1175</f>
        <v>1</v>
      </c>
      <c r="F1175" s="52">
        <f>IF(Data!J1175&lt;=5,Data!J1175,IF(Data!J1175&lt;=10,"6 TO 10","More than 10"))</f>
        <v>5</v>
      </c>
      <c r="G1175" s="52">
        <f t="shared" si="18"/>
        <v>1</v>
      </c>
      <c r="H1175" s="52">
        <f>ROUND(Data!C1175*Data!D1175-Data!E1175,2)</f>
        <v>0</v>
      </c>
      <c r="I1175" s="52">
        <f>IF(AND(OR(Sel_Mode="All",Data!I1175=Sel_Mode),OR(Sel_Gender="All",D1175=Sel_Gender),OR(Sel_Category="All",Data!B1175=Sel_Category),OR(Sel_Month="All",C1175=Sel_Month),OR(Sel_County="All",Data!L1175=Sel_County)),1,0)</f>
        <v>1</v>
      </c>
    </row>
    <row r="1176" spans="1:9" x14ac:dyDescent="0.25">
      <c r="A1176" s="52" t="str">
        <f>Data!A1176</f>
        <v>TX501175</v>
      </c>
      <c r="B1176" s="52">
        <f>MONTH(Data!F1176)</f>
        <v>2</v>
      </c>
      <c r="C1176" s="52" t="str">
        <f>TEXT(Data!F1176,"mmm")</f>
        <v>Feb</v>
      </c>
      <c r="D1176" s="52" t="str">
        <f>Data!O1176</f>
        <v>Female</v>
      </c>
      <c r="E1176" s="52">
        <f>Data!G1176-Data!F1176</f>
        <v>2</v>
      </c>
      <c r="F1176" s="52">
        <f>IF(Data!J1176&lt;=5,Data!J1176,IF(Data!J1176&lt;=10,"6 TO 10","More than 10"))</f>
        <v>5</v>
      </c>
      <c r="G1176" s="52">
        <f t="shared" si="18"/>
        <v>2</v>
      </c>
      <c r="H1176" s="52">
        <f>ROUND(Data!C1176*Data!D1176-Data!E1176,2)</f>
        <v>0</v>
      </c>
      <c r="I1176" s="52">
        <f>IF(AND(OR(Sel_Mode="All",Data!I1176=Sel_Mode),OR(Sel_Gender="All",D1176=Sel_Gender),OR(Sel_Category="All",Data!B1176=Sel_Category),OR(Sel_Month="All",C1176=Sel_Month),OR(Sel_County="All",Data!L1176=Sel_County)),1,0)</f>
        <v>1</v>
      </c>
    </row>
    <row r="1177" spans="1:9" x14ac:dyDescent="0.25">
      <c r="A1177" s="52" t="str">
        <f>Data!A1177</f>
        <v>TX501176</v>
      </c>
      <c r="B1177" s="52">
        <f>MONTH(Data!F1177)</f>
        <v>2</v>
      </c>
      <c r="C1177" s="52" t="str">
        <f>TEXT(Data!F1177,"mmm")</f>
        <v>Feb</v>
      </c>
      <c r="D1177" s="52" t="str">
        <f>Data!O1177</f>
        <v>Male</v>
      </c>
      <c r="E1177" s="52">
        <f>Data!G1177-Data!F1177</f>
        <v>1</v>
      </c>
      <c r="F1177" s="52">
        <f>IF(Data!J1177&lt;=5,Data!J1177,IF(Data!J1177&lt;=10,"6 TO 10","More than 10"))</f>
        <v>4</v>
      </c>
      <c r="G1177" s="52">
        <f t="shared" si="18"/>
        <v>1</v>
      </c>
      <c r="H1177" s="52">
        <f>ROUND(Data!C1177*Data!D1177-Data!E1177,2)</f>
        <v>0</v>
      </c>
      <c r="I1177" s="52">
        <f>IF(AND(OR(Sel_Mode="All",Data!I1177=Sel_Mode),OR(Sel_Gender="All",D1177=Sel_Gender),OR(Sel_Category="All",Data!B1177=Sel_Category),OR(Sel_Month="All",C1177=Sel_Month),OR(Sel_County="All",Data!L1177=Sel_County)),1,0)</f>
        <v>1</v>
      </c>
    </row>
    <row r="1178" spans="1:9" x14ac:dyDescent="0.25">
      <c r="A1178" s="52" t="str">
        <f>Data!A1178</f>
        <v>TX501177</v>
      </c>
      <c r="B1178" s="52">
        <f>MONTH(Data!F1178)</f>
        <v>2</v>
      </c>
      <c r="C1178" s="52" t="str">
        <f>TEXT(Data!F1178,"mmm")</f>
        <v>Feb</v>
      </c>
      <c r="D1178" s="52" t="str">
        <f>Data!O1178</f>
        <v>Female</v>
      </c>
      <c r="E1178" s="52">
        <f>Data!G1178-Data!F1178</f>
        <v>7</v>
      </c>
      <c r="F1178" s="52">
        <f>IF(Data!J1178&lt;=5,Data!J1178,IF(Data!J1178&lt;=10,"6 TO 10","More than 10"))</f>
        <v>5</v>
      </c>
      <c r="G1178" s="52">
        <f t="shared" si="18"/>
        <v>7</v>
      </c>
      <c r="H1178" s="52">
        <f>ROUND(Data!C1178*Data!D1178-Data!E1178,2)</f>
        <v>0</v>
      </c>
      <c r="I1178" s="52">
        <f>IF(AND(OR(Sel_Mode="All",Data!I1178=Sel_Mode),OR(Sel_Gender="All",D1178=Sel_Gender),OR(Sel_Category="All",Data!B1178=Sel_Category),OR(Sel_Month="All",C1178=Sel_Month),OR(Sel_County="All",Data!L1178=Sel_County)),1,0)</f>
        <v>1</v>
      </c>
    </row>
    <row r="1179" spans="1:9" x14ac:dyDescent="0.25">
      <c r="A1179" s="52" t="str">
        <f>Data!A1179</f>
        <v>TX501178</v>
      </c>
      <c r="B1179" s="52">
        <f>MONTH(Data!F1179)</f>
        <v>2</v>
      </c>
      <c r="C1179" s="52" t="str">
        <f>TEXT(Data!F1179,"mmm")</f>
        <v>Feb</v>
      </c>
      <c r="D1179" s="52" t="str">
        <f>Data!O1179</f>
        <v>Female</v>
      </c>
      <c r="E1179" s="52">
        <f>Data!G1179-Data!F1179</f>
        <v>9</v>
      </c>
      <c r="F1179" s="52">
        <f>IF(Data!J1179&lt;=5,Data!J1179,IF(Data!J1179&lt;=10,"6 TO 10","More than 10"))</f>
        <v>4</v>
      </c>
      <c r="G1179" s="52" t="str">
        <f t="shared" si="18"/>
        <v>8+</v>
      </c>
      <c r="H1179" s="52">
        <f>ROUND(Data!C1179*Data!D1179-Data!E1179,2)</f>
        <v>0</v>
      </c>
      <c r="I1179" s="52">
        <f>IF(AND(OR(Sel_Mode="All",Data!I1179=Sel_Mode),OR(Sel_Gender="All",D1179=Sel_Gender),OR(Sel_Category="All",Data!B1179=Sel_Category),OR(Sel_Month="All",C1179=Sel_Month),OR(Sel_County="All",Data!L1179=Sel_County)),1,0)</f>
        <v>1</v>
      </c>
    </row>
    <row r="1180" spans="1:9" x14ac:dyDescent="0.25">
      <c r="A1180" s="52" t="str">
        <f>Data!A1180</f>
        <v>TX501179</v>
      </c>
      <c r="B1180" s="52">
        <f>MONTH(Data!F1180)</f>
        <v>2</v>
      </c>
      <c r="C1180" s="52" t="str">
        <f>TEXT(Data!F1180,"mmm")</f>
        <v>Feb</v>
      </c>
      <c r="D1180" s="52" t="str">
        <f>Data!O1180</f>
        <v>Unknown</v>
      </c>
      <c r="E1180" s="52">
        <f>Data!G1180-Data!F1180</f>
        <v>3</v>
      </c>
      <c r="F1180" s="52">
        <f>IF(Data!J1180&lt;=5,Data!J1180,IF(Data!J1180&lt;=10,"6 TO 10","More than 10"))</f>
        <v>3</v>
      </c>
      <c r="G1180" s="52">
        <f t="shared" si="18"/>
        <v>3</v>
      </c>
      <c r="H1180" s="52">
        <f>ROUND(Data!C1180*Data!D1180-Data!E1180,2)</f>
        <v>0</v>
      </c>
      <c r="I1180" s="52">
        <f>IF(AND(OR(Sel_Mode="All",Data!I1180=Sel_Mode),OR(Sel_Gender="All",D1180=Sel_Gender),OR(Sel_Category="All",Data!B1180=Sel_Category),OR(Sel_Month="All",C1180=Sel_Month),OR(Sel_County="All",Data!L1180=Sel_County)),1,0)</f>
        <v>1</v>
      </c>
    </row>
    <row r="1181" spans="1:9" x14ac:dyDescent="0.25">
      <c r="A1181" s="52" t="str">
        <f>Data!A1181</f>
        <v>TX501180</v>
      </c>
      <c r="B1181" s="52">
        <f>MONTH(Data!F1181)</f>
        <v>2</v>
      </c>
      <c r="C1181" s="52" t="str">
        <f>TEXT(Data!F1181,"mmm")</f>
        <v>Feb</v>
      </c>
      <c r="D1181" s="52" t="str">
        <f>Data!O1181</f>
        <v>Female</v>
      </c>
      <c r="E1181" s="52">
        <f>Data!G1181-Data!F1181</f>
        <v>1</v>
      </c>
      <c r="F1181" s="52">
        <f>IF(Data!J1181&lt;=5,Data!J1181,IF(Data!J1181&lt;=10,"6 TO 10","More than 10"))</f>
        <v>5</v>
      </c>
      <c r="G1181" s="52">
        <f t="shared" si="18"/>
        <v>1</v>
      </c>
      <c r="H1181" s="52">
        <f>ROUND(Data!C1181*Data!D1181-Data!E1181,2)</f>
        <v>0</v>
      </c>
      <c r="I1181" s="52">
        <f>IF(AND(OR(Sel_Mode="All",Data!I1181=Sel_Mode),OR(Sel_Gender="All",D1181=Sel_Gender),OR(Sel_Category="All",Data!B1181=Sel_Category),OR(Sel_Month="All",C1181=Sel_Month),OR(Sel_County="All",Data!L1181=Sel_County)),1,0)</f>
        <v>1</v>
      </c>
    </row>
    <row r="1182" spans="1:9" x14ac:dyDescent="0.25">
      <c r="A1182" s="52" t="str">
        <f>Data!A1182</f>
        <v>TX501181</v>
      </c>
      <c r="B1182" s="52">
        <f>MONTH(Data!F1182)</f>
        <v>2</v>
      </c>
      <c r="C1182" s="52" t="str">
        <f>TEXT(Data!F1182,"mmm")</f>
        <v>Feb</v>
      </c>
      <c r="D1182" s="52" t="str">
        <f>Data!O1182</f>
        <v>Female</v>
      </c>
      <c r="E1182" s="52">
        <f>Data!G1182-Data!F1182</f>
        <v>8</v>
      </c>
      <c r="F1182" s="52">
        <f>IF(Data!J1182&lt;=5,Data!J1182,IF(Data!J1182&lt;=10,"6 TO 10","More than 10"))</f>
        <v>4</v>
      </c>
      <c r="G1182" s="52" t="str">
        <f t="shared" si="18"/>
        <v>8+</v>
      </c>
      <c r="H1182" s="52">
        <f>ROUND(Data!C1182*Data!D1182-Data!E1182,2)</f>
        <v>0</v>
      </c>
      <c r="I1182" s="52">
        <f>IF(AND(OR(Sel_Mode="All",Data!I1182=Sel_Mode),OR(Sel_Gender="All",D1182=Sel_Gender),OR(Sel_Category="All",Data!B1182=Sel_Category),OR(Sel_Month="All",C1182=Sel_Month),OR(Sel_County="All",Data!L1182=Sel_County)),1,0)</f>
        <v>1</v>
      </c>
    </row>
    <row r="1183" spans="1:9" x14ac:dyDescent="0.25">
      <c r="A1183" s="52" t="str">
        <f>Data!A1183</f>
        <v>TX501182</v>
      </c>
      <c r="B1183" s="52">
        <f>MONTH(Data!F1183)</f>
        <v>2</v>
      </c>
      <c r="C1183" s="52" t="str">
        <f>TEXT(Data!F1183,"mmm")</f>
        <v>Feb</v>
      </c>
      <c r="D1183" s="52" t="str">
        <f>Data!O1183</f>
        <v>Male</v>
      </c>
      <c r="E1183" s="52">
        <f>Data!G1183-Data!F1183</f>
        <v>3</v>
      </c>
      <c r="F1183" s="52">
        <f>IF(Data!J1183&lt;=5,Data!J1183,IF(Data!J1183&lt;=10,"6 TO 10","More than 10"))</f>
        <v>4</v>
      </c>
      <c r="G1183" s="52">
        <f t="shared" si="18"/>
        <v>3</v>
      </c>
      <c r="H1183" s="52">
        <f>ROUND(Data!C1183*Data!D1183-Data!E1183,2)</f>
        <v>0</v>
      </c>
      <c r="I1183" s="52">
        <f>IF(AND(OR(Sel_Mode="All",Data!I1183=Sel_Mode),OR(Sel_Gender="All",D1183=Sel_Gender),OR(Sel_Category="All",Data!B1183=Sel_Category),OR(Sel_Month="All",C1183=Sel_Month),OR(Sel_County="All",Data!L1183=Sel_County)),1,0)</f>
        <v>1</v>
      </c>
    </row>
    <row r="1184" spans="1:9" x14ac:dyDescent="0.25">
      <c r="A1184" s="52" t="str">
        <f>Data!A1184</f>
        <v>TX501183</v>
      </c>
      <c r="B1184" s="52">
        <f>MONTH(Data!F1184)</f>
        <v>2</v>
      </c>
      <c r="C1184" s="52" t="str">
        <f>TEXT(Data!F1184,"mmm")</f>
        <v>Feb</v>
      </c>
      <c r="D1184" s="52" t="str">
        <f>Data!O1184</f>
        <v>Unknown</v>
      </c>
      <c r="E1184" s="52">
        <f>Data!G1184-Data!F1184</f>
        <v>0</v>
      </c>
      <c r="F1184" s="52">
        <f>IF(Data!J1184&lt;=5,Data!J1184,IF(Data!J1184&lt;=10,"6 TO 10","More than 10"))</f>
        <v>3</v>
      </c>
      <c r="G1184" s="52">
        <f t="shared" si="18"/>
        <v>0</v>
      </c>
      <c r="H1184" s="52">
        <f>ROUND(Data!C1184*Data!D1184-Data!E1184,2)</f>
        <v>0</v>
      </c>
      <c r="I1184" s="52">
        <f>IF(AND(OR(Sel_Mode="All",Data!I1184=Sel_Mode),OR(Sel_Gender="All",D1184=Sel_Gender),OR(Sel_Category="All",Data!B1184=Sel_Category),OR(Sel_Month="All",C1184=Sel_Month),OR(Sel_County="All",Data!L1184=Sel_County)),1,0)</f>
        <v>1</v>
      </c>
    </row>
    <row r="1185" spans="1:9" x14ac:dyDescent="0.25">
      <c r="A1185" s="52" t="str">
        <f>Data!A1185</f>
        <v>TX501184</v>
      </c>
      <c r="B1185" s="52">
        <f>MONTH(Data!F1185)</f>
        <v>2</v>
      </c>
      <c r="C1185" s="52" t="str">
        <f>TEXT(Data!F1185,"mmm")</f>
        <v>Feb</v>
      </c>
      <c r="D1185" s="52" t="str">
        <f>Data!O1185</f>
        <v>Male</v>
      </c>
      <c r="E1185" s="52">
        <f>Data!G1185-Data!F1185</f>
        <v>1</v>
      </c>
      <c r="F1185" s="52">
        <f>IF(Data!J1185&lt;=5,Data!J1185,IF(Data!J1185&lt;=10,"6 TO 10","More than 10"))</f>
        <v>4</v>
      </c>
      <c r="G1185" s="52">
        <f t="shared" si="18"/>
        <v>1</v>
      </c>
      <c r="H1185" s="52">
        <f>ROUND(Data!C1185*Data!D1185-Data!E1185,2)</f>
        <v>0</v>
      </c>
      <c r="I1185" s="52">
        <f>IF(AND(OR(Sel_Mode="All",Data!I1185=Sel_Mode),OR(Sel_Gender="All",D1185=Sel_Gender),OR(Sel_Category="All",Data!B1185=Sel_Category),OR(Sel_Month="All",C1185=Sel_Month),OR(Sel_County="All",Data!L1185=Sel_County)),1,0)</f>
        <v>1</v>
      </c>
    </row>
    <row r="1186" spans="1:9" x14ac:dyDescent="0.25">
      <c r="A1186" s="52" t="str">
        <f>Data!A1186</f>
        <v>TX501185</v>
      </c>
      <c r="B1186" s="52">
        <f>MONTH(Data!F1186)</f>
        <v>2</v>
      </c>
      <c r="C1186" s="52" t="str">
        <f>TEXT(Data!F1186,"mmm")</f>
        <v>Feb</v>
      </c>
      <c r="D1186" s="52" t="str">
        <f>Data!O1186</f>
        <v>Female</v>
      </c>
      <c r="E1186" s="52">
        <f>Data!G1186-Data!F1186</f>
        <v>2</v>
      </c>
      <c r="F1186" s="52">
        <f>IF(Data!J1186&lt;=5,Data!J1186,IF(Data!J1186&lt;=10,"6 TO 10","More than 10"))</f>
        <v>4</v>
      </c>
      <c r="G1186" s="52">
        <f t="shared" si="18"/>
        <v>2</v>
      </c>
      <c r="H1186" s="52">
        <f>ROUND(Data!C1186*Data!D1186-Data!E1186,2)</f>
        <v>0</v>
      </c>
      <c r="I1186" s="52">
        <f>IF(AND(OR(Sel_Mode="All",Data!I1186=Sel_Mode),OR(Sel_Gender="All",D1186=Sel_Gender),OR(Sel_Category="All",Data!B1186=Sel_Category),OR(Sel_Month="All",C1186=Sel_Month),OR(Sel_County="All",Data!L1186=Sel_County)),1,0)</f>
        <v>1</v>
      </c>
    </row>
    <row r="1187" spans="1:9" x14ac:dyDescent="0.25">
      <c r="A1187" s="52" t="str">
        <f>Data!A1187</f>
        <v>TX501186</v>
      </c>
      <c r="B1187" s="52">
        <f>MONTH(Data!F1187)</f>
        <v>2</v>
      </c>
      <c r="C1187" s="52" t="str">
        <f>TEXT(Data!F1187,"mmm")</f>
        <v>Feb</v>
      </c>
      <c r="D1187" s="52" t="str">
        <f>Data!O1187</f>
        <v>Male</v>
      </c>
      <c r="E1187" s="52">
        <f>Data!G1187-Data!F1187</f>
        <v>5</v>
      </c>
      <c r="F1187" s="52">
        <f>IF(Data!J1187&lt;=5,Data!J1187,IF(Data!J1187&lt;=10,"6 TO 10","More than 10"))</f>
        <v>4</v>
      </c>
      <c r="G1187" s="52">
        <f t="shared" si="18"/>
        <v>5</v>
      </c>
      <c r="H1187" s="52">
        <f>ROUND(Data!C1187*Data!D1187-Data!E1187,2)</f>
        <v>0</v>
      </c>
      <c r="I1187" s="52">
        <f>IF(AND(OR(Sel_Mode="All",Data!I1187=Sel_Mode),OR(Sel_Gender="All",D1187=Sel_Gender),OR(Sel_Category="All",Data!B1187=Sel_Category),OR(Sel_Month="All",C1187=Sel_Month),OR(Sel_County="All",Data!L1187=Sel_County)),1,0)</f>
        <v>1</v>
      </c>
    </row>
    <row r="1188" spans="1:9" x14ac:dyDescent="0.25">
      <c r="A1188" s="52" t="str">
        <f>Data!A1188</f>
        <v>TX501187</v>
      </c>
      <c r="B1188" s="52">
        <f>MONTH(Data!F1188)</f>
        <v>2</v>
      </c>
      <c r="C1188" s="52" t="str">
        <f>TEXT(Data!F1188,"mmm")</f>
        <v>Feb</v>
      </c>
      <c r="D1188" s="52" t="str">
        <f>Data!O1188</f>
        <v>Unknown</v>
      </c>
      <c r="E1188" s="52">
        <f>Data!G1188-Data!F1188</f>
        <v>2</v>
      </c>
      <c r="F1188" s="52">
        <f>IF(Data!J1188&lt;=5,Data!J1188,IF(Data!J1188&lt;=10,"6 TO 10","More than 10"))</f>
        <v>4</v>
      </c>
      <c r="G1188" s="52">
        <f t="shared" si="18"/>
        <v>2</v>
      </c>
      <c r="H1188" s="52">
        <f>ROUND(Data!C1188*Data!D1188-Data!E1188,2)</f>
        <v>0</v>
      </c>
      <c r="I1188" s="52">
        <f>IF(AND(OR(Sel_Mode="All",Data!I1188=Sel_Mode),OR(Sel_Gender="All",D1188=Sel_Gender),OR(Sel_Category="All",Data!B1188=Sel_Category),OR(Sel_Month="All",C1188=Sel_Month),OR(Sel_County="All",Data!L1188=Sel_County)),1,0)</f>
        <v>1</v>
      </c>
    </row>
    <row r="1189" spans="1:9" x14ac:dyDescent="0.25">
      <c r="A1189" s="52" t="str">
        <f>Data!A1189</f>
        <v>TX501188</v>
      </c>
      <c r="B1189" s="52">
        <f>MONTH(Data!F1189)</f>
        <v>2</v>
      </c>
      <c r="C1189" s="52" t="str">
        <f>TEXT(Data!F1189,"mmm")</f>
        <v>Feb</v>
      </c>
      <c r="D1189" s="52" t="str">
        <f>Data!O1189</f>
        <v>Female</v>
      </c>
      <c r="E1189" s="52">
        <f>Data!G1189-Data!F1189</f>
        <v>1</v>
      </c>
      <c r="F1189" s="52">
        <f>IF(Data!J1189&lt;=5,Data!J1189,IF(Data!J1189&lt;=10,"6 TO 10","More than 10"))</f>
        <v>3</v>
      </c>
      <c r="G1189" s="52">
        <f t="shared" si="18"/>
        <v>1</v>
      </c>
      <c r="H1189" s="52">
        <f>ROUND(Data!C1189*Data!D1189-Data!E1189,2)</f>
        <v>0</v>
      </c>
      <c r="I1189" s="52">
        <f>IF(AND(OR(Sel_Mode="All",Data!I1189=Sel_Mode),OR(Sel_Gender="All",D1189=Sel_Gender),OR(Sel_Category="All",Data!B1189=Sel_Category),OR(Sel_Month="All",C1189=Sel_Month),OR(Sel_County="All",Data!L1189=Sel_County)),1,0)</f>
        <v>1</v>
      </c>
    </row>
    <row r="1190" spans="1:9" x14ac:dyDescent="0.25">
      <c r="A1190" s="52" t="str">
        <f>Data!A1190</f>
        <v>TX501189</v>
      </c>
      <c r="B1190" s="52">
        <f>MONTH(Data!F1190)</f>
        <v>2</v>
      </c>
      <c r="C1190" s="52" t="str">
        <f>TEXT(Data!F1190,"mmm")</f>
        <v>Feb</v>
      </c>
      <c r="D1190" s="52" t="str">
        <f>Data!O1190</f>
        <v>Female</v>
      </c>
      <c r="E1190" s="52">
        <f>Data!G1190-Data!F1190</f>
        <v>2</v>
      </c>
      <c r="F1190" s="52">
        <f>IF(Data!J1190&lt;=5,Data!J1190,IF(Data!J1190&lt;=10,"6 TO 10","More than 10"))</f>
        <v>4</v>
      </c>
      <c r="G1190" s="52">
        <f t="shared" si="18"/>
        <v>2</v>
      </c>
      <c r="H1190" s="52">
        <f>ROUND(Data!C1190*Data!D1190-Data!E1190,2)</f>
        <v>0</v>
      </c>
      <c r="I1190" s="52">
        <f>IF(AND(OR(Sel_Mode="All",Data!I1190=Sel_Mode),OR(Sel_Gender="All",D1190=Sel_Gender),OR(Sel_Category="All",Data!B1190=Sel_Category),OR(Sel_Month="All",C1190=Sel_Month),OR(Sel_County="All",Data!L1190=Sel_County)),1,0)</f>
        <v>1</v>
      </c>
    </row>
    <row r="1191" spans="1:9" x14ac:dyDescent="0.25">
      <c r="A1191" s="52" t="str">
        <f>Data!A1191</f>
        <v>TX501190</v>
      </c>
      <c r="B1191" s="52">
        <f>MONTH(Data!F1191)</f>
        <v>2</v>
      </c>
      <c r="C1191" s="52" t="str">
        <f>TEXT(Data!F1191,"mmm")</f>
        <v>Feb</v>
      </c>
      <c r="D1191" s="52" t="str">
        <f>Data!O1191</f>
        <v>Male</v>
      </c>
      <c r="E1191" s="52">
        <f>Data!G1191-Data!F1191</f>
        <v>1</v>
      </c>
      <c r="F1191" s="52">
        <f>IF(Data!J1191&lt;=5,Data!J1191,IF(Data!J1191&lt;=10,"6 TO 10","More than 10"))</f>
        <v>5</v>
      </c>
      <c r="G1191" s="52">
        <f t="shared" si="18"/>
        <v>1</v>
      </c>
      <c r="H1191" s="52">
        <f>ROUND(Data!C1191*Data!D1191-Data!E1191,2)</f>
        <v>0</v>
      </c>
      <c r="I1191" s="52">
        <f>IF(AND(OR(Sel_Mode="All",Data!I1191=Sel_Mode),OR(Sel_Gender="All",D1191=Sel_Gender),OR(Sel_Category="All",Data!B1191=Sel_Category),OR(Sel_Month="All",C1191=Sel_Month),OR(Sel_County="All",Data!L1191=Sel_County)),1,0)</f>
        <v>1</v>
      </c>
    </row>
    <row r="1192" spans="1:9" x14ac:dyDescent="0.25">
      <c r="A1192" s="52" t="str">
        <f>Data!A1192</f>
        <v>TX501191</v>
      </c>
      <c r="B1192" s="52">
        <f>MONTH(Data!F1192)</f>
        <v>2</v>
      </c>
      <c r="C1192" s="52" t="str">
        <f>TEXT(Data!F1192,"mmm")</f>
        <v>Feb</v>
      </c>
      <c r="D1192" s="52" t="str">
        <f>Data!O1192</f>
        <v>Female</v>
      </c>
      <c r="E1192" s="52">
        <f>Data!G1192-Data!F1192</f>
        <v>4</v>
      </c>
      <c r="F1192" s="52">
        <f>IF(Data!J1192&lt;=5,Data!J1192,IF(Data!J1192&lt;=10,"6 TO 10","More than 10"))</f>
        <v>4</v>
      </c>
      <c r="G1192" s="52">
        <f t="shared" si="18"/>
        <v>4</v>
      </c>
      <c r="H1192" s="52">
        <f>ROUND(Data!C1192*Data!D1192-Data!E1192,2)</f>
        <v>0</v>
      </c>
      <c r="I1192" s="52">
        <f>IF(AND(OR(Sel_Mode="All",Data!I1192=Sel_Mode),OR(Sel_Gender="All",D1192=Sel_Gender),OR(Sel_Category="All",Data!B1192=Sel_Category),OR(Sel_Month="All",C1192=Sel_Month),OR(Sel_County="All",Data!L1192=Sel_County)),1,0)</f>
        <v>1</v>
      </c>
    </row>
    <row r="1193" spans="1:9" x14ac:dyDescent="0.25">
      <c r="A1193" s="52" t="str">
        <f>Data!A1193</f>
        <v>TX501192</v>
      </c>
      <c r="B1193" s="52">
        <f>MONTH(Data!F1193)</f>
        <v>2</v>
      </c>
      <c r="C1193" s="52" t="str">
        <f>TEXT(Data!F1193,"mmm")</f>
        <v>Feb</v>
      </c>
      <c r="D1193" s="52" t="str">
        <f>Data!O1193</f>
        <v>Female</v>
      </c>
      <c r="E1193" s="52">
        <f>Data!G1193-Data!F1193</f>
        <v>2</v>
      </c>
      <c r="F1193" s="52">
        <f>IF(Data!J1193&lt;=5,Data!J1193,IF(Data!J1193&lt;=10,"6 TO 10","More than 10"))</f>
        <v>4</v>
      </c>
      <c r="G1193" s="52">
        <f t="shared" si="18"/>
        <v>2</v>
      </c>
      <c r="H1193" s="52">
        <f>ROUND(Data!C1193*Data!D1193-Data!E1193,2)</f>
        <v>0</v>
      </c>
      <c r="I1193" s="52">
        <f>IF(AND(OR(Sel_Mode="All",Data!I1193=Sel_Mode),OR(Sel_Gender="All",D1193=Sel_Gender),OR(Sel_Category="All",Data!B1193=Sel_Category),OR(Sel_Month="All",C1193=Sel_Month),OR(Sel_County="All",Data!L1193=Sel_County)),1,0)</f>
        <v>1</v>
      </c>
    </row>
    <row r="1194" spans="1:9" x14ac:dyDescent="0.25">
      <c r="A1194" s="52" t="str">
        <f>Data!A1194</f>
        <v>TX501193</v>
      </c>
      <c r="B1194" s="52">
        <f>MONTH(Data!F1194)</f>
        <v>2</v>
      </c>
      <c r="C1194" s="52" t="str">
        <f>TEXT(Data!F1194,"mmm")</f>
        <v>Feb</v>
      </c>
      <c r="D1194" s="52" t="str">
        <f>Data!O1194</f>
        <v>Male</v>
      </c>
      <c r="E1194" s="52">
        <f>Data!G1194-Data!F1194</f>
        <v>1</v>
      </c>
      <c r="F1194" s="52">
        <f>IF(Data!J1194&lt;=5,Data!J1194,IF(Data!J1194&lt;=10,"6 TO 10","More than 10"))</f>
        <v>4</v>
      </c>
      <c r="G1194" s="52">
        <f t="shared" si="18"/>
        <v>1</v>
      </c>
      <c r="H1194" s="52">
        <f>ROUND(Data!C1194*Data!D1194-Data!E1194,2)</f>
        <v>0</v>
      </c>
      <c r="I1194" s="52">
        <f>IF(AND(OR(Sel_Mode="All",Data!I1194=Sel_Mode),OR(Sel_Gender="All",D1194=Sel_Gender),OR(Sel_Category="All",Data!B1194=Sel_Category),OR(Sel_Month="All",C1194=Sel_Month),OR(Sel_County="All",Data!L1194=Sel_County)),1,0)</f>
        <v>1</v>
      </c>
    </row>
    <row r="1195" spans="1:9" x14ac:dyDescent="0.25">
      <c r="A1195" s="52" t="str">
        <f>Data!A1195</f>
        <v>TX501194</v>
      </c>
      <c r="B1195" s="52">
        <f>MONTH(Data!F1195)</f>
        <v>2</v>
      </c>
      <c r="C1195" s="52" t="str">
        <f>TEXT(Data!F1195,"mmm")</f>
        <v>Feb</v>
      </c>
      <c r="D1195" s="52" t="str">
        <f>Data!O1195</f>
        <v>Female</v>
      </c>
      <c r="E1195" s="52">
        <f>Data!G1195-Data!F1195</f>
        <v>3</v>
      </c>
      <c r="F1195" s="52">
        <f>IF(Data!J1195&lt;=5,Data!J1195,IF(Data!J1195&lt;=10,"6 TO 10","More than 10"))</f>
        <v>4</v>
      </c>
      <c r="G1195" s="52">
        <f t="shared" si="18"/>
        <v>3</v>
      </c>
      <c r="H1195" s="52">
        <f>ROUND(Data!C1195*Data!D1195-Data!E1195,2)</f>
        <v>0</v>
      </c>
      <c r="I1195" s="52">
        <f>IF(AND(OR(Sel_Mode="All",Data!I1195=Sel_Mode),OR(Sel_Gender="All",D1195=Sel_Gender),OR(Sel_Category="All",Data!B1195=Sel_Category),OR(Sel_Month="All",C1195=Sel_Month),OR(Sel_County="All",Data!L1195=Sel_County)),1,0)</f>
        <v>1</v>
      </c>
    </row>
    <row r="1196" spans="1:9" x14ac:dyDescent="0.25">
      <c r="A1196" s="52" t="str">
        <f>Data!A1196</f>
        <v>TX501195</v>
      </c>
      <c r="B1196" s="52">
        <f>MONTH(Data!F1196)</f>
        <v>2</v>
      </c>
      <c r="C1196" s="52" t="str">
        <f>TEXT(Data!F1196,"mmm")</f>
        <v>Feb</v>
      </c>
      <c r="D1196" s="52" t="str">
        <f>Data!O1196</f>
        <v>Male</v>
      </c>
      <c r="E1196" s="52">
        <f>Data!G1196-Data!F1196</f>
        <v>2</v>
      </c>
      <c r="F1196" s="52">
        <f>IF(Data!J1196&lt;=5,Data!J1196,IF(Data!J1196&lt;=10,"6 TO 10","More than 10"))</f>
        <v>4</v>
      </c>
      <c r="G1196" s="52">
        <f t="shared" si="18"/>
        <v>2</v>
      </c>
      <c r="H1196" s="52">
        <f>ROUND(Data!C1196*Data!D1196-Data!E1196,2)</f>
        <v>0</v>
      </c>
      <c r="I1196" s="52">
        <f>IF(AND(OR(Sel_Mode="All",Data!I1196=Sel_Mode),OR(Sel_Gender="All",D1196=Sel_Gender),OR(Sel_Category="All",Data!B1196=Sel_Category),OR(Sel_Month="All",C1196=Sel_Month),OR(Sel_County="All",Data!L1196=Sel_County)),1,0)</f>
        <v>1</v>
      </c>
    </row>
    <row r="1197" spans="1:9" x14ac:dyDescent="0.25">
      <c r="A1197" s="52" t="str">
        <f>Data!A1197</f>
        <v>TX501196</v>
      </c>
      <c r="B1197" s="52">
        <f>MONTH(Data!F1197)</f>
        <v>2</v>
      </c>
      <c r="C1197" s="52" t="str">
        <f>TEXT(Data!F1197,"mmm")</f>
        <v>Feb</v>
      </c>
      <c r="D1197" s="52" t="str">
        <f>Data!O1197</f>
        <v>Male</v>
      </c>
      <c r="E1197" s="52">
        <f>Data!G1197-Data!F1197</f>
        <v>2</v>
      </c>
      <c r="F1197" s="52">
        <f>IF(Data!J1197&lt;=5,Data!J1197,IF(Data!J1197&lt;=10,"6 TO 10","More than 10"))</f>
        <v>3</v>
      </c>
      <c r="G1197" s="52">
        <f t="shared" si="18"/>
        <v>2</v>
      </c>
      <c r="H1197" s="52">
        <f>ROUND(Data!C1197*Data!D1197-Data!E1197,2)</f>
        <v>0</v>
      </c>
      <c r="I1197" s="52">
        <f>IF(AND(OR(Sel_Mode="All",Data!I1197=Sel_Mode),OR(Sel_Gender="All",D1197=Sel_Gender),OR(Sel_Category="All",Data!B1197=Sel_Category),OR(Sel_Month="All",C1197=Sel_Month),OR(Sel_County="All",Data!L1197=Sel_County)),1,0)</f>
        <v>1</v>
      </c>
    </row>
    <row r="1198" spans="1:9" x14ac:dyDescent="0.25">
      <c r="A1198" s="52" t="str">
        <f>Data!A1198</f>
        <v>TX501197</v>
      </c>
      <c r="B1198" s="52">
        <f>MONTH(Data!F1198)</f>
        <v>2</v>
      </c>
      <c r="C1198" s="52" t="str">
        <f>TEXT(Data!F1198,"mmm")</f>
        <v>Feb</v>
      </c>
      <c r="D1198" s="52" t="str">
        <f>Data!O1198</f>
        <v>Male</v>
      </c>
      <c r="E1198" s="52">
        <f>Data!G1198-Data!F1198</f>
        <v>3</v>
      </c>
      <c r="F1198" s="52">
        <f>IF(Data!J1198&lt;=5,Data!J1198,IF(Data!J1198&lt;=10,"6 TO 10","More than 10"))</f>
        <v>2</v>
      </c>
      <c r="G1198" s="52">
        <f t="shared" si="18"/>
        <v>3</v>
      </c>
      <c r="H1198" s="52">
        <f>ROUND(Data!C1198*Data!D1198-Data!E1198,2)</f>
        <v>0</v>
      </c>
      <c r="I1198" s="52">
        <f>IF(AND(OR(Sel_Mode="All",Data!I1198=Sel_Mode),OR(Sel_Gender="All",D1198=Sel_Gender),OR(Sel_Category="All",Data!B1198=Sel_Category),OR(Sel_Month="All",C1198=Sel_Month),OR(Sel_County="All",Data!L1198=Sel_County)),1,0)</f>
        <v>1</v>
      </c>
    </row>
    <row r="1199" spans="1:9" x14ac:dyDescent="0.25">
      <c r="A1199" s="52" t="str">
        <f>Data!A1199</f>
        <v>TX501198</v>
      </c>
      <c r="B1199" s="52">
        <f>MONTH(Data!F1199)</f>
        <v>2</v>
      </c>
      <c r="C1199" s="52" t="str">
        <f>TEXT(Data!F1199,"mmm")</f>
        <v>Feb</v>
      </c>
      <c r="D1199" s="52" t="str">
        <f>Data!O1199</f>
        <v>Male</v>
      </c>
      <c r="E1199" s="52">
        <f>Data!G1199-Data!F1199</f>
        <v>5</v>
      </c>
      <c r="F1199" s="52">
        <f>IF(Data!J1199&lt;=5,Data!J1199,IF(Data!J1199&lt;=10,"6 TO 10","More than 10"))</f>
        <v>4</v>
      </c>
      <c r="G1199" s="52">
        <f t="shared" si="18"/>
        <v>5</v>
      </c>
      <c r="H1199" s="52">
        <f>ROUND(Data!C1199*Data!D1199-Data!E1199,2)</f>
        <v>0</v>
      </c>
      <c r="I1199" s="52">
        <f>IF(AND(OR(Sel_Mode="All",Data!I1199=Sel_Mode),OR(Sel_Gender="All",D1199=Sel_Gender),OR(Sel_Category="All",Data!B1199=Sel_Category),OR(Sel_Month="All",C1199=Sel_Month),OR(Sel_County="All",Data!L1199=Sel_County)),1,0)</f>
        <v>1</v>
      </c>
    </row>
    <row r="1200" spans="1:9" x14ac:dyDescent="0.25">
      <c r="A1200" s="52" t="str">
        <f>Data!A1200</f>
        <v>TX501199</v>
      </c>
      <c r="B1200" s="52">
        <f>MONTH(Data!F1200)</f>
        <v>2</v>
      </c>
      <c r="C1200" s="52" t="str">
        <f>TEXT(Data!F1200,"mmm")</f>
        <v>Feb</v>
      </c>
      <c r="D1200" s="52" t="str">
        <f>Data!O1200</f>
        <v>Female</v>
      </c>
      <c r="E1200" s="52">
        <f>Data!G1200-Data!F1200</f>
        <v>0</v>
      </c>
      <c r="F1200" s="52">
        <f>IF(Data!J1200&lt;=5,Data!J1200,IF(Data!J1200&lt;=10,"6 TO 10","More than 10"))</f>
        <v>5</v>
      </c>
      <c r="G1200" s="52">
        <f t="shared" si="18"/>
        <v>0</v>
      </c>
      <c r="H1200" s="52">
        <f>ROUND(Data!C1200*Data!D1200-Data!E1200,2)</f>
        <v>0</v>
      </c>
      <c r="I1200" s="52">
        <f>IF(AND(OR(Sel_Mode="All",Data!I1200=Sel_Mode),OR(Sel_Gender="All",D1200=Sel_Gender),OR(Sel_Category="All",Data!B1200=Sel_Category),OR(Sel_Month="All",C1200=Sel_Month),OR(Sel_County="All",Data!L1200=Sel_County)),1,0)</f>
        <v>1</v>
      </c>
    </row>
    <row r="1201" spans="1:9" x14ac:dyDescent="0.25">
      <c r="A1201" s="52" t="str">
        <f>Data!A1201</f>
        <v>TX501200</v>
      </c>
      <c r="B1201" s="52">
        <f>MONTH(Data!F1201)</f>
        <v>2</v>
      </c>
      <c r="C1201" s="52" t="str">
        <f>TEXT(Data!F1201,"mmm")</f>
        <v>Feb</v>
      </c>
      <c r="D1201" s="52" t="str">
        <f>Data!O1201</f>
        <v>Female</v>
      </c>
      <c r="E1201" s="52">
        <f>Data!G1201-Data!F1201</f>
        <v>5</v>
      </c>
      <c r="F1201" s="52">
        <f>IF(Data!J1201&lt;=5,Data!J1201,IF(Data!J1201&lt;=10,"6 TO 10","More than 10"))</f>
        <v>4</v>
      </c>
      <c r="G1201" s="52">
        <f t="shared" si="18"/>
        <v>5</v>
      </c>
      <c r="H1201" s="52">
        <f>ROUND(Data!C1201*Data!D1201-Data!E1201,2)</f>
        <v>0</v>
      </c>
      <c r="I1201" s="52">
        <f>IF(AND(OR(Sel_Mode="All",Data!I1201=Sel_Mode),OR(Sel_Gender="All",D1201=Sel_Gender),OR(Sel_Category="All",Data!B1201=Sel_Category),OR(Sel_Month="All",C1201=Sel_Month),OR(Sel_County="All",Data!L1201=Sel_County)),1,0)</f>
        <v>1</v>
      </c>
    </row>
    <row r="1202" spans="1:9" x14ac:dyDescent="0.25">
      <c r="A1202" s="52" t="str">
        <f>Data!A1202</f>
        <v>TX501201</v>
      </c>
      <c r="B1202" s="52">
        <f>MONTH(Data!F1202)</f>
        <v>2</v>
      </c>
      <c r="C1202" s="52" t="str">
        <f>TEXT(Data!F1202,"mmm")</f>
        <v>Feb</v>
      </c>
      <c r="D1202" s="52" t="str">
        <f>Data!O1202</f>
        <v>Female</v>
      </c>
      <c r="E1202" s="52">
        <f>Data!G1202-Data!F1202</f>
        <v>5</v>
      </c>
      <c r="F1202" s="52">
        <f>IF(Data!J1202&lt;=5,Data!J1202,IF(Data!J1202&lt;=10,"6 TO 10","More than 10"))</f>
        <v>4</v>
      </c>
      <c r="G1202" s="52">
        <f t="shared" si="18"/>
        <v>5</v>
      </c>
      <c r="H1202" s="52">
        <f>ROUND(Data!C1202*Data!D1202-Data!E1202,2)</f>
        <v>0</v>
      </c>
      <c r="I1202" s="52">
        <f>IF(AND(OR(Sel_Mode="All",Data!I1202=Sel_Mode),OR(Sel_Gender="All",D1202=Sel_Gender),OR(Sel_Category="All",Data!B1202=Sel_Category),OR(Sel_Month="All",C1202=Sel_Month),OR(Sel_County="All",Data!L1202=Sel_County)),1,0)</f>
        <v>1</v>
      </c>
    </row>
    <row r="1203" spans="1:9" x14ac:dyDescent="0.25">
      <c r="A1203" s="52" t="str">
        <f>Data!A1203</f>
        <v>TX501202</v>
      </c>
      <c r="B1203" s="52">
        <f>MONTH(Data!F1203)</f>
        <v>2</v>
      </c>
      <c r="C1203" s="52" t="str">
        <f>TEXT(Data!F1203,"mmm")</f>
        <v>Feb</v>
      </c>
      <c r="D1203" s="52" t="str">
        <f>Data!O1203</f>
        <v>Female</v>
      </c>
      <c r="E1203" s="52">
        <f>Data!G1203-Data!F1203</f>
        <v>0</v>
      </c>
      <c r="F1203" s="52">
        <f>IF(Data!J1203&lt;=5,Data!J1203,IF(Data!J1203&lt;=10,"6 TO 10","More than 10"))</f>
        <v>3</v>
      </c>
      <c r="G1203" s="52">
        <f t="shared" si="18"/>
        <v>0</v>
      </c>
      <c r="H1203" s="52">
        <f>ROUND(Data!C1203*Data!D1203-Data!E1203,2)</f>
        <v>0</v>
      </c>
      <c r="I1203" s="52">
        <f>IF(AND(OR(Sel_Mode="All",Data!I1203=Sel_Mode),OR(Sel_Gender="All",D1203=Sel_Gender),OR(Sel_Category="All",Data!B1203=Sel_Category),OR(Sel_Month="All",C1203=Sel_Month),OR(Sel_County="All",Data!L1203=Sel_County)),1,0)</f>
        <v>1</v>
      </c>
    </row>
    <row r="1204" spans="1:9" x14ac:dyDescent="0.25">
      <c r="A1204" s="52" t="str">
        <f>Data!A1204</f>
        <v>TX501203</v>
      </c>
      <c r="B1204" s="52">
        <f>MONTH(Data!F1204)</f>
        <v>2</v>
      </c>
      <c r="C1204" s="52" t="str">
        <f>TEXT(Data!F1204,"mmm")</f>
        <v>Feb</v>
      </c>
      <c r="D1204" s="52" t="str">
        <f>Data!O1204</f>
        <v>Female</v>
      </c>
      <c r="E1204" s="52">
        <f>Data!G1204-Data!F1204</f>
        <v>4</v>
      </c>
      <c r="F1204" s="52">
        <f>IF(Data!J1204&lt;=5,Data!J1204,IF(Data!J1204&lt;=10,"6 TO 10","More than 10"))</f>
        <v>4</v>
      </c>
      <c r="G1204" s="52">
        <f t="shared" si="18"/>
        <v>4</v>
      </c>
      <c r="H1204" s="52">
        <f>ROUND(Data!C1204*Data!D1204-Data!E1204,2)</f>
        <v>0</v>
      </c>
      <c r="I1204" s="52">
        <f>IF(AND(OR(Sel_Mode="All",Data!I1204=Sel_Mode),OR(Sel_Gender="All",D1204=Sel_Gender),OR(Sel_Category="All",Data!B1204=Sel_Category),OR(Sel_Month="All",C1204=Sel_Month),OR(Sel_County="All",Data!L1204=Sel_County)),1,0)</f>
        <v>1</v>
      </c>
    </row>
    <row r="1205" spans="1:9" x14ac:dyDescent="0.25">
      <c r="A1205" s="52" t="str">
        <f>Data!A1205</f>
        <v>TX501204</v>
      </c>
      <c r="B1205" s="52">
        <f>MONTH(Data!F1205)</f>
        <v>2</v>
      </c>
      <c r="C1205" s="52" t="str">
        <f>TEXT(Data!F1205,"mmm")</f>
        <v>Feb</v>
      </c>
      <c r="D1205" s="52" t="str">
        <f>Data!O1205</f>
        <v>Male</v>
      </c>
      <c r="E1205" s="52">
        <f>Data!G1205-Data!F1205</f>
        <v>4</v>
      </c>
      <c r="F1205" s="52">
        <f>IF(Data!J1205&lt;=5,Data!J1205,IF(Data!J1205&lt;=10,"6 TO 10","More than 10"))</f>
        <v>4</v>
      </c>
      <c r="G1205" s="52">
        <f t="shared" si="18"/>
        <v>4</v>
      </c>
      <c r="H1205" s="52">
        <f>ROUND(Data!C1205*Data!D1205-Data!E1205,2)</f>
        <v>0</v>
      </c>
      <c r="I1205" s="52">
        <f>IF(AND(OR(Sel_Mode="All",Data!I1205=Sel_Mode),OR(Sel_Gender="All",D1205=Sel_Gender),OR(Sel_Category="All",Data!B1205=Sel_Category),OR(Sel_Month="All",C1205=Sel_Month),OR(Sel_County="All",Data!L1205=Sel_County)),1,0)</f>
        <v>1</v>
      </c>
    </row>
    <row r="1206" spans="1:9" x14ac:dyDescent="0.25">
      <c r="A1206" s="52" t="str">
        <f>Data!A1206</f>
        <v>TX501205</v>
      </c>
      <c r="B1206" s="52">
        <f>MONTH(Data!F1206)</f>
        <v>2</v>
      </c>
      <c r="C1206" s="52" t="str">
        <f>TEXT(Data!F1206,"mmm")</f>
        <v>Feb</v>
      </c>
      <c r="D1206" s="52" t="str">
        <f>Data!O1206</f>
        <v>Male</v>
      </c>
      <c r="E1206" s="52">
        <f>Data!G1206-Data!F1206</f>
        <v>1</v>
      </c>
      <c r="F1206" s="52">
        <f>IF(Data!J1206&lt;=5,Data!J1206,IF(Data!J1206&lt;=10,"6 TO 10","More than 10"))</f>
        <v>3</v>
      </c>
      <c r="G1206" s="52">
        <f t="shared" si="18"/>
        <v>1</v>
      </c>
      <c r="H1206" s="52">
        <f>ROUND(Data!C1206*Data!D1206-Data!E1206,2)</f>
        <v>0</v>
      </c>
      <c r="I1206" s="52">
        <f>IF(AND(OR(Sel_Mode="All",Data!I1206=Sel_Mode),OR(Sel_Gender="All",D1206=Sel_Gender),OR(Sel_Category="All",Data!B1206=Sel_Category),OR(Sel_Month="All",C1206=Sel_Month),OR(Sel_County="All",Data!L1206=Sel_County)),1,0)</f>
        <v>1</v>
      </c>
    </row>
    <row r="1207" spans="1:9" x14ac:dyDescent="0.25">
      <c r="A1207" s="52" t="str">
        <f>Data!A1207</f>
        <v>TX501206</v>
      </c>
      <c r="B1207" s="52">
        <f>MONTH(Data!F1207)</f>
        <v>2</v>
      </c>
      <c r="C1207" s="52" t="str">
        <f>TEXT(Data!F1207,"mmm")</f>
        <v>Feb</v>
      </c>
      <c r="D1207" s="52" t="str">
        <f>Data!O1207</f>
        <v>Other</v>
      </c>
      <c r="E1207" s="52">
        <f>Data!G1207-Data!F1207</f>
        <v>1</v>
      </c>
      <c r="F1207" s="52">
        <f>IF(Data!J1207&lt;=5,Data!J1207,IF(Data!J1207&lt;=10,"6 TO 10","More than 10"))</f>
        <v>3</v>
      </c>
      <c r="G1207" s="52">
        <f t="shared" si="18"/>
        <v>1</v>
      </c>
      <c r="H1207" s="52">
        <f>ROUND(Data!C1207*Data!D1207-Data!E1207,2)</f>
        <v>0</v>
      </c>
      <c r="I1207" s="52">
        <f>IF(AND(OR(Sel_Mode="All",Data!I1207=Sel_Mode),OR(Sel_Gender="All",D1207=Sel_Gender),OR(Sel_Category="All",Data!B1207=Sel_Category),OR(Sel_Month="All",C1207=Sel_Month),OR(Sel_County="All",Data!L1207=Sel_County)),1,0)</f>
        <v>1</v>
      </c>
    </row>
    <row r="1208" spans="1:9" x14ac:dyDescent="0.25">
      <c r="A1208" s="52" t="str">
        <f>Data!A1208</f>
        <v>TX501207</v>
      </c>
      <c r="B1208" s="52">
        <f>MONTH(Data!F1208)</f>
        <v>2</v>
      </c>
      <c r="C1208" s="52" t="str">
        <f>TEXT(Data!F1208,"mmm")</f>
        <v>Feb</v>
      </c>
      <c r="D1208" s="52" t="str">
        <f>Data!O1208</f>
        <v>Female</v>
      </c>
      <c r="E1208" s="52">
        <f>Data!G1208-Data!F1208</f>
        <v>13</v>
      </c>
      <c r="F1208" s="52">
        <f>IF(Data!J1208&lt;=5,Data!J1208,IF(Data!J1208&lt;=10,"6 TO 10","More than 10"))</f>
        <v>4</v>
      </c>
      <c r="G1208" s="52" t="str">
        <f t="shared" si="18"/>
        <v>8+</v>
      </c>
      <c r="H1208" s="52">
        <f>ROUND(Data!C1208*Data!D1208-Data!E1208,2)</f>
        <v>0</v>
      </c>
      <c r="I1208" s="52">
        <f>IF(AND(OR(Sel_Mode="All",Data!I1208=Sel_Mode),OR(Sel_Gender="All",D1208=Sel_Gender),OR(Sel_Category="All",Data!B1208=Sel_Category),OR(Sel_Month="All",C1208=Sel_Month),OR(Sel_County="All",Data!L1208=Sel_County)),1,0)</f>
        <v>1</v>
      </c>
    </row>
    <row r="1209" spans="1:9" x14ac:dyDescent="0.25">
      <c r="A1209" s="52" t="str">
        <f>Data!A1209</f>
        <v>TX501208</v>
      </c>
      <c r="B1209" s="52">
        <f>MONTH(Data!F1209)</f>
        <v>2</v>
      </c>
      <c r="C1209" s="52" t="str">
        <f>TEXT(Data!F1209,"mmm")</f>
        <v>Feb</v>
      </c>
      <c r="D1209" s="52" t="str">
        <f>Data!O1209</f>
        <v>Female</v>
      </c>
      <c r="E1209" s="52">
        <f>Data!G1209-Data!F1209</f>
        <v>1</v>
      </c>
      <c r="F1209" s="52">
        <f>IF(Data!J1209&lt;=5,Data!J1209,IF(Data!J1209&lt;=10,"6 TO 10","More than 10"))</f>
        <v>4</v>
      </c>
      <c r="G1209" s="52">
        <f t="shared" si="18"/>
        <v>1</v>
      </c>
      <c r="H1209" s="52">
        <f>ROUND(Data!C1209*Data!D1209-Data!E1209,2)</f>
        <v>0</v>
      </c>
      <c r="I1209" s="52">
        <f>IF(AND(OR(Sel_Mode="All",Data!I1209=Sel_Mode),OR(Sel_Gender="All",D1209=Sel_Gender),OR(Sel_Category="All",Data!B1209=Sel_Category),OR(Sel_Month="All",C1209=Sel_Month),OR(Sel_County="All",Data!L1209=Sel_County)),1,0)</f>
        <v>1</v>
      </c>
    </row>
    <row r="1210" spans="1:9" x14ac:dyDescent="0.25">
      <c r="A1210" s="52" t="str">
        <f>Data!A1210</f>
        <v>TX501209</v>
      </c>
      <c r="B1210" s="52">
        <f>MONTH(Data!F1210)</f>
        <v>2</v>
      </c>
      <c r="C1210" s="52" t="str">
        <f>TEXT(Data!F1210,"mmm")</f>
        <v>Feb</v>
      </c>
      <c r="D1210" s="52" t="str">
        <f>Data!O1210</f>
        <v>Male</v>
      </c>
      <c r="E1210" s="52">
        <f>Data!G1210-Data!F1210</f>
        <v>1</v>
      </c>
      <c r="F1210" s="52">
        <f>IF(Data!J1210&lt;=5,Data!J1210,IF(Data!J1210&lt;=10,"6 TO 10","More than 10"))</f>
        <v>4</v>
      </c>
      <c r="G1210" s="52">
        <f t="shared" si="18"/>
        <v>1</v>
      </c>
      <c r="H1210" s="52">
        <f>ROUND(Data!C1210*Data!D1210-Data!E1210,2)</f>
        <v>0</v>
      </c>
      <c r="I1210" s="52">
        <f>IF(AND(OR(Sel_Mode="All",Data!I1210=Sel_Mode),OR(Sel_Gender="All",D1210=Sel_Gender),OR(Sel_Category="All",Data!B1210=Sel_Category),OR(Sel_Month="All",C1210=Sel_Month),OR(Sel_County="All",Data!L1210=Sel_County)),1,0)</f>
        <v>1</v>
      </c>
    </row>
    <row r="1211" spans="1:9" x14ac:dyDescent="0.25">
      <c r="A1211" s="52" t="str">
        <f>Data!A1211</f>
        <v>TX501210</v>
      </c>
      <c r="B1211" s="52">
        <f>MONTH(Data!F1211)</f>
        <v>2</v>
      </c>
      <c r="C1211" s="52" t="str">
        <f>TEXT(Data!F1211,"mmm")</f>
        <v>Feb</v>
      </c>
      <c r="D1211" s="52" t="str">
        <f>Data!O1211</f>
        <v>Male</v>
      </c>
      <c r="E1211" s="52">
        <f>Data!G1211-Data!F1211</f>
        <v>2</v>
      </c>
      <c r="F1211" s="52">
        <f>IF(Data!J1211&lt;=5,Data!J1211,IF(Data!J1211&lt;=10,"6 TO 10","More than 10"))</f>
        <v>4</v>
      </c>
      <c r="G1211" s="52">
        <f t="shared" si="18"/>
        <v>2</v>
      </c>
      <c r="H1211" s="52">
        <f>ROUND(Data!C1211*Data!D1211-Data!E1211,2)</f>
        <v>0</v>
      </c>
      <c r="I1211" s="52">
        <f>IF(AND(OR(Sel_Mode="All",Data!I1211=Sel_Mode),OR(Sel_Gender="All",D1211=Sel_Gender),OR(Sel_Category="All",Data!B1211=Sel_Category),OR(Sel_Month="All",C1211=Sel_Month),OR(Sel_County="All",Data!L1211=Sel_County)),1,0)</f>
        <v>1</v>
      </c>
    </row>
    <row r="1212" spans="1:9" x14ac:dyDescent="0.25">
      <c r="A1212" s="52" t="str">
        <f>Data!A1212</f>
        <v>TX501211</v>
      </c>
      <c r="B1212" s="52">
        <f>MONTH(Data!F1212)</f>
        <v>2</v>
      </c>
      <c r="C1212" s="52" t="str">
        <f>TEXT(Data!F1212,"mmm")</f>
        <v>Feb</v>
      </c>
      <c r="D1212" s="52" t="str">
        <f>Data!O1212</f>
        <v>Other</v>
      </c>
      <c r="E1212" s="52">
        <f>Data!G1212-Data!F1212</f>
        <v>3</v>
      </c>
      <c r="F1212" s="52">
        <f>IF(Data!J1212&lt;=5,Data!J1212,IF(Data!J1212&lt;=10,"6 TO 10","More than 10"))</f>
        <v>4</v>
      </c>
      <c r="G1212" s="52">
        <f t="shared" si="18"/>
        <v>3</v>
      </c>
      <c r="H1212" s="52">
        <f>ROUND(Data!C1212*Data!D1212-Data!E1212,2)</f>
        <v>0</v>
      </c>
      <c r="I1212" s="52">
        <f>IF(AND(OR(Sel_Mode="All",Data!I1212=Sel_Mode),OR(Sel_Gender="All",D1212=Sel_Gender),OR(Sel_Category="All",Data!B1212=Sel_Category),OR(Sel_Month="All",C1212=Sel_Month),OR(Sel_County="All",Data!L1212=Sel_County)),1,0)</f>
        <v>1</v>
      </c>
    </row>
    <row r="1213" spans="1:9" x14ac:dyDescent="0.25">
      <c r="A1213" s="52" t="str">
        <f>Data!A1213</f>
        <v>TX501212</v>
      </c>
      <c r="B1213" s="52">
        <f>MONTH(Data!F1213)</f>
        <v>2</v>
      </c>
      <c r="C1213" s="52" t="str">
        <f>TEXT(Data!F1213,"mmm")</f>
        <v>Feb</v>
      </c>
      <c r="D1213" s="52" t="str">
        <f>Data!O1213</f>
        <v>Female</v>
      </c>
      <c r="E1213" s="52">
        <f>Data!G1213-Data!F1213</f>
        <v>2</v>
      </c>
      <c r="F1213" s="52">
        <f>IF(Data!J1213&lt;=5,Data!J1213,IF(Data!J1213&lt;=10,"6 TO 10","More than 10"))</f>
        <v>3</v>
      </c>
      <c r="G1213" s="52">
        <f t="shared" si="18"/>
        <v>2</v>
      </c>
      <c r="H1213" s="52">
        <f>ROUND(Data!C1213*Data!D1213-Data!E1213,2)</f>
        <v>0</v>
      </c>
      <c r="I1213" s="52">
        <f>IF(AND(OR(Sel_Mode="All",Data!I1213=Sel_Mode),OR(Sel_Gender="All",D1213=Sel_Gender),OR(Sel_Category="All",Data!B1213=Sel_Category),OR(Sel_Month="All",C1213=Sel_Month),OR(Sel_County="All",Data!L1213=Sel_County)),1,0)</f>
        <v>1</v>
      </c>
    </row>
    <row r="1214" spans="1:9" x14ac:dyDescent="0.25">
      <c r="A1214" s="52" t="str">
        <f>Data!A1214</f>
        <v>TX501213</v>
      </c>
      <c r="B1214" s="52">
        <f>MONTH(Data!F1214)</f>
        <v>2</v>
      </c>
      <c r="C1214" s="52" t="str">
        <f>TEXT(Data!F1214,"mmm")</f>
        <v>Feb</v>
      </c>
      <c r="D1214" s="52" t="str">
        <f>Data!O1214</f>
        <v>Female</v>
      </c>
      <c r="E1214" s="52">
        <f>Data!G1214-Data!F1214</f>
        <v>4</v>
      </c>
      <c r="F1214" s="52">
        <f>IF(Data!J1214&lt;=5,Data!J1214,IF(Data!J1214&lt;=10,"6 TO 10","More than 10"))</f>
        <v>2</v>
      </c>
      <c r="G1214" s="52">
        <f t="shared" si="18"/>
        <v>4</v>
      </c>
      <c r="H1214" s="52">
        <f>ROUND(Data!C1214*Data!D1214-Data!E1214,2)</f>
        <v>0</v>
      </c>
      <c r="I1214" s="52">
        <f>IF(AND(OR(Sel_Mode="All",Data!I1214=Sel_Mode),OR(Sel_Gender="All",D1214=Sel_Gender),OR(Sel_Category="All",Data!B1214=Sel_Category),OR(Sel_Month="All",C1214=Sel_Month),OR(Sel_County="All",Data!L1214=Sel_County)),1,0)</f>
        <v>1</v>
      </c>
    </row>
    <row r="1215" spans="1:9" x14ac:dyDescent="0.25">
      <c r="A1215" s="52" t="str">
        <f>Data!A1215</f>
        <v>TX501214</v>
      </c>
      <c r="B1215" s="52">
        <f>MONTH(Data!F1215)</f>
        <v>2</v>
      </c>
      <c r="C1215" s="52" t="str">
        <f>TEXT(Data!F1215,"mmm")</f>
        <v>Feb</v>
      </c>
      <c r="D1215" s="52" t="str">
        <f>Data!O1215</f>
        <v>Unknown</v>
      </c>
      <c r="E1215" s="52">
        <f>Data!G1215-Data!F1215</f>
        <v>3</v>
      </c>
      <c r="F1215" s="52">
        <f>IF(Data!J1215&lt;=5,Data!J1215,IF(Data!J1215&lt;=10,"6 TO 10","More than 10"))</f>
        <v>4</v>
      </c>
      <c r="G1215" s="52">
        <f t="shared" si="18"/>
        <v>3</v>
      </c>
      <c r="H1215" s="52">
        <f>ROUND(Data!C1215*Data!D1215-Data!E1215,2)</f>
        <v>0</v>
      </c>
      <c r="I1215" s="52">
        <f>IF(AND(OR(Sel_Mode="All",Data!I1215=Sel_Mode),OR(Sel_Gender="All",D1215=Sel_Gender),OR(Sel_Category="All",Data!B1215=Sel_Category),OR(Sel_Month="All",C1215=Sel_Month),OR(Sel_County="All",Data!L1215=Sel_County)),1,0)</f>
        <v>1</v>
      </c>
    </row>
    <row r="1216" spans="1:9" x14ac:dyDescent="0.25">
      <c r="A1216" s="52" t="str">
        <f>Data!A1216</f>
        <v>TX501215</v>
      </c>
      <c r="B1216" s="52">
        <f>MONTH(Data!F1216)</f>
        <v>2</v>
      </c>
      <c r="C1216" s="52" t="str">
        <f>TEXT(Data!F1216,"mmm")</f>
        <v>Feb</v>
      </c>
      <c r="D1216" s="52" t="str">
        <f>Data!O1216</f>
        <v>Female</v>
      </c>
      <c r="E1216" s="52">
        <f>Data!G1216-Data!F1216</f>
        <v>0</v>
      </c>
      <c r="F1216" s="52">
        <f>IF(Data!J1216&lt;=5,Data!J1216,IF(Data!J1216&lt;=10,"6 TO 10","More than 10"))</f>
        <v>3</v>
      </c>
      <c r="G1216" s="52">
        <f t="shared" si="18"/>
        <v>0</v>
      </c>
      <c r="H1216" s="52">
        <f>ROUND(Data!C1216*Data!D1216-Data!E1216,2)</f>
        <v>0</v>
      </c>
      <c r="I1216" s="52">
        <f>IF(AND(OR(Sel_Mode="All",Data!I1216=Sel_Mode),OR(Sel_Gender="All",D1216=Sel_Gender),OR(Sel_Category="All",Data!B1216=Sel_Category),OR(Sel_Month="All",C1216=Sel_Month),OR(Sel_County="All",Data!L1216=Sel_County)),1,0)</f>
        <v>1</v>
      </c>
    </row>
    <row r="1217" spans="1:9" x14ac:dyDescent="0.25">
      <c r="A1217" s="52" t="str">
        <f>Data!A1217</f>
        <v>TX501216</v>
      </c>
      <c r="B1217" s="52">
        <f>MONTH(Data!F1217)</f>
        <v>2</v>
      </c>
      <c r="C1217" s="52" t="str">
        <f>TEXT(Data!F1217,"mmm")</f>
        <v>Feb</v>
      </c>
      <c r="D1217" s="52" t="str">
        <f>Data!O1217</f>
        <v>Male</v>
      </c>
      <c r="E1217" s="52">
        <f>Data!G1217-Data!F1217</f>
        <v>4</v>
      </c>
      <c r="F1217" s="52">
        <f>IF(Data!J1217&lt;=5,Data!J1217,IF(Data!J1217&lt;=10,"6 TO 10","More than 10"))</f>
        <v>2</v>
      </c>
      <c r="G1217" s="52">
        <f t="shared" si="18"/>
        <v>4</v>
      </c>
      <c r="H1217" s="52">
        <f>ROUND(Data!C1217*Data!D1217-Data!E1217,2)</f>
        <v>0</v>
      </c>
      <c r="I1217" s="52">
        <f>IF(AND(OR(Sel_Mode="All",Data!I1217=Sel_Mode),OR(Sel_Gender="All",D1217=Sel_Gender),OR(Sel_Category="All",Data!B1217=Sel_Category),OR(Sel_Month="All",C1217=Sel_Month),OR(Sel_County="All",Data!L1217=Sel_County)),1,0)</f>
        <v>1</v>
      </c>
    </row>
    <row r="1218" spans="1:9" x14ac:dyDescent="0.25">
      <c r="A1218" s="52" t="str">
        <f>Data!A1218</f>
        <v>TX501217</v>
      </c>
      <c r="B1218" s="52">
        <f>MONTH(Data!F1218)</f>
        <v>2</v>
      </c>
      <c r="C1218" s="52" t="str">
        <f>TEXT(Data!F1218,"mmm")</f>
        <v>Feb</v>
      </c>
      <c r="D1218" s="52" t="str">
        <f>Data!O1218</f>
        <v>Male</v>
      </c>
      <c r="E1218" s="52">
        <f>Data!G1218-Data!F1218</f>
        <v>3</v>
      </c>
      <c r="F1218" s="52">
        <f>IF(Data!J1218&lt;=5,Data!J1218,IF(Data!J1218&lt;=10,"6 TO 10","More than 10"))</f>
        <v>4</v>
      </c>
      <c r="G1218" s="52">
        <f t="shared" ref="G1218:G1281" si="19">IF(E1218&gt;=8,"8+",E1218)</f>
        <v>3</v>
      </c>
      <c r="H1218" s="52">
        <f>ROUND(Data!C1218*Data!D1218-Data!E1218,2)</f>
        <v>0</v>
      </c>
      <c r="I1218" s="52">
        <f>IF(AND(OR(Sel_Mode="All",Data!I1218=Sel_Mode),OR(Sel_Gender="All",D1218=Sel_Gender),OR(Sel_Category="All",Data!B1218=Sel_Category),OR(Sel_Month="All",C1218=Sel_Month),OR(Sel_County="All",Data!L1218=Sel_County)),1,0)</f>
        <v>1</v>
      </c>
    </row>
    <row r="1219" spans="1:9" x14ac:dyDescent="0.25">
      <c r="A1219" s="52" t="str">
        <f>Data!A1219</f>
        <v>TX501218</v>
      </c>
      <c r="B1219" s="52">
        <f>MONTH(Data!F1219)</f>
        <v>2</v>
      </c>
      <c r="C1219" s="52" t="str">
        <f>TEXT(Data!F1219,"mmm")</f>
        <v>Feb</v>
      </c>
      <c r="D1219" s="52" t="str">
        <f>Data!O1219</f>
        <v>Male</v>
      </c>
      <c r="E1219" s="52">
        <f>Data!G1219-Data!F1219</f>
        <v>9</v>
      </c>
      <c r="F1219" s="52">
        <f>IF(Data!J1219&lt;=5,Data!J1219,IF(Data!J1219&lt;=10,"6 TO 10","More than 10"))</f>
        <v>3</v>
      </c>
      <c r="G1219" s="52" t="str">
        <f t="shared" si="19"/>
        <v>8+</v>
      </c>
      <c r="H1219" s="52">
        <f>ROUND(Data!C1219*Data!D1219-Data!E1219,2)</f>
        <v>0</v>
      </c>
      <c r="I1219" s="52">
        <f>IF(AND(OR(Sel_Mode="All",Data!I1219=Sel_Mode),OR(Sel_Gender="All",D1219=Sel_Gender),OR(Sel_Category="All",Data!B1219=Sel_Category),OR(Sel_Month="All",C1219=Sel_Month),OR(Sel_County="All",Data!L1219=Sel_County)),1,0)</f>
        <v>1</v>
      </c>
    </row>
    <row r="1220" spans="1:9" x14ac:dyDescent="0.25">
      <c r="A1220" s="52" t="str">
        <f>Data!A1220</f>
        <v>TX501219</v>
      </c>
      <c r="B1220" s="52">
        <f>MONTH(Data!F1220)</f>
        <v>2</v>
      </c>
      <c r="C1220" s="52" t="str">
        <f>TEXT(Data!F1220,"mmm")</f>
        <v>Feb</v>
      </c>
      <c r="D1220" s="52" t="str">
        <f>Data!O1220</f>
        <v>Female</v>
      </c>
      <c r="E1220" s="52">
        <f>Data!G1220-Data!F1220</f>
        <v>5</v>
      </c>
      <c r="F1220" s="52">
        <f>IF(Data!J1220&lt;=5,Data!J1220,IF(Data!J1220&lt;=10,"6 TO 10","More than 10"))</f>
        <v>4</v>
      </c>
      <c r="G1220" s="52">
        <f t="shared" si="19"/>
        <v>5</v>
      </c>
      <c r="H1220" s="52">
        <f>ROUND(Data!C1220*Data!D1220-Data!E1220,2)</f>
        <v>0</v>
      </c>
      <c r="I1220" s="52">
        <f>IF(AND(OR(Sel_Mode="All",Data!I1220=Sel_Mode),OR(Sel_Gender="All",D1220=Sel_Gender),OR(Sel_Category="All",Data!B1220=Sel_Category),OR(Sel_Month="All",C1220=Sel_Month),OR(Sel_County="All",Data!L1220=Sel_County)),1,0)</f>
        <v>1</v>
      </c>
    </row>
    <row r="1221" spans="1:9" x14ac:dyDescent="0.25">
      <c r="A1221" s="52" t="str">
        <f>Data!A1221</f>
        <v>TX501220</v>
      </c>
      <c r="B1221" s="52">
        <f>MONTH(Data!F1221)</f>
        <v>2</v>
      </c>
      <c r="C1221" s="52" t="str">
        <f>TEXT(Data!F1221,"mmm")</f>
        <v>Feb</v>
      </c>
      <c r="D1221" s="52" t="str">
        <f>Data!O1221</f>
        <v>Male</v>
      </c>
      <c r="E1221" s="52">
        <f>Data!G1221-Data!F1221</f>
        <v>1</v>
      </c>
      <c r="F1221" s="52">
        <f>IF(Data!J1221&lt;=5,Data!J1221,IF(Data!J1221&lt;=10,"6 TO 10","More than 10"))</f>
        <v>4</v>
      </c>
      <c r="G1221" s="52">
        <f t="shared" si="19"/>
        <v>1</v>
      </c>
      <c r="H1221" s="52">
        <f>ROUND(Data!C1221*Data!D1221-Data!E1221,2)</f>
        <v>0</v>
      </c>
      <c r="I1221" s="52">
        <f>IF(AND(OR(Sel_Mode="All",Data!I1221=Sel_Mode),OR(Sel_Gender="All",D1221=Sel_Gender),OR(Sel_Category="All",Data!B1221=Sel_Category),OR(Sel_Month="All",C1221=Sel_Month),OR(Sel_County="All",Data!L1221=Sel_County)),1,0)</f>
        <v>1</v>
      </c>
    </row>
    <row r="1222" spans="1:9" x14ac:dyDescent="0.25">
      <c r="A1222" s="52" t="str">
        <f>Data!A1222</f>
        <v>TX501221</v>
      </c>
      <c r="B1222" s="52">
        <f>MONTH(Data!F1222)</f>
        <v>2</v>
      </c>
      <c r="C1222" s="52" t="str">
        <f>TEXT(Data!F1222,"mmm")</f>
        <v>Feb</v>
      </c>
      <c r="D1222" s="52" t="str">
        <f>Data!O1222</f>
        <v>Male</v>
      </c>
      <c r="E1222" s="52">
        <f>Data!G1222-Data!F1222</f>
        <v>1</v>
      </c>
      <c r="F1222" s="52">
        <f>IF(Data!J1222&lt;=5,Data!J1222,IF(Data!J1222&lt;=10,"6 TO 10","More than 10"))</f>
        <v>4</v>
      </c>
      <c r="G1222" s="52">
        <f t="shared" si="19"/>
        <v>1</v>
      </c>
      <c r="H1222" s="52">
        <f>ROUND(Data!C1222*Data!D1222-Data!E1222,2)</f>
        <v>0</v>
      </c>
      <c r="I1222" s="52">
        <f>IF(AND(OR(Sel_Mode="All",Data!I1222=Sel_Mode),OR(Sel_Gender="All",D1222=Sel_Gender),OR(Sel_Category="All",Data!B1222=Sel_Category),OR(Sel_Month="All",C1222=Sel_Month),OR(Sel_County="All",Data!L1222=Sel_County)),1,0)</f>
        <v>1</v>
      </c>
    </row>
    <row r="1223" spans="1:9" x14ac:dyDescent="0.25">
      <c r="A1223" s="52" t="str">
        <f>Data!A1223</f>
        <v>TX501222</v>
      </c>
      <c r="B1223" s="52">
        <f>MONTH(Data!F1223)</f>
        <v>2</v>
      </c>
      <c r="C1223" s="52" t="str">
        <f>TEXT(Data!F1223,"mmm")</f>
        <v>Feb</v>
      </c>
      <c r="D1223" s="52" t="str">
        <f>Data!O1223</f>
        <v>Female</v>
      </c>
      <c r="E1223" s="52">
        <f>Data!G1223-Data!F1223</f>
        <v>3</v>
      </c>
      <c r="F1223" s="52">
        <f>IF(Data!J1223&lt;=5,Data!J1223,IF(Data!J1223&lt;=10,"6 TO 10","More than 10"))</f>
        <v>2</v>
      </c>
      <c r="G1223" s="52">
        <f t="shared" si="19"/>
        <v>3</v>
      </c>
      <c r="H1223" s="52">
        <f>ROUND(Data!C1223*Data!D1223-Data!E1223,2)</f>
        <v>0</v>
      </c>
      <c r="I1223" s="52">
        <f>IF(AND(OR(Sel_Mode="All",Data!I1223=Sel_Mode),OR(Sel_Gender="All",D1223=Sel_Gender),OR(Sel_Category="All",Data!B1223=Sel_Category),OR(Sel_Month="All",C1223=Sel_Month),OR(Sel_County="All",Data!L1223=Sel_County)),1,0)</f>
        <v>1</v>
      </c>
    </row>
    <row r="1224" spans="1:9" x14ac:dyDescent="0.25">
      <c r="A1224" s="52" t="str">
        <f>Data!A1224</f>
        <v>TX501223</v>
      </c>
      <c r="B1224" s="52">
        <f>MONTH(Data!F1224)</f>
        <v>2</v>
      </c>
      <c r="C1224" s="52" t="str">
        <f>TEXT(Data!F1224,"mmm")</f>
        <v>Feb</v>
      </c>
      <c r="D1224" s="52" t="str">
        <f>Data!O1224</f>
        <v>Female</v>
      </c>
      <c r="E1224" s="52">
        <f>Data!G1224-Data!F1224</f>
        <v>2</v>
      </c>
      <c r="F1224" s="52">
        <f>IF(Data!J1224&lt;=5,Data!J1224,IF(Data!J1224&lt;=10,"6 TO 10","More than 10"))</f>
        <v>3</v>
      </c>
      <c r="G1224" s="52">
        <f t="shared" si="19"/>
        <v>2</v>
      </c>
      <c r="H1224" s="52">
        <f>ROUND(Data!C1224*Data!D1224-Data!E1224,2)</f>
        <v>0</v>
      </c>
      <c r="I1224" s="52">
        <f>IF(AND(OR(Sel_Mode="All",Data!I1224=Sel_Mode),OR(Sel_Gender="All",D1224=Sel_Gender),OR(Sel_Category="All",Data!B1224=Sel_Category),OR(Sel_Month="All",C1224=Sel_Month),OR(Sel_County="All",Data!L1224=Sel_County)),1,0)</f>
        <v>1</v>
      </c>
    </row>
    <row r="1225" spans="1:9" x14ac:dyDescent="0.25">
      <c r="A1225" s="52" t="str">
        <f>Data!A1225</f>
        <v>TX501224</v>
      </c>
      <c r="B1225" s="52">
        <f>MONTH(Data!F1225)</f>
        <v>2</v>
      </c>
      <c r="C1225" s="52" t="str">
        <f>TEXT(Data!F1225,"mmm")</f>
        <v>Feb</v>
      </c>
      <c r="D1225" s="52" t="str">
        <f>Data!O1225</f>
        <v>Male</v>
      </c>
      <c r="E1225" s="52">
        <f>Data!G1225-Data!F1225</f>
        <v>0</v>
      </c>
      <c r="F1225" s="52">
        <f>IF(Data!J1225&lt;=5,Data!J1225,IF(Data!J1225&lt;=10,"6 TO 10","More than 10"))</f>
        <v>4</v>
      </c>
      <c r="G1225" s="52">
        <f t="shared" si="19"/>
        <v>0</v>
      </c>
      <c r="H1225" s="52">
        <f>ROUND(Data!C1225*Data!D1225-Data!E1225,2)</f>
        <v>0</v>
      </c>
      <c r="I1225" s="52">
        <f>IF(AND(OR(Sel_Mode="All",Data!I1225=Sel_Mode),OR(Sel_Gender="All",D1225=Sel_Gender),OR(Sel_Category="All",Data!B1225=Sel_Category),OR(Sel_Month="All",C1225=Sel_Month),OR(Sel_County="All",Data!L1225=Sel_County)),1,0)</f>
        <v>1</v>
      </c>
    </row>
    <row r="1226" spans="1:9" x14ac:dyDescent="0.25">
      <c r="A1226" s="52" t="str">
        <f>Data!A1226</f>
        <v>TX501225</v>
      </c>
      <c r="B1226" s="52">
        <f>MONTH(Data!F1226)</f>
        <v>2</v>
      </c>
      <c r="C1226" s="52" t="str">
        <f>TEXT(Data!F1226,"mmm")</f>
        <v>Feb</v>
      </c>
      <c r="D1226" s="52" t="str">
        <f>Data!O1226</f>
        <v>Male</v>
      </c>
      <c r="E1226" s="52">
        <f>Data!G1226-Data!F1226</f>
        <v>3</v>
      </c>
      <c r="F1226" s="52">
        <f>IF(Data!J1226&lt;=5,Data!J1226,IF(Data!J1226&lt;=10,"6 TO 10","More than 10"))</f>
        <v>3</v>
      </c>
      <c r="G1226" s="52">
        <f t="shared" si="19"/>
        <v>3</v>
      </c>
      <c r="H1226" s="52">
        <f>ROUND(Data!C1226*Data!D1226-Data!E1226,2)</f>
        <v>0</v>
      </c>
      <c r="I1226" s="52">
        <f>IF(AND(OR(Sel_Mode="All",Data!I1226=Sel_Mode),OR(Sel_Gender="All",D1226=Sel_Gender),OR(Sel_Category="All",Data!B1226=Sel_Category),OR(Sel_Month="All",C1226=Sel_Month),OR(Sel_County="All",Data!L1226=Sel_County)),1,0)</f>
        <v>1</v>
      </c>
    </row>
    <row r="1227" spans="1:9" x14ac:dyDescent="0.25">
      <c r="A1227" s="52" t="str">
        <f>Data!A1227</f>
        <v>TX501226</v>
      </c>
      <c r="B1227" s="52">
        <f>MONTH(Data!F1227)</f>
        <v>2</v>
      </c>
      <c r="C1227" s="52" t="str">
        <f>TEXT(Data!F1227,"mmm")</f>
        <v>Feb</v>
      </c>
      <c r="D1227" s="52" t="str">
        <f>Data!O1227</f>
        <v>Unknown</v>
      </c>
      <c r="E1227" s="52">
        <f>Data!G1227-Data!F1227</f>
        <v>2</v>
      </c>
      <c r="F1227" s="52">
        <f>IF(Data!J1227&lt;=5,Data!J1227,IF(Data!J1227&lt;=10,"6 TO 10","More than 10"))</f>
        <v>4</v>
      </c>
      <c r="G1227" s="52">
        <f t="shared" si="19"/>
        <v>2</v>
      </c>
      <c r="H1227" s="52">
        <f>ROUND(Data!C1227*Data!D1227-Data!E1227,2)</f>
        <v>0</v>
      </c>
      <c r="I1227" s="52">
        <f>IF(AND(OR(Sel_Mode="All",Data!I1227=Sel_Mode),OR(Sel_Gender="All",D1227=Sel_Gender),OR(Sel_Category="All",Data!B1227=Sel_Category),OR(Sel_Month="All",C1227=Sel_Month),OR(Sel_County="All",Data!L1227=Sel_County)),1,0)</f>
        <v>1</v>
      </c>
    </row>
    <row r="1228" spans="1:9" x14ac:dyDescent="0.25">
      <c r="A1228" s="52" t="str">
        <f>Data!A1228</f>
        <v>TX501227</v>
      </c>
      <c r="B1228" s="52">
        <f>MONTH(Data!F1228)</f>
        <v>2</v>
      </c>
      <c r="C1228" s="52" t="str">
        <f>TEXT(Data!F1228,"mmm")</f>
        <v>Feb</v>
      </c>
      <c r="D1228" s="52" t="str">
        <f>Data!O1228</f>
        <v>Male</v>
      </c>
      <c r="E1228" s="52">
        <f>Data!G1228-Data!F1228</f>
        <v>9</v>
      </c>
      <c r="F1228" s="52">
        <f>IF(Data!J1228&lt;=5,Data!J1228,IF(Data!J1228&lt;=10,"6 TO 10","More than 10"))</f>
        <v>5</v>
      </c>
      <c r="G1228" s="52" t="str">
        <f t="shared" si="19"/>
        <v>8+</v>
      </c>
      <c r="H1228" s="52">
        <f>ROUND(Data!C1228*Data!D1228-Data!E1228,2)</f>
        <v>0</v>
      </c>
      <c r="I1228" s="52">
        <f>IF(AND(OR(Sel_Mode="All",Data!I1228=Sel_Mode),OR(Sel_Gender="All",D1228=Sel_Gender),OR(Sel_Category="All",Data!B1228=Sel_Category),OR(Sel_Month="All",C1228=Sel_Month),OR(Sel_County="All",Data!L1228=Sel_County)),1,0)</f>
        <v>1</v>
      </c>
    </row>
    <row r="1229" spans="1:9" x14ac:dyDescent="0.25">
      <c r="A1229" s="52" t="str">
        <f>Data!A1229</f>
        <v>TX501228</v>
      </c>
      <c r="B1229" s="52">
        <f>MONTH(Data!F1229)</f>
        <v>2</v>
      </c>
      <c r="C1229" s="52" t="str">
        <f>TEXT(Data!F1229,"mmm")</f>
        <v>Feb</v>
      </c>
      <c r="D1229" s="52" t="str">
        <f>Data!O1229</f>
        <v>Female</v>
      </c>
      <c r="E1229" s="52">
        <f>Data!G1229-Data!F1229</f>
        <v>2</v>
      </c>
      <c r="F1229" s="52">
        <f>IF(Data!J1229&lt;=5,Data!J1229,IF(Data!J1229&lt;=10,"6 TO 10","More than 10"))</f>
        <v>5</v>
      </c>
      <c r="G1229" s="52">
        <f t="shared" si="19"/>
        <v>2</v>
      </c>
      <c r="H1229" s="52">
        <f>ROUND(Data!C1229*Data!D1229-Data!E1229,2)</f>
        <v>0</v>
      </c>
      <c r="I1229" s="52">
        <f>IF(AND(OR(Sel_Mode="All",Data!I1229=Sel_Mode),OR(Sel_Gender="All",D1229=Sel_Gender),OR(Sel_Category="All",Data!B1229=Sel_Category),OR(Sel_Month="All",C1229=Sel_Month),OR(Sel_County="All",Data!L1229=Sel_County)),1,0)</f>
        <v>1</v>
      </c>
    </row>
    <row r="1230" spans="1:9" x14ac:dyDescent="0.25">
      <c r="A1230" s="52" t="str">
        <f>Data!A1230</f>
        <v>TX501229</v>
      </c>
      <c r="B1230" s="52">
        <f>MONTH(Data!F1230)</f>
        <v>2</v>
      </c>
      <c r="C1230" s="52" t="str">
        <f>TEXT(Data!F1230,"mmm")</f>
        <v>Feb</v>
      </c>
      <c r="D1230" s="52" t="str">
        <f>Data!O1230</f>
        <v>Male</v>
      </c>
      <c r="E1230" s="52">
        <f>Data!G1230-Data!F1230</f>
        <v>3</v>
      </c>
      <c r="F1230" s="52">
        <f>IF(Data!J1230&lt;=5,Data!J1230,IF(Data!J1230&lt;=10,"6 TO 10","More than 10"))</f>
        <v>5</v>
      </c>
      <c r="G1230" s="52">
        <f t="shared" si="19"/>
        <v>3</v>
      </c>
      <c r="H1230" s="52">
        <f>ROUND(Data!C1230*Data!D1230-Data!E1230,2)</f>
        <v>0</v>
      </c>
      <c r="I1230" s="52">
        <f>IF(AND(OR(Sel_Mode="All",Data!I1230=Sel_Mode),OR(Sel_Gender="All",D1230=Sel_Gender),OR(Sel_Category="All",Data!B1230=Sel_Category),OR(Sel_Month="All",C1230=Sel_Month),OR(Sel_County="All",Data!L1230=Sel_County)),1,0)</f>
        <v>1</v>
      </c>
    </row>
    <row r="1231" spans="1:9" x14ac:dyDescent="0.25">
      <c r="A1231" s="52" t="str">
        <f>Data!A1231</f>
        <v>TX501230</v>
      </c>
      <c r="B1231" s="52">
        <f>MONTH(Data!F1231)</f>
        <v>2</v>
      </c>
      <c r="C1231" s="52" t="str">
        <f>TEXT(Data!F1231,"mmm")</f>
        <v>Feb</v>
      </c>
      <c r="D1231" s="52" t="str">
        <f>Data!O1231</f>
        <v>Female</v>
      </c>
      <c r="E1231" s="52">
        <f>Data!G1231-Data!F1231</f>
        <v>3</v>
      </c>
      <c r="F1231" s="52">
        <f>IF(Data!J1231&lt;=5,Data!J1231,IF(Data!J1231&lt;=10,"6 TO 10","More than 10"))</f>
        <v>2</v>
      </c>
      <c r="G1231" s="52">
        <f t="shared" si="19"/>
        <v>3</v>
      </c>
      <c r="H1231" s="52">
        <f>ROUND(Data!C1231*Data!D1231-Data!E1231,2)</f>
        <v>0</v>
      </c>
      <c r="I1231" s="52">
        <f>IF(AND(OR(Sel_Mode="All",Data!I1231=Sel_Mode),OR(Sel_Gender="All",D1231=Sel_Gender),OR(Sel_Category="All",Data!B1231=Sel_Category),OR(Sel_Month="All",C1231=Sel_Month),OR(Sel_County="All",Data!L1231=Sel_County)),1,0)</f>
        <v>1</v>
      </c>
    </row>
    <row r="1232" spans="1:9" x14ac:dyDescent="0.25">
      <c r="A1232" s="52" t="str">
        <f>Data!A1232</f>
        <v>TX501231</v>
      </c>
      <c r="B1232" s="52">
        <f>MONTH(Data!F1232)</f>
        <v>2</v>
      </c>
      <c r="C1232" s="52" t="str">
        <f>TEXT(Data!F1232,"mmm")</f>
        <v>Feb</v>
      </c>
      <c r="D1232" s="52" t="str">
        <f>Data!O1232</f>
        <v>Male</v>
      </c>
      <c r="E1232" s="52">
        <f>Data!G1232-Data!F1232</f>
        <v>4</v>
      </c>
      <c r="F1232" s="52">
        <f>IF(Data!J1232&lt;=5,Data!J1232,IF(Data!J1232&lt;=10,"6 TO 10","More than 10"))</f>
        <v>3</v>
      </c>
      <c r="G1232" s="52">
        <f t="shared" si="19"/>
        <v>4</v>
      </c>
      <c r="H1232" s="52">
        <f>ROUND(Data!C1232*Data!D1232-Data!E1232,2)</f>
        <v>0</v>
      </c>
      <c r="I1232" s="52">
        <f>IF(AND(OR(Sel_Mode="All",Data!I1232=Sel_Mode),OR(Sel_Gender="All",D1232=Sel_Gender),OR(Sel_Category="All",Data!B1232=Sel_Category),OR(Sel_Month="All",C1232=Sel_Month),OR(Sel_County="All",Data!L1232=Sel_County)),1,0)</f>
        <v>1</v>
      </c>
    </row>
    <row r="1233" spans="1:9" x14ac:dyDescent="0.25">
      <c r="A1233" s="52" t="str">
        <f>Data!A1233</f>
        <v>TX501232</v>
      </c>
      <c r="B1233" s="52">
        <f>MONTH(Data!F1233)</f>
        <v>2</v>
      </c>
      <c r="C1233" s="52" t="str">
        <f>TEXT(Data!F1233,"mmm")</f>
        <v>Feb</v>
      </c>
      <c r="D1233" s="52" t="str">
        <f>Data!O1233</f>
        <v>Male</v>
      </c>
      <c r="E1233" s="52">
        <f>Data!G1233-Data!F1233</f>
        <v>1</v>
      </c>
      <c r="F1233" s="52">
        <f>IF(Data!J1233&lt;=5,Data!J1233,IF(Data!J1233&lt;=10,"6 TO 10","More than 10"))</f>
        <v>5</v>
      </c>
      <c r="G1233" s="52">
        <f t="shared" si="19"/>
        <v>1</v>
      </c>
      <c r="H1233" s="52">
        <f>ROUND(Data!C1233*Data!D1233-Data!E1233,2)</f>
        <v>0</v>
      </c>
      <c r="I1233" s="52">
        <f>IF(AND(OR(Sel_Mode="All",Data!I1233=Sel_Mode),OR(Sel_Gender="All",D1233=Sel_Gender),OR(Sel_Category="All",Data!B1233=Sel_Category),OR(Sel_Month="All",C1233=Sel_Month),OR(Sel_County="All",Data!L1233=Sel_County)),1,0)</f>
        <v>1</v>
      </c>
    </row>
    <row r="1234" spans="1:9" x14ac:dyDescent="0.25">
      <c r="A1234" s="52" t="str">
        <f>Data!A1234</f>
        <v>TX501233</v>
      </c>
      <c r="B1234" s="52">
        <f>MONTH(Data!F1234)</f>
        <v>2</v>
      </c>
      <c r="C1234" s="52" t="str">
        <f>TEXT(Data!F1234,"mmm")</f>
        <v>Feb</v>
      </c>
      <c r="D1234" s="52" t="str">
        <f>Data!O1234</f>
        <v>Female</v>
      </c>
      <c r="E1234" s="52">
        <f>Data!G1234-Data!F1234</f>
        <v>3</v>
      </c>
      <c r="F1234" s="52">
        <f>IF(Data!J1234&lt;=5,Data!J1234,IF(Data!J1234&lt;=10,"6 TO 10","More than 10"))</f>
        <v>2</v>
      </c>
      <c r="G1234" s="52">
        <f t="shared" si="19"/>
        <v>3</v>
      </c>
      <c r="H1234" s="52">
        <f>ROUND(Data!C1234*Data!D1234-Data!E1234,2)</f>
        <v>0</v>
      </c>
      <c r="I1234" s="52">
        <f>IF(AND(OR(Sel_Mode="All",Data!I1234=Sel_Mode),OR(Sel_Gender="All",D1234=Sel_Gender),OR(Sel_Category="All",Data!B1234=Sel_Category),OR(Sel_Month="All",C1234=Sel_Month),OR(Sel_County="All",Data!L1234=Sel_County)),1,0)</f>
        <v>1</v>
      </c>
    </row>
    <row r="1235" spans="1:9" x14ac:dyDescent="0.25">
      <c r="A1235" s="52" t="str">
        <f>Data!A1235</f>
        <v>TX501234</v>
      </c>
      <c r="B1235" s="52">
        <f>MONTH(Data!F1235)</f>
        <v>2</v>
      </c>
      <c r="C1235" s="52" t="str">
        <f>TEXT(Data!F1235,"mmm")</f>
        <v>Feb</v>
      </c>
      <c r="D1235" s="52" t="str">
        <f>Data!O1235</f>
        <v>Other</v>
      </c>
      <c r="E1235" s="52">
        <f>Data!G1235-Data!F1235</f>
        <v>2</v>
      </c>
      <c r="F1235" s="52">
        <f>IF(Data!J1235&lt;=5,Data!J1235,IF(Data!J1235&lt;=10,"6 TO 10","More than 10"))</f>
        <v>4</v>
      </c>
      <c r="G1235" s="52">
        <f t="shared" si="19"/>
        <v>2</v>
      </c>
      <c r="H1235" s="52">
        <f>ROUND(Data!C1235*Data!D1235-Data!E1235,2)</f>
        <v>0</v>
      </c>
      <c r="I1235" s="52">
        <f>IF(AND(OR(Sel_Mode="All",Data!I1235=Sel_Mode),OR(Sel_Gender="All",D1235=Sel_Gender),OR(Sel_Category="All",Data!B1235=Sel_Category),OR(Sel_Month="All",C1235=Sel_Month),OR(Sel_County="All",Data!L1235=Sel_County)),1,0)</f>
        <v>1</v>
      </c>
    </row>
    <row r="1236" spans="1:9" x14ac:dyDescent="0.25">
      <c r="A1236" s="52" t="str">
        <f>Data!A1236</f>
        <v>TX501235</v>
      </c>
      <c r="B1236" s="52">
        <f>MONTH(Data!F1236)</f>
        <v>2</v>
      </c>
      <c r="C1236" s="52" t="str">
        <f>TEXT(Data!F1236,"mmm")</f>
        <v>Feb</v>
      </c>
      <c r="D1236" s="52" t="str">
        <f>Data!O1236</f>
        <v>Male</v>
      </c>
      <c r="E1236" s="52">
        <f>Data!G1236-Data!F1236</f>
        <v>1</v>
      </c>
      <c r="F1236" s="52">
        <f>IF(Data!J1236&lt;=5,Data!J1236,IF(Data!J1236&lt;=10,"6 TO 10","More than 10"))</f>
        <v>4</v>
      </c>
      <c r="G1236" s="52">
        <f t="shared" si="19"/>
        <v>1</v>
      </c>
      <c r="H1236" s="52">
        <f>ROUND(Data!C1236*Data!D1236-Data!E1236,2)</f>
        <v>0</v>
      </c>
      <c r="I1236" s="52">
        <f>IF(AND(OR(Sel_Mode="All",Data!I1236=Sel_Mode),OR(Sel_Gender="All",D1236=Sel_Gender),OR(Sel_Category="All",Data!B1236=Sel_Category),OR(Sel_Month="All",C1236=Sel_Month),OR(Sel_County="All",Data!L1236=Sel_County)),1,0)</f>
        <v>1</v>
      </c>
    </row>
    <row r="1237" spans="1:9" x14ac:dyDescent="0.25">
      <c r="A1237" s="52" t="str">
        <f>Data!A1237</f>
        <v>TX501236</v>
      </c>
      <c r="B1237" s="52">
        <f>MONTH(Data!F1237)</f>
        <v>2</v>
      </c>
      <c r="C1237" s="52" t="str">
        <f>TEXT(Data!F1237,"mmm")</f>
        <v>Feb</v>
      </c>
      <c r="D1237" s="52" t="str">
        <f>Data!O1237</f>
        <v>Other</v>
      </c>
      <c r="E1237" s="52">
        <f>Data!G1237-Data!F1237</f>
        <v>1</v>
      </c>
      <c r="F1237" s="52">
        <f>IF(Data!J1237&lt;=5,Data!J1237,IF(Data!J1237&lt;=10,"6 TO 10","More than 10"))</f>
        <v>3</v>
      </c>
      <c r="G1237" s="52">
        <f t="shared" si="19"/>
        <v>1</v>
      </c>
      <c r="H1237" s="52">
        <f>ROUND(Data!C1237*Data!D1237-Data!E1237,2)</f>
        <v>0</v>
      </c>
      <c r="I1237" s="52">
        <f>IF(AND(OR(Sel_Mode="All",Data!I1237=Sel_Mode),OR(Sel_Gender="All",D1237=Sel_Gender),OR(Sel_Category="All",Data!B1237=Sel_Category),OR(Sel_Month="All",C1237=Sel_Month),OR(Sel_County="All",Data!L1237=Sel_County)),1,0)</f>
        <v>1</v>
      </c>
    </row>
    <row r="1238" spans="1:9" x14ac:dyDescent="0.25">
      <c r="A1238" s="52" t="str">
        <f>Data!A1238</f>
        <v>TX501237</v>
      </c>
      <c r="B1238" s="52">
        <f>MONTH(Data!F1238)</f>
        <v>2</v>
      </c>
      <c r="C1238" s="52" t="str">
        <f>TEXT(Data!F1238,"mmm")</f>
        <v>Feb</v>
      </c>
      <c r="D1238" s="52" t="str">
        <f>Data!O1238</f>
        <v>Unknown</v>
      </c>
      <c r="E1238" s="52">
        <f>Data!G1238-Data!F1238</f>
        <v>2</v>
      </c>
      <c r="F1238" s="52">
        <f>IF(Data!J1238&lt;=5,Data!J1238,IF(Data!J1238&lt;=10,"6 TO 10","More than 10"))</f>
        <v>4</v>
      </c>
      <c r="G1238" s="52">
        <f t="shared" si="19"/>
        <v>2</v>
      </c>
      <c r="H1238" s="52">
        <f>ROUND(Data!C1238*Data!D1238-Data!E1238,2)</f>
        <v>0</v>
      </c>
      <c r="I1238" s="52">
        <f>IF(AND(OR(Sel_Mode="All",Data!I1238=Sel_Mode),OR(Sel_Gender="All",D1238=Sel_Gender),OR(Sel_Category="All",Data!B1238=Sel_Category),OR(Sel_Month="All",C1238=Sel_Month),OR(Sel_County="All",Data!L1238=Sel_County)),1,0)</f>
        <v>1</v>
      </c>
    </row>
    <row r="1239" spans="1:9" x14ac:dyDescent="0.25">
      <c r="A1239" s="52" t="str">
        <f>Data!A1239</f>
        <v>TX501238</v>
      </c>
      <c r="B1239" s="52">
        <f>MONTH(Data!F1239)</f>
        <v>2</v>
      </c>
      <c r="C1239" s="52" t="str">
        <f>TEXT(Data!F1239,"mmm")</f>
        <v>Feb</v>
      </c>
      <c r="D1239" s="52" t="str">
        <f>Data!O1239</f>
        <v>Female</v>
      </c>
      <c r="E1239" s="52">
        <f>Data!G1239-Data!F1239</f>
        <v>4</v>
      </c>
      <c r="F1239" s="52">
        <f>IF(Data!J1239&lt;=5,Data!J1239,IF(Data!J1239&lt;=10,"6 TO 10","More than 10"))</f>
        <v>5</v>
      </c>
      <c r="G1239" s="52">
        <f t="shared" si="19"/>
        <v>4</v>
      </c>
      <c r="H1239" s="52">
        <f>ROUND(Data!C1239*Data!D1239-Data!E1239,2)</f>
        <v>0</v>
      </c>
      <c r="I1239" s="52">
        <f>IF(AND(OR(Sel_Mode="All",Data!I1239=Sel_Mode),OR(Sel_Gender="All",D1239=Sel_Gender),OR(Sel_Category="All",Data!B1239=Sel_Category),OR(Sel_Month="All",C1239=Sel_Month),OR(Sel_County="All",Data!L1239=Sel_County)),1,0)</f>
        <v>1</v>
      </c>
    </row>
    <row r="1240" spans="1:9" x14ac:dyDescent="0.25">
      <c r="A1240" s="52" t="str">
        <f>Data!A1240</f>
        <v>TX501239</v>
      </c>
      <c r="B1240" s="52">
        <f>MONTH(Data!F1240)</f>
        <v>2</v>
      </c>
      <c r="C1240" s="52" t="str">
        <f>TEXT(Data!F1240,"mmm")</f>
        <v>Feb</v>
      </c>
      <c r="D1240" s="52" t="str">
        <f>Data!O1240</f>
        <v>Male</v>
      </c>
      <c r="E1240" s="52">
        <f>Data!G1240-Data!F1240</f>
        <v>1</v>
      </c>
      <c r="F1240" s="52">
        <f>IF(Data!J1240&lt;=5,Data!J1240,IF(Data!J1240&lt;=10,"6 TO 10","More than 10"))</f>
        <v>5</v>
      </c>
      <c r="G1240" s="52">
        <f t="shared" si="19"/>
        <v>1</v>
      </c>
      <c r="H1240" s="52">
        <f>ROUND(Data!C1240*Data!D1240-Data!E1240,2)</f>
        <v>0</v>
      </c>
      <c r="I1240" s="52">
        <f>IF(AND(OR(Sel_Mode="All",Data!I1240=Sel_Mode),OR(Sel_Gender="All",D1240=Sel_Gender),OR(Sel_Category="All",Data!B1240=Sel_Category),OR(Sel_Month="All",C1240=Sel_Month),OR(Sel_County="All",Data!L1240=Sel_County)),1,0)</f>
        <v>1</v>
      </c>
    </row>
    <row r="1241" spans="1:9" x14ac:dyDescent="0.25">
      <c r="A1241" s="52" t="str">
        <f>Data!A1241</f>
        <v>TX501240</v>
      </c>
      <c r="B1241" s="52">
        <f>MONTH(Data!F1241)</f>
        <v>2</v>
      </c>
      <c r="C1241" s="52" t="str">
        <f>TEXT(Data!F1241,"mmm")</f>
        <v>Feb</v>
      </c>
      <c r="D1241" s="52" t="str">
        <f>Data!O1241</f>
        <v>Female</v>
      </c>
      <c r="E1241" s="52">
        <f>Data!G1241-Data!F1241</f>
        <v>8</v>
      </c>
      <c r="F1241" s="52">
        <f>IF(Data!J1241&lt;=5,Data!J1241,IF(Data!J1241&lt;=10,"6 TO 10","More than 10"))</f>
        <v>4</v>
      </c>
      <c r="G1241" s="52" t="str">
        <f t="shared" si="19"/>
        <v>8+</v>
      </c>
      <c r="H1241" s="52">
        <f>ROUND(Data!C1241*Data!D1241-Data!E1241,2)</f>
        <v>0</v>
      </c>
      <c r="I1241" s="52">
        <f>IF(AND(OR(Sel_Mode="All",Data!I1241=Sel_Mode),OR(Sel_Gender="All",D1241=Sel_Gender),OR(Sel_Category="All",Data!B1241=Sel_Category),OR(Sel_Month="All",C1241=Sel_Month),OR(Sel_County="All",Data!L1241=Sel_County)),1,0)</f>
        <v>1</v>
      </c>
    </row>
    <row r="1242" spans="1:9" x14ac:dyDescent="0.25">
      <c r="A1242" s="52" t="str">
        <f>Data!A1242</f>
        <v>TX501241</v>
      </c>
      <c r="B1242" s="52">
        <f>MONTH(Data!F1242)</f>
        <v>2</v>
      </c>
      <c r="C1242" s="52" t="str">
        <f>TEXT(Data!F1242,"mmm")</f>
        <v>Feb</v>
      </c>
      <c r="D1242" s="52" t="str">
        <f>Data!O1242</f>
        <v>Unknown</v>
      </c>
      <c r="E1242" s="52">
        <f>Data!G1242-Data!F1242</f>
        <v>1</v>
      </c>
      <c r="F1242" s="52">
        <f>IF(Data!J1242&lt;=5,Data!J1242,IF(Data!J1242&lt;=10,"6 TO 10","More than 10"))</f>
        <v>5</v>
      </c>
      <c r="G1242" s="52">
        <f t="shared" si="19"/>
        <v>1</v>
      </c>
      <c r="H1242" s="52">
        <f>ROUND(Data!C1242*Data!D1242-Data!E1242,2)</f>
        <v>0</v>
      </c>
      <c r="I1242" s="52">
        <f>IF(AND(OR(Sel_Mode="All",Data!I1242=Sel_Mode),OR(Sel_Gender="All",D1242=Sel_Gender),OR(Sel_Category="All",Data!B1242=Sel_Category),OR(Sel_Month="All",C1242=Sel_Month),OR(Sel_County="All",Data!L1242=Sel_County)),1,0)</f>
        <v>1</v>
      </c>
    </row>
    <row r="1243" spans="1:9" x14ac:dyDescent="0.25">
      <c r="A1243" s="52" t="str">
        <f>Data!A1243</f>
        <v>TX501242</v>
      </c>
      <c r="B1243" s="52">
        <f>MONTH(Data!F1243)</f>
        <v>2</v>
      </c>
      <c r="C1243" s="52" t="str">
        <f>TEXT(Data!F1243,"mmm")</f>
        <v>Feb</v>
      </c>
      <c r="D1243" s="52" t="str">
        <f>Data!O1243</f>
        <v>Female</v>
      </c>
      <c r="E1243" s="52">
        <f>Data!G1243-Data!F1243</f>
        <v>6</v>
      </c>
      <c r="F1243" s="52">
        <f>IF(Data!J1243&lt;=5,Data!J1243,IF(Data!J1243&lt;=10,"6 TO 10","More than 10"))</f>
        <v>4</v>
      </c>
      <c r="G1243" s="52">
        <f t="shared" si="19"/>
        <v>6</v>
      </c>
      <c r="H1243" s="52">
        <f>ROUND(Data!C1243*Data!D1243-Data!E1243,2)</f>
        <v>0</v>
      </c>
      <c r="I1243" s="52">
        <f>IF(AND(OR(Sel_Mode="All",Data!I1243=Sel_Mode),OR(Sel_Gender="All",D1243=Sel_Gender),OR(Sel_Category="All",Data!B1243=Sel_Category),OR(Sel_Month="All",C1243=Sel_Month),OR(Sel_County="All",Data!L1243=Sel_County)),1,0)</f>
        <v>1</v>
      </c>
    </row>
    <row r="1244" spans="1:9" x14ac:dyDescent="0.25">
      <c r="A1244" s="52" t="str">
        <f>Data!A1244</f>
        <v>TX501243</v>
      </c>
      <c r="B1244" s="52">
        <f>MONTH(Data!F1244)</f>
        <v>2</v>
      </c>
      <c r="C1244" s="52" t="str">
        <f>TEXT(Data!F1244,"mmm")</f>
        <v>Feb</v>
      </c>
      <c r="D1244" s="52" t="str">
        <f>Data!O1244</f>
        <v>Female</v>
      </c>
      <c r="E1244" s="52">
        <f>Data!G1244-Data!F1244</f>
        <v>3</v>
      </c>
      <c r="F1244" s="52">
        <f>IF(Data!J1244&lt;=5,Data!J1244,IF(Data!J1244&lt;=10,"6 TO 10","More than 10"))</f>
        <v>4</v>
      </c>
      <c r="G1244" s="52">
        <f t="shared" si="19"/>
        <v>3</v>
      </c>
      <c r="H1244" s="52">
        <f>ROUND(Data!C1244*Data!D1244-Data!E1244,2)</f>
        <v>0</v>
      </c>
      <c r="I1244" s="52">
        <f>IF(AND(OR(Sel_Mode="All",Data!I1244=Sel_Mode),OR(Sel_Gender="All",D1244=Sel_Gender),OR(Sel_Category="All",Data!B1244=Sel_Category),OR(Sel_Month="All",C1244=Sel_Month),OR(Sel_County="All",Data!L1244=Sel_County)),1,0)</f>
        <v>1</v>
      </c>
    </row>
    <row r="1245" spans="1:9" x14ac:dyDescent="0.25">
      <c r="A1245" s="52" t="str">
        <f>Data!A1245</f>
        <v>TX501244</v>
      </c>
      <c r="B1245" s="52">
        <f>MONTH(Data!F1245)</f>
        <v>2</v>
      </c>
      <c r="C1245" s="52" t="str">
        <f>TEXT(Data!F1245,"mmm")</f>
        <v>Feb</v>
      </c>
      <c r="D1245" s="52" t="str">
        <f>Data!O1245</f>
        <v>Female</v>
      </c>
      <c r="E1245" s="52">
        <f>Data!G1245-Data!F1245</f>
        <v>2</v>
      </c>
      <c r="F1245" s="52">
        <f>IF(Data!J1245&lt;=5,Data!J1245,IF(Data!J1245&lt;=10,"6 TO 10","More than 10"))</f>
        <v>5</v>
      </c>
      <c r="G1245" s="52">
        <f t="shared" si="19"/>
        <v>2</v>
      </c>
      <c r="H1245" s="52">
        <f>ROUND(Data!C1245*Data!D1245-Data!E1245,2)</f>
        <v>0</v>
      </c>
      <c r="I1245" s="52">
        <f>IF(AND(OR(Sel_Mode="All",Data!I1245=Sel_Mode),OR(Sel_Gender="All",D1245=Sel_Gender),OR(Sel_Category="All",Data!B1245=Sel_Category),OR(Sel_Month="All",C1245=Sel_Month),OR(Sel_County="All",Data!L1245=Sel_County)),1,0)</f>
        <v>1</v>
      </c>
    </row>
    <row r="1246" spans="1:9" x14ac:dyDescent="0.25">
      <c r="A1246" s="52" t="str">
        <f>Data!A1246</f>
        <v>TX501245</v>
      </c>
      <c r="B1246" s="52">
        <f>MONTH(Data!F1246)</f>
        <v>2</v>
      </c>
      <c r="C1246" s="52" t="str">
        <f>TEXT(Data!F1246,"mmm")</f>
        <v>Feb</v>
      </c>
      <c r="D1246" s="52" t="str">
        <f>Data!O1246</f>
        <v>Female</v>
      </c>
      <c r="E1246" s="52">
        <f>Data!G1246-Data!F1246</f>
        <v>2</v>
      </c>
      <c r="F1246" s="52">
        <f>IF(Data!J1246&lt;=5,Data!J1246,IF(Data!J1246&lt;=10,"6 TO 10","More than 10"))</f>
        <v>1</v>
      </c>
      <c r="G1246" s="52">
        <f t="shared" si="19"/>
        <v>2</v>
      </c>
      <c r="H1246" s="52">
        <f>ROUND(Data!C1246*Data!D1246-Data!E1246,2)</f>
        <v>0</v>
      </c>
      <c r="I1246" s="52">
        <f>IF(AND(OR(Sel_Mode="All",Data!I1246=Sel_Mode),OR(Sel_Gender="All",D1246=Sel_Gender),OR(Sel_Category="All",Data!B1246=Sel_Category),OR(Sel_Month="All",C1246=Sel_Month),OR(Sel_County="All",Data!L1246=Sel_County)),1,0)</f>
        <v>1</v>
      </c>
    </row>
    <row r="1247" spans="1:9" x14ac:dyDescent="0.25">
      <c r="A1247" s="52" t="str">
        <f>Data!A1247</f>
        <v>TX501246</v>
      </c>
      <c r="B1247" s="52">
        <f>MONTH(Data!F1247)</f>
        <v>2</v>
      </c>
      <c r="C1247" s="52" t="str">
        <f>TEXT(Data!F1247,"mmm")</f>
        <v>Feb</v>
      </c>
      <c r="D1247" s="52" t="str">
        <f>Data!O1247</f>
        <v>Male</v>
      </c>
      <c r="E1247" s="52">
        <f>Data!G1247-Data!F1247</f>
        <v>1</v>
      </c>
      <c r="F1247" s="52">
        <f>IF(Data!J1247&lt;=5,Data!J1247,IF(Data!J1247&lt;=10,"6 TO 10","More than 10"))</f>
        <v>3</v>
      </c>
      <c r="G1247" s="52">
        <f t="shared" si="19"/>
        <v>1</v>
      </c>
      <c r="H1247" s="52">
        <f>ROUND(Data!C1247*Data!D1247-Data!E1247,2)</f>
        <v>0</v>
      </c>
      <c r="I1247" s="52">
        <f>IF(AND(OR(Sel_Mode="All",Data!I1247=Sel_Mode),OR(Sel_Gender="All",D1247=Sel_Gender),OR(Sel_Category="All",Data!B1247=Sel_Category),OR(Sel_Month="All",C1247=Sel_Month),OR(Sel_County="All",Data!L1247=Sel_County)),1,0)</f>
        <v>1</v>
      </c>
    </row>
    <row r="1248" spans="1:9" x14ac:dyDescent="0.25">
      <c r="A1248" s="52" t="str">
        <f>Data!A1248</f>
        <v>TX501247</v>
      </c>
      <c r="B1248" s="52">
        <f>MONTH(Data!F1248)</f>
        <v>2</v>
      </c>
      <c r="C1248" s="52" t="str">
        <f>TEXT(Data!F1248,"mmm")</f>
        <v>Feb</v>
      </c>
      <c r="D1248" s="52" t="str">
        <f>Data!O1248</f>
        <v>Male</v>
      </c>
      <c r="E1248" s="52">
        <f>Data!G1248-Data!F1248</f>
        <v>1</v>
      </c>
      <c r="F1248" s="52">
        <f>IF(Data!J1248&lt;=5,Data!J1248,IF(Data!J1248&lt;=10,"6 TO 10","More than 10"))</f>
        <v>4</v>
      </c>
      <c r="G1248" s="52">
        <f t="shared" si="19"/>
        <v>1</v>
      </c>
      <c r="H1248" s="52">
        <f>ROUND(Data!C1248*Data!D1248-Data!E1248,2)</f>
        <v>0</v>
      </c>
      <c r="I1248" s="52">
        <f>IF(AND(OR(Sel_Mode="All",Data!I1248=Sel_Mode),OR(Sel_Gender="All",D1248=Sel_Gender),OR(Sel_Category="All",Data!B1248=Sel_Category),OR(Sel_Month="All",C1248=Sel_Month),OR(Sel_County="All",Data!L1248=Sel_County)),1,0)</f>
        <v>1</v>
      </c>
    </row>
    <row r="1249" spans="1:9" x14ac:dyDescent="0.25">
      <c r="A1249" s="52" t="str">
        <f>Data!A1249</f>
        <v>TX501248</v>
      </c>
      <c r="B1249" s="52">
        <f>MONTH(Data!F1249)</f>
        <v>2</v>
      </c>
      <c r="C1249" s="52" t="str">
        <f>TEXT(Data!F1249,"mmm")</f>
        <v>Feb</v>
      </c>
      <c r="D1249" s="52" t="str">
        <f>Data!O1249</f>
        <v>Female</v>
      </c>
      <c r="E1249" s="52">
        <f>Data!G1249-Data!F1249</f>
        <v>3</v>
      </c>
      <c r="F1249" s="52">
        <f>IF(Data!J1249&lt;=5,Data!J1249,IF(Data!J1249&lt;=10,"6 TO 10","More than 10"))</f>
        <v>2</v>
      </c>
      <c r="G1249" s="52">
        <f t="shared" si="19"/>
        <v>3</v>
      </c>
      <c r="H1249" s="52">
        <f>ROUND(Data!C1249*Data!D1249-Data!E1249,2)</f>
        <v>0</v>
      </c>
      <c r="I1249" s="52">
        <f>IF(AND(OR(Sel_Mode="All",Data!I1249=Sel_Mode),OR(Sel_Gender="All",D1249=Sel_Gender),OR(Sel_Category="All",Data!B1249=Sel_Category),OR(Sel_Month="All",C1249=Sel_Month),OR(Sel_County="All",Data!L1249=Sel_County)),1,0)</f>
        <v>1</v>
      </c>
    </row>
    <row r="1250" spans="1:9" x14ac:dyDescent="0.25">
      <c r="A1250" s="52" t="str">
        <f>Data!A1250</f>
        <v>TX501249</v>
      </c>
      <c r="B1250" s="52">
        <f>MONTH(Data!F1250)</f>
        <v>2</v>
      </c>
      <c r="C1250" s="52" t="str">
        <f>TEXT(Data!F1250,"mmm")</f>
        <v>Feb</v>
      </c>
      <c r="D1250" s="52" t="str">
        <f>Data!O1250</f>
        <v>Male</v>
      </c>
      <c r="E1250" s="52">
        <f>Data!G1250-Data!F1250</f>
        <v>0</v>
      </c>
      <c r="F1250" s="52">
        <f>IF(Data!J1250&lt;=5,Data!J1250,IF(Data!J1250&lt;=10,"6 TO 10","More than 10"))</f>
        <v>3</v>
      </c>
      <c r="G1250" s="52">
        <f t="shared" si="19"/>
        <v>0</v>
      </c>
      <c r="H1250" s="52">
        <f>ROUND(Data!C1250*Data!D1250-Data!E1250,2)</f>
        <v>0</v>
      </c>
      <c r="I1250" s="52">
        <f>IF(AND(OR(Sel_Mode="All",Data!I1250=Sel_Mode),OR(Sel_Gender="All",D1250=Sel_Gender),OR(Sel_Category="All",Data!B1250=Sel_Category),OR(Sel_Month="All",C1250=Sel_Month),OR(Sel_County="All",Data!L1250=Sel_County)),1,0)</f>
        <v>1</v>
      </c>
    </row>
    <row r="1251" spans="1:9" x14ac:dyDescent="0.25">
      <c r="A1251" s="52" t="str">
        <f>Data!A1251</f>
        <v>TX501250</v>
      </c>
      <c r="B1251" s="52">
        <f>MONTH(Data!F1251)</f>
        <v>2</v>
      </c>
      <c r="C1251" s="52" t="str">
        <f>TEXT(Data!F1251,"mmm")</f>
        <v>Feb</v>
      </c>
      <c r="D1251" s="52" t="str">
        <f>Data!O1251</f>
        <v>Female</v>
      </c>
      <c r="E1251" s="52">
        <f>Data!G1251-Data!F1251</f>
        <v>2</v>
      </c>
      <c r="F1251" s="52">
        <f>IF(Data!J1251&lt;=5,Data!J1251,IF(Data!J1251&lt;=10,"6 TO 10","More than 10"))</f>
        <v>4</v>
      </c>
      <c r="G1251" s="52">
        <f t="shared" si="19"/>
        <v>2</v>
      </c>
      <c r="H1251" s="52">
        <f>ROUND(Data!C1251*Data!D1251-Data!E1251,2)</f>
        <v>0</v>
      </c>
      <c r="I1251" s="52">
        <f>IF(AND(OR(Sel_Mode="All",Data!I1251=Sel_Mode),OR(Sel_Gender="All",D1251=Sel_Gender),OR(Sel_Category="All",Data!B1251=Sel_Category),OR(Sel_Month="All",C1251=Sel_Month),OR(Sel_County="All",Data!L1251=Sel_County)),1,0)</f>
        <v>1</v>
      </c>
    </row>
    <row r="1252" spans="1:9" x14ac:dyDescent="0.25">
      <c r="A1252" s="52" t="str">
        <f>Data!A1252</f>
        <v>TX501251</v>
      </c>
      <c r="B1252" s="52">
        <f>MONTH(Data!F1252)</f>
        <v>2</v>
      </c>
      <c r="C1252" s="52" t="str">
        <f>TEXT(Data!F1252,"mmm")</f>
        <v>Feb</v>
      </c>
      <c r="D1252" s="52" t="str">
        <f>Data!O1252</f>
        <v>Male</v>
      </c>
      <c r="E1252" s="52">
        <f>Data!G1252-Data!F1252</f>
        <v>5</v>
      </c>
      <c r="F1252" s="52">
        <f>IF(Data!J1252&lt;=5,Data!J1252,IF(Data!J1252&lt;=10,"6 TO 10","More than 10"))</f>
        <v>4</v>
      </c>
      <c r="G1252" s="52">
        <f t="shared" si="19"/>
        <v>5</v>
      </c>
      <c r="H1252" s="52">
        <f>ROUND(Data!C1252*Data!D1252-Data!E1252,2)</f>
        <v>0</v>
      </c>
      <c r="I1252" s="52">
        <f>IF(AND(OR(Sel_Mode="All",Data!I1252=Sel_Mode),OR(Sel_Gender="All",D1252=Sel_Gender),OR(Sel_Category="All",Data!B1252=Sel_Category),OR(Sel_Month="All",C1252=Sel_Month),OR(Sel_County="All",Data!L1252=Sel_County)),1,0)</f>
        <v>1</v>
      </c>
    </row>
    <row r="1253" spans="1:9" x14ac:dyDescent="0.25">
      <c r="A1253" s="52" t="str">
        <f>Data!A1253</f>
        <v>TX501252</v>
      </c>
      <c r="B1253" s="52">
        <f>MONTH(Data!F1253)</f>
        <v>2</v>
      </c>
      <c r="C1253" s="52" t="str">
        <f>TEXT(Data!F1253,"mmm")</f>
        <v>Feb</v>
      </c>
      <c r="D1253" s="52" t="str">
        <f>Data!O1253</f>
        <v>Unknown</v>
      </c>
      <c r="E1253" s="52">
        <f>Data!G1253-Data!F1253</f>
        <v>5</v>
      </c>
      <c r="F1253" s="52">
        <f>IF(Data!J1253&lt;=5,Data!J1253,IF(Data!J1253&lt;=10,"6 TO 10","More than 10"))</f>
        <v>5</v>
      </c>
      <c r="G1253" s="52">
        <f t="shared" si="19"/>
        <v>5</v>
      </c>
      <c r="H1253" s="52">
        <f>ROUND(Data!C1253*Data!D1253-Data!E1253,2)</f>
        <v>0</v>
      </c>
      <c r="I1253" s="52">
        <f>IF(AND(OR(Sel_Mode="All",Data!I1253=Sel_Mode),OR(Sel_Gender="All",D1253=Sel_Gender),OR(Sel_Category="All",Data!B1253=Sel_Category),OR(Sel_Month="All",C1253=Sel_Month),OR(Sel_County="All",Data!L1253=Sel_County)),1,0)</f>
        <v>1</v>
      </c>
    </row>
    <row r="1254" spans="1:9" x14ac:dyDescent="0.25">
      <c r="A1254" s="52" t="str">
        <f>Data!A1254</f>
        <v>TX501253</v>
      </c>
      <c r="B1254" s="52">
        <f>MONTH(Data!F1254)</f>
        <v>2</v>
      </c>
      <c r="C1254" s="52" t="str">
        <f>TEXT(Data!F1254,"mmm")</f>
        <v>Feb</v>
      </c>
      <c r="D1254" s="52" t="str">
        <f>Data!O1254</f>
        <v>Female</v>
      </c>
      <c r="E1254" s="52">
        <f>Data!G1254-Data!F1254</f>
        <v>1</v>
      </c>
      <c r="F1254" s="52">
        <f>IF(Data!J1254&lt;=5,Data!J1254,IF(Data!J1254&lt;=10,"6 TO 10","More than 10"))</f>
        <v>3</v>
      </c>
      <c r="G1254" s="52">
        <f t="shared" si="19"/>
        <v>1</v>
      </c>
      <c r="H1254" s="52">
        <f>ROUND(Data!C1254*Data!D1254-Data!E1254,2)</f>
        <v>0</v>
      </c>
      <c r="I1254" s="52">
        <f>IF(AND(OR(Sel_Mode="All",Data!I1254=Sel_Mode),OR(Sel_Gender="All",D1254=Sel_Gender),OR(Sel_Category="All",Data!B1254=Sel_Category),OR(Sel_Month="All",C1254=Sel_Month),OR(Sel_County="All",Data!L1254=Sel_County)),1,0)</f>
        <v>1</v>
      </c>
    </row>
    <row r="1255" spans="1:9" x14ac:dyDescent="0.25">
      <c r="A1255" s="52" t="str">
        <f>Data!A1255</f>
        <v>TX501254</v>
      </c>
      <c r="B1255" s="52">
        <f>MONTH(Data!F1255)</f>
        <v>2</v>
      </c>
      <c r="C1255" s="52" t="str">
        <f>TEXT(Data!F1255,"mmm")</f>
        <v>Feb</v>
      </c>
      <c r="D1255" s="52" t="str">
        <f>Data!O1255</f>
        <v>Female</v>
      </c>
      <c r="E1255" s="52">
        <f>Data!G1255-Data!F1255</f>
        <v>0</v>
      </c>
      <c r="F1255" s="52">
        <f>IF(Data!J1255&lt;=5,Data!J1255,IF(Data!J1255&lt;=10,"6 TO 10","More than 10"))</f>
        <v>5</v>
      </c>
      <c r="G1255" s="52">
        <f t="shared" si="19"/>
        <v>0</v>
      </c>
      <c r="H1255" s="52">
        <f>ROUND(Data!C1255*Data!D1255-Data!E1255,2)</f>
        <v>0</v>
      </c>
      <c r="I1255" s="52">
        <f>IF(AND(OR(Sel_Mode="All",Data!I1255=Sel_Mode),OR(Sel_Gender="All",D1255=Sel_Gender),OR(Sel_Category="All",Data!B1255=Sel_Category),OR(Sel_Month="All",C1255=Sel_Month),OR(Sel_County="All",Data!L1255=Sel_County)),1,0)</f>
        <v>1</v>
      </c>
    </row>
    <row r="1256" spans="1:9" x14ac:dyDescent="0.25">
      <c r="A1256" s="52" t="str">
        <f>Data!A1256</f>
        <v>TX501255</v>
      </c>
      <c r="B1256" s="52">
        <f>MONTH(Data!F1256)</f>
        <v>2</v>
      </c>
      <c r="C1256" s="52" t="str">
        <f>TEXT(Data!F1256,"mmm")</f>
        <v>Feb</v>
      </c>
      <c r="D1256" s="52" t="str">
        <f>Data!O1256</f>
        <v>Female</v>
      </c>
      <c r="E1256" s="52">
        <f>Data!G1256-Data!F1256</f>
        <v>1</v>
      </c>
      <c r="F1256" s="52">
        <f>IF(Data!J1256&lt;=5,Data!J1256,IF(Data!J1256&lt;=10,"6 TO 10","More than 10"))</f>
        <v>5</v>
      </c>
      <c r="G1256" s="52">
        <f t="shared" si="19"/>
        <v>1</v>
      </c>
      <c r="H1256" s="52">
        <f>ROUND(Data!C1256*Data!D1256-Data!E1256,2)</f>
        <v>0</v>
      </c>
      <c r="I1256" s="52">
        <f>IF(AND(OR(Sel_Mode="All",Data!I1256=Sel_Mode),OR(Sel_Gender="All",D1256=Sel_Gender),OR(Sel_Category="All",Data!B1256=Sel_Category),OR(Sel_Month="All",C1256=Sel_Month),OR(Sel_County="All",Data!L1256=Sel_County)),1,0)</f>
        <v>1</v>
      </c>
    </row>
    <row r="1257" spans="1:9" x14ac:dyDescent="0.25">
      <c r="A1257" s="52" t="str">
        <f>Data!A1257</f>
        <v>TX501256</v>
      </c>
      <c r="B1257" s="52">
        <f>MONTH(Data!F1257)</f>
        <v>2</v>
      </c>
      <c r="C1257" s="52" t="str">
        <f>TEXT(Data!F1257,"mmm")</f>
        <v>Feb</v>
      </c>
      <c r="D1257" s="52" t="str">
        <f>Data!O1257</f>
        <v>Female</v>
      </c>
      <c r="E1257" s="52">
        <f>Data!G1257-Data!F1257</f>
        <v>1</v>
      </c>
      <c r="F1257" s="52">
        <f>IF(Data!J1257&lt;=5,Data!J1257,IF(Data!J1257&lt;=10,"6 TO 10","More than 10"))</f>
        <v>4</v>
      </c>
      <c r="G1257" s="52">
        <f t="shared" si="19"/>
        <v>1</v>
      </c>
      <c r="H1257" s="52">
        <f>ROUND(Data!C1257*Data!D1257-Data!E1257,2)</f>
        <v>0</v>
      </c>
      <c r="I1257" s="52">
        <f>IF(AND(OR(Sel_Mode="All",Data!I1257=Sel_Mode),OR(Sel_Gender="All",D1257=Sel_Gender),OR(Sel_Category="All",Data!B1257=Sel_Category),OR(Sel_Month="All",C1257=Sel_Month),OR(Sel_County="All",Data!L1257=Sel_County)),1,0)</f>
        <v>1</v>
      </c>
    </row>
    <row r="1258" spans="1:9" x14ac:dyDescent="0.25">
      <c r="A1258" s="52" t="str">
        <f>Data!A1258</f>
        <v>TX501257</v>
      </c>
      <c r="B1258" s="52">
        <f>MONTH(Data!F1258)</f>
        <v>2</v>
      </c>
      <c r="C1258" s="52" t="str">
        <f>TEXT(Data!F1258,"mmm")</f>
        <v>Feb</v>
      </c>
      <c r="D1258" s="52" t="str">
        <f>Data!O1258</f>
        <v>Male</v>
      </c>
      <c r="E1258" s="52">
        <f>Data!G1258-Data!F1258</f>
        <v>2</v>
      </c>
      <c r="F1258" s="52">
        <f>IF(Data!J1258&lt;=5,Data!J1258,IF(Data!J1258&lt;=10,"6 TO 10","More than 10"))</f>
        <v>5</v>
      </c>
      <c r="G1258" s="52">
        <f t="shared" si="19"/>
        <v>2</v>
      </c>
      <c r="H1258" s="52">
        <f>ROUND(Data!C1258*Data!D1258-Data!E1258,2)</f>
        <v>0</v>
      </c>
      <c r="I1258" s="52">
        <f>IF(AND(OR(Sel_Mode="All",Data!I1258=Sel_Mode),OR(Sel_Gender="All",D1258=Sel_Gender),OR(Sel_Category="All",Data!B1258=Sel_Category),OR(Sel_Month="All",C1258=Sel_Month),OR(Sel_County="All",Data!L1258=Sel_County)),1,0)</f>
        <v>1</v>
      </c>
    </row>
    <row r="1259" spans="1:9" x14ac:dyDescent="0.25">
      <c r="A1259" s="52" t="str">
        <f>Data!A1259</f>
        <v>TX501258</v>
      </c>
      <c r="B1259" s="52">
        <f>MONTH(Data!F1259)</f>
        <v>2</v>
      </c>
      <c r="C1259" s="52" t="str">
        <f>TEXT(Data!F1259,"mmm")</f>
        <v>Feb</v>
      </c>
      <c r="D1259" s="52" t="str">
        <f>Data!O1259</f>
        <v>Male</v>
      </c>
      <c r="E1259" s="52">
        <f>Data!G1259-Data!F1259</f>
        <v>1</v>
      </c>
      <c r="F1259" s="52">
        <f>IF(Data!J1259&lt;=5,Data!J1259,IF(Data!J1259&lt;=10,"6 TO 10","More than 10"))</f>
        <v>3</v>
      </c>
      <c r="G1259" s="52">
        <f t="shared" si="19"/>
        <v>1</v>
      </c>
      <c r="H1259" s="52">
        <f>ROUND(Data!C1259*Data!D1259-Data!E1259,2)</f>
        <v>0</v>
      </c>
      <c r="I1259" s="52">
        <f>IF(AND(OR(Sel_Mode="All",Data!I1259=Sel_Mode),OR(Sel_Gender="All",D1259=Sel_Gender),OR(Sel_Category="All",Data!B1259=Sel_Category),OR(Sel_Month="All",C1259=Sel_Month),OR(Sel_County="All",Data!L1259=Sel_County)),1,0)</f>
        <v>1</v>
      </c>
    </row>
    <row r="1260" spans="1:9" x14ac:dyDescent="0.25">
      <c r="A1260" s="52" t="str">
        <f>Data!A1260</f>
        <v>TX501259</v>
      </c>
      <c r="B1260" s="52">
        <f>MONTH(Data!F1260)</f>
        <v>2</v>
      </c>
      <c r="C1260" s="52" t="str">
        <f>TEXT(Data!F1260,"mmm")</f>
        <v>Feb</v>
      </c>
      <c r="D1260" s="52" t="str">
        <f>Data!O1260</f>
        <v>Male</v>
      </c>
      <c r="E1260" s="52">
        <f>Data!G1260-Data!F1260</f>
        <v>1</v>
      </c>
      <c r="F1260" s="52">
        <f>IF(Data!J1260&lt;=5,Data!J1260,IF(Data!J1260&lt;=10,"6 TO 10","More than 10"))</f>
        <v>4</v>
      </c>
      <c r="G1260" s="52">
        <f t="shared" si="19"/>
        <v>1</v>
      </c>
      <c r="H1260" s="52">
        <f>ROUND(Data!C1260*Data!D1260-Data!E1260,2)</f>
        <v>0</v>
      </c>
      <c r="I1260" s="52">
        <f>IF(AND(OR(Sel_Mode="All",Data!I1260=Sel_Mode),OR(Sel_Gender="All",D1260=Sel_Gender),OR(Sel_Category="All",Data!B1260=Sel_Category),OR(Sel_Month="All",C1260=Sel_Month),OR(Sel_County="All",Data!L1260=Sel_County)),1,0)</f>
        <v>1</v>
      </c>
    </row>
    <row r="1261" spans="1:9" x14ac:dyDescent="0.25">
      <c r="A1261" s="52" t="str">
        <f>Data!A1261</f>
        <v>TX501260</v>
      </c>
      <c r="B1261" s="52">
        <f>MONTH(Data!F1261)</f>
        <v>2</v>
      </c>
      <c r="C1261" s="52" t="str">
        <f>TEXT(Data!F1261,"mmm")</f>
        <v>Feb</v>
      </c>
      <c r="D1261" s="52" t="str">
        <f>Data!O1261</f>
        <v>Male</v>
      </c>
      <c r="E1261" s="52">
        <f>Data!G1261-Data!F1261</f>
        <v>2</v>
      </c>
      <c r="F1261" s="52">
        <f>IF(Data!J1261&lt;=5,Data!J1261,IF(Data!J1261&lt;=10,"6 TO 10","More than 10"))</f>
        <v>4</v>
      </c>
      <c r="G1261" s="52">
        <f t="shared" si="19"/>
        <v>2</v>
      </c>
      <c r="H1261" s="52">
        <f>ROUND(Data!C1261*Data!D1261-Data!E1261,2)</f>
        <v>0</v>
      </c>
      <c r="I1261" s="52">
        <f>IF(AND(OR(Sel_Mode="All",Data!I1261=Sel_Mode),OR(Sel_Gender="All",D1261=Sel_Gender),OR(Sel_Category="All",Data!B1261=Sel_Category),OR(Sel_Month="All",C1261=Sel_Month),OR(Sel_County="All",Data!L1261=Sel_County)),1,0)</f>
        <v>1</v>
      </c>
    </row>
    <row r="1262" spans="1:9" x14ac:dyDescent="0.25">
      <c r="A1262" s="52" t="str">
        <f>Data!A1262</f>
        <v>TX501261</v>
      </c>
      <c r="B1262" s="52">
        <f>MONTH(Data!F1262)</f>
        <v>2</v>
      </c>
      <c r="C1262" s="52" t="str">
        <f>TEXT(Data!F1262,"mmm")</f>
        <v>Feb</v>
      </c>
      <c r="D1262" s="52" t="str">
        <f>Data!O1262</f>
        <v>Male</v>
      </c>
      <c r="E1262" s="52">
        <f>Data!G1262-Data!F1262</f>
        <v>1</v>
      </c>
      <c r="F1262" s="52">
        <f>IF(Data!J1262&lt;=5,Data!J1262,IF(Data!J1262&lt;=10,"6 TO 10","More than 10"))</f>
        <v>4</v>
      </c>
      <c r="G1262" s="52">
        <f t="shared" si="19"/>
        <v>1</v>
      </c>
      <c r="H1262" s="52">
        <f>ROUND(Data!C1262*Data!D1262-Data!E1262,2)</f>
        <v>0</v>
      </c>
      <c r="I1262" s="52">
        <f>IF(AND(OR(Sel_Mode="All",Data!I1262=Sel_Mode),OR(Sel_Gender="All",D1262=Sel_Gender),OR(Sel_Category="All",Data!B1262=Sel_Category),OR(Sel_Month="All",C1262=Sel_Month),OR(Sel_County="All",Data!L1262=Sel_County)),1,0)</f>
        <v>1</v>
      </c>
    </row>
    <row r="1263" spans="1:9" x14ac:dyDescent="0.25">
      <c r="A1263" s="52" t="str">
        <f>Data!A1263</f>
        <v>TX501262</v>
      </c>
      <c r="B1263" s="52">
        <f>MONTH(Data!F1263)</f>
        <v>2</v>
      </c>
      <c r="C1263" s="52" t="str">
        <f>TEXT(Data!F1263,"mmm")</f>
        <v>Feb</v>
      </c>
      <c r="D1263" s="52" t="str">
        <f>Data!O1263</f>
        <v>Male</v>
      </c>
      <c r="E1263" s="52">
        <f>Data!G1263-Data!F1263</f>
        <v>1</v>
      </c>
      <c r="F1263" s="52">
        <f>IF(Data!J1263&lt;=5,Data!J1263,IF(Data!J1263&lt;=10,"6 TO 10","More than 10"))</f>
        <v>5</v>
      </c>
      <c r="G1263" s="52">
        <f t="shared" si="19"/>
        <v>1</v>
      </c>
      <c r="H1263" s="52">
        <f>ROUND(Data!C1263*Data!D1263-Data!E1263,2)</f>
        <v>0</v>
      </c>
      <c r="I1263" s="52">
        <f>IF(AND(OR(Sel_Mode="All",Data!I1263=Sel_Mode),OR(Sel_Gender="All",D1263=Sel_Gender),OR(Sel_Category="All",Data!B1263=Sel_Category),OR(Sel_Month="All",C1263=Sel_Month),OR(Sel_County="All",Data!L1263=Sel_County)),1,0)</f>
        <v>1</v>
      </c>
    </row>
    <row r="1264" spans="1:9" x14ac:dyDescent="0.25">
      <c r="A1264" s="52" t="str">
        <f>Data!A1264</f>
        <v>TX501263</v>
      </c>
      <c r="B1264" s="52">
        <f>MONTH(Data!F1264)</f>
        <v>2</v>
      </c>
      <c r="C1264" s="52" t="str">
        <f>TEXT(Data!F1264,"mmm")</f>
        <v>Feb</v>
      </c>
      <c r="D1264" s="52" t="str">
        <f>Data!O1264</f>
        <v>Male</v>
      </c>
      <c r="E1264" s="52">
        <f>Data!G1264-Data!F1264</f>
        <v>2</v>
      </c>
      <c r="F1264" s="52">
        <f>IF(Data!J1264&lt;=5,Data!J1264,IF(Data!J1264&lt;=10,"6 TO 10","More than 10"))</f>
        <v>4</v>
      </c>
      <c r="G1264" s="52">
        <f t="shared" si="19"/>
        <v>2</v>
      </c>
      <c r="H1264" s="52">
        <f>ROUND(Data!C1264*Data!D1264-Data!E1264,2)</f>
        <v>0</v>
      </c>
      <c r="I1264" s="52">
        <f>IF(AND(OR(Sel_Mode="All",Data!I1264=Sel_Mode),OR(Sel_Gender="All",D1264=Sel_Gender),OR(Sel_Category="All",Data!B1264=Sel_Category),OR(Sel_Month="All",C1264=Sel_Month),OR(Sel_County="All",Data!L1264=Sel_County)),1,0)</f>
        <v>1</v>
      </c>
    </row>
    <row r="1265" spans="1:9" x14ac:dyDescent="0.25">
      <c r="A1265" s="52" t="str">
        <f>Data!A1265</f>
        <v>TX501264</v>
      </c>
      <c r="B1265" s="52">
        <f>MONTH(Data!F1265)</f>
        <v>2</v>
      </c>
      <c r="C1265" s="52" t="str">
        <f>TEXT(Data!F1265,"mmm")</f>
        <v>Feb</v>
      </c>
      <c r="D1265" s="52" t="str">
        <f>Data!O1265</f>
        <v>Male</v>
      </c>
      <c r="E1265" s="52">
        <f>Data!G1265-Data!F1265</f>
        <v>0</v>
      </c>
      <c r="F1265" s="52">
        <f>IF(Data!J1265&lt;=5,Data!J1265,IF(Data!J1265&lt;=10,"6 TO 10","More than 10"))</f>
        <v>5</v>
      </c>
      <c r="G1265" s="52">
        <f t="shared" si="19"/>
        <v>0</v>
      </c>
      <c r="H1265" s="52">
        <f>ROUND(Data!C1265*Data!D1265-Data!E1265,2)</f>
        <v>0</v>
      </c>
      <c r="I1265" s="52">
        <f>IF(AND(OR(Sel_Mode="All",Data!I1265=Sel_Mode),OR(Sel_Gender="All",D1265=Sel_Gender),OR(Sel_Category="All",Data!B1265=Sel_Category),OR(Sel_Month="All",C1265=Sel_Month),OR(Sel_County="All",Data!L1265=Sel_County)),1,0)</f>
        <v>1</v>
      </c>
    </row>
    <row r="1266" spans="1:9" x14ac:dyDescent="0.25">
      <c r="A1266" s="52" t="str">
        <f>Data!A1266</f>
        <v>TX501265</v>
      </c>
      <c r="B1266" s="52">
        <f>MONTH(Data!F1266)</f>
        <v>2</v>
      </c>
      <c r="C1266" s="52" t="str">
        <f>TEXT(Data!F1266,"mmm")</f>
        <v>Feb</v>
      </c>
      <c r="D1266" s="52" t="str">
        <f>Data!O1266</f>
        <v>Female</v>
      </c>
      <c r="E1266" s="52">
        <f>Data!G1266-Data!F1266</f>
        <v>3</v>
      </c>
      <c r="F1266" s="52">
        <f>IF(Data!J1266&lt;=5,Data!J1266,IF(Data!J1266&lt;=10,"6 TO 10","More than 10"))</f>
        <v>3</v>
      </c>
      <c r="G1266" s="52">
        <f t="shared" si="19"/>
        <v>3</v>
      </c>
      <c r="H1266" s="52">
        <f>ROUND(Data!C1266*Data!D1266-Data!E1266,2)</f>
        <v>0</v>
      </c>
      <c r="I1266" s="52">
        <f>IF(AND(OR(Sel_Mode="All",Data!I1266=Sel_Mode),OR(Sel_Gender="All",D1266=Sel_Gender),OR(Sel_Category="All",Data!B1266=Sel_Category),OR(Sel_Month="All",C1266=Sel_Month),OR(Sel_County="All",Data!L1266=Sel_County)),1,0)</f>
        <v>1</v>
      </c>
    </row>
    <row r="1267" spans="1:9" x14ac:dyDescent="0.25">
      <c r="A1267" s="52" t="str">
        <f>Data!A1267</f>
        <v>TX501266</v>
      </c>
      <c r="B1267" s="52">
        <f>MONTH(Data!F1267)</f>
        <v>2</v>
      </c>
      <c r="C1267" s="52" t="str">
        <f>TEXT(Data!F1267,"mmm")</f>
        <v>Feb</v>
      </c>
      <c r="D1267" s="52" t="str">
        <f>Data!O1267</f>
        <v>Female</v>
      </c>
      <c r="E1267" s="52">
        <f>Data!G1267-Data!F1267</f>
        <v>2</v>
      </c>
      <c r="F1267" s="52">
        <f>IF(Data!J1267&lt;=5,Data!J1267,IF(Data!J1267&lt;=10,"6 TO 10","More than 10"))</f>
        <v>5</v>
      </c>
      <c r="G1267" s="52">
        <f t="shared" si="19"/>
        <v>2</v>
      </c>
      <c r="H1267" s="52">
        <f>ROUND(Data!C1267*Data!D1267-Data!E1267,2)</f>
        <v>0</v>
      </c>
      <c r="I1267" s="52">
        <f>IF(AND(OR(Sel_Mode="All",Data!I1267=Sel_Mode),OR(Sel_Gender="All",D1267=Sel_Gender),OR(Sel_Category="All",Data!B1267=Sel_Category),OR(Sel_Month="All",C1267=Sel_Month),OR(Sel_County="All",Data!L1267=Sel_County)),1,0)</f>
        <v>1</v>
      </c>
    </row>
    <row r="1268" spans="1:9" x14ac:dyDescent="0.25">
      <c r="A1268" s="52" t="str">
        <f>Data!A1268</f>
        <v>TX501267</v>
      </c>
      <c r="B1268" s="52">
        <f>MONTH(Data!F1268)</f>
        <v>2</v>
      </c>
      <c r="C1268" s="52" t="str">
        <f>TEXT(Data!F1268,"mmm")</f>
        <v>Feb</v>
      </c>
      <c r="D1268" s="52" t="str">
        <f>Data!O1268</f>
        <v>Male</v>
      </c>
      <c r="E1268" s="52">
        <f>Data!G1268-Data!F1268</f>
        <v>2</v>
      </c>
      <c r="F1268" s="52">
        <f>IF(Data!J1268&lt;=5,Data!J1268,IF(Data!J1268&lt;=10,"6 TO 10","More than 10"))</f>
        <v>4</v>
      </c>
      <c r="G1268" s="52">
        <f t="shared" si="19"/>
        <v>2</v>
      </c>
      <c r="H1268" s="52">
        <f>ROUND(Data!C1268*Data!D1268-Data!E1268,2)</f>
        <v>0</v>
      </c>
      <c r="I1268" s="52">
        <f>IF(AND(OR(Sel_Mode="All",Data!I1268=Sel_Mode),OR(Sel_Gender="All",D1268=Sel_Gender),OR(Sel_Category="All",Data!B1268=Sel_Category),OR(Sel_Month="All",C1268=Sel_Month),OR(Sel_County="All",Data!L1268=Sel_County)),1,0)</f>
        <v>1</v>
      </c>
    </row>
    <row r="1269" spans="1:9" x14ac:dyDescent="0.25">
      <c r="A1269" s="52" t="str">
        <f>Data!A1269</f>
        <v>TX501268</v>
      </c>
      <c r="B1269" s="52">
        <f>MONTH(Data!F1269)</f>
        <v>2</v>
      </c>
      <c r="C1269" s="52" t="str">
        <f>TEXT(Data!F1269,"mmm")</f>
        <v>Feb</v>
      </c>
      <c r="D1269" s="52" t="str">
        <f>Data!O1269</f>
        <v>Male</v>
      </c>
      <c r="E1269" s="52">
        <f>Data!G1269-Data!F1269</f>
        <v>3</v>
      </c>
      <c r="F1269" s="52">
        <f>IF(Data!J1269&lt;=5,Data!J1269,IF(Data!J1269&lt;=10,"6 TO 10","More than 10"))</f>
        <v>4</v>
      </c>
      <c r="G1269" s="52">
        <f t="shared" si="19"/>
        <v>3</v>
      </c>
      <c r="H1269" s="52">
        <f>ROUND(Data!C1269*Data!D1269-Data!E1269,2)</f>
        <v>0</v>
      </c>
      <c r="I1269" s="52">
        <f>IF(AND(OR(Sel_Mode="All",Data!I1269=Sel_Mode),OR(Sel_Gender="All",D1269=Sel_Gender),OR(Sel_Category="All",Data!B1269=Sel_Category),OR(Sel_Month="All",C1269=Sel_Month),OR(Sel_County="All",Data!L1269=Sel_County)),1,0)</f>
        <v>1</v>
      </c>
    </row>
    <row r="1270" spans="1:9" x14ac:dyDescent="0.25">
      <c r="A1270" s="52" t="str">
        <f>Data!A1270</f>
        <v>TX501269</v>
      </c>
      <c r="B1270" s="52">
        <f>MONTH(Data!F1270)</f>
        <v>2</v>
      </c>
      <c r="C1270" s="52" t="str">
        <f>TEXT(Data!F1270,"mmm")</f>
        <v>Feb</v>
      </c>
      <c r="D1270" s="52" t="str">
        <f>Data!O1270</f>
        <v>Female</v>
      </c>
      <c r="E1270" s="52">
        <f>Data!G1270-Data!F1270</f>
        <v>4</v>
      </c>
      <c r="F1270" s="52">
        <f>IF(Data!J1270&lt;=5,Data!J1270,IF(Data!J1270&lt;=10,"6 TO 10","More than 10"))</f>
        <v>4</v>
      </c>
      <c r="G1270" s="52">
        <f t="shared" si="19"/>
        <v>4</v>
      </c>
      <c r="H1270" s="52">
        <f>ROUND(Data!C1270*Data!D1270-Data!E1270,2)</f>
        <v>0</v>
      </c>
      <c r="I1270" s="52">
        <f>IF(AND(OR(Sel_Mode="All",Data!I1270=Sel_Mode),OR(Sel_Gender="All",D1270=Sel_Gender),OR(Sel_Category="All",Data!B1270=Sel_Category),OR(Sel_Month="All",C1270=Sel_Month),OR(Sel_County="All",Data!L1270=Sel_County)),1,0)</f>
        <v>1</v>
      </c>
    </row>
    <row r="1271" spans="1:9" x14ac:dyDescent="0.25">
      <c r="A1271" s="52" t="str">
        <f>Data!A1271</f>
        <v>TX501270</v>
      </c>
      <c r="B1271" s="52">
        <f>MONTH(Data!F1271)</f>
        <v>2</v>
      </c>
      <c r="C1271" s="52" t="str">
        <f>TEXT(Data!F1271,"mmm")</f>
        <v>Feb</v>
      </c>
      <c r="D1271" s="52" t="str">
        <f>Data!O1271</f>
        <v>Female</v>
      </c>
      <c r="E1271" s="52">
        <f>Data!G1271-Data!F1271</f>
        <v>3</v>
      </c>
      <c r="F1271" s="52">
        <f>IF(Data!J1271&lt;=5,Data!J1271,IF(Data!J1271&lt;=10,"6 TO 10","More than 10"))</f>
        <v>3</v>
      </c>
      <c r="G1271" s="52">
        <f t="shared" si="19"/>
        <v>3</v>
      </c>
      <c r="H1271" s="52">
        <f>ROUND(Data!C1271*Data!D1271-Data!E1271,2)</f>
        <v>0</v>
      </c>
      <c r="I1271" s="52">
        <f>IF(AND(OR(Sel_Mode="All",Data!I1271=Sel_Mode),OR(Sel_Gender="All",D1271=Sel_Gender),OR(Sel_Category="All",Data!B1271=Sel_Category),OR(Sel_Month="All",C1271=Sel_Month),OR(Sel_County="All",Data!L1271=Sel_County)),1,0)</f>
        <v>1</v>
      </c>
    </row>
    <row r="1272" spans="1:9" x14ac:dyDescent="0.25">
      <c r="A1272" s="52" t="str">
        <f>Data!A1272</f>
        <v>TX501271</v>
      </c>
      <c r="B1272" s="52">
        <f>MONTH(Data!F1272)</f>
        <v>2</v>
      </c>
      <c r="C1272" s="52" t="str">
        <f>TEXT(Data!F1272,"mmm")</f>
        <v>Feb</v>
      </c>
      <c r="D1272" s="52" t="str">
        <f>Data!O1272</f>
        <v>Female</v>
      </c>
      <c r="E1272" s="52">
        <f>Data!G1272-Data!F1272</f>
        <v>1</v>
      </c>
      <c r="F1272" s="52">
        <f>IF(Data!J1272&lt;=5,Data!J1272,IF(Data!J1272&lt;=10,"6 TO 10","More than 10"))</f>
        <v>3</v>
      </c>
      <c r="G1272" s="52">
        <f t="shared" si="19"/>
        <v>1</v>
      </c>
      <c r="H1272" s="52">
        <f>ROUND(Data!C1272*Data!D1272-Data!E1272,2)</f>
        <v>0</v>
      </c>
      <c r="I1272" s="52">
        <f>IF(AND(OR(Sel_Mode="All",Data!I1272=Sel_Mode),OR(Sel_Gender="All",D1272=Sel_Gender),OR(Sel_Category="All",Data!B1272=Sel_Category),OR(Sel_Month="All",C1272=Sel_Month),OR(Sel_County="All",Data!L1272=Sel_County)),1,0)</f>
        <v>1</v>
      </c>
    </row>
    <row r="1273" spans="1:9" x14ac:dyDescent="0.25">
      <c r="A1273" s="52" t="str">
        <f>Data!A1273</f>
        <v>TX501272</v>
      </c>
      <c r="B1273" s="52">
        <f>MONTH(Data!F1273)</f>
        <v>2</v>
      </c>
      <c r="C1273" s="52" t="str">
        <f>TEXT(Data!F1273,"mmm")</f>
        <v>Feb</v>
      </c>
      <c r="D1273" s="52" t="str">
        <f>Data!O1273</f>
        <v>Male</v>
      </c>
      <c r="E1273" s="52">
        <f>Data!G1273-Data!F1273</f>
        <v>0</v>
      </c>
      <c r="F1273" s="52">
        <f>IF(Data!J1273&lt;=5,Data!J1273,IF(Data!J1273&lt;=10,"6 TO 10","More than 10"))</f>
        <v>4</v>
      </c>
      <c r="G1273" s="52">
        <f t="shared" si="19"/>
        <v>0</v>
      </c>
      <c r="H1273" s="52">
        <f>ROUND(Data!C1273*Data!D1273-Data!E1273,2)</f>
        <v>0</v>
      </c>
      <c r="I1273" s="52">
        <f>IF(AND(OR(Sel_Mode="All",Data!I1273=Sel_Mode),OR(Sel_Gender="All",D1273=Sel_Gender),OR(Sel_Category="All",Data!B1273=Sel_Category),OR(Sel_Month="All",C1273=Sel_Month),OR(Sel_County="All",Data!L1273=Sel_County)),1,0)</f>
        <v>1</v>
      </c>
    </row>
    <row r="1274" spans="1:9" x14ac:dyDescent="0.25">
      <c r="A1274" s="52" t="str">
        <f>Data!A1274</f>
        <v>TX501273</v>
      </c>
      <c r="B1274" s="52">
        <f>MONTH(Data!F1274)</f>
        <v>2</v>
      </c>
      <c r="C1274" s="52" t="str">
        <f>TEXT(Data!F1274,"mmm")</f>
        <v>Feb</v>
      </c>
      <c r="D1274" s="52" t="str">
        <f>Data!O1274</f>
        <v>Male</v>
      </c>
      <c r="E1274" s="52">
        <f>Data!G1274-Data!F1274</f>
        <v>3</v>
      </c>
      <c r="F1274" s="52">
        <f>IF(Data!J1274&lt;=5,Data!J1274,IF(Data!J1274&lt;=10,"6 TO 10","More than 10"))</f>
        <v>4</v>
      </c>
      <c r="G1274" s="52">
        <f t="shared" si="19"/>
        <v>3</v>
      </c>
      <c r="H1274" s="52">
        <f>ROUND(Data!C1274*Data!D1274-Data!E1274,2)</f>
        <v>0</v>
      </c>
      <c r="I1274" s="52">
        <f>IF(AND(OR(Sel_Mode="All",Data!I1274=Sel_Mode),OR(Sel_Gender="All",D1274=Sel_Gender),OR(Sel_Category="All",Data!B1274=Sel_Category),OR(Sel_Month="All",C1274=Sel_Month),OR(Sel_County="All",Data!L1274=Sel_County)),1,0)</f>
        <v>1</v>
      </c>
    </row>
    <row r="1275" spans="1:9" x14ac:dyDescent="0.25">
      <c r="A1275" s="52" t="str">
        <f>Data!A1275</f>
        <v>TX501274</v>
      </c>
      <c r="B1275" s="52">
        <f>MONTH(Data!F1275)</f>
        <v>2</v>
      </c>
      <c r="C1275" s="52" t="str">
        <f>TEXT(Data!F1275,"mmm")</f>
        <v>Feb</v>
      </c>
      <c r="D1275" s="52" t="str">
        <f>Data!O1275</f>
        <v>Female</v>
      </c>
      <c r="E1275" s="52">
        <f>Data!G1275-Data!F1275</f>
        <v>0</v>
      </c>
      <c r="F1275" s="52">
        <f>IF(Data!J1275&lt;=5,Data!J1275,IF(Data!J1275&lt;=10,"6 TO 10","More than 10"))</f>
        <v>4</v>
      </c>
      <c r="G1275" s="52">
        <f t="shared" si="19"/>
        <v>0</v>
      </c>
      <c r="H1275" s="52">
        <f>ROUND(Data!C1275*Data!D1275-Data!E1275,2)</f>
        <v>0</v>
      </c>
      <c r="I1275" s="52">
        <f>IF(AND(OR(Sel_Mode="All",Data!I1275=Sel_Mode),OR(Sel_Gender="All",D1275=Sel_Gender),OR(Sel_Category="All",Data!B1275=Sel_Category),OR(Sel_Month="All",C1275=Sel_Month),OR(Sel_County="All",Data!L1275=Sel_County)),1,0)</f>
        <v>1</v>
      </c>
    </row>
    <row r="1276" spans="1:9" x14ac:dyDescent="0.25">
      <c r="A1276" s="52" t="str">
        <f>Data!A1276</f>
        <v>TX501275</v>
      </c>
      <c r="B1276" s="52">
        <f>MONTH(Data!F1276)</f>
        <v>2</v>
      </c>
      <c r="C1276" s="52" t="str">
        <f>TEXT(Data!F1276,"mmm")</f>
        <v>Feb</v>
      </c>
      <c r="D1276" s="52" t="str">
        <f>Data!O1276</f>
        <v>Female</v>
      </c>
      <c r="E1276" s="52">
        <f>Data!G1276-Data!F1276</f>
        <v>2</v>
      </c>
      <c r="F1276" s="52">
        <f>IF(Data!J1276&lt;=5,Data!J1276,IF(Data!J1276&lt;=10,"6 TO 10","More than 10"))</f>
        <v>3</v>
      </c>
      <c r="G1276" s="52">
        <f t="shared" si="19"/>
        <v>2</v>
      </c>
      <c r="H1276" s="52">
        <f>ROUND(Data!C1276*Data!D1276-Data!E1276,2)</f>
        <v>0</v>
      </c>
      <c r="I1276" s="52">
        <f>IF(AND(OR(Sel_Mode="All",Data!I1276=Sel_Mode),OR(Sel_Gender="All",D1276=Sel_Gender),OR(Sel_Category="All",Data!B1276=Sel_Category),OR(Sel_Month="All",C1276=Sel_Month),OR(Sel_County="All",Data!L1276=Sel_County)),1,0)</f>
        <v>1</v>
      </c>
    </row>
    <row r="1277" spans="1:9" x14ac:dyDescent="0.25">
      <c r="A1277" s="52" t="str">
        <f>Data!A1277</f>
        <v>TX501276</v>
      </c>
      <c r="B1277" s="52">
        <f>MONTH(Data!F1277)</f>
        <v>2</v>
      </c>
      <c r="C1277" s="52" t="str">
        <f>TEXT(Data!F1277,"mmm")</f>
        <v>Feb</v>
      </c>
      <c r="D1277" s="52" t="str">
        <f>Data!O1277</f>
        <v>Female</v>
      </c>
      <c r="E1277" s="52">
        <f>Data!G1277-Data!F1277</f>
        <v>1</v>
      </c>
      <c r="F1277" s="52">
        <f>IF(Data!J1277&lt;=5,Data!J1277,IF(Data!J1277&lt;=10,"6 TO 10","More than 10"))</f>
        <v>4</v>
      </c>
      <c r="G1277" s="52">
        <f t="shared" si="19"/>
        <v>1</v>
      </c>
      <c r="H1277" s="52">
        <f>ROUND(Data!C1277*Data!D1277-Data!E1277,2)</f>
        <v>0</v>
      </c>
      <c r="I1277" s="52">
        <f>IF(AND(OR(Sel_Mode="All",Data!I1277=Sel_Mode),OR(Sel_Gender="All",D1277=Sel_Gender),OR(Sel_Category="All",Data!B1277=Sel_Category),OR(Sel_Month="All",C1277=Sel_Month),OR(Sel_County="All",Data!L1277=Sel_County)),1,0)</f>
        <v>1</v>
      </c>
    </row>
    <row r="1278" spans="1:9" x14ac:dyDescent="0.25">
      <c r="A1278" s="52" t="str">
        <f>Data!A1278</f>
        <v>TX501277</v>
      </c>
      <c r="B1278" s="52">
        <f>MONTH(Data!F1278)</f>
        <v>2</v>
      </c>
      <c r="C1278" s="52" t="str">
        <f>TEXT(Data!F1278,"mmm")</f>
        <v>Feb</v>
      </c>
      <c r="D1278" s="52" t="str">
        <f>Data!O1278</f>
        <v>Female</v>
      </c>
      <c r="E1278" s="52">
        <f>Data!G1278-Data!F1278</f>
        <v>2</v>
      </c>
      <c r="F1278" s="52">
        <f>IF(Data!J1278&lt;=5,Data!J1278,IF(Data!J1278&lt;=10,"6 TO 10","More than 10"))</f>
        <v>4</v>
      </c>
      <c r="G1278" s="52">
        <f t="shared" si="19"/>
        <v>2</v>
      </c>
      <c r="H1278" s="52">
        <f>ROUND(Data!C1278*Data!D1278-Data!E1278,2)</f>
        <v>0</v>
      </c>
      <c r="I1278" s="52">
        <f>IF(AND(OR(Sel_Mode="All",Data!I1278=Sel_Mode),OR(Sel_Gender="All",D1278=Sel_Gender),OR(Sel_Category="All",Data!B1278=Sel_Category),OR(Sel_Month="All",C1278=Sel_Month),OR(Sel_County="All",Data!L1278=Sel_County)),1,0)</f>
        <v>1</v>
      </c>
    </row>
    <row r="1279" spans="1:9" x14ac:dyDescent="0.25">
      <c r="A1279" s="52" t="str">
        <f>Data!A1279</f>
        <v>TX501278</v>
      </c>
      <c r="B1279" s="52">
        <f>MONTH(Data!F1279)</f>
        <v>2</v>
      </c>
      <c r="C1279" s="52" t="str">
        <f>TEXT(Data!F1279,"mmm")</f>
        <v>Feb</v>
      </c>
      <c r="D1279" s="52" t="str">
        <f>Data!O1279</f>
        <v>Unknown</v>
      </c>
      <c r="E1279" s="52">
        <f>Data!G1279-Data!F1279</f>
        <v>1</v>
      </c>
      <c r="F1279" s="52">
        <f>IF(Data!J1279&lt;=5,Data!J1279,IF(Data!J1279&lt;=10,"6 TO 10","More than 10"))</f>
        <v>5</v>
      </c>
      <c r="G1279" s="52">
        <f t="shared" si="19"/>
        <v>1</v>
      </c>
      <c r="H1279" s="52">
        <f>ROUND(Data!C1279*Data!D1279-Data!E1279,2)</f>
        <v>0</v>
      </c>
      <c r="I1279" s="52">
        <f>IF(AND(OR(Sel_Mode="All",Data!I1279=Sel_Mode),OR(Sel_Gender="All",D1279=Sel_Gender),OR(Sel_Category="All",Data!B1279=Sel_Category),OR(Sel_Month="All",C1279=Sel_Month),OR(Sel_County="All",Data!L1279=Sel_County)),1,0)</f>
        <v>1</v>
      </c>
    </row>
    <row r="1280" spans="1:9" x14ac:dyDescent="0.25">
      <c r="A1280" s="52" t="str">
        <f>Data!A1280</f>
        <v>TX501279</v>
      </c>
      <c r="B1280" s="52">
        <f>MONTH(Data!F1280)</f>
        <v>2</v>
      </c>
      <c r="C1280" s="52" t="str">
        <f>TEXT(Data!F1280,"mmm")</f>
        <v>Feb</v>
      </c>
      <c r="D1280" s="52" t="str">
        <f>Data!O1280</f>
        <v>Female</v>
      </c>
      <c r="E1280" s="52">
        <f>Data!G1280-Data!F1280</f>
        <v>1</v>
      </c>
      <c r="F1280" s="52">
        <f>IF(Data!J1280&lt;=5,Data!J1280,IF(Data!J1280&lt;=10,"6 TO 10","More than 10"))</f>
        <v>2</v>
      </c>
      <c r="G1280" s="52">
        <f t="shared" si="19"/>
        <v>1</v>
      </c>
      <c r="H1280" s="52">
        <f>ROUND(Data!C1280*Data!D1280-Data!E1280,2)</f>
        <v>0</v>
      </c>
      <c r="I1280" s="52">
        <f>IF(AND(OR(Sel_Mode="All",Data!I1280=Sel_Mode),OR(Sel_Gender="All",D1280=Sel_Gender),OR(Sel_Category="All",Data!B1280=Sel_Category),OR(Sel_Month="All",C1280=Sel_Month),OR(Sel_County="All",Data!L1280=Sel_County)),1,0)</f>
        <v>1</v>
      </c>
    </row>
    <row r="1281" spans="1:9" x14ac:dyDescent="0.25">
      <c r="A1281" s="52" t="str">
        <f>Data!A1281</f>
        <v>TX501280</v>
      </c>
      <c r="B1281" s="52">
        <f>MONTH(Data!F1281)</f>
        <v>2</v>
      </c>
      <c r="C1281" s="52" t="str">
        <f>TEXT(Data!F1281,"mmm")</f>
        <v>Feb</v>
      </c>
      <c r="D1281" s="52" t="str">
        <f>Data!O1281</f>
        <v>Female</v>
      </c>
      <c r="E1281" s="52">
        <f>Data!G1281-Data!F1281</f>
        <v>1</v>
      </c>
      <c r="F1281" s="52">
        <f>IF(Data!J1281&lt;=5,Data!J1281,IF(Data!J1281&lt;=10,"6 TO 10","More than 10"))</f>
        <v>4</v>
      </c>
      <c r="G1281" s="52">
        <f t="shared" si="19"/>
        <v>1</v>
      </c>
      <c r="H1281" s="52">
        <f>ROUND(Data!C1281*Data!D1281-Data!E1281,2)</f>
        <v>0</v>
      </c>
      <c r="I1281" s="52">
        <f>IF(AND(OR(Sel_Mode="All",Data!I1281=Sel_Mode),OR(Sel_Gender="All",D1281=Sel_Gender),OR(Sel_Category="All",Data!B1281=Sel_Category),OR(Sel_Month="All",C1281=Sel_Month),OR(Sel_County="All",Data!L1281=Sel_County)),1,0)</f>
        <v>1</v>
      </c>
    </row>
    <row r="1282" spans="1:9" x14ac:dyDescent="0.25">
      <c r="A1282" s="52" t="str">
        <f>Data!A1282</f>
        <v>TX501281</v>
      </c>
      <c r="B1282" s="52">
        <f>MONTH(Data!F1282)</f>
        <v>2</v>
      </c>
      <c r="C1282" s="52" t="str">
        <f>TEXT(Data!F1282,"mmm")</f>
        <v>Feb</v>
      </c>
      <c r="D1282" s="52" t="str">
        <f>Data!O1282</f>
        <v>Female</v>
      </c>
      <c r="E1282" s="52">
        <f>Data!G1282-Data!F1282</f>
        <v>4</v>
      </c>
      <c r="F1282" s="52">
        <f>IF(Data!J1282&lt;=5,Data!J1282,IF(Data!J1282&lt;=10,"6 TO 10","More than 10"))</f>
        <v>4</v>
      </c>
      <c r="G1282" s="52">
        <f t="shared" ref="G1282:G1345" si="20">IF(E1282&gt;=8,"8+",E1282)</f>
        <v>4</v>
      </c>
      <c r="H1282" s="52">
        <f>ROUND(Data!C1282*Data!D1282-Data!E1282,2)</f>
        <v>0</v>
      </c>
      <c r="I1282" s="52">
        <f>IF(AND(OR(Sel_Mode="All",Data!I1282=Sel_Mode),OR(Sel_Gender="All",D1282=Sel_Gender),OR(Sel_Category="All",Data!B1282=Sel_Category),OR(Sel_Month="All",C1282=Sel_Month),OR(Sel_County="All",Data!L1282=Sel_County)),1,0)</f>
        <v>1</v>
      </c>
    </row>
    <row r="1283" spans="1:9" x14ac:dyDescent="0.25">
      <c r="A1283" s="52" t="str">
        <f>Data!A1283</f>
        <v>TX501282</v>
      </c>
      <c r="B1283" s="52">
        <f>MONTH(Data!F1283)</f>
        <v>2</v>
      </c>
      <c r="C1283" s="52" t="str">
        <f>TEXT(Data!F1283,"mmm")</f>
        <v>Feb</v>
      </c>
      <c r="D1283" s="52" t="str">
        <f>Data!O1283</f>
        <v>Female</v>
      </c>
      <c r="E1283" s="52">
        <f>Data!G1283-Data!F1283</f>
        <v>1</v>
      </c>
      <c r="F1283" s="52">
        <f>IF(Data!J1283&lt;=5,Data!J1283,IF(Data!J1283&lt;=10,"6 TO 10","More than 10"))</f>
        <v>5</v>
      </c>
      <c r="G1283" s="52">
        <f t="shared" si="20"/>
        <v>1</v>
      </c>
      <c r="H1283" s="52">
        <f>ROUND(Data!C1283*Data!D1283-Data!E1283,2)</f>
        <v>0</v>
      </c>
      <c r="I1283" s="52">
        <f>IF(AND(OR(Sel_Mode="All",Data!I1283=Sel_Mode),OR(Sel_Gender="All",D1283=Sel_Gender),OR(Sel_Category="All",Data!B1283=Sel_Category),OR(Sel_Month="All",C1283=Sel_Month),OR(Sel_County="All",Data!L1283=Sel_County)),1,0)</f>
        <v>1</v>
      </c>
    </row>
    <row r="1284" spans="1:9" x14ac:dyDescent="0.25">
      <c r="A1284" s="52" t="str">
        <f>Data!A1284</f>
        <v>TX501283</v>
      </c>
      <c r="B1284" s="52">
        <f>MONTH(Data!F1284)</f>
        <v>2</v>
      </c>
      <c r="C1284" s="52" t="str">
        <f>TEXT(Data!F1284,"mmm")</f>
        <v>Feb</v>
      </c>
      <c r="D1284" s="52" t="str">
        <f>Data!O1284</f>
        <v>Male</v>
      </c>
      <c r="E1284" s="52">
        <f>Data!G1284-Data!F1284</f>
        <v>0</v>
      </c>
      <c r="F1284" s="52">
        <f>IF(Data!J1284&lt;=5,Data!J1284,IF(Data!J1284&lt;=10,"6 TO 10","More than 10"))</f>
        <v>3</v>
      </c>
      <c r="G1284" s="52">
        <f t="shared" si="20"/>
        <v>0</v>
      </c>
      <c r="H1284" s="52">
        <f>ROUND(Data!C1284*Data!D1284-Data!E1284,2)</f>
        <v>0</v>
      </c>
      <c r="I1284" s="52">
        <f>IF(AND(OR(Sel_Mode="All",Data!I1284=Sel_Mode),OR(Sel_Gender="All",D1284=Sel_Gender),OR(Sel_Category="All",Data!B1284=Sel_Category),OR(Sel_Month="All",C1284=Sel_Month),OR(Sel_County="All",Data!L1284=Sel_County)),1,0)</f>
        <v>1</v>
      </c>
    </row>
    <row r="1285" spans="1:9" x14ac:dyDescent="0.25">
      <c r="A1285" s="52" t="str">
        <f>Data!A1285</f>
        <v>TX501284</v>
      </c>
      <c r="B1285" s="52">
        <f>MONTH(Data!F1285)</f>
        <v>2</v>
      </c>
      <c r="C1285" s="52" t="str">
        <f>TEXT(Data!F1285,"mmm")</f>
        <v>Feb</v>
      </c>
      <c r="D1285" s="52" t="str">
        <f>Data!O1285</f>
        <v>Female</v>
      </c>
      <c r="E1285" s="52">
        <f>Data!G1285-Data!F1285</f>
        <v>1</v>
      </c>
      <c r="F1285" s="52">
        <f>IF(Data!J1285&lt;=5,Data!J1285,IF(Data!J1285&lt;=10,"6 TO 10","More than 10"))</f>
        <v>5</v>
      </c>
      <c r="G1285" s="52">
        <f t="shared" si="20"/>
        <v>1</v>
      </c>
      <c r="H1285" s="52">
        <f>ROUND(Data!C1285*Data!D1285-Data!E1285,2)</f>
        <v>0</v>
      </c>
      <c r="I1285" s="52">
        <f>IF(AND(OR(Sel_Mode="All",Data!I1285=Sel_Mode),OR(Sel_Gender="All",D1285=Sel_Gender),OR(Sel_Category="All",Data!B1285=Sel_Category),OR(Sel_Month="All",C1285=Sel_Month),OR(Sel_County="All",Data!L1285=Sel_County)),1,0)</f>
        <v>1</v>
      </c>
    </row>
    <row r="1286" spans="1:9" x14ac:dyDescent="0.25">
      <c r="A1286" s="52" t="str">
        <f>Data!A1286</f>
        <v>TX501285</v>
      </c>
      <c r="B1286" s="52">
        <f>MONTH(Data!F1286)</f>
        <v>2</v>
      </c>
      <c r="C1286" s="52" t="str">
        <f>TEXT(Data!F1286,"mmm")</f>
        <v>Feb</v>
      </c>
      <c r="D1286" s="52" t="str">
        <f>Data!O1286</f>
        <v>Male</v>
      </c>
      <c r="E1286" s="52">
        <f>Data!G1286-Data!F1286</f>
        <v>1</v>
      </c>
      <c r="F1286" s="52">
        <f>IF(Data!J1286&lt;=5,Data!J1286,IF(Data!J1286&lt;=10,"6 TO 10","More than 10"))</f>
        <v>3</v>
      </c>
      <c r="G1286" s="52">
        <f t="shared" si="20"/>
        <v>1</v>
      </c>
      <c r="H1286" s="52">
        <f>ROUND(Data!C1286*Data!D1286-Data!E1286,2)</f>
        <v>0</v>
      </c>
      <c r="I1286" s="52">
        <f>IF(AND(OR(Sel_Mode="All",Data!I1286=Sel_Mode),OR(Sel_Gender="All",D1286=Sel_Gender),OR(Sel_Category="All",Data!B1286=Sel_Category),OR(Sel_Month="All",C1286=Sel_Month),OR(Sel_County="All",Data!L1286=Sel_County)),1,0)</f>
        <v>1</v>
      </c>
    </row>
    <row r="1287" spans="1:9" x14ac:dyDescent="0.25">
      <c r="A1287" s="52" t="str">
        <f>Data!A1287</f>
        <v>TX501286</v>
      </c>
      <c r="B1287" s="52">
        <f>MONTH(Data!F1287)</f>
        <v>2</v>
      </c>
      <c r="C1287" s="52" t="str">
        <f>TEXT(Data!F1287,"mmm")</f>
        <v>Feb</v>
      </c>
      <c r="D1287" s="52" t="str">
        <f>Data!O1287</f>
        <v>Male</v>
      </c>
      <c r="E1287" s="52">
        <f>Data!G1287-Data!F1287</f>
        <v>1</v>
      </c>
      <c r="F1287" s="52">
        <f>IF(Data!J1287&lt;=5,Data!J1287,IF(Data!J1287&lt;=10,"6 TO 10","More than 10"))</f>
        <v>4</v>
      </c>
      <c r="G1287" s="52">
        <f t="shared" si="20"/>
        <v>1</v>
      </c>
      <c r="H1287" s="52">
        <f>ROUND(Data!C1287*Data!D1287-Data!E1287,2)</f>
        <v>0</v>
      </c>
      <c r="I1287" s="52">
        <f>IF(AND(OR(Sel_Mode="All",Data!I1287=Sel_Mode),OR(Sel_Gender="All",D1287=Sel_Gender),OR(Sel_Category="All",Data!B1287=Sel_Category),OR(Sel_Month="All",C1287=Sel_Month),OR(Sel_County="All",Data!L1287=Sel_County)),1,0)</f>
        <v>1</v>
      </c>
    </row>
    <row r="1288" spans="1:9" x14ac:dyDescent="0.25">
      <c r="A1288" s="52" t="str">
        <f>Data!A1288</f>
        <v>TX501287</v>
      </c>
      <c r="B1288" s="52">
        <f>MONTH(Data!F1288)</f>
        <v>2</v>
      </c>
      <c r="C1288" s="52" t="str">
        <f>TEXT(Data!F1288,"mmm")</f>
        <v>Feb</v>
      </c>
      <c r="D1288" s="52" t="str">
        <f>Data!O1288</f>
        <v>Male</v>
      </c>
      <c r="E1288" s="52">
        <f>Data!G1288-Data!F1288</f>
        <v>3</v>
      </c>
      <c r="F1288" s="52">
        <f>IF(Data!J1288&lt;=5,Data!J1288,IF(Data!J1288&lt;=10,"6 TO 10","More than 10"))</f>
        <v>5</v>
      </c>
      <c r="G1288" s="52">
        <f t="shared" si="20"/>
        <v>3</v>
      </c>
      <c r="H1288" s="52">
        <f>ROUND(Data!C1288*Data!D1288-Data!E1288,2)</f>
        <v>0</v>
      </c>
      <c r="I1288" s="52">
        <f>IF(AND(OR(Sel_Mode="All",Data!I1288=Sel_Mode),OR(Sel_Gender="All",D1288=Sel_Gender),OR(Sel_Category="All",Data!B1288=Sel_Category),OR(Sel_Month="All",C1288=Sel_Month),OR(Sel_County="All",Data!L1288=Sel_County)),1,0)</f>
        <v>1</v>
      </c>
    </row>
    <row r="1289" spans="1:9" x14ac:dyDescent="0.25">
      <c r="A1289" s="52" t="str">
        <f>Data!A1289</f>
        <v>TX501288</v>
      </c>
      <c r="B1289" s="52">
        <f>MONTH(Data!F1289)</f>
        <v>2</v>
      </c>
      <c r="C1289" s="52" t="str">
        <f>TEXT(Data!F1289,"mmm")</f>
        <v>Feb</v>
      </c>
      <c r="D1289" s="52" t="str">
        <f>Data!O1289</f>
        <v>Male</v>
      </c>
      <c r="E1289" s="52">
        <f>Data!G1289-Data!F1289</f>
        <v>1</v>
      </c>
      <c r="F1289" s="52">
        <f>IF(Data!J1289&lt;=5,Data!J1289,IF(Data!J1289&lt;=10,"6 TO 10","More than 10"))</f>
        <v>4</v>
      </c>
      <c r="G1289" s="52">
        <f t="shared" si="20"/>
        <v>1</v>
      </c>
      <c r="H1289" s="52">
        <f>ROUND(Data!C1289*Data!D1289-Data!E1289,2)</f>
        <v>0</v>
      </c>
      <c r="I1289" s="52">
        <f>IF(AND(OR(Sel_Mode="All",Data!I1289=Sel_Mode),OR(Sel_Gender="All",D1289=Sel_Gender),OR(Sel_Category="All",Data!B1289=Sel_Category),OR(Sel_Month="All",C1289=Sel_Month),OR(Sel_County="All",Data!L1289=Sel_County)),1,0)</f>
        <v>1</v>
      </c>
    </row>
    <row r="1290" spans="1:9" x14ac:dyDescent="0.25">
      <c r="A1290" s="52" t="str">
        <f>Data!A1290</f>
        <v>TX501289</v>
      </c>
      <c r="B1290" s="52">
        <f>MONTH(Data!F1290)</f>
        <v>2</v>
      </c>
      <c r="C1290" s="52" t="str">
        <f>TEXT(Data!F1290,"mmm")</f>
        <v>Feb</v>
      </c>
      <c r="D1290" s="52" t="str">
        <f>Data!O1290</f>
        <v>Male</v>
      </c>
      <c r="E1290" s="52">
        <f>Data!G1290-Data!F1290</f>
        <v>3</v>
      </c>
      <c r="F1290" s="52">
        <f>IF(Data!J1290&lt;=5,Data!J1290,IF(Data!J1290&lt;=10,"6 TO 10","More than 10"))</f>
        <v>5</v>
      </c>
      <c r="G1290" s="52">
        <f t="shared" si="20"/>
        <v>3</v>
      </c>
      <c r="H1290" s="52">
        <f>ROUND(Data!C1290*Data!D1290-Data!E1290,2)</f>
        <v>0</v>
      </c>
      <c r="I1290" s="52">
        <f>IF(AND(OR(Sel_Mode="All",Data!I1290=Sel_Mode),OR(Sel_Gender="All",D1290=Sel_Gender),OR(Sel_Category="All",Data!B1290=Sel_Category),OR(Sel_Month="All",C1290=Sel_Month),OR(Sel_County="All",Data!L1290=Sel_County)),1,0)</f>
        <v>1</v>
      </c>
    </row>
    <row r="1291" spans="1:9" x14ac:dyDescent="0.25">
      <c r="A1291" s="52" t="str">
        <f>Data!A1291</f>
        <v>TX501290</v>
      </c>
      <c r="B1291" s="52">
        <f>MONTH(Data!F1291)</f>
        <v>2</v>
      </c>
      <c r="C1291" s="52" t="str">
        <f>TEXT(Data!F1291,"mmm")</f>
        <v>Feb</v>
      </c>
      <c r="D1291" s="52" t="str">
        <f>Data!O1291</f>
        <v>Male</v>
      </c>
      <c r="E1291" s="52">
        <f>Data!G1291-Data!F1291</f>
        <v>1</v>
      </c>
      <c r="F1291" s="52">
        <f>IF(Data!J1291&lt;=5,Data!J1291,IF(Data!J1291&lt;=10,"6 TO 10","More than 10"))</f>
        <v>4</v>
      </c>
      <c r="G1291" s="52">
        <f t="shared" si="20"/>
        <v>1</v>
      </c>
      <c r="H1291" s="52">
        <f>ROUND(Data!C1291*Data!D1291-Data!E1291,2)</f>
        <v>0</v>
      </c>
      <c r="I1291" s="52">
        <f>IF(AND(OR(Sel_Mode="All",Data!I1291=Sel_Mode),OR(Sel_Gender="All",D1291=Sel_Gender),OR(Sel_Category="All",Data!B1291=Sel_Category),OR(Sel_Month="All",C1291=Sel_Month),OR(Sel_County="All",Data!L1291=Sel_County)),1,0)</f>
        <v>1</v>
      </c>
    </row>
    <row r="1292" spans="1:9" x14ac:dyDescent="0.25">
      <c r="A1292" s="52" t="str">
        <f>Data!A1292</f>
        <v>TX501291</v>
      </c>
      <c r="B1292" s="52">
        <f>MONTH(Data!F1292)</f>
        <v>2</v>
      </c>
      <c r="C1292" s="52" t="str">
        <f>TEXT(Data!F1292,"mmm")</f>
        <v>Feb</v>
      </c>
      <c r="D1292" s="52" t="str">
        <f>Data!O1292</f>
        <v>Male</v>
      </c>
      <c r="E1292" s="52">
        <f>Data!G1292-Data!F1292</f>
        <v>7</v>
      </c>
      <c r="F1292" s="52">
        <f>IF(Data!J1292&lt;=5,Data!J1292,IF(Data!J1292&lt;=10,"6 TO 10","More than 10"))</f>
        <v>5</v>
      </c>
      <c r="G1292" s="52">
        <f t="shared" si="20"/>
        <v>7</v>
      </c>
      <c r="H1292" s="52">
        <f>ROUND(Data!C1292*Data!D1292-Data!E1292,2)</f>
        <v>0</v>
      </c>
      <c r="I1292" s="52">
        <f>IF(AND(OR(Sel_Mode="All",Data!I1292=Sel_Mode),OR(Sel_Gender="All",D1292=Sel_Gender),OR(Sel_Category="All",Data!B1292=Sel_Category),OR(Sel_Month="All",C1292=Sel_Month),OR(Sel_County="All",Data!L1292=Sel_County)),1,0)</f>
        <v>1</v>
      </c>
    </row>
    <row r="1293" spans="1:9" x14ac:dyDescent="0.25">
      <c r="A1293" s="52" t="str">
        <f>Data!A1293</f>
        <v>TX501292</v>
      </c>
      <c r="B1293" s="52">
        <f>MONTH(Data!F1293)</f>
        <v>2</v>
      </c>
      <c r="C1293" s="52" t="str">
        <f>TEXT(Data!F1293,"mmm")</f>
        <v>Feb</v>
      </c>
      <c r="D1293" s="52" t="str">
        <f>Data!O1293</f>
        <v>Female</v>
      </c>
      <c r="E1293" s="52">
        <f>Data!G1293-Data!F1293</f>
        <v>0</v>
      </c>
      <c r="F1293" s="52">
        <f>IF(Data!J1293&lt;=5,Data!J1293,IF(Data!J1293&lt;=10,"6 TO 10","More than 10"))</f>
        <v>4</v>
      </c>
      <c r="G1293" s="52">
        <f t="shared" si="20"/>
        <v>0</v>
      </c>
      <c r="H1293" s="52">
        <f>ROUND(Data!C1293*Data!D1293-Data!E1293,2)</f>
        <v>0</v>
      </c>
      <c r="I1293" s="52">
        <f>IF(AND(OR(Sel_Mode="All",Data!I1293=Sel_Mode),OR(Sel_Gender="All",D1293=Sel_Gender),OR(Sel_Category="All",Data!B1293=Sel_Category),OR(Sel_Month="All",C1293=Sel_Month),OR(Sel_County="All",Data!L1293=Sel_County)),1,0)</f>
        <v>1</v>
      </c>
    </row>
    <row r="1294" spans="1:9" x14ac:dyDescent="0.25">
      <c r="A1294" s="52" t="str">
        <f>Data!A1294</f>
        <v>TX501293</v>
      </c>
      <c r="B1294" s="52">
        <f>MONTH(Data!F1294)</f>
        <v>2</v>
      </c>
      <c r="C1294" s="52" t="str">
        <f>TEXT(Data!F1294,"mmm")</f>
        <v>Feb</v>
      </c>
      <c r="D1294" s="52" t="str">
        <f>Data!O1294</f>
        <v>Male</v>
      </c>
      <c r="E1294" s="52">
        <f>Data!G1294-Data!F1294</f>
        <v>5</v>
      </c>
      <c r="F1294" s="52">
        <f>IF(Data!J1294&lt;=5,Data!J1294,IF(Data!J1294&lt;=10,"6 TO 10","More than 10"))</f>
        <v>5</v>
      </c>
      <c r="G1294" s="52">
        <f t="shared" si="20"/>
        <v>5</v>
      </c>
      <c r="H1294" s="52">
        <f>ROUND(Data!C1294*Data!D1294-Data!E1294,2)</f>
        <v>0</v>
      </c>
      <c r="I1294" s="52">
        <f>IF(AND(OR(Sel_Mode="All",Data!I1294=Sel_Mode),OR(Sel_Gender="All",D1294=Sel_Gender),OR(Sel_Category="All",Data!B1294=Sel_Category),OR(Sel_Month="All",C1294=Sel_Month),OR(Sel_County="All",Data!L1294=Sel_County)),1,0)</f>
        <v>1</v>
      </c>
    </row>
    <row r="1295" spans="1:9" x14ac:dyDescent="0.25">
      <c r="A1295" s="52" t="str">
        <f>Data!A1295</f>
        <v>TX501294</v>
      </c>
      <c r="B1295" s="52">
        <f>MONTH(Data!F1295)</f>
        <v>2</v>
      </c>
      <c r="C1295" s="52" t="str">
        <f>TEXT(Data!F1295,"mmm")</f>
        <v>Feb</v>
      </c>
      <c r="D1295" s="52" t="str">
        <f>Data!O1295</f>
        <v>Male</v>
      </c>
      <c r="E1295" s="52">
        <f>Data!G1295-Data!F1295</f>
        <v>1</v>
      </c>
      <c r="F1295" s="52">
        <f>IF(Data!J1295&lt;=5,Data!J1295,IF(Data!J1295&lt;=10,"6 TO 10","More than 10"))</f>
        <v>3</v>
      </c>
      <c r="G1295" s="52">
        <f t="shared" si="20"/>
        <v>1</v>
      </c>
      <c r="H1295" s="52">
        <f>ROUND(Data!C1295*Data!D1295-Data!E1295,2)</f>
        <v>0</v>
      </c>
      <c r="I1295" s="52">
        <f>IF(AND(OR(Sel_Mode="All",Data!I1295=Sel_Mode),OR(Sel_Gender="All",D1295=Sel_Gender),OR(Sel_Category="All",Data!B1295=Sel_Category),OR(Sel_Month="All",C1295=Sel_Month),OR(Sel_County="All",Data!L1295=Sel_County)),1,0)</f>
        <v>1</v>
      </c>
    </row>
    <row r="1296" spans="1:9" x14ac:dyDescent="0.25">
      <c r="A1296" s="52" t="str">
        <f>Data!A1296</f>
        <v>TX501295</v>
      </c>
      <c r="B1296" s="52">
        <f>MONTH(Data!F1296)</f>
        <v>2</v>
      </c>
      <c r="C1296" s="52" t="str">
        <f>TEXT(Data!F1296,"mmm")</f>
        <v>Feb</v>
      </c>
      <c r="D1296" s="52" t="str">
        <f>Data!O1296</f>
        <v>Unknown</v>
      </c>
      <c r="E1296" s="52">
        <f>Data!G1296-Data!F1296</f>
        <v>4</v>
      </c>
      <c r="F1296" s="52">
        <f>IF(Data!J1296&lt;=5,Data!J1296,IF(Data!J1296&lt;=10,"6 TO 10","More than 10"))</f>
        <v>3</v>
      </c>
      <c r="G1296" s="52">
        <f t="shared" si="20"/>
        <v>4</v>
      </c>
      <c r="H1296" s="52">
        <f>ROUND(Data!C1296*Data!D1296-Data!E1296,2)</f>
        <v>0</v>
      </c>
      <c r="I1296" s="52">
        <f>IF(AND(OR(Sel_Mode="All",Data!I1296=Sel_Mode),OR(Sel_Gender="All",D1296=Sel_Gender),OR(Sel_Category="All",Data!B1296=Sel_Category),OR(Sel_Month="All",C1296=Sel_Month),OR(Sel_County="All",Data!L1296=Sel_County)),1,0)</f>
        <v>1</v>
      </c>
    </row>
    <row r="1297" spans="1:9" x14ac:dyDescent="0.25">
      <c r="A1297" s="52" t="str">
        <f>Data!A1297</f>
        <v>TX501296</v>
      </c>
      <c r="B1297" s="52">
        <f>MONTH(Data!F1297)</f>
        <v>2</v>
      </c>
      <c r="C1297" s="52" t="str">
        <f>TEXT(Data!F1297,"mmm")</f>
        <v>Feb</v>
      </c>
      <c r="D1297" s="52" t="str">
        <f>Data!O1297</f>
        <v>Male</v>
      </c>
      <c r="E1297" s="52">
        <f>Data!G1297-Data!F1297</f>
        <v>2</v>
      </c>
      <c r="F1297" s="52">
        <f>IF(Data!J1297&lt;=5,Data!J1297,IF(Data!J1297&lt;=10,"6 TO 10","More than 10"))</f>
        <v>4</v>
      </c>
      <c r="G1297" s="52">
        <f t="shared" si="20"/>
        <v>2</v>
      </c>
      <c r="H1297" s="52">
        <f>ROUND(Data!C1297*Data!D1297-Data!E1297,2)</f>
        <v>0</v>
      </c>
      <c r="I1297" s="52">
        <f>IF(AND(OR(Sel_Mode="All",Data!I1297=Sel_Mode),OR(Sel_Gender="All",D1297=Sel_Gender),OR(Sel_Category="All",Data!B1297=Sel_Category),OR(Sel_Month="All",C1297=Sel_Month),OR(Sel_County="All",Data!L1297=Sel_County)),1,0)</f>
        <v>1</v>
      </c>
    </row>
    <row r="1298" spans="1:9" x14ac:dyDescent="0.25">
      <c r="A1298" s="52" t="str">
        <f>Data!A1298</f>
        <v>TX501297</v>
      </c>
      <c r="B1298" s="52">
        <f>MONTH(Data!F1298)</f>
        <v>2</v>
      </c>
      <c r="C1298" s="52" t="str">
        <f>TEXT(Data!F1298,"mmm")</f>
        <v>Feb</v>
      </c>
      <c r="D1298" s="52" t="str">
        <f>Data!O1298</f>
        <v>Female</v>
      </c>
      <c r="E1298" s="52">
        <f>Data!G1298-Data!F1298</f>
        <v>3</v>
      </c>
      <c r="F1298" s="52">
        <f>IF(Data!J1298&lt;=5,Data!J1298,IF(Data!J1298&lt;=10,"6 TO 10","More than 10"))</f>
        <v>4</v>
      </c>
      <c r="G1298" s="52">
        <f t="shared" si="20"/>
        <v>3</v>
      </c>
      <c r="H1298" s="52">
        <f>ROUND(Data!C1298*Data!D1298-Data!E1298,2)</f>
        <v>0</v>
      </c>
      <c r="I1298" s="52">
        <f>IF(AND(OR(Sel_Mode="All",Data!I1298=Sel_Mode),OR(Sel_Gender="All",D1298=Sel_Gender),OR(Sel_Category="All",Data!B1298=Sel_Category),OR(Sel_Month="All",C1298=Sel_Month),OR(Sel_County="All",Data!L1298=Sel_County)),1,0)</f>
        <v>1</v>
      </c>
    </row>
    <row r="1299" spans="1:9" x14ac:dyDescent="0.25">
      <c r="A1299" s="52" t="str">
        <f>Data!A1299</f>
        <v>TX501298</v>
      </c>
      <c r="B1299" s="52">
        <f>MONTH(Data!F1299)</f>
        <v>2</v>
      </c>
      <c r="C1299" s="52" t="str">
        <f>TEXT(Data!F1299,"mmm")</f>
        <v>Feb</v>
      </c>
      <c r="D1299" s="52" t="str">
        <f>Data!O1299</f>
        <v>Female</v>
      </c>
      <c r="E1299" s="52">
        <f>Data!G1299-Data!F1299</f>
        <v>1</v>
      </c>
      <c r="F1299" s="52">
        <f>IF(Data!J1299&lt;=5,Data!J1299,IF(Data!J1299&lt;=10,"6 TO 10","More than 10"))</f>
        <v>4</v>
      </c>
      <c r="G1299" s="52">
        <f t="shared" si="20"/>
        <v>1</v>
      </c>
      <c r="H1299" s="52">
        <f>ROUND(Data!C1299*Data!D1299-Data!E1299,2)</f>
        <v>0</v>
      </c>
      <c r="I1299" s="52">
        <f>IF(AND(OR(Sel_Mode="All",Data!I1299=Sel_Mode),OR(Sel_Gender="All",D1299=Sel_Gender),OR(Sel_Category="All",Data!B1299=Sel_Category),OR(Sel_Month="All",C1299=Sel_Month),OR(Sel_County="All",Data!L1299=Sel_County)),1,0)</f>
        <v>1</v>
      </c>
    </row>
    <row r="1300" spans="1:9" x14ac:dyDescent="0.25">
      <c r="A1300" s="52" t="str">
        <f>Data!A1300</f>
        <v>TX501299</v>
      </c>
      <c r="B1300" s="52">
        <f>MONTH(Data!F1300)</f>
        <v>2</v>
      </c>
      <c r="C1300" s="52" t="str">
        <f>TEXT(Data!F1300,"mmm")</f>
        <v>Feb</v>
      </c>
      <c r="D1300" s="52" t="str">
        <f>Data!O1300</f>
        <v>Female</v>
      </c>
      <c r="E1300" s="52">
        <f>Data!G1300-Data!F1300</f>
        <v>5</v>
      </c>
      <c r="F1300" s="52">
        <f>IF(Data!J1300&lt;=5,Data!J1300,IF(Data!J1300&lt;=10,"6 TO 10","More than 10"))</f>
        <v>4</v>
      </c>
      <c r="G1300" s="52">
        <f t="shared" si="20"/>
        <v>5</v>
      </c>
      <c r="H1300" s="52">
        <f>ROUND(Data!C1300*Data!D1300-Data!E1300,2)</f>
        <v>0</v>
      </c>
      <c r="I1300" s="52">
        <f>IF(AND(OR(Sel_Mode="All",Data!I1300=Sel_Mode),OR(Sel_Gender="All",D1300=Sel_Gender),OR(Sel_Category="All",Data!B1300=Sel_Category),OR(Sel_Month="All",C1300=Sel_Month),OR(Sel_County="All",Data!L1300=Sel_County)),1,0)</f>
        <v>1</v>
      </c>
    </row>
    <row r="1301" spans="1:9" x14ac:dyDescent="0.25">
      <c r="A1301" s="52" t="str">
        <f>Data!A1301</f>
        <v>TX501300</v>
      </c>
      <c r="B1301" s="52">
        <f>MONTH(Data!F1301)</f>
        <v>2</v>
      </c>
      <c r="C1301" s="52" t="str">
        <f>TEXT(Data!F1301,"mmm")</f>
        <v>Feb</v>
      </c>
      <c r="D1301" s="52" t="str">
        <f>Data!O1301</f>
        <v>Female</v>
      </c>
      <c r="E1301" s="52">
        <f>Data!G1301-Data!F1301</f>
        <v>1</v>
      </c>
      <c r="F1301" s="52">
        <f>IF(Data!J1301&lt;=5,Data!J1301,IF(Data!J1301&lt;=10,"6 TO 10","More than 10"))</f>
        <v>4</v>
      </c>
      <c r="G1301" s="52">
        <f t="shared" si="20"/>
        <v>1</v>
      </c>
      <c r="H1301" s="52">
        <f>ROUND(Data!C1301*Data!D1301-Data!E1301,2)</f>
        <v>0</v>
      </c>
      <c r="I1301" s="52">
        <f>IF(AND(OR(Sel_Mode="All",Data!I1301=Sel_Mode),OR(Sel_Gender="All",D1301=Sel_Gender),OR(Sel_Category="All",Data!B1301=Sel_Category),OR(Sel_Month="All",C1301=Sel_Month),OR(Sel_County="All",Data!L1301=Sel_County)),1,0)</f>
        <v>1</v>
      </c>
    </row>
    <row r="1302" spans="1:9" x14ac:dyDescent="0.25">
      <c r="A1302" s="52" t="str">
        <f>Data!A1302</f>
        <v>TX501301</v>
      </c>
      <c r="B1302" s="52">
        <f>MONTH(Data!F1302)</f>
        <v>2</v>
      </c>
      <c r="C1302" s="52" t="str">
        <f>TEXT(Data!F1302,"mmm")</f>
        <v>Feb</v>
      </c>
      <c r="D1302" s="52" t="str">
        <f>Data!O1302</f>
        <v>Female</v>
      </c>
      <c r="E1302" s="52">
        <f>Data!G1302-Data!F1302</f>
        <v>1</v>
      </c>
      <c r="F1302" s="52">
        <f>IF(Data!J1302&lt;=5,Data!J1302,IF(Data!J1302&lt;=10,"6 TO 10","More than 10"))</f>
        <v>3</v>
      </c>
      <c r="G1302" s="52">
        <f t="shared" si="20"/>
        <v>1</v>
      </c>
      <c r="H1302" s="52">
        <f>ROUND(Data!C1302*Data!D1302-Data!E1302,2)</f>
        <v>0</v>
      </c>
      <c r="I1302" s="52">
        <f>IF(AND(OR(Sel_Mode="All",Data!I1302=Sel_Mode),OR(Sel_Gender="All",D1302=Sel_Gender),OR(Sel_Category="All",Data!B1302=Sel_Category),OR(Sel_Month="All",C1302=Sel_Month),OR(Sel_County="All",Data!L1302=Sel_County)),1,0)</f>
        <v>1</v>
      </c>
    </row>
    <row r="1303" spans="1:9" x14ac:dyDescent="0.25">
      <c r="A1303" s="52" t="str">
        <f>Data!A1303</f>
        <v>TX501302</v>
      </c>
      <c r="B1303" s="52">
        <f>MONTH(Data!F1303)</f>
        <v>2</v>
      </c>
      <c r="C1303" s="52" t="str">
        <f>TEXT(Data!F1303,"mmm")</f>
        <v>Feb</v>
      </c>
      <c r="D1303" s="52" t="str">
        <f>Data!O1303</f>
        <v>Male</v>
      </c>
      <c r="E1303" s="52">
        <f>Data!G1303-Data!F1303</f>
        <v>1</v>
      </c>
      <c r="F1303" s="52">
        <f>IF(Data!J1303&lt;=5,Data!J1303,IF(Data!J1303&lt;=10,"6 TO 10","More than 10"))</f>
        <v>3</v>
      </c>
      <c r="G1303" s="52">
        <f t="shared" si="20"/>
        <v>1</v>
      </c>
      <c r="H1303" s="52">
        <f>ROUND(Data!C1303*Data!D1303-Data!E1303,2)</f>
        <v>0</v>
      </c>
      <c r="I1303" s="52">
        <f>IF(AND(OR(Sel_Mode="All",Data!I1303=Sel_Mode),OR(Sel_Gender="All",D1303=Sel_Gender),OR(Sel_Category="All",Data!B1303=Sel_Category),OR(Sel_Month="All",C1303=Sel_Month),OR(Sel_County="All",Data!L1303=Sel_County)),1,0)</f>
        <v>1</v>
      </c>
    </row>
    <row r="1304" spans="1:9" x14ac:dyDescent="0.25">
      <c r="A1304" s="52" t="str">
        <f>Data!A1304</f>
        <v>TX501303</v>
      </c>
      <c r="B1304" s="52">
        <f>MONTH(Data!F1304)</f>
        <v>2</v>
      </c>
      <c r="C1304" s="52" t="str">
        <f>TEXT(Data!F1304,"mmm")</f>
        <v>Feb</v>
      </c>
      <c r="D1304" s="52" t="str">
        <f>Data!O1304</f>
        <v>Male</v>
      </c>
      <c r="E1304" s="52">
        <f>Data!G1304-Data!F1304</f>
        <v>5</v>
      </c>
      <c r="F1304" s="52">
        <f>IF(Data!J1304&lt;=5,Data!J1304,IF(Data!J1304&lt;=10,"6 TO 10","More than 10"))</f>
        <v>2</v>
      </c>
      <c r="G1304" s="52">
        <f t="shared" si="20"/>
        <v>5</v>
      </c>
      <c r="H1304" s="52">
        <f>ROUND(Data!C1304*Data!D1304-Data!E1304,2)</f>
        <v>0</v>
      </c>
      <c r="I1304" s="52">
        <f>IF(AND(OR(Sel_Mode="All",Data!I1304=Sel_Mode),OR(Sel_Gender="All",D1304=Sel_Gender),OR(Sel_Category="All",Data!B1304=Sel_Category),OR(Sel_Month="All",C1304=Sel_Month),OR(Sel_County="All",Data!L1304=Sel_County)),1,0)</f>
        <v>1</v>
      </c>
    </row>
    <row r="1305" spans="1:9" x14ac:dyDescent="0.25">
      <c r="A1305" s="52" t="str">
        <f>Data!A1305</f>
        <v>TX501304</v>
      </c>
      <c r="B1305" s="52">
        <f>MONTH(Data!F1305)</f>
        <v>2</v>
      </c>
      <c r="C1305" s="52" t="str">
        <f>TEXT(Data!F1305,"mmm")</f>
        <v>Feb</v>
      </c>
      <c r="D1305" s="52" t="str">
        <f>Data!O1305</f>
        <v>Female</v>
      </c>
      <c r="E1305" s="52">
        <f>Data!G1305-Data!F1305</f>
        <v>2</v>
      </c>
      <c r="F1305" s="52">
        <f>IF(Data!J1305&lt;=5,Data!J1305,IF(Data!J1305&lt;=10,"6 TO 10","More than 10"))</f>
        <v>5</v>
      </c>
      <c r="G1305" s="52">
        <f t="shared" si="20"/>
        <v>2</v>
      </c>
      <c r="H1305" s="52">
        <f>ROUND(Data!C1305*Data!D1305-Data!E1305,2)</f>
        <v>0</v>
      </c>
      <c r="I1305" s="52">
        <f>IF(AND(OR(Sel_Mode="All",Data!I1305=Sel_Mode),OR(Sel_Gender="All",D1305=Sel_Gender),OR(Sel_Category="All",Data!B1305=Sel_Category),OR(Sel_Month="All",C1305=Sel_Month),OR(Sel_County="All",Data!L1305=Sel_County)),1,0)</f>
        <v>1</v>
      </c>
    </row>
    <row r="1306" spans="1:9" x14ac:dyDescent="0.25">
      <c r="A1306" s="52" t="str">
        <f>Data!A1306</f>
        <v>TX501305</v>
      </c>
      <c r="B1306" s="52">
        <f>MONTH(Data!F1306)</f>
        <v>2</v>
      </c>
      <c r="C1306" s="52" t="str">
        <f>TEXT(Data!F1306,"mmm")</f>
        <v>Feb</v>
      </c>
      <c r="D1306" s="52" t="str">
        <f>Data!O1306</f>
        <v>Female</v>
      </c>
      <c r="E1306" s="52">
        <f>Data!G1306-Data!F1306</f>
        <v>1</v>
      </c>
      <c r="F1306" s="52">
        <f>IF(Data!J1306&lt;=5,Data!J1306,IF(Data!J1306&lt;=10,"6 TO 10","More than 10"))</f>
        <v>5</v>
      </c>
      <c r="G1306" s="52">
        <f t="shared" si="20"/>
        <v>1</v>
      </c>
      <c r="H1306" s="52">
        <f>ROUND(Data!C1306*Data!D1306-Data!E1306,2)</f>
        <v>0</v>
      </c>
      <c r="I1306" s="52">
        <f>IF(AND(OR(Sel_Mode="All",Data!I1306=Sel_Mode),OR(Sel_Gender="All",D1306=Sel_Gender),OR(Sel_Category="All",Data!B1306=Sel_Category),OR(Sel_Month="All",C1306=Sel_Month),OR(Sel_County="All",Data!L1306=Sel_County)),1,0)</f>
        <v>1</v>
      </c>
    </row>
    <row r="1307" spans="1:9" x14ac:dyDescent="0.25">
      <c r="A1307" s="52" t="str">
        <f>Data!A1307</f>
        <v>TX501306</v>
      </c>
      <c r="B1307" s="52">
        <f>MONTH(Data!F1307)</f>
        <v>2</v>
      </c>
      <c r="C1307" s="52" t="str">
        <f>TEXT(Data!F1307,"mmm")</f>
        <v>Feb</v>
      </c>
      <c r="D1307" s="52" t="str">
        <f>Data!O1307</f>
        <v>Female</v>
      </c>
      <c r="E1307" s="52">
        <f>Data!G1307-Data!F1307</f>
        <v>9</v>
      </c>
      <c r="F1307" s="52">
        <f>IF(Data!J1307&lt;=5,Data!J1307,IF(Data!J1307&lt;=10,"6 TO 10","More than 10"))</f>
        <v>5</v>
      </c>
      <c r="G1307" s="52" t="str">
        <f t="shared" si="20"/>
        <v>8+</v>
      </c>
      <c r="H1307" s="52">
        <f>ROUND(Data!C1307*Data!D1307-Data!E1307,2)</f>
        <v>0</v>
      </c>
      <c r="I1307" s="52">
        <f>IF(AND(OR(Sel_Mode="All",Data!I1307=Sel_Mode),OR(Sel_Gender="All",D1307=Sel_Gender),OR(Sel_Category="All",Data!B1307=Sel_Category),OR(Sel_Month="All",C1307=Sel_Month),OR(Sel_County="All",Data!L1307=Sel_County)),1,0)</f>
        <v>1</v>
      </c>
    </row>
    <row r="1308" spans="1:9" x14ac:dyDescent="0.25">
      <c r="A1308" s="52" t="str">
        <f>Data!A1308</f>
        <v>TX501307</v>
      </c>
      <c r="B1308" s="52">
        <f>MONTH(Data!F1308)</f>
        <v>2</v>
      </c>
      <c r="C1308" s="52" t="str">
        <f>TEXT(Data!F1308,"mmm")</f>
        <v>Feb</v>
      </c>
      <c r="D1308" s="52" t="str">
        <f>Data!O1308</f>
        <v>Male</v>
      </c>
      <c r="E1308" s="52">
        <f>Data!G1308-Data!F1308</f>
        <v>2</v>
      </c>
      <c r="F1308" s="52">
        <f>IF(Data!J1308&lt;=5,Data!J1308,IF(Data!J1308&lt;=10,"6 TO 10","More than 10"))</f>
        <v>4</v>
      </c>
      <c r="G1308" s="52">
        <f t="shared" si="20"/>
        <v>2</v>
      </c>
      <c r="H1308" s="52">
        <f>ROUND(Data!C1308*Data!D1308-Data!E1308,2)</f>
        <v>0</v>
      </c>
      <c r="I1308" s="52">
        <f>IF(AND(OR(Sel_Mode="All",Data!I1308=Sel_Mode),OR(Sel_Gender="All",D1308=Sel_Gender),OR(Sel_Category="All",Data!B1308=Sel_Category),OR(Sel_Month="All",C1308=Sel_Month),OR(Sel_County="All",Data!L1308=Sel_County)),1,0)</f>
        <v>1</v>
      </c>
    </row>
    <row r="1309" spans="1:9" x14ac:dyDescent="0.25">
      <c r="A1309" s="52" t="str">
        <f>Data!A1309</f>
        <v>TX501308</v>
      </c>
      <c r="B1309" s="52">
        <f>MONTH(Data!F1309)</f>
        <v>2</v>
      </c>
      <c r="C1309" s="52" t="str">
        <f>TEXT(Data!F1309,"mmm")</f>
        <v>Feb</v>
      </c>
      <c r="D1309" s="52" t="str">
        <f>Data!O1309</f>
        <v>Female</v>
      </c>
      <c r="E1309" s="52">
        <f>Data!G1309-Data!F1309</f>
        <v>1</v>
      </c>
      <c r="F1309" s="52">
        <f>IF(Data!J1309&lt;=5,Data!J1309,IF(Data!J1309&lt;=10,"6 TO 10","More than 10"))</f>
        <v>5</v>
      </c>
      <c r="G1309" s="52">
        <f t="shared" si="20"/>
        <v>1</v>
      </c>
      <c r="H1309" s="52">
        <f>ROUND(Data!C1309*Data!D1309-Data!E1309,2)</f>
        <v>0</v>
      </c>
      <c r="I1309" s="52">
        <f>IF(AND(OR(Sel_Mode="All",Data!I1309=Sel_Mode),OR(Sel_Gender="All",D1309=Sel_Gender),OR(Sel_Category="All",Data!B1309=Sel_Category),OR(Sel_Month="All",C1309=Sel_Month),OR(Sel_County="All",Data!L1309=Sel_County)),1,0)</f>
        <v>1</v>
      </c>
    </row>
    <row r="1310" spans="1:9" x14ac:dyDescent="0.25">
      <c r="A1310" s="52" t="str">
        <f>Data!A1310</f>
        <v>TX501309</v>
      </c>
      <c r="B1310" s="52">
        <f>MONTH(Data!F1310)</f>
        <v>2</v>
      </c>
      <c r="C1310" s="52" t="str">
        <f>TEXT(Data!F1310,"mmm")</f>
        <v>Feb</v>
      </c>
      <c r="D1310" s="52" t="str">
        <f>Data!O1310</f>
        <v>Male</v>
      </c>
      <c r="E1310" s="52">
        <f>Data!G1310-Data!F1310</f>
        <v>2</v>
      </c>
      <c r="F1310" s="52">
        <f>IF(Data!J1310&lt;=5,Data!J1310,IF(Data!J1310&lt;=10,"6 TO 10","More than 10"))</f>
        <v>3</v>
      </c>
      <c r="G1310" s="52">
        <f t="shared" si="20"/>
        <v>2</v>
      </c>
      <c r="H1310" s="52">
        <f>ROUND(Data!C1310*Data!D1310-Data!E1310,2)</f>
        <v>0</v>
      </c>
      <c r="I1310" s="52">
        <f>IF(AND(OR(Sel_Mode="All",Data!I1310=Sel_Mode),OR(Sel_Gender="All",D1310=Sel_Gender),OR(Sel_Category="All",Data!B1310=Sel_Category),OR(Sel_Month="All",C1310=Sel_Month),OR(Sel_County="All",Data!L1310=Sel_County)),1,0)</f>
        <v>1</v>
      </c>
    </row>
    <row r="1311" spans="1:9" x14ac:dyDescent="0.25">
      <c r="A1311" s="52" t="str">
        <f>Data!A1311</f>
        <v>TX501310</v>
      </c>
      <c r="B1311" s="52">
        <f>MONTH(Data!F1311)</f>
        <v>2</v>
      </c>
      <c r="C1311" s="52" t="str">
        <f>TEXT(Data!F1311,"mmm")</f>
        <v>Feb</v>
      </c>
      <c r="D1311" s="52" t="str">
        <f>Data!O1311</f>
        <v>Male</v>
      </c>
      <c r="E1311" s="52">
        <f>Data!G1311-Data!F1311</f>
        <v>4</v>
      </c>
      <c r="F1311" s="52">
        <f>IF(Data!J1311&lt;=5,Data!J1311,IF(Data!J1311&lt;=10,"6 TO 10","More than 10"))</f>
        <v>4</v>
      </c>
      <c r="G1311" s="52">
        <f t="shared" si="20"/>
        <v>4</v>
      </c>
      <c r="H1311" s="52">
        <f>ROUND(Data!C1311*Data!D1311-Data!E1311,2)</f>
        <v>0</v>
      </c>
      <c r="I1311" s="52">
        <f>IF(AND(OR(Sel_Mode="All",Data!I1311=Sel_Mode),OR(Sel_Gender="All",D1311=Sel_Gender),OR(Sel_Category="All",Data!B1311=Sel_Category),OR(Sel_Month="All",C1311=Sel_Month),OR(Sel_County="All",Data!L1311=Sel_County)),1,0)</f>
        <v>1</v>
      </c>
    </row>
    <row r="1312" spans="1:9" x14ac:dyDescent="0.25">
      <c r="A1312" s="52" t="str">
        <f>Data!A1312</f>
        <v>TX501311</v>
      </c>
      <c r="B1312" s="52">
        <f>MONTH(Data!F1312)</f>
        <v>2</v>
      </c>
      <c r="C1312" s="52" t="str">
        <f>TEXT(Data!F1312,"mmm")</f>
        <v>Feb</v>
      </c>
      <c r="D1312" s="52" t="str">
        <f>Data!O1312</f>
        <v>Male</v>
      </c>
      <c r="E1312" s="52">
        <f>Data!G1312-Data!F1312</f>
        <v>6</v>
      </c>
      <c r="F1312" s="52">
        <f>IF(Data!J1312&lt;=5,Data!J1312,IF(Data!J1312&lt;=10,"6 TO 10","More than 10"))</f>
        <v>4</v>
      </c>
      <c r="G1312" s="52">
        <f t="shared" si="20"/>
        <v>6</v>
      </c>
      <c r="H1312" s="52">
        <f>ROUND(Data!C1312*Data!D1312-Data!E1312,2)</f>
        <v>0</v>
      </c>
      <c r="I1312" s="52">
        <f>IF(AND(OR(Sel_Mode="All",Data!I1312=Sel_Mode),OR(Sel_Gender="All",D1312=Sel_Gender),OR(Sel_Category="All",Data!B1312=Sel_Category),OR(Sel_Month="All",C1312=Sel_Month),OR(Sel_County="All",Data!L1312=Sel_County)),1,0)</f>
        <v>1</v>
      </c>
    </row>
    <row r="1313" spans="1:9" x14ac:dyDescent="0.25">
      <c r="A1313" s="52" t="str">
        <f>Data!A1313</f>
        <v>TX501312</v>
      </c>
      <c r="B1313" s="52">
        <f>MONTH(Data!F1313)</f>
        <v>2</v>
      </c>
      <c r="C1313" s="52" t="str">
        <f>TEXT(Data!F1313,"mmm")</f>
        <v>Feb</v>
      </c>
      <c r="D1313" s="52" t="str">
        <f>Data!O1313</f>
        <v>Male</v>
      </c>
      <c r="E1313" s="52">
        <f>Data!G1313-Data!F1313</f>
        <v>2</v>
      </c>
      <c r="F1313" s="52">
        <f>IF(Data!J1313&lt;=5,Data!J1313,IF(Data!J1313&lt;=10,"6 TO 10","More than 10"))</f>
        <v>5</v>
      </c>
      <c r="G1313" s="52">
        <f t="shared" si="20"/>
        <v>2</v>
      </c>
      <c r="H1313" s="52">
        <f>ROUND(Data!C1313*Data!D1313-Data!E1313,2)</f>
        <v>0</v>
      </c>
      <c r="I1313" s="52">
        <f>IF(AND(OR(Sel_Mode="All",Data!I1313=Sel_Mode),OR(Sel_Gender="All",D1313=Sel_Gender),OR(Sel_Category="All",Data!B1313=Sel_Category),OR(Sel_Month="All",C1313=Sel_Month),OR(Sel_County="All",Data!L1313=Sel_County)),1,0)</f>
        <v>1</v>
      </c>
    </row>
    <row r="1314" spans="1:9" x14ac:dyDescent="0.25">
      <c r="A1314" s="52" t="str">
        <f>Data!A1314</f>
        <v>TX501313</v>
      </c>
      <c r="B1314" s="52">
        <f>MONTH(Data!F1314)</f>
        <v>2</v>
      </c>
      <c r="C1314" s="52" t="str">
        <f>TEXT(Data!F1314,"mmm")</f>
        <v>Feb</v>
      </c>
      <c r="D1314" s="52" t="str">
        <f>Data!O1314</f>
        <v>Female</v>
      </c>
      <c r="E1314" s="52">
        <f>Data!G1314-Data!F1314</f>
        <v>2</v>
      </c>
      <c r="F1314" s="52">
        <f>IF(Data!J1314&lt;=5,Data!J1314,IF(Data!J1314&lt;=10,"6 TO 10","More than 10"))</f>
        <v>4</v>
      </c>
      <c r="G1314" s="52">
        <f t="shared" si="20"/>
        <v>2</v>
      </c>
      <c r="H1314" s="52">
        <f>ROUND(Data!C1314*Data!D1314-Data!E1314,2)</f>
        <v>0</v>
      </c>
      <c r="I1314" s="52">
        <f>IF(AND(OR(Sel_Mode="All",Data!I1314=Sel_Mode),OR(Sel_Gender="All",D1314=Sel_Gender),OR(Sel_Category="All",Data!B1314=Sel_Category),OR(Sel_Month="All",C1314=Sel_Month),OR(Sel_County="All",Data!L1314=Sel_County)),1,0)</f>
        <v>1</v>
      </c>
    </row>
    <row r="1315" spans="1:9" x14ac:dyDescent="0.25">
      <c r="A1315" s="52" t="str">
        <f>Data!A1315</f>
        <v>TX501314</v>
      </c>
      <c r="B1315" s="52">
        <f>MONTH(Data!F1315)</f>
        <v>2</v>
      </c>
      <c r="C1315" s="52" t="str">
        <f>TEXT(Data!F1315,"mmm")</f>
        <v>Feb</v>
      </c>
      <c r="D1315" s="52" t="str">
        <f>Data!O1315</f>
        <v>Female</v>
      </c>
      <c r="E1315" s="52">
        <f>Data!G1315-Data!F1315</f>
        <v>1</v>
      </c>
      <c r="F1315" s="52">
        <f>IF(Data!J1315&lt;=5,Data!J1315,IF(Data!J1315&lt;=10,"6 TO 10","More than 10"))</f>
        <v>4</v>
      </c>
      <c r="G1315" s="52">
        <f t="shared" si="20"/>
        <v>1</v>
      </c>
      <c r="H1315" s="52">
        <f>ROUND(Data!C1315*Data!D1315-Data!E1315,2)</f>
        <v>0</v>
      </c>
      <c r="I1315" s="52">
        <f>IF(AND(OR(Sel_Mode="All",Data!I1315=Sel_Mode),OR(Sel_Gender="All",D1315=Sel_Gender),OR(Sel_Category="All",Data!B1315=Sel_Category),OR(Sel_Month="All",C1315=Sel_Month),OR(Sel_County="All",Data!L1315=Sel_County)),1,0)</f>
        <v>1</v>
      </c>
    </row>
    <row r="1316" spans="1:9" x14ac:dyDescent="0.25">
      <c r="A1316" s="52" t="str">
        <f>Data!A1316</f>
        <v>TX501315</v>
      </c>
      <c r="B1316" s="52">
        <f>MONTH(Data!F1316)</f>
        <v>2</v>
      </c>
      <c r="C1316" s="52" t="str">
        <f>TEXT(Data!F1316,"mmm")</f>
        <v>Feb</v>
      </c>
      <c r="D1316" s="52" t="str">
        <f>Data!O1316</f>
        <v>Female</v>
      </c>
      <c r="E1316" s="52">
        <f>Data!G1316-Data!F1316</f>
        <v>3</v>
      </c>
      <c r="F1316" s="52">
        <f>IF(Data!J1316&lt;=5,Data!J1316,IF(Data!J1316&lt;=10,"6 TO 10","More than 10"))</f>
        <v>4</v>
      </c>
      <c r="G1316" s="52">
        <f t="shared" si="20"/>
        <v>3</v>
      </c>
      <c r="H1316" s="52">
        <f>ROUND(Data!C1316*Data!D1316-Data!E1316,2)</f>
        <v>0</v>
      </c>
      <c r="I1316" s="52">
        <f>IF(AND(OR(Sel_Mode="All",Data!I1316=Sel_Mode),OR(Sel_Gender="All",D1316=Sel_Gender),OR(Sel_Category="All",Data!B1316=Sel_Category),OR(Sel_Month="All",C1316=Sel_Month),OR(Sel_County="All",Data!L1316=Sel_County)),1,0)</f>
        <v>1</v>
      </c>
    </row>
    <row r="1317" spans="1:9" x14ac:dyDescent="0.25">
      <c r="A1317" s="52" t="str">
        <f>Data!A1317</f>
        <v>TX501316</v>
      </c>
      <c r="B1317" s="52">
        <f>MONTH(Data!F1317)</f>
        <v>2</v>
      </c>
      <c r="C1317" s="52" t="str">
        <f>TEXT(Data!F1317,"mmm")</f>
        <v>Feb</v>
      </c>
      <c r="D1317" s="52" t="str">
        <f>Data!O1317</f>
        <v>Unknown</v>
      </c>
      <c r="E1317" s="52">
        <f>Data!G1317-Data!F1317</f>
        <v>5</v>
      </c>
      <c r="F1317" s="52">
        <f>IF(Data!J1317&lt;=5,Data!J1317,IF(Data!J1317&lt;=10,"6 TO 10","More than 10"))</f>
        <v>3</v>
      </c>
      <c r="G1317" s="52">
        <f t="shared" si="20"/>
        <v>5</v>
      </c>
      <c r="H1317" s="52">
        <f>ROUND(Data!C1317*Data!D1317-Data!E1317,2)</f>
        <v>0</v>
      </c>
      <c r="I1317" s="52">
        <f>IF(AND(OR(Sel_Mode="All",Data!I1317=Sel_Mode),OR(Sel_Gender="All",D1317=Sel_Gender),OR(Sel_Category="All",Data!B1317=Sel_Category),OR(Sel_Month="All",C1317=Sel_Month),OR(Sel_County="All",Data!L1317=Sel_County)),1,0)</f>
        <v>1</v>
      </c>
    </row>
    <row r="1318" spans="1:9" x14ac:dyDescent="0.25">
      <c r="A1318" s="52" t="str">
        <f>Data!A1318</f>
        <v>TX501317</v>
      </c>
      <c r="B1318" s="52">
        <f>MONTH(Data!F1318)</f>
        <v>2</v>
      </c>
      <c r="C1318" s="52" t="str">
        <f>TEXT(Data!F1318,"mmm")</f>
        <v>Feb</v>
      </c>
      <c r="D1318" s="52" t="str">
        <f>Data!O1318</f>
        <v>Female</v>
      </c>
      <c r="E1318" s="52">
        <f>Data!G1318-Data!F1318</f>
        <v>1</v>
      </c>
      <c r="F1318" s="52">
        <f>IF(Data!J1318&lt;=5,Data!J1318,IF(Data!J1318&lt;=10,"6 TO 10","More than 10"))</f>
        <v>4</v>
      </c>
      <c r="G1318" s="52">
        <f t="shared" si="20"/>
        <v>1</v>
      </c>
      <c r="H1318" s="52">
        <f>ROUND(Data!C1318*Data!D1318-Data!E1318,2)</f>
        <v>0</v>
      </c>
      <c r="I1318" s="52">
        <f>IF(AND(OR(Sel_Mode="All",Data!I1318=Sel_Mode),OR(Sel_Gender="All",D1318=Sel_Gender),OR(Sel_Category="All",Data!B1318=Sel_Category),OR(Sel_Month="All",C1318=Sel_Month),OR(Sel_County="All",Data!L1318=Sel_County)),1,0)</f>
        <v>1</v>
      </c>
    </row>
    <row r="1319" spans="1:9" x14ac:dyDescent="0.25">
      <c r="A1319" s="52" t="str">
        <f>Data!A1319</f>
        <v>TX501318</v>
      </c>
      <c r="B1319" s="52">
        <f>MONTH(Data!F1319)</f>
        <v>2</v>
      </c>
      <c r="C1319" s="52" t="str">
        <f>TEXT(Data!F1319,"mmm")</f>
        <v>Feb</v>
      </c>
      <c r="D1319" s="52" t="str">
        <f>Data!O1319</f>
        <v>Female</v>
      </c>
      <c r="E1319" s="52">
        <f>Data!G1319-Data!F1319</f>
        <v>2</v>
      </c>
      <c r="F1319" s="52">
        <f>IF(Data!J1319&lt;=5,Data!J1319,IF(Data!J1319&lt;=10,"6 TO 10","More than 10"))</f>
        <v>4</v>
      </c>
      <c r="G1319" s="52">
        <f t="shared" si="20"/>
        <v>2</v>
      </c>
      <c r="H1319" s="52">
        <f>ROUND(Data!C1319*Data!D1319-Data!E1319,2)</f>
        <v>0</v>
      </c>
      <c r="I1319" s="52">
        <f>IF(AND(OR(Sel_Mode="All",Data!I1319=Sel_Mode),OR(Sel_Gender="All",D1319=Sel_Gender),OR(Sel_Category="All",Data!B1319=Sel_Category),OR(Sel_Month="All",C1319=Sel_Month),OR(Sel_County="All",Data!L1319=Sel_County)),1,0)</f>
        <v>1</v>
      </c>
    </row>
    <row r="1320" spans="1:9" x14ac:dyDescent="0.25">
      <c r="A1320" s="52" t="str">
        <f>Data!A1320</f>
        <v>TX501319</v>
      </c>
      <c r="B1320" s="52">
        <f>MONTH(Data!F1320)</f>
        <v>2</v>
      </c>
      <c r="C1320" s="52" t="str">
        <f>TEXT(Data!F1320,"mmm")</f>
        <v>Feb</v>
      </c>
      <c r="D1320" s="52" t="str">
        <f>Data!O1320</f>
        <v>Male</v>
      </c>
      <c r="E1320" s="52">
        <f>Data!G1320-Data!F1320</f>
        <v>1</v>
      </c>
      <c r="F1320" s="52">
        <f>IF(Data!J1320&lt;=5,Data!J1320,IF(Data!J1320&lt;=10,"6 TO 10","More than 10"))</f>
        <v>4</v>
      </c>
      <c r="G1320" s="52">
        <f t="shared" si="20"/>
        <v>1</v>
      </c>
      <c r="H1320" s="52">
        <f>ROUND(Data!C1320*Data!D1320-Data!E1320,2)</f>
        <v>0</v>
      </c>
      <c r="I1320" s="52">
        <f>IF(AND(OR(Sel_Mode="All",Data!I1320=Sel_Mode),OR(Sel_Gender="All",D1320=Sel_Gender),OR(Sel_Category="All",Data!B1320=Sel_Category),OR(Sel_Month="All",C1320=Sel_Month),OR(Sel_County="All",Data!L1320=Sel_County)),1,0)</f>
        <v>1</v>
      </c>
    </row>
    <row r="1321" spans="1:9" x14ac:dyDescent="0.25">
      <c r="A1321" s="52" t="str">
        <f>Data!A1321</f>
        <v>TX501320</v>
      </c>
      <c r="B1321" s="52">
        <f>MONTH(Data!F1321)</f>
        <v>2</v>
      </c>
      <c r="C1321" s="52" t="str">
        <f>TEXT(Data!F1321,"mmm")</f>
        <v>Feb</v>
      </c>
      <c r="D1321" s="52" t="str">
        <f>Data!O1321</f>
        <v>Male</v>
      </c>
      <c r="E1321" s="52">
        <f>Data!G1321-Data!F1321</f>
        <v>1</v>
      </c>
      <c r="F1321" s="52">
        <f>IF(Data!J1321&lt;=5,Data!J1321,IF(Data!J1321&lt;=10,"6 TO 10","More than 10"))</f>
        <v>5</v>
      </c>
      <c r="G1321" s="52">
        <f t="shared" si="20"/>
        <v>1</v>
      </c>
      <c r="H1321" s="52">
        <f>ROUND(Data!C1321*Data!D1321-Data!E1321,2)</f>
        <v>0</v>
      </c>
      <c r="I1321" s="52">
        <f>IF(AND(OR(Sel_Mode="All",Data!I1321=Sel_Mode),OR(Sel_Gender="All",D1321=Sel_Gender),OR(Sel_Category="All",Data!B1321=Sel_Category),OR(Sel_Month="All",C1321=Sel_Month),OR(Sel_County="All",Data!L1321=Sel_County)),1,0)</f>
        <v>1</v>
      </c>
    </row>
    <row r="1322" spans="1:9" x14ac:dyDescent="0.25">
      <c r="A1322" s="52" t="str">
        <f>Data!A1322</f>
        <v>TX501321</v>
      </c>
      <c r="B1322" s="52">
        <f>MONTH(Data!F1322)</f>
        <v>2</v>
      </c>
      <c r="C1322" s="52" t="str">
        <f>TEXT(Data!F1322,"mmm")</f>
        <v>Feb</v>
      </c>
      <c r="D1322" s="52" t="str">
        <f>Data!O1322</f>
        <v>Male</v>
      </c>
      <c r="E1322" s="52">
        <f>Data!G1322-Data!F1322</f>
        <v>7</v>
      </c>
      <c r="F1322" s="52">
        <f>IF(Data!J1322&lt;=5,Data!J1322,IF(Data!J1322&lt;=10,"6 TO 10","More than 10"))</f>
        <v>4</v>
      </c>
      <c r="G1322" s="52">
        <f t="shared" si="20"/>
        <v>7</v>
      </c>
      <c r="H1322" s="52">
        <f>ROUND(Data!C1322*Data!D1322-Data!E1322,2)</f>
        <v>0</v>
      </c>
      <c r="I1322" s="52">
        <f>IF(AND(OR(Sel_Mode="All",Data!I1322=Sel_Mode),OR(Sel_Gender="All",D1322=Sel_Gender),OR(Sel_Category="All",Data!B1322=Sel_Category),OR(Sel_Month="All",C1322=Sel_Month),OR(Sel_County="All",Data!L1322=Sel_County)),1,0)</f>
        <v>1</v>
      </c>
    </row>
    <row r="1323" spans="1:9" x14ac:dyDescent="0.25">
      <c r="A1323" s="52" t="str">
        <f>Data!A1323</f>
        <v>TX501322</v>
      </c>
      <c r="B1323" s="52">
        <f>MONTH(Data!F1323)</f>
        <v>2</v>
      </c>
      <c r="C1323" s="52" t="str">
        <f>TEXT(Data!F1323,"mmm")</f>
        <v>Feb</v>
      </c>
      <c r="D1323" s="52" t="str">
        <f>Data!O1323</f>
        <v>Male</v>
      </c>
      <c r="E1323" s="52">
        <f>Data!G1323-Data!F1323</f>
        <v>2</v>
      </c>
      <c r="F1323" s="52">
        <f>IF(Data!J1323&lt;=5,Data!J1323,IF(Data!J1323&lt;=10,"6 TO 10","More than 10"))</f>
        <v>4</v>
      </c>
      <c r="G1323" s="52">
        <f t="shared" si="20"/>
        <v>2</v>
      </c>
      <c r="H1323" s="52">
        <f>ROUND(Data!C1323*Data!D1323-Data!E1323,2)</f>
        <v>0</v>
      </c>
      <c r="I1323" s="52">
        <f>IF(AND(OR(Sel_Mode="All",Data!I1323=Sel_Mode),OR(Sel_Gender="All",D1323=Sel_Gender),OR(Sel_Category="All",Data!B1323=Sel_Category),OR(Sel_Month="All",C1323=Sel_Month),OR(Sel_County="All",Data!L1323=Sel_County)),1,0)</f>
        <v>1</v>
      </c>
    </row>
    <row r="1324" spans="1:9" x14ac:dyDescent="0.25">
      <c r="A1324" s="52" t="str">
        <f>Data!A1324</f>
        <v>TX501323</v>
      </c>
      <c r="B1324" s="52">
        <f>MONTH(Data!F1324)</f>
        <v>2</v>
      </c>
      <c r="C1324" s="52" t="str">
        <f>TEXT(Data!F1324,"mmm")</f>
        <v>Feb</v>
      </c>
      <c r="D1324" s="52" t="str">
        <f>Data!O1324</f>
        <v>Female</v>
      </c>
      <c r="E1324" s="52">
        <f>Data!G1324-Data!F1324</f>
        <v>3</v>
      </c>
      <c r="F1324" s="52">
        <f>IF(Data!J1324&lt;=5,Data!J1324,IF(Data!J1324&lt;=10,"6 TO 10","More than 10"))</f>
        <v>4</v>
      </c>
      <c r="G1324" s="52">
        <f t="shared" si="20"/>
        <v>3</v>
      </c>
      <c r="H1324" s="52">
        <f>ROUND(Data!C1324*Data!D1324-Data!E1324,2)</f>
        <v>0</v>
      </c>
      <c r="I1324" s="52">
        <f>IF(AND(OR(Sel_Mode="All",Data!I1324=Sel_Mode),OR(Sel_Gender="All",D1324=Sel_Gender),OR(Sel_Category="All",Data!B1324=Sel_Category),OR(Sel_Month="All",C1324=Sel_Month),OR(Sel_County="All",Data!L1324=Sel_County)),1,0)</f>
        <v>1</v>
      </c>
    </row>
    <row r="1325" spans="1:9" x14ac:dyDescent="0.25">
      <c r="A1325" s="52" t="str">
        <f>Data!A1325</f>
        <v>TX501324</v>
      </c>
      <c r="B1325" s="52">
        <f>MONTH(Data!F1325)</f>
        <v>2</v>
      </c>
      <c r="C1325" s="52" t="str">
        <f>TEXT(Data!F1325,"mmm")</f>
        <v>Feb</v>
      </c>
      <c r="D1325" s="52" t="str">
        <f>Data!O1325</f>
        <v>Male</v>
      </c>
      <c r="E1325" s="52">
        <f>Data!G1325-Data!F1325</f>
        <v>1</v>
      </c>
      <c r="F1325" s="52">
        <f>IF(Data!J1325&lt;=5,Data!J1325,IF(Data!J1325&lt;=10,"6 TO 10","More than 10"))</f>
        <v>2</v>
      </c>
      <c r="G1325" s="52">
        <f t="shared" si="20"/>
        <v>1</v>
      </c>
      <c r="H1325" s="52">
        <f>ROUND(Data!C1325*Data!D1325-Data!E1325,2)</f>
        <v>0</v>
      </c>
      <c r="I1325" s="52">
        <f>IF(AND(OR(Sel_Mode="All",Data!I1325=Sel_Mode),OR(Sel_Gender="All",D1325=Sel_Gender),OR(Sel_Category="All",Data!B1325=Sel_Category),OR(Sel_Month="All",C1325=Sel_Month),OR(Sel_County="All",Data!L1325=Sel_County)),1,0)</f>
        <v>1</v>
      </c>
    </row>
    <row r="1326" spans="1:9" x14ac:dyDescent="0.25">
      <c r="A1326" s="52" t="str">
        <f>Data!A1326</f>
        <v>TX501325</v>
      </c>
      <c r="B1326" s="52">
        <f>MONTH(Data!F1326)</f>
        <v>2</v>
      </c>
      <c r="C1326" s="52" t="str">
        <f>TEXT(Data!F1326,"mmm")</f>
        <v>Feb</v>
      </c>
      <c r="D1326" s="52" t="str">
        <f>Data!O1326</f>
        <v>Male</v>
      </c>
      <c r="E1326" s="52">
        <f>Data!G1326-Data!F1326</f>
        <v>1</v>
      </c>
      <c r="F1326" s="52">
        <f>IF(Data!J1326&lt;=5,Data!J1326,IF(Data!J1326&lt;=10,"6 TO 10","More than 10"))</f>
        <v>5</v>
      </c>
      <c r="G1326" s="52">
        <f t="shared" si="20"/>
        <v>1</v>
      </c>
      <c r="H1326" s="52">
        <f>ROUND(Data!C1326*Data!D1326-Data!E1326,2)</f>
        <v>0</v>
      </c>
      <c r="I1326" s="52">
        <f>IF(AND(OR(Sel_Mode="All",Data!I1326=Sel_Mode),OR(Sel_Gender="All",D1326=Sel_Gender),OR(Sel_Category="All",Data!B1326=Sel_Category),OR(Sel_Month="All",C1326=Sel_Month),OR(Sel_County="All",Data!L1326=Sel_County)),1,0)</f>
        <v>1</v>
      </c>
    </row>
    <row r="1327" spans="1:9" x14ac:dyDescent="0.25">
      <c r="A1327" s="52" t="str">
        <f>Data!A1327</f>
        <v>TX501326</v>
      </c>
      <c r="B1327" s="52">
        <f>MONTH(Data!F1327)</f>
        <v>2</v>
      </c>
      <c r="C1327" s="52" t="str">
        <f>TEXT(Data!F1327,"mmm")</f>
        <v>Feb</v>
      </c>
      <c r="D1327" s="52" t="str">
        <f>Data!O1327</f>
        <v>Male</v>
      </c>
      <c r="E1327" s="52">
        <f>Data!G1327-Data!F1327</f>
        <v>2</v>
      </c>
      <c r="F1327" s="52">
        <f>IF(Data!J1327&lt;=5,Data!J1327,IF(Data!J1327&lt;=10,"6 TO 10","More than 10"))</f>
        <v>4</v>
      </c>
      <c r="G1327" s="52">
        <f t="shared" si="20"/>
        <v>2</v>
      </c>
      <c r="H1327" s="52">
        <f>ROUND(Data!C1327*Data!D1327-Data!E1327,2)</f>
        <v>0</v>
      </c>
      <c r="I1327" s="52">
        <f>IF(AND(OR(Sel_Mode="All",Data!I1327=Sel_Mode),OR(Sel_Gender="All",D1327=Sel_Gender),OR(Sel_Category="All",Data!B1327=Sel_Category),OR(Sel_Month="All",C1327=Sel_Month),OR(Sel_County="All",Data!L1327=Sel_County)),1,0)</f>
        <v>1</v>
      </c>
    </row>
    <row r="1328" spans="1:9" x14ac:dyDescent="0.25">
      <c r="A1328" s="52" t="str">
        <f>Data!A1328</f>
        <v>TX501327</v>
      </c>
      <c r="B1328" s="52">
        <f>MONTH(Data!F1328)</f>
        <v>2</v>
      </c>
      <c r="C1328" s="52" t="str">
        <f>TEXT(Data!F1328,"mmm")</f>
        <v>Feb</v>
      </c>
      <c r="D1328" s="52" t="str">
        <f>Data!O1328</f>
        <v>Male</v>
      </c>
      <c r="E1328" s="52">
        <f>Data!G1328-Data!F1328</f>
        <v>6</v>
      </c>
      <c r="F1328" s="52">
        <f>IF(Data!J1328&lt;=5,Data!J1328,IF(Data!J1328&lt;=10,"6 TO 10","More than 10"))</f>
        <v>4</v>
      </c>
      <c r="G1328" s="52">
        <f t="shared" si="20"/>
        <v>6</v>
      </c>
      <c r="H1328" s="52">
        <f>ROUND(Data!C1328*Data!D1328-Data!E1328,2)</f>
        <v>0</v>
      </c>
      <c r="I1328" s="52">
        <f>IF(AND(OR(Sel_Mode="All",Data!I1328=Sel_Mode),OR(Sel_Gender="All",D1328=Sel_Gender),OR(Sel_Category="All",Data!B1328=Sel_Category),OR(Sel_Month="All",C1328=Sel_Month),OR(Sel_County="All",Data!L1328=Sel_County)),1,0)</f>
        <v>1</v>
      </c>
    </row>
    <row r="1329" spans="1:9" x14ac:dyDescent="0.25">
      <c r="A1329" s="52" t="str">
        <f>Data!A1329</f>
        <v>TX501328</v>
      </c>
      <c r="B1329" s="52">
        <f>MONTH(Data!F1329)</f>
        <v>2</v>
      </c>
      <c r="C1329" s="52" t="str">
        <f>TEXT(Data!F1329,"mmm")</f>
        <v>Feb</v>
      </c>
      <c r="D1329" s="52" t="str">
        <f>Data!O1329</f>
        <v>Female</v>
      </c>
      <c r="E1329" s="52">
        <f>Data!G1329-Data!F1329</f>
        <v>1</v>
      </c>
      <c r="F1329" s="52">
        <f>IF(Data!J1329&lt;=5,Data!J1329,IF(Data!J1329&lt;=10,"6 TO 10","More than 10"))</f>
        <v>3</v>
      </c>
      <c r="G1329" s="52">
        <f t="shared" si="20"/>
        <v>1</v>
      </c>
      <c r="H1329" s="52">
        <f>ROUND(Data!C1329*Data!D1329-Data!E1329,2)</f>
        <v>0</v>
      </c>
      <c r="I1329" s="52">
        <f>IF(AND(OR(Sel_Mode="All",Data!I1329=Sel_Mode),OR(Sel_Gender="All",D1329=Sel_Gender),OR(Sel_Category="All",Data!B1329=Sel_Category),OR(Sel_Month="All",C1329=Sel_Month),OR(Sel_County="All",Data!L1329=Sel_County)),1,0)</f>
        <v>1</v>
      </c>
    </row>
    <row r="1330" spans="1:9" x14ac:dyDescent="0.25">
      <c r="A1330" s="52" t="str">
        <f>Data!A1330</f>
        <v>TX501329</v>
      </c>
      <c r="B1330" s="52">
        <f>MONTH(Data!F1330)</f>
        <v>2</v>
      </c>
      <c r="C1330" s="52" t="str">
        <f>TEXT(Data!F1330,"mmm")</f>
        <v>Feb</v>
      </c>
      <c r="D1330" s="52" t="str">
        <f>Data!O1330</f>
        <v>Male</v>
      </c>
      <c r="E1330" s="52">
        <f>Data!G1330-Data!F1330</f>
        <v>1</v>
      </c>
      <c r="F1330" s="52">
        <f>IF(Data!J1330&lt;=5,Data!J1330,IF(Data!J1330&lt;=10,"6 TO 10","More than 10"))</f>
        <v>4</v>
      </c>
      <c r="G1330" s="52">
        <f t="shared" si="20"/>
        <v>1</v>
      </c>
      <c r="H1330" s="52">
        <f>ROUND(Data!C1330*Data!D1330-Data!E1330,2)</f>
        <v>0</v>
      </c>
      <c r="I1330" s="52">
        <f>IF(AND(OR(Sel_Mode="All",Data!I1330=Sel_Mode),OR(Sel_Gender="All",D1330=Sel_Gender),OR(Sel_Category="All",Data!B1330=Sel_Category),OR(Sel_Month="All",C1330=Sel_Month),OR(Sel_County="All",Data!L1330=Sel_County)),1,0)</f>
        <v>1</v>
      </c>
    </row>
    <row r="1331" spans="1:9" x14ac:dyDescent="0.25">
      <c r="A1331" s="52" t="str">
        <f>Data!A1331</f>
        <v>TX501330</v>
      </c>
      <c r="B1331" s="52">
        <f>MONTH(Data!F1331)</f>
        <v>2</v>
      </c>
      <c r="C1331" s="52" t="str">
        <f>TEXT(Data!F1331,"mmm")</f>
        <v>Feb</v>
      </c>
      <c r="D1331" s="52" t="str">
        <f>Data!O1331</f>
        <v>Unknown</v>
      </c>
      <c r="E1331" s="52">
        <f>Data!G1331-Data!F1331</f>
        <v>1</v>
      </c>
      <c r="F1331" s="52">
        <f>IF(Data!J1331&lt;=5,Data!J1331,IF(Data!J1331&lt;=10,"6 TO 10","More than 10"))</f>
        <v>5</v>
      </c>
      <c r="G1331" s="52">
        <f t="shared" si="20"/>
        <v>1</v>
      </c>
      <c r="H1331" s="52">
        <f>ROUND(Data!C1331*Data!D1331-Data!E1331,2)</f>
        <v>0</v>
      </c>
      <c r="I1331" s="52">
        <f>IF(AND(OR(Sel_Mode="All",Data!I1331=Sel_Mode),OR(Sel_Gender="All",D1331=Sel_Gender),OR(Sel_Category="All",Data!B1331=Sel_Category),OR(Sel_Month="All",C1331=Sel_Month),OR(Sel_County="All",Data!L1331=Sel_County)),1,0)</f>
        <v>1</v>
      </c>
    </row>
    <row r="1332" spans="1:9" x14ac:dyDescent="0.25">
      <c r="A1332" s="52" t="str">
        <f>Data!A1332</f>
        <v>TX501331</v>
      </c>
      <c r="B1332" s="52">
        <f>MONTH(Data!F1332)</f>
        <v>2</v>
      </c>
      <c r="C1332" s="52" t="str">
        <f>TEXT(Data!F1332,"mmm")</f>
        <v>Feb</v>
      </c>
      <c r="D1332" s="52" t="str">
        <f>Data!O1332</f>
        <v>Male</v>
      </c>
      <c r="E1332" s="52">
        <f>Data!G1332-Data!F1332</f>
        <v>1</v>
      </c>
      <c r="F1332" s="52">
        <f>IF(Data!J1332&lt;=5,Data!J1332,IF(Data!J1332&lt;=10,"6 TO 10","More than 10"))</f>
        <v>4</v>
      </c>
      <c r="G1332" s="52">
        <f t="shared" si="20"/>
        <v>1</v>
      </c>
      <c r="H1332" s="52">
        <f>ROUND(Data!C1332*Data!D1332-Data!E1332,2)</f>
        <v>0</v>
      </c>
      <c r="I1332" s="52">
        <f>IF(AND(OR(Sel_Mode="All",Data!I1332=Sel_Mode),OR(Sel_Gender="All",D1332=Sel_Gender),OR(Sel_Category="All",Data!B1332=Sel_Category),OR(Sel_Month="All",C1332=Sel_Month),OR(Sel_County="All",Data!L1332=Sel_County)),1,0)</f>
        <v>1</v>
      </c>
    </row>
    <row r="1333" spans="1:9" x14ac:dyDescent="0.25">
      <c r="A1333" s="52" t="str">
        <f>Data!A1333</f>
        <v>TX501332</v>
      </c>
      <c r="B1333" s="52">
        <f>MONTH(Data!F1333)</f>
        <v>2</v>
      </c>
      <c r="C1333" s="52" t="str">
        <f>TEXT(Data!F1333,"mmm")</f>
        <v>Feb</v>
      </c>
      <c r="D1333" s="52" t="str">
        <f>Data!O1333</f>
        <v>Female</v>
      </c>
      <c r="E1333" s="52">
        <f>Data!G1333-Data!F1333</f>
        <v>4</v>
      </c>
      <c r="F1333" s="52">
        <f>IF(Data!J1333&lt;=5,Data!J1333,IF(Data!J1333&lt;=10,"6 TO 10","More than 10"))</f>
        <v>4</v>
      </c>
      <c r="G1333" s="52">
        <f t="shared" si="20"/>
        <v>4</v>
      </c>
      <c r="H1333" s="52">
        <f>ROUND(Data!C1333*Data!D1333-Data!E1333,2)</f>
        <v>0</v>
      </c>
      <c r="I1333" s="52">
        <f>IF(AND(OR(Sel_Mode="All",Data!I1333=Sel_Mode),OR(Sel_Gender="All",D1333=Sel_Gender),OR(Sel_Category="All",Data!B1333=Sel_Category),OR(Sel_Month="All",C1333=Sel_Month),OR(Sel_County="All",Data!L1333=Sel_County)),1,0)</f>
        <v>1</v>
      </c>
    </row>
    <row r="1334" spans="1:9" x14ac:dyDescent="0.25">
      <c r="A1334" s="52" t="str">
        <f>Data!A1334</f>
        <v>TX501333</v>
      </c>
      <c r="B1334" s="52">
        <f>MONTH(Data!F1334)</f>
        <v>2</v>
      </c>
      <c r="C1334" s="52" t="str">
        <f>TEXT(Data!F1334,"mmm")</f>
        <v>Feb</v>
      </c>
      <c r="D1334" s="52" t="str">
        <f>Data!O1334</f>
        <v>Female</v>
      </c>
      <c r="E1334" s="52">
        <f>Data!G1334-Data!F1334</f>
        <v>3</v>
      </c>
      <c r="F1334" s="52">
        <f>IF(Data!J1334&lt;=5,Data!J1334,IF(Data!J1334&lt;=10,"6 TO 10","More than 10"))</f>
        <v>3</v>
      </c>
      <c r="G1334" s="52">
        <f t="shared" si="20"/>
        <v>3</v>
      </c>
      <c r="H1334" s="52">
        <f>ROUND(Data!C1334*Data!D1334-Data!E1334,2)</f>
        <v>0</v>
      </c>
      <c r="I1334" s="52">
        <f>IF(AND(OR(Sel_Mode="All",Data!I1334=Sel_Mode),OR(Sel_Gender="All",D1334=Sel_Gender),OR(Sel_Category="All",Data!B1334=Sel_Category),OR(Sel_Month="All",C1334=Sel_Month),OR(Sel_County="All",Data!L1334=Sel_County)),1,0)</f>
        <v>1</v>
      </c>
    </row>
    <row r="1335" spans="1:9" x14ac:dyDescent="0.25">
      <c r="A1335" s="52" t="str">
        <f>Data!A1335</f>
        <v>TX501334</v>
      </c>
      <c r="B1335" s="52">
        <f>MONTH(Data!F1335)</f>
        <v>2</v>
      </c>
      <c r="C1335" s="52" t="str">
        <f>TEXT(Data!F1335,"mmm")</f>
        <v>Feb</v>
      </c>
      <c r="D1335" s="52" t="str">
        <f>Data!O1335</f>
        <v>Male</v>
      </c>
      <c r="E1335" s="52">
        <f>Data!G1335-Data!F1335</f>
        <v>2</v>
      </c>
      <c r="F1335" s="52">
        <f>IF(Data!J1335&lt;=5,Data!J1335,IF(Data!J1335&lt;=10,"6 TO 10","More than 10"))</f>
        <v>5</v>
      </c>
      <c r="G1335" s="52">
        <f t="shared" si="20"/>
        <v>2</v>
      </c>
      <c r="H1335" s="52">
        <f>ROUND(Data!C1335*Data!D1335-Data!E1335,2)</f>
        <v>0</v>
      </c>
      <c r="I1335" s="52">
        <f>IF(AND(OR(Sel_Mode="All",Data!I1335=Sel_Mode),OR(Sel_Gender="All",D1335=Sel_Gender),OR(Sel_Category="All",Data!B1335=Sel_Category),OR(Sel_Month="All",C1335=Sel_Month),OR(Sel_County="All",Data!L1335=Sel_County)),1,0)</f>
        <v>1</v>
      </c>
    </row>
    <row r="1336" spans="1:9" x14ac:dyDescent="0.25">
      <c r="A1336" s="52" t="str">
        <f>Data!A1336</f>
        <v>TX501335</v>
      </c>
      <c r="B1336" s="52">
        <f>MONTH(Data!F1336)</f>
        <v>2</v>
      </c>
      <c r="C1336" s="52" t="str">
        <f>TEXT(Data!F1336,"mmm")</f>
        <v>Feb</v>
      </c>
      <c r="D1336" s="52" t="str">
        <f>Data!O1336</f>
        <v>Female</v>
      </c>
      <c r="E1336" s="52">
        <f>Data!G1336-Data!F1336</f>
        <v>1</v>
      </c>
      <c r="F1336" s="52">
        <f>IF(Data!J1336&lt;=5,Data!J1336,IF(Data!J1336&lt;=10,"6 TO 10","More than 10"))</f>
        <v>5</v>
      </c>
      <c r="G1336" s="52">
        <f t="shared" si="20"/>
        <v>1</v>
      </c>
      <c r="H1336" s="52">
        <f>ROUND(Data!C1336*Data!D1336-Data!E1336,2)</f>
        <v>0</v>
      </c>
      <c r="I1336" s="52">
        <f>IF(AND(OR(Sel_Mode="All",Data!I1336=Sel_Mode),OR(Sel_Gender="All",D1336=Sel_Gender),OR(Sel_Category="All",Data!B1336=Sel_Category),OR(Sel_Month="All",C1336=Sel_Month),OR(Sel_County="All",Data!L1336=Sel_County)),1,0)</f>
        <v>1</v>
      </c>
    </row>
    <row r="1337" spans="1:9" x14ac:dyDescent="0.25">
      <c r="A1337" s="52" t="str">
        <f>Data!A1337</f>
        <v>TX501336</v>
      </c>
      <c r="B1337" s="52">
        <f>MONTH(Data!F1337)</f>
        <v>2</v>
      </c>
      <c r="C1337" s="52" t="str">
        <f>TEXT(Data!F1337,"mmm")</f>
        <v>Feb</v>
      </c>
      <c r="D1337" s="52" t="str">
        <f>Data!O1337</f>
        <v>Male</v>
      </c>
      <c r="E1337" s="52">
        <f>Data!G1337-Data!F1337</f>
        <v>2</v>
      </c>
      <c r="F1337" s="52">
        <f>IF(Data!J1337&lt;=5,Data!J1337,IF(Data!J1337&lt;=10,"6 TO 10","More than 10"))</f>
        <v>4</v>
      </c>
      <c r="G1337" s="52">
        <f t="shared" si="20"/>
        <v>2</v>
      </c>
      <c r="H1337" s="52">
        <f>ROUND(Data!C1337*Data!D1337-Data!E1337,2)</f>
        <v>0</v>
      </c>
      <c r="I1337" s="52">
        <f>IF(AND(OR(Sel_Mode="All",Data!I1337=Sel_Mode),OR(Sel_Gender="All",D1337=Sel_Gender),OR(Sel_Category="All",Data!B1337=Sel_Category),OR(Sel_Month="All",C1337=Sel_Month),OR(Sel_County="All",Data!L1337=Sel_County)),1,0)</f>
        <v>1</v>
      </c>
    </row>
    <row r="1338" spans="1:9" x14ac:dyDescent="0.25">
      <c r="A1338" s="52" t="str">
        <f>Data!A1338</f>
        <v>TX501337</v>
      </c>
      <c r="B1338" s="52">
        <f>MONTH(Data!F1338)</f>
        <v>2</v>
      </c>
      <c r="C1338" s="52" t="str">
        <f>TEXT(Data!F1338,"mmm")</f>
        <v>Feb</v>
      </c>
      <c r="D1338" s="52" t="str">
        <f>Data!O1338</f>
        <v>Male</v>
      </c>
      <c r="E1338" s="52">
        <f>Data!G1338-Data!F1338</f>
        <v>2</v>
      </c>
      <c r="F1338" s="52">
        <f>IF(Data!J1338&lt;=5,Data!J1338,IF(Data!J1338&lt;=10,"6 TO 10","More than 10"))</f>
        <v>3</v>
      </c>
      <c r="G1338" s="52">
        <f t="shared" si="20"/>
        <v>2</v>
      </c>
      <c r="H1338" s="52">
        <f>ROUND(Data!C1338*Data!D1338-Data!E1338,2)</f>
        <v>0</v>
      </c>
      <c r="I1338" s="52">
        <f>IF(AND(OR(Sel_Mode="All",Data!I1338=Sel_Mode),OR(Sel_Gender="All",D1338=Sel_Gender),OR(Sel_Category="All",Data!B1338=Sel_Category),OR(Sel_Month="All",C1338=Sel_Month),OR(Sel_County="All",Data!L1338=Sel_County)),1,0)</f>
        <v>1</v>
      </c>
    </row>
    <row r="1339" spans="1:9" x14ac:dyDescent="0.25">
      <c r="A1339" s="52" t="str">
        <f>Data!A1339</f>
        <v>TX501338</v>
      </c>
      <c r="B1339" s="52">
        <f>MONTH(Data!F1339)</f>
        <v>2</v>
      </c>
      <c r="C1339" s="52" t="str">
        <f>TEXT(Data!F1339,"mmm")</f>
        <v>Feb</v>
      </c>
      <c r="D1339" s="52" t="str">
        <f>Data!O1339</f>
        <v>Male</v>
      </c>
      <c r="E1339" s="52">
        <f>Data!G1339-Data!F1339</f>
        <v>1</v>
      </c>
      <c r="F1339" s="52">
        <f>IF(Data!J1339&lt;=5,Data!J1339,IF(Data!J1339&lt;=10,"6 TO 10","More than 10"))</f>
        <v>2</v>
      </c>
      <c r="G1339" s="52">
        <f t="shared" si="20"/>
        <v>1</v>
      </c>
      <c r="H1339" s="52">
        <f>ROUND(Data!C1339*Data!D1339-Data!E1339,2)</f>
        <v>0</v>
      </c>
      <c r="I1339" s="52">
        <f>IF(AND(OR(Sel_Mode="All",Data!I1339=Sel_Mode),OR(Sel_Gender="All",D1339=Sel_Gender),OR(Sel_Category="All",Data!B1339=Sel_Category),OR(Sel_Month="All",C1339=Sel_Month),OR(Sel_County="All",Data!L1339=Sel_County)),1,0)</f>
        <v>1</v>
      </c>
    </row>
    <row r="1340" spans="1:9" x14ac:dyDescent="0.25">
      <c r="A1340" s="52" t="str">
        <f>Data!A1340</f>
        <v>TX501339</v>
      </c>
      <c r="B1340" s="52">
        <f>MONTH(Data!F1340)</f>
        <v>2</v>
      </c>
      <c r="C1340" s="52" t="str">
        <f>TEXT(Data!F1340,"mmm")</f>
        <v>Feb</v>
      </c>
      <c r="D1340" s="52" t="str">
        <f>Data!O1340</f>
        <v>Male</v>
      </c>
      <c r="E1340" s="52">
        <f>Data!G1340-Data!F1340</f>
        <v>5</v>
      </c>
      <c r="F1340" s="52">
        <f>IF(Data!J1340&lt;=5,Data!J1340,IF(Data!J1340&lt;=10,"6 TO 10","More than 10"))</f>
        <v>5</v>
      </c>
      <c r="G1340" s="52">
        <f t="shared" si="20"/>
        <v>5</v>
      </c>
      <c r="H1340" s="52">
        <f>ROUND(Data!C1340*Data!D1340-Data!E1340,2)</f>
        <v>0</v>
      </c>
      <c r="I1340" s="52">
        <f>IF(AND(OR(Sel_Mode="All",Data!I1340=Sel_Mode),OR(Sel_Gender="All",D1340=Sel_Gender),OR(Sel_Category="All",Data!B1340=Sel_Category),OR(Sel_Month="All",C1340=Sel_Month),OR(Sel_County="All",Data!L1340=Sel_County)),1,0)</f>
        <v>1</v>
      </c>
    </row>
    <row r="1341" spans="1:9" x14ac:dyDescent="0.25">
      <c r="A1341" s="52" t="str">
        <f>Data!A1341</f>
        <v>TX501340</v>
      </c>
      <c r="B1341" s="52">
        <f>MONTH(Data!F1341)</f>
        <v>2</v>
      </c>
      <c r="C1341" s="52" t="str">
        <f>TEXT(Data!F1341,"mmm")</f>
        <v>Feb</v>
      </c>
      <c r="D1341" s="52" t="str">
        <f>Data!O1341</f>
        <v>Female</v>
      </c>
      <c r="E1341" s="52">
        <f>Data!G1341-Data!F1341</f>
        <v>1</v>
      </c>
      <c r="F1341" s="52">
        <f>IF(Data!J1341&lt;=5,Data!J1341,IF(Data!J1341&lt;=10,"6 TO 10","More than 10"))</f>
        <v>3</v>
      </c>
      <c r="G1341" s="52">
        <f t="shared" si="20"/>
        <v>1</v>
      </c>
      <c r="H1341" s="52">
        <f>ROUND(Data!C1341*Data!D1341-Data!E1341,2)</f>
        <v>0</v>
      </c>
      <c r="I1341" s="52">
        <f>IF(AND(OR(Sel_Mode="All",Data!I1341=Sel_Mode),OR(Sel_Gender="All",D1341=Sel_Gender),OR(Sel_Category="All",Data!B1341=Sel_Category),OR(Sel_Month="All",C1341=Sel_Month),OR(Sel_County="All",Data!L1341=Sel_County)),1,0)</f>
        <v>1</v>
      </c>
    </row>
    <row r="1342" spans="1:9" x14ac:dyDescent="0.25">
      <c r="A1342" s="52" t="str">
        <f>Data!A1342</f>
        <v>TX501341</v>
      </c>
      <c r="B1342" s="52">
        <f>MONTH(Data!F1342)</f>
        <v>2</v>
      </c>
      <c r="C1342" s="52" t="str">
        <f>TEXT(Data!F1342,"mmm")</f>
        <v>Feb</v>
      </c>
      <c r="D1342" s="52" t="str">
        <f>Data!O1342</f>
        <v>Male</v>
      </c>
      <c r="E1342" s="52">
        <f>Data!G1342-Data!F1342</f>
        <v>2</v>
      </c>
      <c r="F1342" s="52">
        <f>IF(Data!J1342&lt;=5,Data!J1342,IF(Data!J1342&lt;=10,"6 TO 10","More than 10"))</f>
        <v>5</v>
      </c>
      <c r="G1342" s="52">
        <f t="shared" si="20"/>
        <v>2</v>
      </c>
      <c r="H1342" s="52">
        <f>ROUND(Data!C1342*Data!D1342-Data!E1342,2)</f>
        <v>0</v>
      </c>
      <c r="I1342" s="52">
        <f>IF(AND(OR(Sel_Mode="All",Data!I1342=Sel_Mode),OR(Sel_Gender="All",D1342=Sel_Gender),OR(Sel_Category="All",Data!B1342=Sel_Category),OR(Sel_Month="All",C1342=Sel_Month),OR(Sel_County="All",Data!L1342=Sel_County)),1,0)</f>
        <v>1</v>
      </c>
    </row>
    <row r="1343" spans="1:9" x14ac:dyDescent="0.25">
      <c r="A1343" s="52" t="str">
        <f>Data!A1343</f>
        <v>TX501342</v>
      </c>
      <c r="B1343" s="52">
        <f>MONTH(Data!F1343)</f>
        <v>2</v>
      </c>
      <c r="C1343" s="52" t="str">
        <f>TEXT(Data!F1343,"mmm")</f>
        <v>Feb</v>
      </c>
      <c r="D1343" s="52" t="str">
        <f>Data!O1343</f>
        <v>Male</v>
      </c>
      <c r="E1343" s="52">
        <f>Data!G1343-Data!F1343</f>
        <v>3</v>
      </c>
      <c r="F1343" s="52">
        <f>IF(Data!J1343&lt;=5,Data!J1343,IF(Data!J1343&lt;=10,"6 TO 10","More than 10"))</f>
        <v>4</v>
      </c>
      <c r="G1343" s="52">
        <f t="shared" si="20"/>
        <v>3</v>
      </c>
      <c r="H1343" s="52">
        <f>ROUND(Data!C1343*Data!D1343-Data!E1343,2)</f>
        <v>0</v>
      </c>
      <c r="I1343" s="52">
        <f>IF(AND(OR(Sel_Mode="All",Data!I1343=Sel_Mode),OR(Sel_Gender="All",D1343=Sel_Gender),OR(Sel_Category="All",Data!B1343=Sel_Category),OR(Sel_Month="All",C1343=Sel_Month),OR(Sel_County="All",Data!L1343=Sel_County)),1,0)</f>
        <v>1</v>
      </c>
    </row>
    <row r="1344" spans="1:9" x14ac:dyDescent="0.25">
      <c r="A1344" s="52" t="str">
        <f>Data!A1344</f>
        <v>TX501343</v>
      </c>
      <c r="B1344" s="52">
        <f>MONTH(Data!F1344)</f>
        <v>2</v>
      </c>
      <c r="C1344" s="52" t="str">
        <f>TEXT(Data!F1344,"mmm")</f>
        <v>Feb</v>
      </c>
      <c r="D1344" s="52" t="str">
        <f>Data!O1344</f>
        <v>Male</v>
      </c>
      <c r="E1344" s="52">
        <f>Data!G1344-Data!F1344</f>
        <v>3</v>
      </c>
      <c r="F1344" s="52">
        <f>IF(Data!J1344&lt;=5,Data!J1344,IF(Data!J1344&lt;=10,"6 TO 10","More than 10"))</f>
        <v>4</v>
      </c>
      <c r="G1344" s="52">
        <f t="shared" si="20"/>
        <v>3</v>
      </c>
      <c r="H1344" s="52">
        <f>ROUND(Data!C1344*Data!D1344-Data!E1344,2)</f>
        <v>0</v>
      </c>
      <c r="I1344" s="52">
        <f>IF(AND(OR(Sel_Mode="All",Data!I1344=Sel_Mode),OR(Sel_Gender="All",D1344=Sel_Gender),OR(Sel_Category="All",Data!B1344=Sel_Category),OR(Sel_Month="All",C1344=Sel_Month),OR(Sel_County="All",Data!L1344=Sel_County)),1,0)</f>
        <v>1</v>
      </c>
    </row>
    <row r="1345" spans="1:9" x14ac:dyDescent="0.25">
      <c r="A1345" s="52" t="str">
        <f>Data!A1345</f>
        <v>TX501344</v>
      </c>
      <c r="B1345" s="52">
        <f>MONTH(Data!F1345)</f>
        <v>2</v>
      </c>
      <c r="C1345" s="52" t="str">
        <f>TEXT(Data!F1345,"mmm")</f>
        <v>Feb</v>
      </c>
      <c r="D1345" s="52" t="str">
        <f>Data!O1345</f>
        <v>Female</v>
      </c>
      <c r="E1345" s="52">
        <f>Data!G1345-Data!F1345</f>
        <v>1</v>
      </c>
      <c r="F1345" s="52">
        <f>IF(Data!J1345&lt;=5,Data!J1345,IF(Data!J1345&lt;=10,"6 TO 10","More than 10"))</f>
        <v>3</v>
      </c>
      <c r="G1345" s="52">
        <f t="shared" si="20"/>
        <v>1</v>
      </c>
      <c r="H1345" s="52">
        <f>ROUND(Data!C1345*Data!D1345-Data!E1345,2)</f>
        <v>0</v>
      </c>
      <c r="I1345" s="52">
        <f>IF(AND(OR(Sel_Mode="All",Data!I1345=Sel_Mode),OR(Sel_Gender="All",D1345=Sel_Gender),OR(Sel_Category="All",Data!B1345=Sel_Category),OR(Sel_Month="All",C1345=Sel_Month),OR(Sel_County="All",Data!L1345=Sel_County)),1,0)</f>
        <v>1</v>
      </c>
    </row>
    <row r="1346" spans="1:9" x14ac:dyDescent="0.25">
      <c r="A1346" s="52" t="str">
        <f>Data!A1346</f>
        <v>TX501345</v>
      </c>
      <c r="B1346" s="52">
        <f>MONTH(Data!F1346)</f>
        <v>2</v>
      </c>
      <c r="C1346" s="52" t="str">
        <f>TEXT(Data!F1346,"mmm")</f>
        <v>Feb</v>
      </c>
      <c r="D1346" s="52" t="str">
        <f>Data!O1346</f>
        <v>Male</v>
      </c>
      <c r="E1346" s="52">
        <f>Data!G1346-Data!F1346</f>
        <v>3</v>
      </c>
      <c r="F1346" s="52">
        <f>IF(Data!J1346&lt;=5,Data!J1346,IF(Data!J1346&lt;=10,"6 TO 10","More than 10"))</f>
        <v>3</v>
      </c>
      <c r="G1346" s="52">
        <f t="shared" ref="G1346:G1409" si="21">IF(E1346&gt;=8,"8+",E1346)</f>
        <v>3</v>
      </c>
      <c r="H1346" s="52">
        <f>ROUND(Data!C1346*Data!D1346-Data!E1346,2)</f>
        <v>0</v>
      </c>
      <c r="I1346" s="52">
        <f>IF(AND(OR(Sel_Mode="All",Data!I1346=Sel_Mode),OR(Sel_Gender="All",D1346=Sel_Gender),OR(Sel_Category="All",Data!B1346=Sel_Category),OR(Sel_Month="All",C1346=Sel_Month),OR(Sel_County="All",Data!L1346=Sel_County)),1,0)</f>
        <v>1</v>
      </c>
    </row>
    <row r="1347" spans="1:9" x14ac:dyDescent="0.25">
      <c r="A1347" s="52" t="str">
        <f>Data!A1347</f>
        <v>TX501346</v>
      </c>
      <c r="B1347" s="52">
        <f>MONTH(Data!F1347)</f>
        <v>2</v>
      </c>
      <c r="C1347" s="52" t="str">
        <f>TEXT(Data!F1347,"mmm")</f>
        <v>Feb</v>
      </c>
      <c r="D1347" s="52" t="str">
        <f>Data!O1347</f>
        <v>Female</v>
      </c>
      <c r="E1347" s="52">
        <f>Data!G1347-Data!F1347</f>
        <v>3</v>
      </c>
      <c r="F1347" s="52">
        <f>IF(Data!J1347&lt;=5,Data!J1347,IF(Data!J1347&lt;=10,"6 TO 10","More than 10"))</f>
        <v>4</v>
      </c>
      <c r="G1347" s="52">
        <f t="shared" si="21"/>
        <v>3</v>
      </c>
      <c r="H1347" s="52">
        <f>ROUND(Data!C1347*Data!D1347-Data!E1347,2)</f>
        <v>0</v>
      </c>
      <c r="I1347" s="52">
        <f>IF(AND(OR(Sel_Mode="All",Data!I1347=Sel_Mode),OR(Sel_Gender="All",D1347=Sel_Gender),OR(Sel_Category="All",Data!B1347=Sel_Category),OR(Sel_Month="All",C1347=Sel_Month),OR(Sel_County="All",Data!L1347=Sel_County)),1,0)</f>
        <v>1</v>
      </c>
    </row>
    <row r="1348" spans="1:9" x14ac:dyDescent="0.25">
      <c r="A1348" s="52" t="str">
        <f>Data!A1348</f>
        <v>TX501347</v>
      </c>
      <c r="B1348" s="52">
        <f>MONTH(Data!F1348)</f>
        <v>2</v>
      </c>
      <c r="C1348" s="52" t="str">
        <f>TEXT(Data!F1348,"mmm")</f>
        <v>Feb</v>
      </c>
      <c r="D1348" s="52" t="str">
        <f>Data!O1348</f>
        <v>Female</v>
      </c>
      <c r="E1348" s="52">
        <f>Data!G1348-Data!F1348</f>
        <v>3</v>
      </c>
      <c r="F1348" s="52">
        <f>IF(Data!J1348&lt;=5,Data!J1348,IF(Data!J1348&lt;=10,"6 TO 10","More than 10"))</f>
        <v>2</v>
      </c>
      <c r="G1348" s="52">
        <f t="shared" si="21"/>
        <v>3</v>
      </c>
      <c r="H1348" s="52">
        <f>ROUND(Data!C1348*Data!D1348-Data!E1348,2)</f>
        <v>0</v>
      </c>
      <c r="I1348" s="52">
        <f>IF(AND(OR(Sel_Mode="All",Data!I1348=Sel_Mode),OR(Sel_Gender="All",D1348=Sel_Gender),OR(Sel_Category="All",Data!B1348=Sel_Category),OR(Sel_Month="All",C1348=Sel_Month),OR(Sel_County="All",Data!L1348=Sel_County)),1,0)</f>
        <v>1</v>
      </c>
    </row>
    <row r="1349" spans="1:9" x14ac:dyDescent="0.25">
      <c r="A1349" s="52" t="str">
        <f>Data!A1349</f>
        <v>TX501348</v>
      </c>
      <c r="B1349" s="52">
        <f>MONTH(Data!F1349)</f>
        <v>2</v>
      </c>
      <c r="C1349" s="52" t="str">
        <f>TEXT(Data!F1349,"mmm")</f>
        <v>Feb</v>
      </c>
      <c r="D1349" s="52" t="str">
        <f>Data!O1349</f>
        <v>Female</v>
      </c>
      <c r="E1349" s="52">
        <f>Data!G1349-Data!F1349</f>
        <v>2</v>
      </c>
      <c r="F1349" s="52">
        <f>IF(Data!J1349&lt;=5,Data!J1349,IF(Data!J1349&lt;=10,"6 TO 10","More than 10"))</f>
        <v>3</v>
      </c>
      <c r="G1349" s="52">
        <f t="shared" si="21"/>
        <v>2</v>
      </c>
      <c r="H1349" s="52">
        <f>ROUND(Data!C1349*Data!D1349-Data!E1349,2)</f>
        <v>0</v>
      </c>
      <c r="I1349" s="52">
        <f>IF(AND(OR(Sel_Mode="All",Data!I1349=Sel_Mode),OR(Sel_Gender="All",D1349=Sel_Gender),OR(Sel_Category="All",Data!B1349=Sel_Category),OR(Sel_Month="All",C1349=Sel_Month),OR(Sel_County="All",Data!L1349=Sel_County)),1,0)</f>
        <v>1</v>
      </c>
    </row>
    <row r="1350" spans="1:9" x14ac:dyDescent="0.25">
      <c r="A1350" s="52" t="str">
        <f>Data!A1350</f>
        <v>TX501349</v>
      </c>
      <c r="B1350" s="52">
        <f>MONTH(Data!F1350)</f>
        <v>2</v>
      </c>
      <c r="C1350" s="52" t="str">
        <f>TEXT(Data!F1350,"mmm")</f>
        <v>Feb</v>
      </c>
      <c r="D1350" s="52" t="str">
        <f>Data!O1350</f>
        <v>Male</v>
      </c>
      <c r="E1350" s="52">
        <f>Data!G1350-Data!F1350</f>
        <v>2</v>
      </c>
      <c r="F1350" s="52">
        <f>IF(Data!J1350&lt;=5,Data!J1350,IF(Data!J1350&lt;=10,"6 TO 10","More than 10"))</f>
        <v>5</v>
      </c>
      <c r="G1350" s="52">
        <f t="shared" si="21"/>
        <v>2</v>
      </c>
      <c r="H1350" s="52">
        <f>ROUND(Data!C1350*Data!D1350-Data!E1350,2)</f>
        <v>0</v>
      </c>
      <c r="I1350" s="52">
        <f>IF(AND(OR(Sel_Mode="All",Data!I1350=Sel_Mode),OR(Sel_Gender="All",D1350=Sel_Gender),OR(Sel_Category="All",Data!B1350=Sel_Category),OR(Sel_Month="All",C1350=Sel_Month),OR(Sel_County="All",Data!L1350=Sel_County)),1,0)</f>
        <v>1</v>
      </c>
    </row>
    <row r="1351" spans="1:9" x14ac:dyDescent="0.25">
      <c r="A1351" s="52" t="str">
        <f>Data!A1351</f>
        <v>TX501350</v>
      </c>
      <c r="B1351" s="52">
        <f>MONTH(Data!F1351)</f>
        <v>2</v>
      </c>
      <c r="C1351" s="52" t="str">
        <f>TEXT(Data!F1351,"mmm")</f>
        <v>Feb</v>
      </c>
      <c r="D1351" s="52" t="str">
        <f>Data!O1351</f>
        <v>Other</v>
      </c>
      <c r="E1351" s="52">
        <f>Data!G1351-Data!F1351</f>
        <v>2</v>
      </c>
      <c r="F1351" s="52">
        <f>IF(Data!J1351&lt;=5,Data!J1351,IF(Data!J1351&lt;=10,"6 TO 10","More than 10"))</f>
        <v>4</v>
      </c>
      <c r="G1351" s="52">
        <f t="shared" si="21"/>
        <v>2</v>
      </c>
      <c r="H1351" s="52">
        <f>ROUND(Data!C1351*Data!D1351-Data!E1351,2)</f>
        <v>0</v>
      </c>
      <c r="I1351" s="52">
        <f>IF(AND(OR(Sel_Mode="All",Data!I1351=Sel_Mode),OR(Sel_Gender="All",D1351=Sel_Gender),OR(Sel_Category="All",Data!B1351=Sel_Category),OR(Sel_Month="All",C1351=Sel_Month),OR(Sel_County="All",Data!L1351=Sel_County)),1,0)</f>
        <v>1</v>
      </c>
    </row>
    <row r="1352" spans="1:9" x14ac:dyDescent="0.25">
      <c r="A1352" s="52" t="str">
        <f>Data!A1352</f>
        <v>TX501351</v>
      </c>
      <c r="B1352" s="52">
        <f>MONTH(Data!F1352)</f>
        <v>2</v>
      </c>
      <c r="C1352" s="52" t="str">
        <f>TEXT(Data!F1352,"mmm")</f>
        <v>Feb</v>
      </c>
      <c r="D1352" s="52" t="str">
        <f>Data!O1352</f>
        <v>Female</v>
      </c>
      <c r="E1352" s="52">
        <f>Data!G1352-Data!F1352</f>
        <v>4</v>
      </c>
      <c r="F1352" s="52">
        <f>IF(Data!J1352&lt;=5,Data!J1352,IF(Data!J1352&lt;=10,"6 TO 10","More than 10"))</f>
        <v>5</v>
      </c>
      <c r="G1352" s="52">
        <f t="shared" si="21"/>
        <v>4</v>
      </c>
      <c r="H1352" s="52">
        <f>ROUND(Data!C1352*Data!D1352-Data!E1352,2)</f>
        <v>0</v>
      </c>
      <c r="I1352" s="52">
        <f>IF(AND(OR(Sel_Mode="All",Data!I1352=Sel_Mode),OR(Sel_Gender="All",D1352=Sel_Gender),OR(Sel_Category="All",Data!B1352=Sel_Category),OR(Sel_Month="All",C1352=Sel_Month),OR(Sel_County="All",Data!L1352=Sel_County)),1,0)</f>
        <v>1</v>
      </c>
    </row>
    <row r="1353" spans="1:9" x14ac:dyDescent="0.25">
      <c r="A1353" s="52" t="str">
        <f>Data!A1353</f>
        <v>TX501352</v>
      </c>
      <c r="B1353" s="52">
        <f>MONTH(Data!F1353)</f>
        <v>2</v>
      </c>
      <c r="C1353" s="52" t="str">
        <f>TEXT(Data!F1353,"mmm")</f>
        <v>Feb</v>
      </c>
      <c r="D1353" s="52" t="str">
        <f>Data!O1353</f>
        <v>Male</v>
      </c>
      <c r="E1353" s="52">
        <f>Data!G1353-Data!F1353</f>
        <v>2</v>
      </c>
      <c r="F1353" s="52">
        <f>IF(Data!J1353&lt;=5,Data!J1353,IF(Data!J1353&lt;=10,"6 TO 10","More than 10"))</f>
        <v>5</v>
      </c>
      <c r="G1353" s="52">
        <f t="shared" si="21"/>
        <v>2</v>
      </c>
      <c r="H1353" s="52">
        <f>ROUND(Data!C1353*Data!D1353-Data!E1353,2)</f>
        <v>0</v>
      </c>
      <c r="I1353" s="52">
        <f>IF(AND(OR(Sel_Mode="All",Data!I1353=Sel_Mode),OR(Sel_Gender="All",D1353=Sel_Gender),OR(Sel_Category="All",Data!B1353=Sel_Category),OR(Sel_Month="All",C1353=Sel_Month),OR(Sel_County="All",Data!L1353=Sel_County)),1,0)</f>
        <v>1</v>
      </c>
    </row>
    <row r="1354" spans="1:9" x14ac:dyDescent="0.25">
      <c r="A1354" s="52" t="str">
        <f>Data!A1354</f>
        <v>TX501353</v>
      </c>
      <c r="B1354" s="52">
        <f>MONTH(Data!F1354)</f>
        <v>2</v>
      </c>
      <c r="C1354" s="52" t="str">
        <f>TEXT(Data!F1354,"mmm")</f>
        <v>Feb</v>
      </c>
      <c r="D1354" s="52" t="str">
        <f>Data!O1354</f>
        <v>Female</v>
      </c>
      <c r="E1354" s="52">
        <f>Data!G1354-Data!F1354</f>
        <v>8</v>
      </c>
      <c r="F1354" s="52">
        <f>IF(Data!J1354&lt;=5,Data!J1354,IF(Data!J1354&lt;=10,"6 TO 10","More than 10"))</f>
        <v>2</v>
      </c>
      <c r="G1354" s="52" t="str">
        <f t="shared" si="21"/>
        <v>8+</v>
      </c>
      <c r="H1354" s="52">
        <f>ROUND(Data!C1354*Data!D1354-Data!E1354,2)</f>
        <v>0</v>
      </c>
      <c r="I1354" s="52">
        <f>IF(AND(OR(Sel_Mode="All",Data!I1354=Sel_Mode),OR(Sel_Gender="All",D1354=Sel_Gender),OR(Sel_Category="All",Data!B1354=Sel_Category),OR(Sel_Month="All",C1354=Sel_Month),OR(Sel_County="All",Data!L1354=Sel_County)),1,0)</f>
        <v>1</v>
      </c>
    </row>
    <row r="1355" spans="1:9" x14ac:dyDescent="0.25">
      <c r="A1355" s="52" t="str">
        <f>Data!A1355</f>
        <v>TX501354</v>
      </c>
      <c r="B1355" s="52">
        <f>MONTH(Data!F1355)</f>
        <v>2</v>
      </c>
      <c r="C1355" s="52" t="str">
        <f>TEXT(Data!F1355,"mmm")</f>
        <v>Feb</v>
      </c>
      <c r="D1355" s="52" t="str">
        <f>Data!O1355</f>
        <v>Male</v>
      </c>
      <c r="E1355" s="52">
        <f>Data!G1355-Data!F1355</f>
        <v>1</v>
      </c>
      <c r="F1355" s="52">
        <f>IF(Data!J1355&lt;=5,Data!J1355,IF(Data!J1355&lt;=10,"6 TO 10","More than 10"))</f>
        <v>3</v>
      </c>
      <c r="G1355" s="52">
        <f t="shared" si="21"/>
        <v>1</v>
      </c>
      <c r="H1355" s="52">
        <f>ROUND(Data!C1355*Data!D1355-Data!E1355,2)</f>
        <v>0</v>
      </c>
      <c r="I1355" s="52">
        <f>IF(AND(OR(Sel_Mode="All",Data!I1355=Sel_Mode),OR(Sel_Gender="All",D1355=Sel_Gender),OR(Sel_Category="All",Data!B1355=Sel_Category),OR(Sel_Month="All",C1355=Sel_Month),OR(Sel_County="All",Data!L1355=Sel_County)),1,0)</f>
        <v>1</v>
      </c>
    </row>
    <row r="1356" spans="1:9" x14ac:dyDescent="0.25">
      <c r="A1356" s="52" t="str">
        <f>Data!A1356</f>
        <v>TX501355</v>
      </c>
      <c r="B1356" s="52">
        <f>MONTH(Data!F1356)</f>
        <v>2</v>
      </c>
      <c r="C1356" s="52" t="str">
        <f>TEXT(Data!F1356,"mmm")</f>
        <v>Feb</v>
      </c>
      <c r="D1356" s="52" t="str">
        <f>Data!O1356</f>
        <v>Male</v>
      </c>
      <c r="E1356" s="52">
        <f>Data!G1356-Data!F1356</f>
        <v>1</v>
      </c>
      <c r="F1356" s="52">
        <f>IF(Data!J1356&lt;=5,Data!J1356,IF(Data!J1356&lt;=10,"6 TO 10","More than 10"))</f>
        <v>4</v>
      </c>
      <c r="G1356" s="52">
        <f t="shared" si="21"/>
        <v>1</v>
      </c>
      <c r="H1356" s="52">
        <f>ROUND(Data!C1356*Data!D1356-Data!E1356,2)</f>
        <v>0</v>
      </c>
      <c r="I1356" s="52">
        <f>IF(AND(OR(Sel_Mode="All",Data!I1356=Sel_Mode),OR(Sel_Gender="All",D1356=Sel_Gender),OR(Sel_Category="All",Data!B1356=Sel_Category),OR(Sel_Month="All",C1356=Sel_Month),OR(Sel_County="All",Data!L1356=Sel_County)),1,0)</f>
        <v>1</v>
      </c>
    </row>
    <row r="1357" spans="1:9" x14ac:dyDescent="0.25">
      <c r="A1357" s="52" t="str">
        <f>Data!A1357</f>
        <v>TX501356</v>
      </c>
      <c r="B1357" s="52">
        <f>MONTH(Data!F1357)</f>
        <v>2</v>
      </c>
      <c r="C1357" s="52" t="str">
        <f>TEXT(Data!F1357,"mmm")</f>
        <v>Feb</v>
      </c>
      <c r="D1357" s="52" t="str">
        <f>Data!O1357</f>
        <v>Female</v>
      </c>
      <c r="E1357" s="52">
        <f>Data!G1357-Data!F1357</f>
        <v>5</v>
      </c>
      <c r="F1357" s="52">
        <f>IF(Data!J1357&lt;=5,Data!J1357,IF(Data!J1357&lt;=10,"6 TO 10","More than 10"))</f>
        <v>5</v>
      </c>
      <c r="G1357" s="52">
        <f t="shared" si="21"/>
        <v>5</v>
      </c>
      <c r="H1357" s="52">
        <f>ROUND(Data!C1357*Data!D1357-Data!E1357,2)</f>
        <v>0</v>
      </c>
      <c r="I1357" s="52">
        <f>IF(AND(OR(Sel_Mode="All",Data!I1357=Sel_Mode),OR(Sel_Gender="All",D1357=Sel_Gender),OR(Sel_Category="All",Data!B1357=Sel_Category),OR(Sel_Month="All",C1357=Sel_Month),OR(Sel_County="All",Data!L1357=Sel_County)),1,0)</f>
        <v>1</v>
      </c>
    </row>
    <row r="1358" spans="1:9" x14ac:dyDescent="0.25">
      <c r="A1358" s="52" t="str">
        <f>Data!A1358</f>
        <v>TX501357</v>
      </c>
      <c r="B1358" s="52">
        <f>MONTH(Data!F1358)</f>
        <v>2</v>
      </c>
      <c r="C1358" s="52" t="str">
        <f>TEXT(Data!F1358,"mmm")</f>
        <v>Feb</v>
      </c>
      <c r="D1358" s="52" t="str">
        <f>Data!O1358</f>
        <v>Female</v>
      </c>
      <c r="E1358" s="52">
        <f>Data!G1358-Data!F1358</f>
        <v>1</v>
      </c>
      <c r="F1358" s="52">
        <f>IF(Data!J1358&lt;=5,Data!J1358,IF(Data!J1358&lt;=10,"6 TO 10","More than 10"))</f>
        <v>4</v>
      </c>
      <c r="G1358" s="52">
        <f t="shared" si="21"/>
        <v>1</v>
      </c>
      <c r="H1358" s="52">
        <f>ROUND(Data!C1358*Data!D1358-Data!E1358,2)</f>
        <v>0</v>
      </c>
      <c r="I1358" s="52">
        <f>IF(AND(OR(Sel_Mode="All",Data!I1358=Sel_Mode),OR(Sel_Gender="All",D1358=Sel_Gender),OR(Sel_Category="All",Data!B1358=Sel_Category),OR(Sel_Month="All",C1358=Sel_Month),OR(Sel_County="All",Data!L1358=Sel_County)),1,0)</f>
        <v>1</v>
      </c>
    </row>
    <row r="1359" spans="1:9" x14ac:dyDescent="0.25">
      <c r="A1359" s="52" t="str">
        <f>Data!A1359</f>
        <v>TX501358</v>
      </c>
      <c r="B1359" s="52">
        <f>MONTH(Data!F1359)</f>
        <v>2</v>
      </c>
      <c r="C1359" s="52" t="str">
        <f>TEXT(Data!F1359,"mmm")</f>
        <v>Feb</v>
      </c>
      <c r="D1359" s="52" t="str">
        <f>Data!O1359</f>
        <v>Male</v>
      </c>
      <c r="E1359" s="52">
        <f>Data!G1359-Data!F1359</f>
        <v>4</v>
      </c>
      <c r="F1359" s="52">
        <f>IF(Data!J1359&lt;=5,Data!J1359,IF(Data!J1359&lt;=10,"6 TO 10","More than 10"))</f>
        <v>4</v>
      </c>
      <c r="G1359" s="52">
        <f t="shared" si="21"/>
        <v>4</v>
      </c>
      <c r="H1359" s="52">
        <f>ROUND(Data!C1359*Data!D1359-Data!E1359,2)</f>
        <v>0</v>
      </c>
      <c r="I1359" s="52">
        <f>IF(AND(OR(Sel_Mode="All",Data!I1359=Sel_Mode),OR(Sel_Gender="All",D1359=Sel_Gender),OR(Sel_Category="All",Data!B1359=Sel_Category),OR(Sel_Month="All",C1359=Sel_Month),OR(Sel_County="All",Data!L1359=Sel_County)),1,0)</f>
        <v>1</v>
      </c>
    </row>
    <row r="1360" spans="1:9" x14ac:dyDescent="0.25">
      <c r="A1360" s="52" t="str">
        <f>Data!A1360</f>
        <v>TX501359</v>
      </c>
      <c r="B1360" s="52">
        <f>MONTH(Data!F1360)</f>
        <v>2</v>
      </c>
      <c r="C1360" s="52" t="str">
        <f>TEXT(Data!F1360,"mmm")</f>
        <v>Feb</v>
      </c>
      <c r="D1360" s="52" t="str">
        <f>Data!O1360</f>
        <v>Unknown</v>
      </c>
      <c r="E1360" s="52">
        <f>Data!G1360-Data!F1360</f>
        <v>1</v>
      </c>
      <c r="F1360" s="52">
        <f>IF(Data!J1360&lt;=5,Data!J1360,IF(Data!J1360&lt;=10,"6 TO 10","More than 10"))</f>
        <v>4</v>
      </c>
      <c r="G1360" s="52">
        <f t="shared" si="21"/>
        <v>1</v>
      </c>
      <c r="H1360" s="52">
        <f>ROUND(Data!C1360*Data!D1360-Data!E1360,2)</f>
        <v>0</v>
      </c>
      <c r="I1360" s="52">
        <f>IF(AND(OR(Sel_Mode="All",Data!I1360=Sel_Mode),OR(Sel_Gender="All",D1360=Sel_Gender),OR(Sel_Category="All",Data!B1360=Sel_Category),OR(Sel_Month="All",C1360=Sel_Month),OR(Sel_County="All",Data!L1360=Sel_County)),1,0)</f>
        <v>1</v>
      </c>
    </row>
    <row r="1361" spans="1:9" x14ac:dyDescent="0.25">
      <c r="A1361" s="52" t="str">
        <f>Data!A1361</f>
        <v>TX501360</v>
      </c>
      <c r="B1361" s="52">
        <f>MONTH(Data!F1361)</f>
        <v>2</v>
      </c>
      <c r="C1361" s="52" t="str">
        <f>TEXT(Data!F1361,"mmm")</f>
        <v>Feb</v>
      </c>
      <c r="D1361" s="52" t="str">
        <f>Data!O1361</f>
        <v>Male</v>
      </c>
      <c r="E1361" s="52">
        <f>Data!G1361-Data!F1361</f>
        <v>1</v>
      </c>
      <c r="F1361" s="52">
        <f>IF(Data!J1361&lt;=5,Data!J1361,IF(Data!J1361&lt;=10,"6 TO 10","More than 10"))</f>
        <v>4</v>
      </c>
      <c r="G1361" s="52">
        <f t="shared" si="21"/>
        <v>1</v>
      </c>
      <c r="H1361" s="52">
        <f>ROUND(Data!C1361*Data!D1361-Data!E1361,2)</f>
        <v>0</v>
      </c>
      <c r="I1361" s="52">
        <f>IF(AND(OR(Sel_Mode="All",Data!I1361=Sel_Mode),OR(Sel_Gender="All",D1361=Sel_Gender),OR(Sel_Category="All",Data!B1361=Sel_Category),OR(Sel_Month="All",C1361=Sel_Month),OR(Sel_County="All",Data!L1361=Sel_County)),1,0)</f>
        <v>1</v>
      </c>
    </row>
    <row r="1362" spans="1:9" x14ac:dyDescent="0.25">
      <c r="A1362" s="52" t="str">
        <f>Data!A1362</f>
        <v>TX501361</v>
      </c>
      <c r="B1362" s="52">
        <f>MONTH(Data!F1362)</f>
        <v>2</v>
      </c>
      <c r="C1362" s="52" t="str">
        <f>TEXT(Data!F1362,"mmm")</f>
        <v>Feb</v>
      </c>
      <c r="D1362" s="52" t="str">
        <f>Data!O1362</f>
        <v>Female</v>
      </c>
      <c r="E1362" s="52">
        <f>Data!G1362-Data!F1362</f>
        <v>1</v>
      </c>
      <c r="F1362" s="52">
        <f>IF(Data!J1362&lt;=5,Data!J1362,IF(Data!J1362&lt;=10,"6 TO 10","More than 10"))</f>
        <v>3</v>
      </c>
      <c r="G1362" s="52">
        <f t="shared" si="21"/>
        <v>1</v>
      </c>
      <c r="H1362" s="52">
        <f>ROUND(Data!C1362*Data!D1362-Data!E1362,2)</f>
        <v>0</v>
      </c>
      <c r="I1362" s="52">
        <f>IF(AND(OR(Sel_Mode="All",Data!I1362=Sel_Mode),OR(Sel_Gender="All",D1362=Sel_Gender),OR(Sel_Category="All",Data!B1362=Sel_Category),OR(Sel_Month="All",C1362=Sel_Month),OR(Sel_County="All",Data!L1362=Sel_County)),1,0)</f>
        <v>1</v>
      </c>
    </row>
    <row r="1363" spans="1:9" x14ac:dyDescent="0.25">
      <c r="A1363" s="52" t="str">
        <f>Data!A1363</f>
        <v>TX501362</v>
      </c>
      <c r="B1363" s="52">
        <f>MONTH(Data!F1363)</f>
        <v>2</v>
      </c>
      <c r="C1363" s="52" t="str">
        <f>TEXT(Data!F1363,"mmm")</f>
        <v>Feb</v>
      </c>
      <c r="D1363" s="52" t="str">
        <f>Data!O1363</f>
        <v>Male</v>
      </c>
      <c r="E1363" s="52">
        <f>Data!G1363-Data!F1363</f>
        <v>1</v>
      </c>
      <c r="F1363" s="52">
        <f>IF(Data!J1363&lt;=5,Data!J1363,IF(Data!J1363&lt;=10,"6 TO 10","More than 10"))</f>
        <v>4</v>
      </c>
      <c r="G1363" s="52">
        <f t="shared" si="21"/>
        <v>1</v>
      </c>
      <c r="H1363" s="52">
        <f>ROUND(Data!C1363*Data!D1363-Data!E1363,2)</f>
        <v>0</v>
      </c>
      <c r="I1363" s="52">
        <f>IF(AND(OR(Sel_Mode="All",Data!I1363=Sel_Mode),OR(Sel_Gender="All",D1363=Sel_Gender),OR(Sel_Category="All",Data!B1363=Sel_Category),OR(Sel_Month="All",C1363=Sel_Month),OR(Sel_County="All",Data!L1363=Sel_County)),1,0)</f>
        <v>1</v>
      </c>
    </row>
    <row r="1364" spans="1:9" x14ac:dyDescent="0.25">
      <c r="A1364" s="52" t="str">
        <f>Data!A1364</f>
        <v>TX501363</v>
      </c>
      <c r="B1364" s="52">
        <f>MONTH(Data!F1364)</f>
        <v>2</v>
      </c>
      <c r="C1364" s="52" t="str">
        <f>TEXT(Data!F1364,"mmm")</f>
        <v>Feb</v>
      </c>
      <c r="D1364" s="52" t="str">
        <f>Data!O1364</f>
        <v>Unknown</v>
      </c>
      <c r="E1364" s="52">
        <f>Data!G1364-Data!F1364</f>
        <v>1</v>
      </c>
      <c r="F1364" s="52">
        <f>IF(Data!J1364&lt;=5,Data!J1364,IF(Data!J1364&lt;=10,"6 TO 10","More than 10"))</f>
        <v>3</v>
      </c>
      <c r="G1364" s="52">
        <f t="shared" si="21"/>
        <v>1</v>
      </c>
      <c r="H1364" s="52">
        <f>ROUND(Data!C1364*Data!D1364-Data!E1364,2)</f>
        <v>0</v>
      </c>
      <c r="I1364" s="52">
        <f>IF(AND(OR(Sel_Mode="All",Data!I1364=Sel_Mode),OR(Sel_Gender="All",D1364=Sel_Gender),OR(Sel_Category="All",Data!B1364=Sel_Category),OR(Sel_Month="All",C1364=Sel_Month),OR(Sel_County="All",Data!L1364=Sel_County)),1,0)</f>
        <v>1</v>
      </c>
    </row>
    <row r="1365" spans="1:9" x14ac:dyDescent="0.25">
      <c r="A1365" s="52" t="str">
        <f>Data!A1365</f>
        <v>TX501364</v>
      </c>
      <c r="B1365" s="52">
        <f>MONTH(Data!F1365)</f>
        <v>2</v>
      </c>
      <c r="C1365" s="52" t="str">
        <f>TEXT(Data!F1365,"mmm")</f>
        <v>Feb</v>
      </c>
      <c r="D1365" s="52" t="str">
        <f>Data!O1365</f>
        <v>Male</v>
      </c>
      <c r="E1365" s="52">
        <f>Data!G1365-Data!F1365</f>
        <v>6</v>
      </c>
      <c r="F1365" s="52">
        <f>IF(Data!J1365&lt;=5,Data!J1365,IF(Data!J1365&lt;=10,"6 TO 10","More than 10"))</f>
        <v>4</v>
      </c>
      <c r="G1365" s="52">
        <f t="shared" si="21"/>
        <v>6</v>
      </c>
      <c r="H1365" s="52">
        <f>ROUND(Data!C1365*Data!D1365-Data!E1365,2)</f>
        <v>0</v>
      </c>
      <c r="I1365" s="52">
        <f>IF(AND(OR(Sel_Mode="All",Data!I1365=Sel_Mode),OR(Sel_Gender="All",D1365=Sel_Gender),OR(Sel_Category="All",Data!B1365=Sel_Category),OR(Sel_Month="All",C1365=Sel_Month),OR(Sel_County="All",Data!L1365=Sel_County)),1,0)</f>
        <v>1</v>
      </c>
    </row>
    <row r="1366" spans="1:9" x14ac:dyDescent="0.25">
      <c r="A1366" s="52" t="str">
        <f>Data!A1366</f>
        <v>TX501365</v>
      </c>
      <c r="B1366" s="52">
        <f>MONTH(Data!F1366)</f>
        <v>2</v>
      </c>
      <c r="C1366" s="52" t="str">
        <f>TEXT(Data!F1366,"mmm")</f>
        <v>Feb</v>
      </c>
      <c r="D1366" s="52" t="str">
        <f>Data!O1366</f>
        <v>Male</v>
      </c>
      <c r="E1366" s="52">
        <f>Data!G1366-Data!F1366</f>
        <v>0</v>
      </c>
      <c r="F1366" s="52">
        <f>IF(Data!J1366&lt;=5,Data!J1366,IF(Data!J1366&lt;=10,"6 TO 10","More than 10"))</f>
        <v>4</v>
      </c>
      <c r="G1366" s="52">
        <f t="shared" si="21"/>
        <v>0</v>
      </c>
      <c r="H1366" s="52">
        <f>ROUND(Data!C1366*Data!D1366-Data!E1366,2)</f>
        <v>0</v>
      </c>
      <c r="I1366" s="52">
        <f>IF(AND(OR(Sel_Mode="All",Data!I1366=Sel_Mode),OR(Sel_Gender="All",D1366=Sel_Gender),OR(Sel_Category="All",Data!B1366=Sel_Category),OR(Sel_Month="All",C1366=Sel_Month),OR(Sel_County="All",Data!L1366=Sel_County)),1,0)</f>
        <v>1</v>
      </c>
    </row>
    <row r="1367" spans="1:9" x14ac:dyDescent="0.25">
      <c r="A1367" s="52" t="str">
        <f>Data!A1367</f>
        <v>TX501366</v>
      </c>
      <c r="B1367" s="52">
        <f>MONTH(Data!F1367)</f>
        <v>2</v>
      </c>
      <c r="C1367" s="52" t="str">
        <f>TEXT(Data!F1367,"mmm")</f>
        <v>Feb</v>
      </c>
      <c r="D1367" s="52" t="str">
        <f>Data!O1367</f>
        <v>Unknown</v>
      </c>
      <c r="E1367" s="52">
        <f>Data!G1367-Data!F1367</f>
        <v>2</v>
      </c>
      <c r="F1367" s="52">
        <f>IF(Data!J1367&lt;=5,Data!J1367,IF(Data!J1367&lt;=10,"6 TO 10","More than 10"))</f>
        <v>5</v>
      </c>
      <c r="G1367" s="52">
        <f t="shared" si="21"/>
        <v>2</v>
      </c>
      <c r="H1367" s="52">
        <f>ROUND(Data!C1367*Data!D1367-Data!E1367,2)</f>
        <v>0</v>
      </c>
      <c r="I1367" s="52">
        <f>IF(AND(OR(Sel_Mode="All",Data!I1367=Sel_Mode),OR(Sel_Gender="All",D1367=Sel_Gender),OR(Sel_Category="All",Data!B1367=Sel_Category),OR(Sel_Month="All",C1367=Sel_Month),OR(Sel_County="All",Data!L1367=Sel_County)),1,0)</f>
        <v>1</v>
      </c>
    </row>
    <row r="1368" spans="1:9" x14ac:dyDescent="0.25">
      <c r="A1368" s="52" t="str">
        <f>Data!A1368</f>
        <v>TX501367</v>
      </c>
      <c r="B1368" s="52">
        <f>MONTH(Data!F1368)</f>
        <v>2</v>
      </c>
      <c r="C1368" s="52" t="str">
        <f>TEXT(Data!F1368,"mmm")</f>
        <v>Feb</v>
      </c>
      <c r="D1368" s="52" t="str">
        <f>Data!O1368</f>
        <v>Female</v>
      </c>
      <c r="E1368" s="52">
        <f>Data!G1368-Data!F1368</f>
        <v>0</v>
      </c>
      <c r="F1368" s="52">
        <f>IF(Data!J1368&lt;=5,Data!J1368,IF(Data!J1368&lt;=10,"6 TO 10","More than 10"))</f>
        <v>5</v>
      </c>
      <c r="G1368" s="52">
        <f t="shared" si="21"/>
        <v>0</v>
      </c>
      <c r="H1368" s="52">
        <f>ROUND(Data!C1368*Data!D1368-Data!E1368,2)</f>
        <v>0</v>
      </c>
      <c r="I1368" s="52">
        <f>IF(AND(OR(Sel_Mode="All",Data!I1368=Sel_Mode),OR(Sel_Gender="All",D1368=Sel_Gender),OR(Sel_Category="All",Data!B1368=Sel_Category),OR(Sel_Month="All",C1368=Sel_Month),OR(Sel_County="All",Data!L1368=Sel_County)),1,0)</f>
        <v>1</v>
      </c>
    </row>
    <row r="1369" spans="1:9" x14ac:dyDescent="0.25">
      <c r="A1369" s="52" t="str">
        <f>Data!A1369</f>
        <v>TX501368</v>
      </c>
      <c r="B1369" s="52">
        <f>MONTH(Data!F1369)</f>
        <v>2</v>
      </c>
      <c r="C1369" s="52" t="str">
        <f>TEXT(Data!F1369,"mmm")</f>
        <v>Feb</v>
      </c>
      <c r="D1369" s="52" t="str">
        <f>Data!O1369</f>
        <v>Male</v>
      </c>
      <c r="E1369" s="52">
        <f>Data!G1369-Data!F1369</f>
        <v>4</v>
      </c>
      <c r="F1369" s="52">
        <f>IF(Data!J1369&lt;=5,Data!J1369,IF(Data!J1369&lt;=10,"6 TO 10","More than 10"))</f>
        <v>3</v>
      </c>
      <c r="G1369" s="52">
        <f t="shared" si="21"/>
        <v>4</v>
      </c>
      <c r="H1369" s="52">
        <f>ROUND(Data!C1369*Data!D1369-Data!E1369,2)</f>
        <v>0</v>
      </c>
      <c r="I1369" s="52">
        <f>IF(AND(OR(Sel_Mode="All",Data!I1369=Sel_Mode),OR(Sel_Gender="All",D1369=Sel_Gender),OR(Sel_Category="All",Data!B1369=Sel_Category),OR(Sel_Month="All",C1369=Sel_Month),OR(Sel_County="All",Data!L1369=Sel_County)),1,0)</f>
        <v>1</v>
      </c>
    </row>
    <row r="1370" spans="1:9" x14ac:dyDescent="0.25">
      <c r="A1370" s="52" t="str">
        <f>Data!A1370</f>
        <v>TX501369</v>
      </c>
      <c r="B1370" s="52">
        <f>MONTH(Data!F1370)</f>
        <v>2</v>
      </c>
      <c r="C1370" s="52" t="str">
        <f>TEXT(Data!F1370,"mmm")</f>
        <v>Feb</v>
      </c>
      <c r="D1370" s="52" t="str">
        <f>Data!O1370</f>
        <v>Male</v>
      </c>
      <c r="E1370" s="52">
        <f>Data!G1370-Data!F1370</f>
        <v>5</v>
      </c>
      <c r="F1370" s="52">
        <f>IF(Data!J1370&lt;=5,Data!J1370,IF(Data!J1370&lt;=10,"6 TO 10","More than 10"))</f>
        <v>4</v>
      </c>
      <c r="G1370" s="52">
        <f t="shared" si="21"/>
        <v>5</v>
      </c>
      <c r="H1370" s="52">
        <f>ROUND(Data!C1370*Data!D1370-Data!E1370,2)</f>
        <v>0</v>
      </c>
      <c r="I1370" s="52">
        <f>IF(AND(OR(Sel_Mode="All",Data!I1370=Sel_Mode),OR(Sel_Gender="All",D1370=Sel_Gender),OR(Sel_Category="All",Data!B1370=Sel_Category),OR(Sel_Month="All",C1370=Sel_Month),OR(Sel_County="All",Data!L1370=Sel_County)),1,0)</f>
        <v>1</v>
      </c>
    </row>
    <row r="1371" spans="1:9" x14ac:dyDescent="0.25">
      <c r="A1371" s="52" t="str">
        <f>Data!A1371</f>
        <v>TX501370</v>
      </c>
      <c r="B1371" s="52">
        <f>MONTH(Data!F1371)</f>
        <v>2</v>
      </c>
      <c r="C1371" s="52" t="str">
        <f>TEXT(Data!F1371,"mmm")</f>
        <v>Feb</v>
      </c>
      <c r="D1371" s="52" t="str">
        <f>Data!O1371</f>
        <v>Male</v>
      </c>
      <c r="E1371" s="52">
        <f>Data!G1371-Data!F1371</f>
        <v>5</v>
      </c>
      <c r="F1371" s="52">
        <f>IF(Data!J1371&lt;=5,Data!J1371,IF(Data!J1371&lt;=10,"6 TO 10","More than 10"))</f>
        <v>3</v>
      </c>
      <c r="G1371" s="52">
        <f t="shared" si="21"/>
        <v>5</v>
      </c>
      <c r="H1371" s="52">
        <f>ROUND(Data!C1371*Data!D1371-Data!E1371,2)</f>
        <v>0</v>
      </c>
      <c r="I1371" s="52">
        <f>IF(AND(OR(Sel_Mode="All",Data!I1371=Sel_Mode),OR(Sel_Gender="All",D1371=Sel_Gender),OR(Sel_Category="All",Data!B1371=Sel_Category),OR(Sel_Month="All",C1371=Sel_Month),OR(Sel_County="All",Data!L1371=Sel_County)),1,0)</f>
        <v>1</v>
      </c>
    </row>
    <row r="1372" spans="1:9" x14ac:dyDescent="0.25">
      <c r="A1372" s="52" t="str">
        <f>Data!A1372</f>
        <v>TX501371</v>
      </c>
      <c r="B1372" s="52">
        <f>MONTH(Data!F1372)</f>
        <v>2</v>
      </c>
      <c r="C1372" s="52" t="str">
        <f>TEXT(Data!F1372,"mmm")</f>
        <v>Feb</v>
      </c>
      <c r="D1372" s="52" t="str">
        <f>Data!O1372</f>
        <v>Male</v>
      </c>
      <c r="E1372" s="52">
        <f>Data!G1372-Data!F1372</f>
        <v>4</v>
      </c>
      <c r="F1372" s="52">
        <f>IF(Data!J1372&lt;=5,Data!J1372,IF(Data!J1372&lt;=10,"6 TO 10","More than 10"))</f>
        <v>4</v>
      </c>
      <c r="G1372" s="52">
        <f t="shared" si="21"/>
        <v>4</v>
      </c>
      <c r="H1372" s="52">
        <f>ROUND(Data!C1372*Data!D1372-Data!E1372,2)</f>
        <v>0</v>
      </c>
      <c r="I1372" s="52">
        <f>IF(AND(OR(Sel_Mode="All",Data!I1372=Sel_Mode),OR(Sel_Gender="All",D1372=Sel_Gender),OR(Sel_Category="All",Data!B1372=Sel_Category),OR(Sel_Month="All",C1372=Sel_Month),OR(Sel_County="All",Data!L1372=Sel_County)),1,0)</f>
        <v>1</v>
      </c>
    </row>
    <row r="1373" spans="1:9" x14ac:dyDescent="0.25">
      <c r="A1373" s="52" t="str">
        <f>Data!A1373</f>
        <v>TX501372</v>
      </c>
      <c r="B1373" s="52">
        <f>MONTH(Data!F1373)</f>
        <v>2</v>
      </c>
      <c r="C1373" s="52" t="str">
        <f>TEXT(Data!F1373,"mmm")</f>
        <v>Feb</v>
      </c>
      <c r="D1373" s="52" t="str">
        <f>Data!O1373</f>
        <v>Female</v>
      </c>
      <c r="E1373" s="52">
        <f>Data!G1373-Data!F1373</f>
        <v>1</v>
      </c>
      <c r="F1373" s="52">
        <f>IF(Data!J1373&lt;=5,Data!J1373,IF(Data!J1373&lt;=10,"6 TO 10","More than 10"))</f>
        <v>3</v>
      </c>
      <c r="G1373" s="52">
        <f t="shared" si="21"/>
        <v>1</v>
      </c>
      <c r="H1373" s="52">
        <f>ROUND(Data!C1373*Data!D1373-Data!E1373,2)</f>
        <v>0</v>
      </c>
      <c r="I1373" s="52">
        <f>IF(AND(OR(Sel_Mode="All",Data!I1373=Sel_Mode),OR(Sel_Gender="All",D1373=Sel_Gender),OR(Sel_Category="All",Data!B1373=Sel_Category),OR(Sel_Month="All",C1373=Sel_Month),OR(Sel_County="All",Data!L1373=Sel_County)),1,0)</f>
        <v>1</v>
      </c>
    </row>
    <row r="1374" spans="1:9" x14ac:dyDescent="0.25">
      <c r="A1374" s="52" t="str">
        <f>Data!A1374</f>
        <v>TX501373</v>
      </c>
      <c r="B1374" s="52">
        <f>MONTH(Data!F1374)</f>
        <v>2</v>
      </c>
      <c r="C1374" s="52" t="str">
        <f>TEXT(Data!F1374,"mmm")</f>
        <v>Feb</v>
      </c>
      <c r="D1374" s="52" t="str">
        <f>Data!O1374</f>
        <v>Other</v>
      </c>
      <c r="E1374" s="52">
        <f>Data!G1374-Data!F1374</f>
        <v>1</v>
      </c>
      <c r="F1374" s="52">
        <f>IF(Data!J1374&lt;=5,Data!J1374,IF(Data!J1374&lt;=10,"6 TO 10","More than 10"))</f>
        <v>4</v>
      </c>
      <c r="G1374" s="52">
        <f t="shared" si="21"/>
        <v>1</v>
      </c>
      <c r="H1374" s="52">
        <f>ROUND(Data!C1374*Data!D1374-Data!E1374,2)</f>
        <v>0</v>
      </c>
      <c r="I1374" s="52">
        <f>IF(AND(OR(Sel_Mode="All",Data!I1374=Sel_Mode),OR(Sel_Gender="All",D1374=Sel_Gender),OR(Sel_Category="All",Data!B1374=Sel_Category),OR(Sel_Month="All",C1374=Sel_Month),OR(Sel_County="All",Data!L1374=Sel_County)),1,0)</f>
        <v>1</v>
      </c>
    </row>
    <row r="1375" spans="1:9" x14ac:dyDescent="0.25">
      <c r="A1375" s="52" t="str">
        <f>Data!A1375</f>
        <v>TX501374</v>
      </c>
      <c r="B1375" s="52">
        <f>MONTH(Data!F1375)</f>
        <v>2</v>
      </c>
      <c r="C1375" s="52" t="str">
        <f>TEXT(Data!F1375,"mmm")</f>
        <v>Feb</v>
      </c>
      <c r="D1375" s="52" t="str">
        <f>Data!O1375</f>
        <v>Female</v>
      </c>
      <c r="E1375" s="52">
        <f>Data!G1375-Data!F1375</f>
        <v>2</v>
      </c>
      <c r="F1375" s="52">
        <f>IF(Data!J1375&lt;=5,Data!J1375,IF(Data!J1375&lt;=10,"6 TO 10","More than 10"))</f>
        <v>5</v>
      </c>
      <c r="G1375" s="52">
        <f t="shared" si="21"/>
        <v>2</v>
      </c>
      <c r="H1375" s="52">
        <f>ROUND(Data!C1375*Data!D1375-Data!E1375,2)</f>
        <v>0</v>
      </c>
      <c r="I1375" s="52">
        <f>IF(AND(OR(Sel_Mode="All",Data!I1375=Sel_Mode),OR(Sel_Gender="All",D1375=Sel_Gender),OR(Sel_Category="All",Data!B1375=Sel_Category),OR(Sel_Month="All",C1375=Sel_Month),OR(Sel_County="All",Data!L1375=Sel_County)),1,0)</f>
        <v>1</v>
      </c>
    </row>
    <row r="1376" spans="1:9" x14ac:dyDescent="0.25">
      <c r="A1376" s="52" t="str">
        <f>Data!A1376</f>
        <v>TX501375</v>
      </c>
      <c r="B1376" s="52">
        <f>MONTH(Data!F1376)</f>
        <v>2</v>
      </c>
      <c r="C1376" s="52" t="str">
        <f>TEXT(Data!F1376,"mmm")</f>
        <v>Feb</v>
      </c>
      <c r="D1376" s="52" t="str">
        <f>Data!O1376</f>
        <v>Female</v>
      </c>
      <c r="E1376" s="52">
        <f>Data!G1376-Data!F1376</f>
        <v>5</v>
      </c>
      <c r="F1376" s="52">
        <f>IF(Data!J1376&lt;=5,Data!J1376,IF(Data!J1376&lt;=10,"6 TO 10","More than 10"))</f>
        <v>3</v>
      </c>
      <c r="G1376" s="52">
        <f t="shared" si="21"/>
        <v>5</v>
      </c>
      <c r="H1376" s="52">
        <f>ROUND(Data!C1376*Data!D1376-Data!E1376,2)</f>
        <v>0</v>
      </c>
      <c r="I1376" s="52">
        <f>IF(AND(OR(Sel_Mode="All",Data!I1376=Sel_Mode),OR(Sel_Gender="All",D1376=Sel_Gender),OR(Sel_Category="All",Data!B1376=Sel_Category),OR(Sel_Month="All",C1376=Sel_Month),OR(Sel_County="All",Data!L1376=Sel_County)),1,0)</f>
        <v>1</v>
      </c>
    </row>
    <row r="1377" spans="1:9" x14ac:dyDescent="0.25">
      <c r="A1377" s="52" t="str">
        <f>Data!A1377</f>
        <v>TX501376</v>
      </c>
      <c r="B1377" s="52">
        <f>MONTH(Data!F1377)</f>
        <v>2</v>
      </c>
      <c r="C1377" s="52" t="str">
        <f>TEXT(Data!F1377,"mmm")</f>
        <v>Feb</v>
      </c>
      <c r="D1377" s="52" t="str">
        <f>Data!O1377</f>
        <v>Male</v>
      </c>
      <c r="E1377" s="52">
        <f>Data!G1377-Data!F1377</f>
        <v>1</v>
      </c>
      <c r="F1377" s="52">
        <f>IF(Data!J1377&lt;=5,Data!J1377,IF(Data!J1377&lt;=10,"6 TO 10","More than 10"))</f>
        <v>3</v>
      </c>
      <c r="G1377" s="52">
        <f t="shared" si="21"/>
        <v>1</v>
      </c>
      <c r="H1377" s="52">
        <f>ROUND(Data!C1377*Data!D1377-Data!E1377,2)</f>
        <v>0</v>
      </c>
      <c r="I1377" s="52">
        <f>IF(AND(OR(Sel_Mode="All",Data!I1377=Sel_Mode),OR(Sel_Gender="All",D1377=Sel_Gender),OR(Sel_Category="All",Data!B1377=Sel_Category),OR(Sel_Month="All",C1377=Sel_Month),OR(Sel_County="All",Data!L1377=Sel_County)),1,0)</f>
        <v>1</v>
      </c>
    </row>
    <row r="1378" spans="1:9" x14ac:dyDescent="0.25">
      <c r="A1378" s="52" t="str">
        <f>Data!A1378</f>
        <v>TX501377</v>
      </c>
      <c r="B1378" s="52">
        <f>MONTH(Data!F1378)</f>
        <v>2</v>
      </c>
      <c r="C1378" s="52" t="str">
        <f>TEXT(Data!F1378,"mmm")</f>
        <v>Feb</v>
      </c>
      <c r="D1378" s="52" t="str">
        <f>Data!O1378</f>
        <v>Male</v>
      </c>
      <c r="E1378" s="52">
        <f>Data!G1378-Data!F1378</f>
        <v>1</v>
      </c>
      <c r="F1378" s="52">
        <f>IF(Data!J1378&lt;=5,Data!J1378,IF(Data!J1378&lt;=10,"6 TO 10","More than 10"))</f>
        <v>4</v>
      </c>
      <c r="G1378" s="52">
        <f t="shared" si="21"/>
        <v>1</v>
      </c>
      <c r="H1378" s="52">
        <f>ROUND(Data!C1378*Data!D1378-Data!E1378,2)</f>
        <v>0</v>
      </c>
      <c r="I1378" s="52">
        <f>IF(AND(OR(Sel_Mode="All",Data!I1378=Sel_Mode),OR(Sel_Gender="All",D1378=Sel_Gender),OR(Sel_Category="All",Data!B1378=Sel_Category),OR(Sel_Month="All",C1378=Sel_Month),OR(Sel_County="All",Data!L1378=Sel_County)),1,0)</f>
        <v>1</v>
      </c>
    </row>
    <row r="1379" spans="1:9" x14ac:dyDescent="0.25">
      <c r="A1379" s="52" t="str">
        <f>Data!A1379</f>
        <v>TX501378</v>
      </c>
      <c r="B1379" s="52">
        <f>MONTH(Data!F1379)</f>
        <v>2</v>
      </c>
      <c r="C1379" s="52" t="str">
        <f>TEXT(Data!F1379,"mmm")</f>
        <v>Feb</v>
      </c>
      <c r="D1379" s="52" t="str">
        <f>Data!O1379</f>
        <v>Male</v>
      </c>
      <c r="E1379" s="52">
        <f>Data!G1379-Data!F1379</f>
        <v>3</v>
      </c>
      <c r="F1379" s="52">
        <f>IF(Data!J1379&lt;=5,Data!J1379,IF(Data!J1379&lt;=10,"6 TO 10","More than 10"))</f>
        <v>3</v>
      </c>
      <c r="G1379" s="52">
        <f t="shared" si="21"/>
        <v>3</v>
      </c>
      <c r="H1379" s="52">
        <f>ROUND(Data!C1379*Data!D1379-Data!E1379,2)</f>
        <v>0</v>
      </c>
      <c r="I1379" s="52">
        <f>IF(AND(OR(Sel_Mode="All",Data!I1379=Sel_Mode),OR(Sel_Gender="All",D1379=Sel_Gender),OR(Sel_Category="All",Data!B1379=Sel_Category),OR(Sel_Month="All",C1379=Sel_Month),OR(Sel_County="All",Data!L1379=Sel_County)),1,0)</f>
        <v>1</v>
      </c>
    </row>
    <row r="1380" spans="1:9" x14ac:dyDescent="0.25">
      <c r="A1380" s="52" t="str">
        <f>Data!A1380</f>
        <v>TX501379</v>
      </c>
      <c r="B1380" s="52">
        <f>MONTH(Data!F1380)</f>
        <v>2</v>
      </c>
      <c r="C1380" s="52" t="str">
        <f>TEXT(Data!F1380,"mmm")</f>
        <v>Feb</v>
      </c>
      <c r="D1380" s="52" t="str">
        <f>Data!O1380</f>
        <v>Female</v>
      </c>
      <c r="E1380" s="52">
        <f>Data!G1380-Data!F1380</f>
        <v>4</v>
      </c>
      <c r="F1380" s="52">
        <f>IF(Data!J1380&lt;=5,Data!J1380,IF(Data!J1380&lt;=10,"6 TO 10","More than 10"))</f>
        <v>4</v>
      </c>
      <c r="G1380" s="52">
        <f t="shared" si="21"/>
        <v>4</v>
      </c>
      <c r="H1380" s="52">
        <f>ROUND(Data!C1380*Data!D1380-Data!E1380,2)</f>
        <v>0</v>
      </c>
      <c r="I1380" s="52">
        <f>IF(AND(OR(Sel_Mode="All",Data!I1380=Sel_Mode),OR(Sel_Gender="All",D1380=Sel_Gender),OR(Sel_Category="All",Data!B1380=Sel_Category),OR(Sel_Month="All",C1380=Sel_Month),OR(Sel_County="All",Data!L1380=Sel_County)),1,0)</f>
        <v>1</v>
      </c>
    </row>
    <row r="1381" spans="1:9" x14ac:dyDescent="0.25">
      <c r="A1381" s="52" t="str">
        <f>Data!A1381</f>
        <v>TX501380</v>
      </c>
      <c r="B1381" s="52">
        <f>MONTH(Data!F1381)</f>
        <v>2</v>
      </c>
      <c r="C1381" s="52" t="str">
        <f>TEXT(Data!F1381,"mmm")</f>
        <v>Feb</v>
      </c>
      <c r="D1381" s="52" t="str">
        <f>Data!O1381</f>
        <v>Male</v>
      </c>
      <c r="E1381" s="52">
        <f>Data!G1381-Data!F1381</f>
        <v>1</v>
      </c>
      <c r="F1381" s="52">
        <f>IF(Data!J1381&lt;=5,Data!J1381,IF(Data!J1381&lt;=10,"6 TO 10","More than 10"))</f>
        <v>5</v>
      </c>
      <c r="G1381" s="52">
        <f t="shared" si="21"/>
        <v>1</v>
      </c>
      <c r="H1381" s="52">
        <f>ROUND(Data!C1381*Data!D1381-Data!E1381,2)</f>
        <v>0</v>
      </c>
      <c r="I1381" s="52">
        <f>IF(AND(OR(Sel_Mode="All",Data!I1381=Sel_Mode),OR(Sel_Gender="All",D1381=Sel_Gender),OR(Sel_Category="All",Data!B1381=Sel_Category),OR(Sel_Month="All",C1381=Sel_Month),OR(Sel_County="All",Data!L1381=Sel_County)),1,0)</f>
        <v>1</v>
      </c>
    </row>
    <row r="1382" spans="1:9" x14ac:dyDescent="0.25">
      <c r="A1382" s="52" t="str">
        <f>Data!A1382</f>
        <v>TX501381</v>
      </c>
      <c r="B1382" s="52">
        <f>MONTH(Data!F1382)</f>
        <v>2</v>
      </c>
      <c r="C1382" s="52" t="str">
        <f>TEXT(Data!F1382,"mmm")</f>
        <v>Feb</v>
      </c>
      <c r="D1382" s="52" t="str">
        <f>Data!O1382</f>
        <v>Male</v>
      </c>
      <c r="E1382" s="52">
        <f>Data!G1382-Data!F1382</f>
        <v>1</v>
      </c>
      <c r="F1382" s="52">
        <f>IF(Data!J1382&lt;=5,Data!J1382,IF(Data!J1382&lt;=10,"6 TO 10","More than 10"))</f>
        <v>5</v>
      </c>
      <c r="G1382" s="52">
        <f t="shared" si="21"/>
        <v>1</v>
      </c>
      <c r="H1382" s="52">
        <f>ROUND(Data!C1382*Data!D1382-Data!E1382,2)</f>
        <v>0</v>
      </c>
      <c r="I1382" s="52">
        <f>IF(AND(OR(Sel_Mode="All",Data!I1382=Sel_Mode),OR(Sel_Gender="All",D1382=Sel_Gender),OR(Sel_Category="All",Data!B1382=Sel_Category),OR(Sel_Month="All",C1382=Sel_Month),OR(Sel_County="All",Data!L1382=Sel_County)),1,0)</f>
        <v>1</v>
      </c>
    </row>
    <row r="1383" spans="1:9" x14ac:dyDescent="0.25">
      <c r="A1383" s="52" t="str">
        <f>Data!A1383</f>
        <v>TX501382</v>
      </c>
      <c r="B1383" s="52">
        <f>MONTH(Data!F1383)</f>
        <v>2</v>
      </c>
      <c r="C1383" s="52" t="str">
        <f>TEXT(Data!F1383,"mmm")</f>
        <v>Feb</v>
      </c>
      <c r="D1383" s="52" t="str">
        <f>Data!O1383</f>
        <v>Male</v>
      </c>
      <c r="E1383" s="52">
        <f>Data!G1383-Data!F1383</f>
        <v>5</v>
      </c>
      <c r="F1383" s="52">
        <f>IF(Data!J1383&lt;=5,Data!J1383,IF(Data!J1383&lt;=10,"6 TO 10","More than 10"))</f>
        <v>4</v>
      </c>
      <c r="G1383" s="52">
        <f t="shared" si="21"/>
        <v>5</v>
      </c>
      <c r="H1383" s="52">
        <f>ROUND(Data!C1383*Data!D1383-Data!E1383,2)</f>
        <v>0</v>
      </c>
      <c r="I1383" s="52">
        <f>IF(AND(OR(Sel_Mode="All",Data!I1383=Sel_Mode),OR(Sel_Gender="All",D1383=Sel_Gender),OR(Sel_Category="All",Data!B1383=Sel_Category),OR(Sel_Month="All",C1383=Sel_Month),OR(Sel_County="All",Data!L1383=Sel_County)),1,0)</f>
        <v>1</v>
      </c>
    </row>
    <row r="1384" spans="1:9" x14ac:dyDescent="0.25">
      <c r="A1384" s="52" t="str">
        <f>Data!A1384</f>
        <v>TX501383</v>
      </c>
      <c r="B1384" s="52">
        <f>MONTH(Data!F1384)</f>
        <v>2</v>
      </c>
      <c r="C1384" s="52" t="str">
        <f>TEXT(Data!F1384,"mmm")</f>
        <v>Feb</v>
      </c>
      <c r="D1384" s="52" t="str">
        <f>Data!O1384</f>
        <v>Male</v>
      </c>
      <c r="E1384" s="52">
        <f>Data!G1384-Data!F1384</f>
        <v>2</v>
      </c>
      <c r="F1384" s="52">
        <f>IF(Data!J1384&lt;=5,Data!J1384,IF(Data!J1384&lt;=10,"6 TO 10","More than 10"))</f>
        <v>4</v>
      </c>
      <c r="G1384" s="52">
        <f t="shared" si="21"/>
        <v>2</v>
      </c>
      <c r="H1384" s="52">
        <f>ROUND(Data!C1384*Data!D1384-Data!E1384,2)</f>
        <v>0</v>
      </c>
      <c r="I1384" s="52">
        <f>IF(AND(OR(Sel_Mode="All",Data!I1384=Sel_Mode),OR(Sel_Gender="All",D1384=Sel_Gender),OR(Sel_Category="All",Data!B1384=Sel_Category),OR(Sel_Month="All",C1384=Sel_Month),OR(Sel_County="All",Data!L1384=Sel_County)),1,0)</f>
        <v>1</v>
      </c>
    </row>
    <row r="1385" spans="1:9" x14ac:dyDescent="0.25">
      <c r="A1385" s="52" t="str">
        <f>Data!A1385</f>
        <v>TX501384</v>
      </c>
      <c r="B1385" s="52">
        <f>MONTH(Data!F1385)</f>
        <v>2</v>
      </c>
      <c r="C1385" s="52" t="str">
        <f>TEXT(Data!F1385,"mmm")</f>
        <v>Feb</v>
      </c>
      <c r="D1385" s="52" t="str">
        <f>Data!O1385</f>
        <v>Male</v>
      </c>
      <c r="E1385" s="52">
        <f>Data!G1385-Data!F1385</f>
        <v>3</v>
      </c>
      <c r="F1385" s="52">
        <f>IF(Data!J1385&lt;=5,Data!J1385,IF(Data!J1385&lt;=10,"6 TO 10","More than 10"))</f>
        <v>5</v>
      </c>
      <c r="G1385" s="52">
        <f t="shared" si="21"/>
        <v>3</v>
      </c>
      <c r="H1385" s="52">
        <f>ROUND(Data!C1385*Data!D1385-Data!E1385,2)</f>
        <v>0</v>
      </c>
      <c r="I1385" s="52">
        <f>IF(AND(OR(Sel_Mode="All",Data!I1385=Sel_Mode),OR(Sel_Gender="All",D1385=Sel_Gender),OR(Sel_Category="All",Data!B1385=Sel_Category),OR(Sel_Month="All",C1385=Sel_Month),OR(Sel_County="All",Data!L1385=Sel_County)),1,0)</f>
        <v>1</v>
      </c>
    </row>
    <row r="1386" spans="1:9" x14ac:dyDescent="0.25">
      <c r="A1386" s="52" t="str">
        <f>Data!A1386</f>
        <v>TX501385</v>
      </c>
      <c r="B1386" s="52">
        <f>MONTH(Data!F1386)</f>
        <v>2</v>
      </c>
      <c r="C1386" s="52" t="str">
        <f>TEXT(Data!F1386,"mmm")</f>
        <v>Feb</v>
      </c>
      <c r="D1386" s="52" t="str">
        <f>Data!O1386</f>
        <v>Female</v>
      </c>
      <c r="E1386" s="52">
        <f>Data!G1386-Data!F1386</f>
        <v>2</v>
      </c>
      <c r="F1386" s="52">
        <f>IF(Data!J1386&lt;=5,Data!J1386,IF(Data!J1386&lt;=10,"6 TO 10","More than 10"))</f>
        <v>4</v>
      </c>
      <c r="G1386" s="52">
        <f t="shared" si="21"/>
        <v>2</v>
      </c>
      <c r="H1386" s="52">
        <f>ROUND(Data!C1386*Data!D1386-Data!E1386,2)</f>
        <v>0</v>
      </c>
      <c r="I1386" s="52">
        <f>IF(AND(OR(Sel_Mode="All",Data!I1386=Sel_Mode),OR(Sel_Gender="All",D1386=Sel_Gender),OR(Sel_Category="All",Data!B1386=Sel_Category),OR(Sel_Month="All",C1386=Sel_Month),OR(Sel_County="All",Data!L1386=Sel_County)),1,0)</f>
        <v>1</v>
      </c>
    </row>
    <row r="1387" spans="1:9" x14ac:dyDescent="0.25">
      <c r="A1387" s="52" t="str">
        <f>Data!A1387</f>
        <v>TX501386</v>
      </c>
      <c r="B1387" s="52">
        <f>MONTH(Data!F1387)</f>
        <v>2</v>
      </c>
      <c r="C1387" s="52" t="str">
        <f>TEXT(Data!F1387,"mmm")</f>
        <v>Feb</v>
      </c>
      <c r="D1387" s="52" t="str">
        <f>Data!O1387</f>
        <v>Male</v>
      </c>
      <c r="E1387" s="52">
        <f>Data!G1387-Data!F1387</f>
        <v>2</v>
      </c>
      <c r="F1387" s="52">
        <f>IF(Data!J1387&lt;=5,Data!J1387,IF(Data!J1387&lt;=10,"6 TO 10","More than 10"))</f>
        <v>5</v>
      </c>
      <c r="G1387" s="52">
        <f t="shared" si="21"/>
        <v>2</v>
      </c>
      <c r="H1387" s="52">
        <f>ROUND(Data!C1387*Data!D1387-Data!E1387,2)</f>
        <v>0</v>
      </c>
      <c r="I1387" s="52">
        <f>IF(AND(OR(Sel_Mode="All",Data!I1387=Sel_Mode),OR(Sel_Gender="All",D1387=Sel_Gender),OR(Sel_Category="All",Data!B1387=Sel_Category),OR(Sel_Month="All",C1387=Sel_Month),OR(Sel_County="All",Data!L1387=Sel_County)),1,0)</f>
        <v>1</v>
      </c>
    </row>
    <row r="1388" spans="1:9" x14ac:dyDescent="0.25">
      <c r="A1388" s="52" t="str">
        <f>Data!A1388</f>
        <v>TX501387</v>
      </c>
      <c r="B1388" s="52">
        <f>MONTH(Data!F1388)</f>
        <v>2</v>
      </c>
      <c r="C1388" s="52" t="str">
        <f>TEXT(Data!F1388,"mmm")</f>
        <v>Feb</v>
      </c>
      <c r="D1388" s="52" t="str">
        <f>Data!O1388</f>
        <v>Male</v>
      </c>
      <c r="E1388" s="52">
        <f>Data!G1388-Data!F1388</f>
        <v>3</v>
      </c>
      <c r="F1388" s="52">
        <f>IF(Data!J1388&lt;=5,Data!J1388,IF(Data!J1388&lt;=10,"6 TO 10","More than 10"))</f>
        <v>3</v>
      </c>
      <c r="G1388" s="52">
        <f t="shared" si="21"/>
        <v>3</v>
      </c>
      <c r="H1388" s="52">
        <f>ROUND(Data!C1388*Data!D1388-Data!E1388,2)</f>
        <v>0</v>
      </c>
      <c r="I1388" s="52">
        <f>IF(AND(OR(Sel_Mode="All",Data!I1388=Sel_Mode),OR(Sel_Gender="All",D1388=Sel_Gender),OR(Sel_Category="All",Data!B1388=Sel_Category),OR(Sel_Month="All",C1388=Sel_Month),OR(Sel_County="All",Data!L1388=Sel_County)),1,0)</f>
        <v>1</v>
      </c>
    </row>
    <row r="1389" spans="1:9" x14ac:dyDescent="0.25">
      <c r="A1389" s="52" t="str">
        <f>Data!A1389</f>
        <v>TX501388</v>
      </c>
      <c r="B1389" s="52">
        <f>MONTH(Data!F1389)</f>
        <v>2</v>
      </c>
      <c r="C1389" s="52" t="str">
        <f>TEXT(Data!F1389,"mmm")</f>
        <v>Feb</v>
      </c>
      <c r="D1389" s="52" t="str">
        <f>Data!O1389</f>
        <v>Male</v>
      </c>
      <c r="E1389" s="52">
        <f>Data!G1389-Data!F1389</f>
        <v>1</v>
      </c>
      <c r="F1389" s="52">
        <f>IF(Data!J1389&lt;=5,Data!J1389,IF(Data!J1389&lt;=10,"6 TO 10","More than 10"))</f>
        <v>4</v>
      </c>
      <c r="G1389" s="52">
        <f t="shared" si="21"/>
        <v>1</v>
      </c>
      <c r="H1389" s="52">
        <f>ROUND(Data!C1389*Data!D1389-Data!E1389,2)</f>
        <v>0</v>
      </c>
      <c r="I1389" s="52">
        <f>IF(AND(OR(Sel_Mode="All",Data!I1389=Sel_Mode),OR(Sel_Gender="All",D1389=Sel_Gender),OR(Sel_Category="All",Data!B1389=Sel_Category),OR(Sel_Month="All",C1389=Sel_Month),OR(Sel_County="All",Data!L1389=Sel_County)),1,0)</f>
        <v>1</v>
      </c>
    </row>
    <row r="1390" spans="1:9" x14ac:dyDescent="0.25">
      <c r="A1390" s="52" t="str">
        <f>Data!A1390</f>
        <v>TX501389</v>
      </c>
      <c r="B1390" s="52">
        <f>MONTH(Data!F1390)</f>
        <v>2</v>
      </c>
      <c r="C1390" s="52" t="str">
        <f>TEXT(Data!F1390,"mmm")</f>
        <v>Feb</v>
      </c>
      <c r="D1390" s="52" t="str">
        <f>Data!O1390</f>
        <v>Unknown</v>
      </c>
      <c r="E1390" s="52">
        <f>Data!G1390-Data!F1390</f>
        <v>2</v>
      </c>
      <c r="F1390" s="52">
        <f>IF(Data!J1390&lt;=5,Data!J1390,IF(Data!J1390&lt;=10,"6 TO 10","More than 10"))</f>
        <v>5</v>
      </c>
      <c r="G1390" s="52">
        <f t="shared" si="21"/>
        <v>2</v>
      </c>
      <c r="H1390" s="52">
        <f>ROUND(Data!C1390*Data!D1390-Data!E1390,2)</f>
        <v>0</v>
      </c>
      <c r="I1390" s="52">
        <f>IF(AND(OR(Sel_Mode="All",Data!I1390=Sel_Mode),OR(Sel_Gender="All",D1390=Sel_Gender),OR(Sel_Category="All",Data!B1390=Sel_Category),OR(Sel_Month="All",C1390=Sel_Month),OR(Sel_County="All",Data!L1390=Sel_County)),1,0)</f>
        <v>1</v>
      </c>
    </row>
    <row r="1391" spans="1:9" x14ac:dyDescent="0.25">
      <c r="A1391" s="52" t="str">
        <f>Data!A1391</f>
        <v>TX501390</v>
      </c>
      <c r="B1391" s="52">
        <f>MONTH(Data!F1391)</f>
        <v>2</v>
      </c>
      <c r="C1391" s="52" t="str">
        <f>TEXT(Data!F1391,"mmm")</f>
        <v>Feb</v>
      </c>
      <c r="D1391" s="52" t="str">
        <f>Data!O1391</f>
        <v>Male</v>
      </c>
      <c r="E1391" s="52">
        <f>Data!G1391-Data!F1391</f>
        <v>2</v>
      </c>
      <c r="F1391" s="52">
        <f>IF(Data!J1391&lt;=5,Data!J1391,IF(Data!J1391&lt;=10,"6 TO 10","More than 10"))</f>
        <v>3</v>
      </c>
      <c r="G1391" s="52">
        <f t="shared" si="21"/>
        <v>2</v>
      </c>
      <c r="H1391" s="52">
        <f>ROUND(Data!C1391*Data!D1391-Data!E1391,2)</f>
        <v>0</v>
      </c>
      <c r="I1391" s="52">
        <f>IF(AND(OR(Sel_Mode="All",Data!I1391=Sel_Mode),OR(Sel_Gender="All",D1391=Sel_Gender),OR(Sel_Category="All",Data!B1391=Sel_Category),OR(Sel_Month="All",C1391=Sel_Month),OR(Sel_County="All",Data!L1391=Sel_County)),1,0)</f>
        <v>1</v>
      </c>
    </row>
    <row r="1392" spans="1:9" x14ac:dyDescent="0.25">
      <c r="A1392" s="52" t="str">
        <f>Data!A1392</f>
        <v>TX501391</v>
      </c>
      <c r="B1392" s="52">
        <f>MONTH(Data!F1392)</f>
        <v>2</v>
      </c>
      <c r="C1392" s="52" t="str">
        <f>TEXT(Data!F1392,"mmm")</f>
        <v>Feb</v>
      </c>
      <c r="D1392" s="52" t="str">
        <f>Data!O1392</f>
        <v>Male</v>
      </c>
      <c r="E1392" s="52">
        <f>Data!G1392-Data!F1392</f>
        <v>5</v>
      </c>
      <c r="F1392" s="52">
        <f>IF(Data!J1392&lt;=5,Data!J1392,IF(Data!J1392&lt;=10,"6 TO 10","More than 10"))</f>
        <v>4</v>
      </c>
      <c r="G1392" s="52">
        <f t="shared" si="21"/>
        <v>5</v>
      </c>
      <c r="H1392" s="52">
        <f>ROUND(Data!C1392*Data!D1392-Data!E1392,2)</f>
        <v>0</v>
      </c>
      <c r="I1392" s="52">
        <f>IF(AND(OR(Sel_Mode="All",Data!I1392=Sel_Mode),OR(Sel_Gender="All",D1392=Sel_Gender),OR(Sel_Category="All",Data!B1392=Sel_Category),OR(Sel_Month="All",C1392=Sel_Month),OR(Sel_County="All",Data!L1392=Sel_County)),1,0)</f>
        <v>1</v>
      </c>
    </row>
    <row r="1393" spans="1:9" x14ac:dyDescent="0.25">
      <c r="A1393" s="52" t="str">
        <f>Data!A1393</f>
        <v>TX501392</v>
      </c>
      <c r="B1393" s="52">
        <f>MONTH(Data!F1393)</f>
        <v>2</v>
      </c>
      <c r="C1393" s="52" t="str">
        <f>TEXT(Data!F1393,"mmm")</f>
        <v>Feb</v>
      </c>
      <c r="D1393" s="52" t="str">
        <f>Data!O1393</f>
        <v>Female</v>
      </c>
      <c r="E1393" s="52">
        <f>Data!G1393-Data!F1393</f>
        <v>2</v>
      </c>
      <c r="F1393" s="52">
        <f>IF(Data!J1393&lt;=5,Data!J1393,IF(Data!J1393&lt;=10,"6 TO 10","More than 10"))</f>
        <v>5</v>
      </c>
      <c r="G1393" s="52">
        <f t="shared" si="21"/>
        <v>2</v>
      </c>
      <c r="H1393" s="52">
        <f>ROUND(Data!C1393*Data!D1393-Data!E1393,2)</f>
        <v>0</v>
      </c>
      <c r="I1393" s="52">
        <f>IF(AND(OR(Sel_Mode="All",Data!I1393=Sel_Mode),OR(Sel_Gender="All",D1393=Sel_Gender),OR(Sel_Category="All",Data!B1393=Sel_Category),OR(Sel_Month="All",C1393=Sel_Month),OR(Sel_County="All",Data!L1393=Sel_County)),1,0)</f>
        <v>1</v>
      </c>
    </row>
    <row r="1394" spans="1:9" x14ac:dyDescent="0.25">
      <c r="A1394" s="52" t="str">
        <f>Data!A1394</f>
        <v>TX501393</v>
      </c>
      <c r="B1394" s="52">
        <f>MONTH(Data!F1394)</f>
        <v>2</v>
      </c>
      <c r="C1394" s="52" t="str">
        <f>TEXT(Data!F1394,"mmm")</f>
        <v>Feb</v>
      </c>
      <c r="D1394" s="52" t="str">
        <f>Data!O1394</f>
        <v>Male</v>
      </c>
      <c r="E1394" s="52">
        <f>Data!G1394-Data!F1394</f>
        <v>1</v>
      </c>
      <c r="F1394" s="52">
        <f>IF(Data!J1394&lt;=5,Data!J1394,IF(Data!J1394&lt;=10,"6 TO 10","More than 10"))</f>
        <v>4</v>
      </c>
      <c r="G1394" s="52">
        <f t="shared" si="21"/>
        <v>1</v>
      </c>
      <c r="H1394" s="52">
        <f>ROUND(Data!C1394*Data!D1394-Data!E1394,2)</f>
        <v>0</v>
      </c>
      <c r="I1394" s="52">
        <f>IF(AND(OR(Sel_Mode="All",Data!I1394=Sel_Mode),OR(Sel_Gender="All",D1394=Sel_Gender),OR(Sel_Category="All",Data!B1394=Sel_Category),OR(Sel_Month="All",C1394=Sel_Month),OR(Sel_County="All",Data!L1394=Sel_County)),1,0)</f>
        <v>1</v>
      </c>
    </row>
    <row r="1395" spans="1:9" x14ac:dyDescent="0.25">
      <c r="A1395" s="52" t="str">
        <f>Data!A1395</f>
        <v>TX501394</v>
      </c>
      <c r="B1395" s="52">
        <f>MONTH(Data!F1395)</f>
        <v>2</v>
      </c>
      <c r="C1395" s="52" t="str">
        <f>TEXT(Data!F1395,"mmm")</f>
        <v>Feb</v>
      </c>
      <c r="D1395" s="52" t="str">
        <f>Data!O1395</f>
        <v>Male</v>
      </c>
      <c r="E1395" s="52">
        <f>Data!G1395-Data!F1395</f>
        <v>3</v>
      </c>
      <c r="F1395" s="52">
        <f>IF(Data!J1395&lt;=5,Data!J1395,IF(Data!J1395&lt;=10,"6 TO 10","More than 10"))</f>
        <v>4</v>
      </c>
      <c r="G1395" s="52">
        <f t="shared" si="21"/>
        <v>3</v>
      </c>
      <c r="H1395" s="52">
        <f>ROUND(Data!C1395*Data!D1395-Data!E1395,2)</f>
        <v>0</v>
      </c>
      <c r="I1395" s="52">
        <f>IF(AND(OR(Sel_Mode="All",Data!I1395=Sel_Mode),OR(Sel_Gender="All",D1395=Sel_Gender),OR(Sel_Category="All",Data!B1395=Sel_Category),OR(Sel_Month="All",C1395=Sel_Month),OR(Sel_County="All",Data!L1395=Sel_County)),1,0)</f>
        <v>1</v>
      </c>
    </row>
    <row r="1396" spans="1:9" x14ac:dyDescent="0.25">
      <c r="A1396" s="52" t="str">
        <f>Data!A1396</f>
        <v>TX501395</v>
      </c>
      <c r="B1396" s="52">
        <f>MONTH(Data!F1396)</f>
        <v>2</v>
      </c>
      <c r="C1396" s="52" t="str">
        <f>TEXT(Data!F1396,"mmm")</f>
        <v>Feb</v>
      </c>
      <c r="D1396" s="52" t="str">
        <f>Data!O1396</f>
        <v>Male</v>
      </c>
      <c r="E1396" s="52">
        <f>Data!G1396-Data!F1396</f>
        <v>1</v>
      </c>
      <c r="F1396" s="52">
        <f>IF(Data!J1396&lt;=5,Data!J1396,IF(Data!J1396&lt;=10,"6 TO 10","More than 10"))</f>
        <v>4</v>
      </c>
      <c r="G1396" s="52">
        <f t="shared" si="21"/>
        <v>1</v>
      </c>
      <c r="H1396" s="52">
        <f>ROUND(Data!C1396*Data!D1396-Data!E1396,2)</f>
        <v>0</v>
      </c>
      <c r="I1396" s="52">
        <f>IF(AND(OR(Sel_Mode="All",Data!I1396=Sel_Mode),OR(Sel_Gender="All",D1396=Sel_Gender),OR(Sel_Category="All",Data!B1396=Sel_Category),OR(Sel_Month="All",C1396=Sel_Month),OR(Sel_County="All",Data!L1396=Sel_County)),1,0)</f>
        <v>1</v>
      </c>
    </row>
    <row r="1397" spans="1:9" x14ac:dyDescent="0.25">
      <c r="A1397" s="52" t="str">
        <f>Data!A1397</f>
        <v>TX501396</v>
      </c>
      <c r="B1397" s="52">
        <f>MONTH(Data!F1397)</f>
        <v>2</v>
      </c>
      <c r="C1397" s="52" t="str">
        <f>TEXT(Data!F1397,"mmm")</f>
        <v>Feb</v>
      </c>
      <c r="D1397" s="52" t="str">
        <f>Data!O1397</f>
        <v>Male</v>
      </c>
      <c r="E1397" s="52">
        <f>Data!G1397-Data!F1397</f>
        <v>1</v>
      </c>
      <c r="F1397" s="52">
        <f>IF(Data!J1397&lt;=5,Data!J1397,IF(Data!J1397&lt;=10,"6 TO 10","More than 10"))</f>
        <v>4</v>
      </c>
      <c r="G1397" s="52">
        <f t="shared" si="21"/>
        <v>1</v>
      </c>
      <c r="H1397" s="52">
        <f>ROUND(Data!C1397*Data!D1397-Data!E1397,2)</f>
        <v>0</v>
      </c>
      <c r="I1397" s="52">
        <f>IF(AND(OR(Sel_Mode="All",Data!I1397=Sel_Mode),OR(Sel_Gender="All",D1397=Sel_Gender),OR(Sel_Category="All",Data!B1397=Sel_Category),OR(Sel_Month="All",C1397=Sel_Month),OR(Sel_County="All",Data!L1397=Sel_County)),1,0)</f>
        <v>1</v>
      </c>
    </row>
    <row r="1398" spans="1:9" x14ac:dyDescent="0.25">
      <c r="A1398" s="52" t="str">
        <f>Data!A1398</f>
        <v>TX501397</v>
      </c>
      <c r="B1398" s="52">
        <f>MONTH(Data!F1398)</f>
        <v>2</v>
      </c>
      <c r="C1398" s="52" t="str">
        <f>TEXT(Data!F1398,"mmm")</f>
        <v>Feb</v>
      </c>
      <c r="D1398" s="52" t="str">
        <f>Data!O1398</f>
        <v>Male</v>
      </c>
      <c r="E1398" s="52">
        <f>Data!G1398-Data!F1398</f>
        <v>1</v>
      </c>
      <c r="F1398" s="52">
        <f>IF(Data!J1398&lt;=5,Data!J1398,IF(Data!J1398&lt;=10,"6 TO 10","More than 10"))</f>
        <v>5</v>
      </c>
      <c r="G1398" s="52">
        <f t="shared" si="21"/>
        <v>1</v>
      </c>
      <c r="H1398" s="52">
        <f>ROUND(Data!C1398*Data!D1398-Data!E1398,2)</f>
        <v>0</v>
      </c>
      <c r="I1398" s="52">
        <f>IF(AND(OR(Sel_Mode="All",Data!I1398=Sel_Mode),OR(Sel_Gender="All",D1398=Sel_Gender),OR(Sel_Category="All",Data!B1398=Sel_Category),OR(Sel_Month="All",C1398=Sel_Month),OR(Sel_County="All",Data!L1398=Sel_County)),1,0)</f>
        <v>1</v>
      </c>
    </row>
    <row r="1399" spans="1:9" x14ac:dyDescent="0.25">
      <c r="A1399" s="52" t="str">
        <f>Data!A1399</f>
        <v>TX501398</v>
      </c>
      <c r="B1399" s="52">
        <f>MONTH(Data!F1399)</f>
        <v>2</v>
      </c>
      <c r="C1399" s="52" t="str">
        <f>TEXT(Data!F1399,"mmm")</f>
        <v>Feb</v>
      </c>
      <c r="D1399" s="52" t="str">
        <f>Data!O1399</f>
        <v>Female</v>
      </c>
      <c r="E1399" s="52">
        <f>Data!G1399-Data!F1399</f>
        <v>3</v>
      </c>
      <c r="F1399" s="52">
        <f>IF(Data!J1399&lt;=5,Data!J1399,IF(Data!J1399&lt;=10,"6 TO 10","More than 10"))</f>
        <v>4</v>
      </c>
      <c r="G1399" s="52">
        <f t="shared" si="21"/>
        <v>3</v>
      </c>
      <c r="H1399" s="52">
        <f>ROUND(Data!C1399*Data!D1399-Data!E1399,2)</f>
        <v>0</v>
      </c>
      <c r="I1399" s="52">
        <f>IF(AND(OR(Sel_Mode="All",Data!I1399=Sel_Mode),OR(Sel_Gender="All",D1399=Sel_Gender),OR(Sel_Category="All",Data!B1399=Sel_Category),OR(Sel_Month="All",C1399=Sel_Month),OR(Sel_County="All",Data!L1399=Sel_County)),1,0)</f>
        <v>1</v>
      </c>
    </row>
    <row r="1400" spans="1:9" x14ac:dyDescent="0.25">
      <c r="A1400" s="52" t="str">
        <f>Data!A1400</f>
        <v>TX501399</v>
      </c>
      <c r="B1400" s="52">
        <f>MONTH(Data!F1400)</f>
        <v>2</v>
      </c>
      <c r="C1400" s="52" t="str">
        <f>TEXT(Data!F1400,"mmm")</f>
        <v>Feb</v>
      </c>
      <c r="D1400" s="52" t="str">
        <f>Data!O1400</f>
        <v>Female</v>
      </c>
      <c r="E1400" s="52">
        <f>Data!G1400-Data!F1400</f>
        <v>0</v>
      </c>
      <c r="F1400" s="52">
        <f>IF(Data!J1400&lt;=5,Data!J1400,IF(Data!J1400&lt;=10,"6 TO 10","More than 10"))</f>
        <v>4</v>
      </c>
      <c r="G1400" s="52">
        <f t="shared" si="21"/>
        <v>0</v>
      </c>
      <c r="H1400" s="52">
        <f>ROUND(Data!C1400*Data!D1400-Data!E1400,2)</f>
        <v>0</v>
      </c>
      <c r="I1400" s="52">
        <f>IF(AND(OR(Sel_Mode="All",Data!I1400=Sel_Mode),OR(Sel_Gender="All",D1400=Sel_Gender),OR(Sel_Category="All",Data!B1400=Sel_Category),OR(Sel_Month="All",C1400=Sel_Month),OR(Sel_County="All",Data!L1400=Sel_County)),1,0)</f>
        <v>1</v>
      </c>
    </row>
    <row r="1401" spans="1:9" x14ac:dyDescent="0.25">
      <c r="A1401" s="52" t="str">
        <f>Data!A1401</f>
        <v>TX501400</v>
      </c>
      <c r="B1401" s="52">
        <f>MONTH(Data!F1401)</f>
        <v>2</v>
      </c>
      <c r="C1401" s="52" t="str">
        <f>TEXT(Data!F1401,"mmm")</f>
        <v>Feb</v>
      </c>
      <c r="D1401" s="52" t="str">
        <f>Data!O1401</f>
        <v>Male</v>
      </c>
      <c r="E1401" s="52">
        <f>Data!G1401-Data!F1401</f>
        <v>3</v>
      </c>
      <c r="F1401" s="52">
        <f>IF(Data!J1401&lt;=5,Data!J1401,IF(Data!J1401&lt;=10,"6 TO 10","More than 10"))</f>
        <v>4</v>
      </c>
      <c r="G1401" s="52">
        <f t="shared" si="21"/>
        <v>3</v>
      </c>
      <c r="H1401" s="52">
        <f>ROUND(Data!C1401*Data!D1401-Data!E1401,2)</f>
        <v>0</v>
      </c>
      <c r="I1401" s="52">
        <f>IF(AND(OR(Sel_Mode="All",Data!I1401=Sel_Mode),OR(Sel_Gender="All",D1401=Sel_Gender),OR(Sel_Category="All",Data!B1401=Sel_Category),OR(Sel_Month="All",C1401=Sel_Month),OR(Sel_County="All",Data!L1401=Sel_County)),1,0)</f>
        <v>1</v>
      </c>
    </row>
    <row r="1402" spans="1:9" x14ac:dyDescent="0.25">
      <c r="A1402" s="52" t="str">
        <f>Data!A1402</f>
        <v>TX501401</v>
      </c>
      <c r="B1402" s="52">
        <f>MONTH(Data!F1402)</f>
        <v>2</v>
      </c>
      <c r="C1402" s="52" t="str">
        <f>TEXT(Data!F1402,"mmm")</f>
        <v>Feb</v>
      </c>
      <c r="D1402" s="52" t="str">
        <f>Data!O1402</f>
        <v>Female</v>
      </c>
      <c r="E1402" s="52">
        <f>Data!G1402-Data!F1402</f>
        <v>1</v>
      </c>
      <c r="F1402" s="52">
        <f>IF(Data!J1402&lt;=5,Data!J1402,IF(Data!J1402&lt;=10,"6 TO 10","More than 10"))</f>
        <v>4</v>
      </c>
      <c r="G1402" s="52">
        <f t="shared" si="21"/>
        <v>1</v>
      </c>
      <c r="H1402" s="52">
        <f>ROUND(Data!C1402*Data!D1402-Data!E1402,2)</f>
        <v>0</v>
      </c>
      <c r="I1402" s="52">
        <f>IF(AND(OR(Sel_Mode="All",Data!I1402=Sel_Mode),OR(Sel_Gender="All",D1402=Sel_Gender),OR(Sel_Category="All",Data!B1402=Sel_Category),OR(Sel_Month="All",C1402=Sel_Month),OR(Sel_County="All",Data!L1402=Sel_County)),1,0)</f>
        <v>1</v>
      </c>
    </row>
    <row r="1403" spans="1:9" x14ac:dyDescent="0.25">
      <c r="A1403" s="52" t="str">
        <f>Data!A1403</f>
        <v>TX501402</v>
      </c>
      <c r="B1403" s="52">
        <f>MONTH(Data!F1403)</f>
        <v>2</v>
      </c>
      <c r="C1403" s="52" t="str">
        <f>TEXT(Data!F1403,"mmm")</f>
        <v>Feb</v>
      </c>
      <c r="D1403" s="52" t="str">
        <f>Data!O1403</f>
        <v>Female</v>
      </c>
      <c r="E1403" s="52">
        <f>Data!G1403-Data!F1403</f>
        <v>1</v>
      </c>
      <c r="F1403" s="52">
        <f>IF(Data!J1403&lt;=5,Data!J1403,IF(Data!J1403&lt;=10,"6 TO 10","More than 10"))</f>
        <v>4</v>
      </c>
      <c r="G1403" s="52">
        <f t="shared" si="21"/>
        <v>1</v>
      </c>
      <c r="H1403" s="52">
        <f>ROUND(Data!C1403*Data!D1403-Data!E1403,2)</f>
        <v>0</v>
      </c>
      <c r="I1403" s="52">
        <f>IF(AND(OR(Sel_Mode="All",Data!I1403=Sel_Mode),OR(Sel_Gender="All",D1403=Sel_Gender),OR(Sel_Category="All",Data!B1403=Sel_Category),OR(Sel_Month="All",C1403=Sel_Month),OR(Sel_County="All",Data!L1403=Sel_County)),1,0)</f>
        <v>1</v>
      </c>
    </row>
    <row r="1404" spans="1:9" x14ac:dyDescent="0.25">
      <c r="A1404" s="52" t="str">
        <f>Data!A1404</f>
        <v>TX501403</v>
      </c>
      <c r="B1404" s="52">
        <f>MONTH(Data!F1404)</f>
        <v>2</v>
      </c>
      <c r="C1404" s="52" t="str">
        <f>TEXT(Data!F1404,"mmm")</f>
        <v>Feb</v>
      </c>
      <c r="D1404" s="52" t="str">
        <f>Data!O1404</f>
        <v>Male</v>
      </c>
      <c r="E1404" s="52">
        <f>Data!G1404-Data!F1404</f>
        <v>5</v>
      </c>
      <c r="F1404" s="52">
        <f>IF(Data!J1404&lt;=5,Data!J1404,IF(Data!J1404&lt;=10,"6 TO 10","More than 10"))</f>
        <v>4</v>
      </c>
      <c r="G1404" s="52">
        <f t="shared" si="21"/>
        <v>5</v>
      </c>
      <c r="H1404" s="52">
        <f>ROUND(Data!C1404*Data!D1404-Data!E1404,2)</f>
        <v>0</v>
      </c>
      <c r="I1404" s="52">
        <f>IF(AND(OR(Sel_Mode="All",Data!I1404=Sel_Mode),OR(Sel_Gender="All",D1404=Sel_Gender),OR(Sel_Category="All",Data!B1404=Sel_Category),OR(Sel_Month="All",C1404=Sel_Month),OR(Sel_County="All",Data!L1404=Sel_County)),1,0)</f>
        <v>1</v>
      </c>
    </row>
    <row r="1405" spans="1:9" x14ac:dyDescent="0.25">
      <c r="A1405" s="52" t="str">
        <f>Data!A1405</f>
        <v>TX501404</v>
      </c>
      <c r="B1405" s="52">
        <f>MONTH(Data!F1405)</f>
        <v>2</v>
      </c>
      <c r="C1405" s="52" t="str">
        <f>TEXT(Data!F1405,"mmm")</f>
        <v>Feb</v>
      </c>
      <c r="D1405" s="52" t="str">
        <f>Data!O1405</f>
        <v>Male</v>
      </c>
      <c r="E1405" s="52">
        <f>Data!G1405-Data!F1405</f>
        <v>3</v>
      </c>
      <c r="F1405" s="52">
        <f>IF(Data!J1405&lt;=5,Data!J1405,IF(Data!J1405&lt;=10,"6 TO 10","More than 10"))</f>
        <v>4</v>
      </c>
      <c r="G1405" s="52">
        <f t="shared" si="21"/>
        <v>3</v>
      </c>
      <c r="H1405" s="52">
        <f>ROUND(Data!C1405*Data!D1405-Data!E1405,2)</f>
        <v>0</v>
      </c>
      <c r="I1405" s="52">
        <f>IF(AND(OR(Sel_Mode="All",Data!I1405=Sel_Mode),OR(Sel_Gender="All",D1405=Sel_Gender),OR(Sel_Category="All",Data!B1405=Sel_Category),OR(Sel_Month="All",C1405=Sel_Month),OR(Sel_County="All",Data!L1405=Sel_County)),1,0)</f>
        <v>1</v>
      </c>
    </row>
    <row r="1406" spans="1:9" x14ac:dyDescent="0.25">
      <c r="A1406" s="52" t="str">
        <f>Data!A1406</f>
        <v>TX501405</v>
      </c>
      <c r="B1406" s="52">
        <f>MONTH(Data!F1406)</f>
        <v>2</v>
      </c>
      <c r="C1406" s="52" t="str">
        <f>TEXT(Data!F1406,"mmm")</f>
        <v>Feb</v>
      </c>
      <c r="D1406" s="52" t="str">
        <f>Data!O1406</f>
        <v>Female</v>
      </c>
      <c r="E1406" s="52">
        <f>Data!G1406-Data!F1406</f>
        <v>4</v>
      </c>
      <c r="F1406" s="52">
        <f>IF(Data!J1406&lt;=5,Data!J1406,IF(Data!J1406&lt;=10,"6 TO 10","More than 10"))</f>
        <v>4</v>
      </c>
      <c r="G1406" s="52">
        <f t="shared" si="21"/>
        <v>4</v>
      </c>
      <c r="H1406" s="52">
        <f>ROUND(Data!C1406*Data!D1406-Data!E1406,2)</f>
        <v>0</v>
      </c>
      <c r="I1406" s="52">
        <f>IF(AND(OR(Sel_Mode="All",Data!I1406=Sel_Mode),OR(Sel_Gender="All",D1406=Sel_Gender),OR(Sel_Category="All",Data!B1406=Sel_Category),OR(Sel_Month="All",C1406=Sel_Month),OR(Sel_County="All",Data!L1406=Sel_County)),1,0)</f>
        <v>1</v>
      </c>
    </row>
    <row r="1407" spans="1:9" x14ac:dyDescent="0.25">
      <c r="A1407" s="52" t="str">
        <f>Data!A1407</f>
        <v>TX501406</v>
      </c>
      <c r="B1407" s="52">
        <f>MONTH(Data!F1407)</f>
        <v>2</v>
      </c>
      <c r="C1407" s="52" t="str">
        <f>TEXT(Data!F1407,"mmm")</f>
        <v>Feb</v>
      </c>
      <c r="D1407" s="52" t="str">
        <f>Data!O1407</f>
        <v>Female</v>
      </c>
      <c r="E1407" s="52">
        <f>Data!G1407-Data!F1407</f>
        <v>1</v>
      </c>
      <c r="F1407" s="52">
        <f>IF(Data!J1407&lt;=5,Data!J1407,IF(Data!J1407&lt;=10,"6 TO 10","More than 10"))</f>
        <v>4</v>
      </c>
      <c r="G1407" s="52">
        <f t="shared" si="21"/>
        <v>1</v>
      </c>
      <c r="H1407" s="52">
        <f>ROUND(Data!C1407*Data!D1407-Data!E1407,2)</f>
        <v>0</v>
      </c>
      <c r="I1407" s="52">
        <f>IF(AND(OR(Sel_Mode="All",Data!I1407=Sel_Mode),OR(Sel_Gender="All",D1407=Sel_Gender),OR(Sel_Category="All",Data!B1407=Sel_Category),OR(Sel_Month="All",C1407=Sel_Month),OR(Sel_County="All",Data!L1407=Sel_County)),1,0)</f>
        <v>1</v>
      </c>
    </row>
    <row r="1408" spans="1:9" x14ac:dyDescent="0.25">
      <c r="A1408" s="52" t="str">
        <f>Data!A1408</f>
        <v>TX501407</v>
      </c>
      <c r="B1408" s="52">
        <f>MONTH(Data!F1408)</f>
        <v>2</v>
      </c>
      <c r="C1408" s="52" t="str">
        <f>TEXT(Data!F1408,"mmm")</f>
        <v>Feb</v>
      </c>
      <c r="D1408" s="52" t="str">
        <f>Data!O1408</f>
        <v>Female</v>
      </c>
      <c r="E1408" s="52">
        <f>Data!G1408-Data!F1408</f>
        <v>5</v>
      </c>
      <c r="F1408" s="52">
        <f>IF(Data!J1408&lt;=5,Data!J1408,IF(Data!J1408&lt;=10,"6 TO 10","More than 10"))</f>
        <v>4</v>
      </c>
      <c r="G1408" s="52">
        <f t="shared" si="21"/>
        <v>5</v>
      </c>
      <c r="H1408" s="52">
        <f>ROUND(Data!C1408*Data!D1408-Data!E1408,2)</f>
        <v>0</v>
      </c>
      <c r="I1408" s="52">
        <f>IF(AND(OR(Sel_Mode="All",Data!I1408=Sel_Mode),OR(Sel_Gender="All",D1408=Sel_Gender),OR(Sel_Category="All",Data!B1408=Sel_Category),OR(Sel_Month="All",C1408=Sel_Month),OR(Sel_County="All",Data!L1408=Sel_County)),1,0)</f>
        <v>1</v>
      </c>
    </row>
    <row r="1409" spans="1:9" x14ac:dyDescent="0.25">
      <c r="A1409" s="52" t="str">
        <f>Data!A1409</f>
        <v>TX501408</v>
      </c>
      <c r="B1409" s="52">
        <f>MONTH(Data!F1409)</f>
        <v>2</v>
      </c>
      <c r="C1409" s="52" t="str">
        <f>TEXT(Data!F1409,"mmm")</f>
        <v>Feb</v>
      </c>
      <c r="D1409" s="52" t="str">
        <f>Data!O1409</f>
        <v>Male</v>
      </c>
      <c r="E1409" s="52">
        <f>Data!G1409-Data!F1409</f>
        <v>0</v>
      </c>
      <c r="F1409" s="52">
        <f>IF(Data!J1409&lt;=5,Data!J1409,IF(Data!J1409&lt;=10,"6 TO 10","More than 10"))</f>
        <v>3</v>
      </c>
      <c r="G1409" s="52">
        <f t="shared" si="21"/>
        <v>0</v>
      </c>
      <c r="H1409" s="52">
        <f>ROUND(Data!C1409*Data!D1409-Data!E1409,2)</f>
        <v>0</v>
      </c>
      <c r="I1409" s="52">
        <f>IF(AND(OR(Sel_Mode="All",Data!I1409=Sel_Mode),OR(Sel_Gender="All",D1409=Sel_Gender),OR(Sel_Category="All",Data!B1409=Sel_Category),OR(Sel_Month="All",C1409=Sel_Month),OR(Sel_County="All",Data!L1409=Sel_County)),1,0)</f>
        <v>1</v>
      </c>
    </row>
    <row r="1410" spans="1:9" x14ac:dyDescent="0.25">
      <c r="A1410" s="52" t="str">
        <f>Data!A1410</f>
        <v>TX501409</v>
      </c>
      <c r="B1410" s="52">
        <f>MONTH(Data!F1410)</f>
        <v>2</v>
      </c>
      <c r="C1410" s="52" t="str">
        <f>TEXT(Data!F1410,"mmm")</f>
        <v>Feb</v>
      </c>
      <c r="D1410" s="52" t="str">
        <f>Data!O1410</f>
        <v>Male</v>
      </c>
      <c r="E1410" s="52">
        <f>Data!G1410-Data!F1410</f>
        <v>2</v>
      </c>
      <c r="F1410" s="52">
        <f>IF(Data!J1410&lt;=5,Data!J1410,IF(Data!J1410&lt;=10,"6 TO 10","More than 10"))</f>
        <v>4</v>
      </c>
      <c r="G1410" s="52">
        <f t="shared" ref="G1410:G1473" si="22">IF(E1410&gt;=8,"8+",E1410)</f>
        <v>2</v>
      </c>
      <c r="H1410" s="52">
        <f>ROUND(Data!C1410*Data!D1410-Data!E1410,2)</f>
        <v>0</v>
      </c>
      <c r="I1410" s="52">
        <f>IF(AND(OR(Sel_Mode="All",Data!I1410=Sel_Mode),OR(Sel_Gender="All",D1410=Sel_Gender),OR(Sel_Category="All",Data!B1410=Sel_Category),OR(Sel_Month="All",C1410=Sel_Month),OR(Sel_County="All",Data!L1410=Sel_County)),1,0)</f>
        <v>1</v>
      </c>
    </row>
    <row r="1411" spans="1:9" x14ac:dyDescent="0.25">
      <c r="A1411" s="52" t="str">
        <f>Data!A1411</f>
        <v>TX501410</v>
      </c>
      <c r="B1411" s="52">
        <f>MONTH(Data!F1411)</f>
        <v>2</v>
      </c>
      <c r="C1411" s="52" t="str">
        <f>TEXT(Data!F1411,"mmm")</f>
        <v>Feb</v>
      </c>
      <c r="D1411" s="52" t="str">
        <f>Data!O1411</f>
        <v>Other</v>
      </c>
      <c r="E1411" s="52">
        <f>Data!G1411-Data!F1411</f>
        <v>1</v>
      </c>
      <c r="F1411" s="52">
        <f>IF(Data!J1411&lt;=5,Data!J1411,IF(Data!J1411&lt;=10,"6 TO 10","More than 10"))</f>
        <v>3</v>
      </c>
      <c r="G1411" s="52">
        <f t="shared" si="22"/>
        <v>1</v>
      </c>
      <c r="H1411" s="52">
        <f>ROUND(Data!C1411*Data!D1411-Data!E1411,2)</f>
        <v>0</v>
      </c>
      <c r="I1411" s="52">
        <f>IF(AND(OR(Sel_Mode="All",Data!I1411=Sel_Mode),OR(Sel_Gender="All",D1411=Sel_Gender),OR(Sel_Category="All",Data!B1411=Sel_Category),OR(Sel_Month="All",C1411=Sel_Month),OR(Sel_County="All",Data!L1411=Sel_County)),1,0)</f>
        <v>1</v>
      </c>
    </row>
    <row r="1412" spans="1:9" x14ac:dyDescent="0.25">
      <c r="A1412" s="52" t="str">
        <f>Data!A1412</f>
        <v>TX501411</v>
      </c>
      <c r="B1412" s="52">
        <f>MONTH(Data!F1412)</f>
        <v>2</v>
      </c>
      <c r="C1412" s="52" t="str">
        <f>TEXT(Data!F1412,"mmm")</f>
        <v>Feb</v>
      </c>
      <c r="D1412" s="52" t="str">
        <f>Data!O1412</f>
        <v>Female</v>
      </c>
      <c r="E1412" s="52">
        <f>Data!G1412-Data!F1412</f>
        <v>0</v>
      </c>
      <c r="F1412" s="52">
        <f>IF(Data!J1412&lt;=5,Data!J1412,IF(Data!J1412&lt;=10,"6 TO 10","More than 10"))</f>
        <v>1</v>
      </c>
      <c r="G1412" s="52">
        <f t="shared" si="22"/>
        <v>0</v>
      </c>
      <c r="H1412" s="52">
        <f>ROUND(Data!C1412*Data!D1412-Data!E1412,2)</f>
        <v>0</v>
      </c>
      <c r="I1412" s="52">
        <f>IF(AND(OR(Sel_Mode="All",Data!I1412=Sel_Mode),OR(Sel_Gender="All",D1412=Sel_Gender),OR(Sel_Category="All",Data!B1412=Sel_Category),OR(Sel_Month="All",C1412=Sel_Month),OR(Sel_County="All",Data!L1412=Sel_County)),1,0)</f>
        <v>1</v>
      </c>
    </row>
    <row r="1413" spans="1:9" x14ac:dyDescent="0.25">
      <c r="A1413" s="52" t="str">
        <f>Data!A1413</f>
        <v>TX501412</v>
      </c>
      <c r="B1413" s="52">
        <f>MONTH(Data!F1413)</f>
        <v>2</v>
      </c>
      <c r="C1413" s="52" t="str">
        <f>TEXT(Data!F1413,"mmm")</f>
        <v>Feb</v>
      </c>
      <c r="D1413" s="52" t="str">
        <f>Data!O1413</f>
        <v>Other</v>
      </c>
      <c r="E1413" s="52">
        <f>Data!G1413-Data!F1413</f>
        <v>2</v>
      </c>
      <c r="F1413" s="52">
        <f>IF(Data!J1413&lt;=5,Data!J1413,IF(Data!J1413&lt;=10,"6 TO 10","More than 10"))</f>
        <v>4</v>
      </c>
      <c r="G1413" s="52">
        <f t="shared" si="22"/>
        <v>2</v>
      </c>
      <c r="H1413" s="52">
        <f>ROUND(Data!C1413*Data!D1413-Data!E1413,2)</f>
        <v>0</v>
      </c>
      <c r="I1413" s="52">
        <f>IF(AND(OR(Sel_Mode="All",Data!I1413=Sel_Mode),OR(Sel_Gender="All",D1413=Sel_Gender),OR(Sel_Category="All",Data!B1413=Sel_Category),OR(Sel_Month="All",C1413=Sel_Month),OR(Sel_County="All",Data!L1413=Sel_County)),1,0)</f>
        <v>1</v>
      </c>
    </row>
    <row r="1414" spans="1:9" x14ac:dyDescent="0.25">
      <c r="A1414" s="52" t="str">
        <f>Data!A1414</f>
        <v>TX501413</v>
      </c>
      <c r="B1414" s="52">
        <f>MONTH(Data!F1414)</f>
        <v>2</v>
      </c>
      <c r="C1414" s="52" t="str">
        <f>TEXT(Data!F1414,"mmm")</f>
        <v>Feb</v>
      </c>
      <c r="D1414" s="52" t="str">
        <f>Data!O1414</f>
        <v>Female</v>
      </c>
      <c r="E1414" s="52">
        <f>Data!G1414-Data!F1414</f>
        <v>1</v>
      </c>
      <c r="F1414" s="52">
        <f>IF(Data!J1414&lt;=5,Data!J1414,IF(Data!J1414&lt;=10,"6 TO 10","More than 10"))</f>
        <v>4</v>
      </c>
      <c r="G1414" s="52">
        <f t="shared" si="22"/>
        <v>1</v>
      </c>
      <c r="H1414" s="52">
        <f>ROUND(Data!C1414*Data!D1414-Data!E1414,2)</f>
        <v>0</v>
      </c>
      <c r="I1414" s="52">
        <f>IF(AND(OR(Sel_Mode="All",Data!I1414=Sel_Mode),OR(Sel_Gender="All",D1414=Sel_Gender),OR(Sel_Category="All",Data!B1414=Sel_Category),OR(Sel_Month="All",C1414=Sel_Month),OR(Sel_County="All",Data!L1414=Sel_County)),1,0)</f>
        <v>1</v>
      </c>
    </row>
    <row r="1415" spans="1:9" x14ac:dyDescent="0.25">
      <c r="A1415" s="52" t="str">
        <f>Data!A1415</f>
        <v>TX501414</v>
      </c>
      <c r="B1415" s="52">
        <f>MONTH(Data!F1415)</f>
        <v>2</v>
      </c>
      <c r="C1415" s="52" t="str">
        <f>TEXT(Data!F1415,"mmm")</f>
        <v>Feb</v>
      </c>
      <c r="D1415" s="52" t="str">
        <f>Data!O1415</f>
        <v>Female</v>
      </c>
      <c r="E1415" s="52">
        <f>Data!G1415-Data!F1415</f>
        <v>1</v>
      </c>
      <c r="F1415" s="52">
        <f>IF(Data!J1415&lt;=5,Data!J1415,IF(Data!J1415&lt;=10,"6 TO 10","More than 10"))</f>
        <v>4</v>
      </c>
      <c r="G1415" s="52">
        <f t="shared" si="22"/>
        <v>1</v>
      </c>
      <c r="H1415" s="52">
        <f>ROUND(Data!C1415*Data!D1415-Data!E1415,2)</f>
        <v>0</v>
      </c>
      <c r="I1415" s="52">
        <f>IF(AND(OR(Sel_Mode="All",Data!I1415=Sel_Mode),OR(Sel_Gender="All",D1415=Sel_Gender),OR(Sel_Category="All",Data!B1415=Sel_Category),OR(Sel_Month="All",C1415=Sel_Month),OR(Sel_County="All",Data!L1415=Sel_County)),1,0)</f>
        <v>1</v>
      </c>
    </row>
    <row r="1416" spans="1:9" x14ac:dyDescent="0.25">
      <c r="A1416" s="52" t="str">
        <f>Data!A1416</f>
        <v>TX501415</v>
      </c>
      <c r="B1416" s="52">
        <f>MONTH(Data!F1416)</f>
        <v>2</v>
      </c>
      <c r="C1416" s="52" t="str">
        <f>TEXT(Data!F1416,"mmm")</f>
        <v>Feb</v>
      </c>
      <c r="D1416" s="52" t="str">
        <f>Data!O1416</f>
        <v>Female</v>
      </c>
      <c r="E1416" s="52">
        <f>Data!G1416-Data!F1416</f>
        <v>2</v>
      </c>
      <c r="F1416" s="52">
        <f>IF(Data!J1416&lt;=5,Data!J1416,IF(Data!J1416&lt;=10,"6 TO 10","More than 10"))</f>
        <v>3</v>
      </c>
      <c r="G1416" s="52">
        <f t="shared" si="22"/>
        <v>2</v>
      </c>
      <c r="H1416" s="52">
        <f>ROUND(Data!C1416*Data!D1416-Data!E1416,2)</f>
        <v>0</v>
      </c>
      <c r="I1416" s="52">
        <f>IF(AND(OR(Sel_Mode="All",Data!I1416=Sel_Mode),OR(Sel_Gender="All",D1416=Sel_Gender),OR(Sel_Category="All",Data!B1416=Sel_Category),OR(Sel_Month="All",C1416=Sel_Month),OR(Sel_County="All",Data!L1416=Sel_County)),1,0)</f>
        <v>1</v>
      </c>
    </row>
    <row r="1417" spans="1:9" x14ac:dyDescent="0.25">
      <c r="A1417" s="52" t="str">
        <f>Data!A1417</f>
        <v>TX501416</v>
      </c>
      <c r="B1417" s="52">
        <f>MONTH(Data!F1417)</f>
        <v>2</v>
      </c>
      <c r="C1417" s="52" t="str">
        <f>TEXT(Data!F1417,"mmm")</f>
        <v>Feb</v>
      </c>
      <c r="D1417" s="52" t="str">
        <f>Data!O1417</f>
        <v>Female</v>
      </c>
      <c r="E1417" s="52">
        <f>Data!G1417-Data!F1417</f>
        <v>2</v>
      </c>
      <c r="F1417" s="52">
        <f>IF(Data!J1417&lt;=5,Data!J1417,IF(Data!J1417&lt;=10,"6 TO 10","More than 10"))</f>
        <v>4</v>
      </c>
      <c r="G1417" s="52">
        <f t="shared" si="22"/>
        <v>2</v>
      </c>
      <c r="H1417" s="52">
        <f>ROUND(Data!C1417*Data!D1417-Data!E1417,2)</f>
        <v>0</v>
      </c>
      <c r="I1417" s="52">
        <f>IF(AND(OR(Sel_Mode="All",Data!I1417=Sel_Mode),OR(Sel_Gender="All",D1417=Sel_Gender),OR(Sel_Category="All",Data!B1417=Sel_Category),OR(Sel_Month="All",C1417=Sel_Month),OR(Sel_County="All",Data!L1417=Sel_County)),1,0)</f>
        <v>1</v>
      </c>
    </row>
    <row r="1418" spans="1:9" x14ac:dyDescent="0.25">
      <c r="A1418" s="52" t="str">
        <f>Data!A1418</f>
        <v>TX501417</v>
      </c>
      <c r="B1418" s="52">
        <f>MONTH(Data!F1418)</f>
        <v>2</v>
      </c>
      <c r="C1418" s="52" t="str">
        <f>TEXT(Data!F1418,"mmm")</f>
        <v>Feb</v>
      </c>
      <c r="D1418" s="52" t="str">
        <f>Data!O1418</f>
        <v>Female</v>
      </c>
      <c r="E1418" s="52">
        <f>Data!G1418-Data!F1418</f>
        <v>1</v>
      </c>
      <c r="F1418" s="52">
        <f>IF(Data!J1418&lt;=5,Data!J1418,IF(Data!J1418&lt;=10,"6 TO 10","More than 10"))</f>
        <v>4</v>
      </c>
      <c r="G1418" s="52">
        <f t="shared" si="22"/>
        <v>1</v>
      </c>
      <c r="H1418" s="52">
        <f>ROUND(Data!C1418*Data!D1418-Data!E1418,2)</f>
        <v>0</v>
      </c>
      <c r="I1418" s="52">
        <f>IF(AND(OR(Sel_Mode="All",Data!I1418=Sel_Mode),OR(Sel_Gender="All",D1418=Sel_Gender),OR(Sel_Category="All",Data!B1418=Sel_Category),OR(Sel_Month="All",C1418=Sel_Month),OR(Sel_County="All",Data!L1418=Sel_County)),1,0)</f>
        <v>1</v>
      </c>
    </row>
    <row r="1419" spans="1:9" x14ac:dyDescent="0.25">
      <c r="A1419" s="52" t="str">
        <f>Data!A1419</f>
        <v>TX501418</v>
      </c>
      <c r="B1419" s="52">
        <f>MONTH(Data!F1419)</f>
        <v>2</v>
      </c>
      <c r="C1419" s="52" t="str">
        <f>TEXT(Data!F1419,"mmm")</f>
        <v>Feb</v>
      </c>
      <c r="D1419" s="52" t="str">
        <f>Data!O1419</f>
        <v>Male</v>
      </c>
      <c r="E1419" s="52">
        <f>Data!G1419-Data!F1419</f>
        <v>4</v>
      </c>
      <c r="F1419" s="52">
        <f>IF(Data!J1419&lt;=5,Data!J1419,IF(Data!J1419&lt;=10,"6 TO 10","More than 10"))</f>
        <v>3</v>
      </c>
      <c r="G1419" s="52">
        <f t="shared" si="22"/>
        <v>4</v>
      </c>
      <c r="H1419" s="52">
        <f>ROUND(Data!C1419*Data!D1419-Data!E1419,2)</f>
        <v>0</v>
      </c>
      <c r="I1419" s="52">
        <f>IF(AND(OR(Sel_Mode="All",Data!I1419=Sel_Mode),OR(Sel_Gender="All",D1419=Sel_Gender),OR(Sel_Category="All",Data!B1419=Sel_Category),OR(Sel_Month="All",C1419=Sel_Month),OR(Sel_County="All",Data!L1419=Sel_County)),1,0)</f>
        <v>1</v>
      </c>
    </row>
    <row r="1420" spans="1:9" x14ac:dyDescent="0.25">
      <c r="A1420" s="52" t="str">
        <f>Data!A1420</f>
        <v>TX501419</v>
      </c>
      <c r="B1420" s="52">
        <f>MONTH(Data!F1420)</f>
        <v>2</v>
      </c>
      <c r="C1420" s="52" t="str">
        <f>TEXT(Data!F1420,"mmm")</f>
        <v>Feb</v>
      </c>
      <c r="D1420" s="52" t="str">
        <f>Data!O1420</f>
        <v>Female</v>
      </c>
      <c r="E1420" s="52">
        <f>Data!G1420-Data!F1420</f>
        <v>2</v>
      </c>
      <c r="F1420" s="52">
        <f>IF(Data!J1420&lt;=5,Data!J1420,IF(Data!J1420&lt;=10,"6 TO 10","More than 10"))</f>
        <v>3</v>
      </c>
      <c r="G1420" s="52">
        <f t="shared" si="22"/>
        <v>2</v>
      </c>
      <c r="H1420" s="52">
        <f>ROUND(Data!C1420*Data!D1420-Data!E1420,2)</f>
        <v>0</v>
      </c>
      <c r="I1420" s="52">
        <f>IF(AND(OR(Sel_Mode="All",Data!I1420=Sel_Mode),OR(Sel_Gender="All",D1420=Sel_Gender),OR(Sel_Category="All",Data!B1420=Sel_Category),OR(Sel_Month="All",C1420=Sel_Month),OR(Sel_County="All",Data!L1420=Sel_County)),1,0)</f>
        <v>1</v>
      </c>
    </row>
    <row r="1421" spans="1:9" x14ac:dyDescent="0.25">
      <c r="A1421" s="52" t="str">
        <f>Data!A1421</f>
        <v>TX501420</v>
      </c>
      <c r="B1421" s="52">
        <f>MONTH(Data!F1421)</f>
        <v>2</v>
      </c>
      <c r="C1421" s="52" t="str">
        <f>TEXT(Data!F1421,"mmm")</f>
        <v>Feb</v>
      </c>
      <c r="D1421" s="52" t="str">
        <f>Data!O1421</f>
        <v>Female</v>
      </c>
      <c r="E1421" s="52">
        <f>Data!G1421-Data!F1421</f>
        <v>1</v>
      </c>
      <c r="F1421" s="52">
        <f>IF(Data!J1421&lt;=5,Data!J1421,IF(Data!J1421&lt;=10,"6 TO 10","More than 10"))</f>
        <v>4</v>
      </c>
      <c r="G1421" s="52">
        <f t="shared" si="22"/>
        <v>1</v>
      </c>
      <c r="H1421" s="52">
        <f>ROUND(Data!C1421*Data!D1421-Data!E1421,2)</f>
        <v>0</v>
      </c>
      <c r="I1421" s="52">
        <f>IF(AND(OR(Sel_Mode="All",Data!I1421=Sel_Mode),OR(Sel_Gender="All",D1421=Sel_Gender),OR(Sel_Category="All",Data!B1421=Sel_Category),OR(Sel_Month="All",C1421=Sel_Month),OR(Sel_County="All",Data!L1421=Sel_County)),1,0)</f>
        <v>1</v>
      </c>
    </row>
    <row r="1422" spans="1:9" x14ac:dyDescent="0.25">
      <c r="A1422" s="52" t="str">
        <f>Data!A1422</f>
        <v>TX501421</v>
      </c>
      <c r="B1422" s="52">
        <f>MONTH(Data!F1422)</f>
        <v>2</v>
      </c>
      <c r="C1422" s="52" t="str">
        <f>TEXT(Data!F1422,"mmm")</f>
        <v>Feb</v>
      </c>
      <c r="D1422" s="52" t="str">
        <f>Data!O1422</f>
        <v>Male</v>
      </c>
      <c r="E1422" s="52">
        <f>Data!G1422-Data!F1422</f>
        <v>2</v>
      </c>
      <c r="F1422" s="52">
        <f>IF(Data!J1422&lt;=5,Data!J1422,IF(Data!J1422&lt;=10,"6 TO 10","More than 10"))</f>
        <v>4</v>
      </c>
      <c r="G1422" s="52">
        <f t="shared" si="22"/>
        <v>2</v>
      </c>
      <c r="H1422" s="52">
        <f>ROUND(Data!C1422*Data!D1422-Data!E1422,2)</f>
        <v>0</v>
      </c>
      <c r="I1422" s="52">
        <f>IF(AND(OR(Sel_Mode="All",Data!I1422=Sel_Mode),OR(Sel_Gender="All",D1422=Sel_Gender),OR(Sel_Category="All",Data!B1422=Sel_Category),OR(Sel_Month="All",C1422=Sel_Month),OR(Sel_County="All",Data!L1422=Sel_County)),1,0)</f>
        <v>1</v>
      </c>
    </row>
    <row r="1423" spans="1:9" x14ac:dyDescent="0.25">
      <c r="A1423" s="52" t="str">
        <f>Data!A1423</f>
        <v>TX501422</v>
      </c>
      <c r="B1423" s="52">
        <f>MONTH(Data!F1423)</f>
        <v>2</v>
      </c>
      <c r="C1423" s="52" t="str">
        <f>TEXT(Data!F1423,"mmm")</f>
        <v>Feb</v>
      </c>
      <c r="D1423" s="52" t="str">
        <f>Data!O1423</f>
        <v>Female</v>
      </c>
      <c r="E1423" s="52">
        <f>Data!G1423-Data!F1423</f>
        <v>4</v>
      </c>
      <c r="F1423" s="52">
        <f>IF(Data!J1423&lt;=5,Data!J1423,IF(Data!J1423&lt;=10,"6 TO 10","More than 10"))</f>
        <v>3</v>
      </c>
      <c r="G1423" s="52">
        <f t="shared" si="22"/>
        <v>4</v>
      </c>
      <c r="H1423" s="52">
        <f>ROUND(Data!C1423*Data!D1423-Data!E1423,2)</f>
        <v>0</v>
      </c>
      <c r="I1423" s="52">
        <f>IF(AND(OR(Sel_Mode="All",Data!I1423=Sel_Mode),OR(Sel_Gender="All",D1423=Sel_Gender),OR(Sel_Category="All",Data!B1423=Sel_Category),OR(Sel_Month="All",C1423=Sel_Month),OR(Sel_County="All",Data!L1423=Sel_County)),1,0)</f>
        <v>1</v>
      </c>
    </row>
    <row r="1424" spans="1:9" x14ac:dyDescent="0.25">
      <c r="A1424" s="52" t="str">
        <f>Data!A1424</f>
        <v>TX501423</v>
      </c>
      <c r="B1424" s="52">
        <f>MONTH(Data!F1424)</f>
        <v>2</v>
      </c>
      <c r="C1424" s="52" t="str">
        <f>TEXT(Data!F1424,"mmm")</f>
        <v>Feb</v>
      </c>
      <c r="D1424" s="52" t="str">
        <f>Data!O1424</f>
        <v>Female</v>
      </c>
      <c r="E1424" s="52">
        <f>Data!G1424-Data!F1424</f>
        <v>1</v>
      </c>
      <c r="F1424" s="52">
        <f>IF(Data!J1424&lt;=5,Data!J1424,IF(Data!J1424&lt;=10,"6 TO 10","More than 10"))</f>
        <v>3</v>
      </c>
      <c r="G1424" s="52">
        <f t="shared" si="22"/>
        <v>1</v>
      </c>
      <c r="H1424" s="52">
        <f>ROUND(Data!C1424*Data!D1424-Data!E1424,2)</f>
        <v>0</v>
      </c>
      <c r="I1424" s="52">
        <f>IF(AND(OR(Sel_Mode="All",Data!I1424=Sel_Mode),OR(Sel_Gender="All",D1424=Sel_Gender),OR(Sel_Category="All",Data!B1424=Sel_Category),OR(Sel_Month="All",C1424=Sel_Month),OR(Sel_County="All",Data!L1424=Sel_County)),1,0)</f>
        <v>1</v>
      </c>
    </row>
    <row r="1425" spans="1:9" x14ac:dyDescent="0.25">
      <c r="A1425" s="52" t="str">
        <f>Data!A1425</f>
        <v>TX501424</v>
      </c>
      <c r="B1425" s="52">
        <f>MONTH(Data!F1425)</f>
        <v>2</v>
      </c>
      <c r="C1425" s="52" t="str">
        <f>TEXT(Data!F1425,"mmm")</f>
        <v>Feb</v>
      </c>
      <c r="D1425" s="52" t="str">
        <f>Data!O1425</f>
        <v>Female</v>
      </c>
      <c r="E1425" s="52">
        <f>Data!G1425-Data!F1425</f>
        <v>0</v>
      </c>
      <c r="F1425" s="52">
        <f>IF(Data!J1425&lt;=5,Data!J1425,IF(Data!J1425&lt;=10,"6 TO 10","More than 10"))</f>
        <v>4</v>
      </c>
      <c r="G1425" s="52">
        <f t="shared" si="22"/>
        <v>0</v>
      </c>
      <c r="H1425" s="52">
        <f>ROUND(Data!C1425*Data!D1425-Data!E1425,2)</f>
        <v>0</v>
      </c>
      <c r="I1425" s="52">
        <f>IF(AND(OR(Sel_Mode="All",Data!I1425=Sel_Mode),OR(Sel_Gender="All",D1425=Sel_Gender),OR(Sel_Category="All",Data!B1425=Sel_Category),OR(Sel_Month="All",C1425=Sel_Month),OR(Sel_County="All",Data!L1425=Sel_County)),1,0)</f>
        <v>1</v>
      </c>
    </row>
    <row r="1426" spans="1:9" x14ac:dyDescent="0.25">
      <c r="A1426" s="52" t="str">
        <f>Data!A1426</f>
        <v>TX501425</v>
      </c>
      <c r="B1426" s="52">
        <f>MONTH(Data!F1426)</f>
        <v>2</v>
      </c>
      <c r="C1426" s="52" t="str">
        <f>TEXT(Data!F1426,"mmm")</f>
        <v>Feb</v>
      </c>
      <c r="D1426" s="52" t="str">
        <f>Data!O1426</f>
        <v>Unknown</v>
      </c>
      <c r="E1426" s="52">
        <f>Data!G1426-Data!F1426</f>
        <v>0</v>
      </c>
      <c r="F1426" s="52">
        <f>IF(Data!J1426&lt;=5,Data!J1426,IF(Data!J1426&lt;=10,"6 TO 10","More than 10"))</f>
        <v>3</v>
      </c>
      <c r="G1426" s="52">
        <f t="shared" si="22"/>
        <v>0</v>
      </c>
      <c r="H1426" s="52">
        <f>ROUND(Data!C1426*Data!D1426-Data!E1426,2)</f>
        <v>0</v>
      </c>
      <c r="I1426" s="52">
        <f>IF(AND(OR(Sel_Mode="All",Data!I1426=Sel_Mode),OR(Sel_Gender="All",D1426=Sel_Gender),OR(Sel_Category="All",Data!B1426=Sel_Category),OR(Sel_Month="All",C1426=Sel_Month),OR(Sel_County="All",Data!L1426=Sel_County)),1,0)</f>
        <v>1</v>
      </c>
    </row>
    <row r="1427" spans="1:9" x14ac:dyDescent="0.25">
      <c r="A1427" s="52" t="str">
        <f>Data!A1427</f>
        <v>TX501426</v>
      </c>
      <c r="B1427" s="52">
        <f>MONTH(Data!F1427)</f>
        <v>2</v>
      </c>
      <c r="C1427" s="52" t="str">
        <f>TEXT(Data!F1427,"mmm")</f>
        <v>Feb</v>
      </c>
      <c r="D1427" s="52" t="str">
        <f>Data!O1427</f>
        <v>Female</v>
      </c>
      <c r="E1427" s="52">
        <f>Data!G1427-Data!F1427</f>
        <v>1</v>
      </c>
      <c r="F1427" s="52">
        <f>IF(Data!J1427&lt;=5,Data!J1427,IF(Data!J1427&lt;=10,"6 TO 10","More than 10"))</f>
        <v>4</v>
      </c>
      <c r="G1427" s="52">
        <f t="shared" si="22"/>
        <v>1</v>
      </c>
      <c r="H1427" s="52">
        <f>ROUND(Data!C1427*Data!D1427-Data!E1427,2)</f>
        <v>0</v>
      </c>
      <c r="I1427" s="52">
        <f>IF(AND(OR(Sel_Mode="All",Data!I1427=Sel_Mode),OR(Sel_Gender="All",D1427=Sel_Gender),OR(Sel_Category="All",Data!B1427=Sel_Category),OR(Sel_Month="All",C1427=Sel_Month),OR(Sel_County="All",Data!L1427=Sel_County)),1,0)</f>
        <v>1</v>
      </c>
    </row>
    <row r="1428" spans="1:9" x14ac:dyDescent="0.25">
      <c r="A1428" s="52" t="str">
        <f>Data!A1428</f>
        <v>TX501427</v>
      </c>
      <c r="B1428" s="52">
        <f>MONTH(Data!F1428)</f>
        <v>2</v>
      </c>
      <c r="C1428" s="52" t="str">
        <f>TEXT(Data!F1428,"mmm")</f>
        <v>Feb</v>
      </c>
      <c r="D1428" s="52" t="str">
        <f>Data!O1428</f>
        <v>Male</v>
      </c>
      <c r="E1428" s="52">
        <f>Data!G1428-Data!F1428</f>
        <v>2</v>
      </c>
      <c r="F1428" s="52">
        <f>IF(Data!J1428&lt;=5,Data!J1428,IF(Data!J1428&lt;=10,"6 TO 10","More than 10"))</f>
        <v>5</v>
      </c>
      <c r="G1428" s="52">
        <f t="shared" si="22"/>
        <v>2</v>
      </c>
      <c r="H1428" s="52">
        <f>ROUND(Data!C1428*Data!D1428-Data!E1428,2)</f>
        <v>0</v>
      </c>
      <c r="I1428" s="52">
        <f>IF(AND(OR(Sel_Mode="All",Data!I1428=Sel_Mode),OR(Sel_Gender="All",D1428=Sel_Gender),OR(Sel_Category="All",Data!B1428=Sel_Category),OR(Sel_Month="All",C1428=Sel_Month),OR(Sel_County="All",Data!L1428=Sel_County)),1,0)</f>
        <v>1</v>
      </c>
    </row>
    <row r="1429" spans="1:9" x14ac:dyDescent="0.25">
      <c r="A1429" s="52" t="str">
        <f>Data!A1429</f>
        <v>TX501428</v>
      </c>
      <c r="B1429" s="52">
        <f>MONTH(Data!F1429)</f>
        <v>2</v>
      </c>
      <c r="C1429" s="52" t="str">
        <f>TEXT(Data!F1429,"mmm")</f>
        <v>Feb</v>
      </c>
      <c r="D1429" s="52" t="str">
        <f>Data!O1429</f>
        <v>Male</v>
      </c>
      <c r="E1429" s="52">
        <f>Data!G1429-Data!F1429</f>
        <v>3</v>
      </c>
      <c r="F1429" s="52">
        <f>IF(Data!J1429&lt;=5,Data!J1429,IF(Data!J1429&lt;=10,"6 TO 10","More than 10"))</f>
        <v>3</v>
      </c>
      <c r="G1429" s="52">
        <f t="shared" si="22"/>
        <v>3</v>
      </c>
      <c r="H1429" s="52">
        <f>ROUND(Data!C1429*Data!D1429-Data!E1429,2)</f>
        <v>0</v>
      </c>
      <c r="I1429" s="52">
        <f>IF(AND(OR(Sel_Mode="All",Data!I1429=Sel_Mode),OR(Sel_Gender="All",D1429=Sel_Gender),OR(Sel_Category="All",Data!B1429=Sel_Category),OR(Sel_Month="All",C1429=Sel_Month),OR(Sel_County="All",Data!L1429=Sel_County)),1,0)</f>
        <v>1</v>
      </c>
    </row>
    <row r="1430" spans="1:9" x14ac:dyDescent="0.25">
      <c r="A1430" s="52" t="str">
        <f>Data!A1430</f>
        <v>TX501429</v>
      </c>
      <c r="B1430" s="52">
        <f>MONTH(Data!F1430)</f>
        <v>2</v>
      </c>
      <c r="C1430" s="52" t="str">
        <f>TEXT(Data!F1430,"mmm")</f>
        <v>Feb</v>
      </c>
      <c r="D1430" s="52" t="str">
        <f>Data!O1430</f>
        <v>Male</v>
      </c>
      <c r="E1430" s="52">
        <f>Data!G1430-Data!F1430</f>
        <v>2</v>
      </c>
      <c r="F1430" s="52">
        <f>IF(Data!J1430&lt;=5,Data!J1430,IF(Data!J1430&lt;=10,"6 TO 10","More than 10"))</f>
        <v>4</v>
      </c>
      <c r="G1430" s="52">
        <f t="shared" si="22"/>
        <v>2</v>
      </c>
      <c r="H1430" s="52">
        <f>ROUND(Data!C1430*Data!D1430-Data!E1430,2)</f>
        <v>0</v>
      </c>
      <c r="I1430" s="52">
        <f>IF(AND(OR(Sel_Mode="All",Data!I1430=Sel_Mode),OR(Sel_Gender="All",D1430=Sel_Gender),OR(Sel_Category="All",Data!B1430=Sel_Category),OR(Sel_Month="All",C1430=Sel_Month),OR(Sel_County="All",Data!L1430=Sel_County)),1,0)</f>
        <v>1</v>
      </c>
    </row>
    <row r="1431" spans="1:9" x14ac:dyDescent="0.25">
      <c r="A1431" s="52" t="str">
        <f>Data!A1431</f>
        <v>TX501430</v>
      </c>
      <c r="B1431" s="52">
        <f>MONTH(Data!F1431)</f>
        <v>2</v>
      </c>
      <c r="C1431" s="52" t="str">
        <f>TEXT(Data!F1431,"mmm")</f>
        <v>Feb</v>
      </c>
      <c r="D1431" s="52" t="str">
        <f>Data!O1431</f>
        <v>Male</v>
      </c>
      <c r="E1431" s="52">
        <f>Data!G1431-Data!F1431</f>
        <v>3</v>
      </c>
      <c r="F1431" s="52">
        <f>IF(Data!J1431&lt;=5,Data!J1431,IF(Data!J1431&lt;=10,"6 TO 10","More than 10"))</f>
        <v>4</v>
      </c>
      <c r="G1431" s="52">
        <f t="shared" si="22"/>
        <v>3</v>
      </c>
      <c r="H1431" s="52">
        <f>ROUND(Data!C1431*Data!D1431-Data!E1431,2)</f>
        <v>0</v>
      </c>
      <c r="I1431" s="52">
        <f>IF(AND(OR(Sel_Mode="All",Data!I1431=Sel_Mode),OR(Sel_Gender="All",D1431=Sel_Gender),OR(Sel_Category="All",Data!B1431=Sel_Category),OR(Sel_Month="All",C1431=Sel_Month),OR(Sel_County="All",Data!L1431=Sel_County)),1,0)</f>
        <v>1</v>
      </c>
    </row>
    <row r="1432" spans="1:9" x14ac:dyDescent="0.25">
      <c r="A1432" s="52" t="str">
        <f>Data!A1432</f>
        <v>TX501431</v>
      </c>
      <c r="B1432" s="52">
        <f>MONTH(Data!F1432)</f>
        <v>2</v>
      </c>
      <c r="C1432" s="52" t="str">
        <f>TEXT(Data!F1432,"mmm")</f>
        <v>Feb</v>
      </c>
      <c r="D1432" s="52" t="str">
        <f>Data!O1432</f>
        <v>Female</v>
      </c>
      <c r="E1432" s="52">
        <f>Data!G1432-Data!F1432</f>
        <v>1</v>
      </c>
      <c r="F1432" s="52">
        <f>IF(Data!J1432&lt;=5,Data!J1432,IF(Data!J1432&lt;=10,"6 TO 10","More than 10"))</f>
        <v>5</v>
      </c>
      <c r="G1432" s="52">
        <f t="shared" si="22"/>
        <v>1</v>
      </c>
      <c r="H1432" s="52">
        <f>ROUND(Data!C1432*Data!D1432-Data!E1432,2)</f>
        <v>0</v>
      </c>
      <c r="I1432" s="52">
        <f>IF(AND(OR(Sel_Mode="All",Data!I1432=Sel_Mode),OR(Sel_Gender="All",D1432=Sel_Gender),OR(Sel_Category="All",Data!B1432=Sel_Category),OR(Sel_Month="All",C1432=Sel_Month),OR(Sel_County="All",Data!L1432=Sel_County)),1,0)</f>
        <v>1</v>
      </c>
    </row>
    <row r="1433" spans="1:9" x14ac:dyDescent="0.25">
      <c r="A1433" s="52" t="str">
        <f>Data!A1433</f>
        <v>TX501432</v>
      </c>
      <c r="B1433" s="52">
        <f>MONTH(Data!F1433)</f>
        <v>2</v>
      </c>
      <c r="C1433" s="52" t="str">
        <f>TEXT(Data!F1433,"mmm")</f>
        <v>Feb</v>
      </c>
      <c r="D1433" s="52" t="str">
        <f>Data!O1433</f>
        <v>Female</v>
      </c>
      <c r="E1433" s="52">
        <f>Data!G1433-Data!F1433</f>
        <v>2</v>
      </c>
      <c r="F1433" s="52">
        <f>IF(Data!J1433&lt;=5,Data!J1433,IF(Data!J1433&lt;=10,"6 TO 10","More than 10"))</f>
        <v>5</v>
      </c>
      <c r="G1433" s="52">
        <f t="shared" si="22"/>
        <v>2</v>
      </c>
      <c r="H1433" s="52">
        <f>ROUND(Data!C1433*Data!D1433-Data!E1433,2)</f>
        <v>0</v>
      </c>
      <c r="I1433" s="52">
        <f>IF(AND(OR(Sel_Mode="All",Data!I1433=Sel_Mode),OR(Sel_Gender="All",D1433=Sel_Gender),OR(Sel_Category="All",Data!B1433=Sel_Category),OR(Sel_Month="All",C1433=Sel_Month),OR(Sel_County="All",Data!L1433=Sel_County)),1,0)</f>
        <v>1</v>
      </c>
    </row>
    <row r="1434" spans="1:9" x14ac:dyDescent="0.25">
      <c r="A1434" s="52" t="str">
        <f>Data!A1434</f>
        <v>TX501433</v>
      </c>
      <c r="B1434" s="52">
        <f>MONTH(Data!F1434)</f>
        <v>2</v>
      </c>
      <c r="C1434" s="52" t="str">
        <f>TEXT(Data!F1434,"mmm")</f>
        <v>Feb</v>
      </c>
      <c r="D1434" s="52" t="str">
        <f>Data!O1434</f>
        <v>Female</v>
      </c>
      <c r="E1434" s="52">
        <f>Data!G1434-Data!F1434</f>
        <v>2</v>
      </c>
      <c r="F1434" s="52">
        <f>IF(Data!J1434&lt;=5,Data!J1434,IF(Data!J1434&lt;=10,"6 TO 10","More than 10"))</f>
        <v>5</v>
      </c>
      <c r="G1434" s="52">
        <f t="shared" si="22"/>
        <v>2</v>
      </c>
      <c r="H1434" s="52">
        <f>ROUND(Data!C1434*Data!D1434-Data!E1434,2)</f>
        <v>0</v>
      </c>
      <c r="I1434" s="52">
        <f>IF(AND(OR(Sel_Mode="All",Data!I1434=Sel_Mode),OR(Sel_Gender="All",D1434=Sel_Gender),OR(Sel_Category="All",Data!B1434=Sel_Category),OR(Sel_Month="All",C1434=Sel_Month),OR(Sel_County="All",Data!L1434=Sel_County)),1,0)</f>
        <v>1</v>
      </c>
    </row>
    <row r="1435" spans="1:9" x14ac:dyDescent="0.25">
      <c r="A1435" s="52" t="str">
        <f>Data!A1435</f>
        <v>TX501434</v>
      </c>
      <c r="B1435" s="52">
        <f>MONTH(Data!F1435)</f>
        <v>2</v>
      </c>
      <c r="C1435" s="52" t="str">
        <f>TEXT(Data!F1435,"mmm")</f>
        <v>Feb</v>
      </c>
      <c r="D1435" s="52" t="str">
        <f>Data!O1435</f>
        <v>Male</v>
      </c>
      <c r="E1435" s="52">
        <f>Data!G1435-Data!F1435</f>
        <v>2</v>
      </c>
      <c r="F1435" s="52">
        <f>IF(Data!J1435&lt;=5,Data!J1435,IF(Data!J1435&lt;=10,"6 TO 10","More than 10"))</f>
        <v>4</v>
      </c>
      <c r="G1435" s="52">
        <f t="shared" si="22"/>
        <v>2</v>
      </c>
      <c r="H1435" s="52">
        <f>ROUND(Data!C1435*Data!D1435-Data!E1435,2)</f>
        <v>0</v>
      </c>
      <c r="I1435" s="52">
        <f>IF(AND(OR(Sel_Mode="All",Data!I1435=Sel_Mode),OR(Sel_Gender="All",D1435=Sel_Gender),OR(Sel_Category="All",Data!B1435=Sel_Category),OR(Sel_Month="All",C1435=Sel_Month),OR(Sel_County="All",Data!L1435=Sel_County)),1,0)</f>
        <v>1</v>
      </c>
    </row>
    <row r="1436" spans="1:9" x14ac:dyDescent="0.25">
      <c r="A1436" s="52" t="str">
        <f>Data!A1436</f>
        <v>TX501435</v>
      </c>
      <c r="B1436" s="52">
        <f>MONTH(Data!F1436)</f>
        <v>2</v>
      </c>
      <c r="C1436" s="52" t="str">
        <f>TEXT(Data!F1436,"mmm")</f>
        <v>Feb</v>
      </c>
      <c r="D1436" s="52" t="str">
        <f>Data!O1436</f>
        <v>Female</v>
      </c>
      <c r="E1436" s="52">
        <f>Data!G1436-Data!F1436</f>
        <v>2</v>
      </c>
      <c r="F1436" s="52">
        <f>IF(Data!J1436&lt;=5,Data!J1436,IF(Data!J1436&lt;=10,"6 TO 10","More than 10"))</f>
        <v>4</v>
      </c>
      <c r="G1436" s="52">
        <f t="shared" si="22"/>
        <v>2</v>
      </c>
      <c r="H1436" s="52">
        <f>ROUND(Data!C1436*Data!D1436-Data!E1436,2)</f>
        <v>0</v>
      </c>
      <c r="I1436" s="52">
        <f>IF(AND(OR(Sel_Mode="All",Data!I1436=Sel_Mode),OR(Sel_Gender="All",D1436=Sel_Gender),OR(Sel_Category="All",Data!B1436=Sel_Category),OR(Sel_Month="All",C1436=Sel_Month),OR(Sel_County="All",Data!L1436=Sel_County)),1,0)</f>
        <v>1</v>
      </c>
    </row>
    <row r="1437" spans="1:9" x14ac:dyDescent="0.25">
      <c r="A1437" s="52" t="str">
        <f>Data!A1437</f>
        <v>TX501436</v>
      </c>
      <c r="B1437" s="52">
        <f>MONTH(Data!F1437)</f>
        <v>2</v>
      </c>
      <c r="C1437" s="52" t="str">
        <f>TEXT(Data!F1437,"mmm")</f>
        <v>Feb</v>
      </c>
      <c r="D1437" s="52" t="str">
        <f>Data!O1437</f>
        <v>Female</v>
      </c>
      <c r="E1437" s="52">
        <f>Data!G1437-Data!F1437</f>
        <v>1</v>
      </c>
      <c r="F1437" s="52">
        <f>IF(Data!J1437&lt;=5,Data!J1437,IF(Data!J1437&lt;=10,"6 TO 10","More than 10"))</f>
        <v>4</v>
      </c>
      <c r="G1437" s="52">
        <f t="shared" si="22"/>
        <v>1</v>
      </c>
      <c r="H1437" s="52">
        <f>ROUND(Data!C1437*Data!D1437-Data!E1437,2)</f>
        <v>0</v>
      </c>
      <c r="I1437" s="52">
        <f>IF(AND(OR(Sel_Mode="All",Data!I1437=Sel_Mode),OR(Sel_Gender="All",D1437=Sel_Gender),OR(Sel_Category="All",Data!B1437=Sel_Category),OR(Sel_Month="All",C1437=Sel_Month),OR(Sel_County="All",Data!L1437=Sel_County)),1,0)</f>
        <v>1</v>
      </c>
    </row>
    <row r="1438" spans="1:9" x14ac:dyDescent="0.25">
      <c r="A1438" s="52" t="str">
        <f>Data!A1438</f>
        <v>TX501437</v>
      </c>
      <c r="B1438" s="52">
        <f>MONTH(Data!F1438)</f>
        <v>2</v>
      </c>
      <c r="C1438" s="52" t="str">
        <f>TEXT(Data!F1438,"mmm")</f>
        <v>Feb</v>
      </c>
      <c r="D1438" s="52" t="str">
        <f>Data!O1438</f>
        <v>Female</v>
      </c>
      <c r="E1438" s="52">
        <f>Data!G1438-Data!F1438</f>
        <v>14</v>
      </c>
      <c r="F1438" s="52">
        <f>IF(Data!J1438&lt;=5,Data!J1438,IF(Data!J1438&lt;=10,"6 TO 10","More than 10"))</f>
        <v>4</v>
      </c>
      <c r="G1438" s="52" t="str">
        <f t="shared" si="22"/>
        <v>8+</v>
      </c>
      <c r="H1438" s="52">
        <f>ROUND(Data!C1438*Data!D1438-Data!E1438,2)</f>
        <v>0</v>
      </c>
      <c r="I1438" s="52">
        <f>IF(AND(OR(Sel_Mode="All",Data!I1438=Sel_Mode),OR(Sel_Gender="All",D1438=Sel_Gender),OR(Sel_Category="All",Data!B1438=Sel_Category),OR(Sel_Month="All",C1438=Sel_Month),OR(Sel_County="All",Data!L1438=Sel_County)),1,0)</f>
        <v>1</v>
      </c>
    </row>
    <row r="1439" spans="1:9" x14ac:dyDescent="0.25">
      <c r="A1439" s="52" t="str">
        <f>Data!A1439</f>
        <v>TX501438</v>
      </c>
      <c r="B1439" s="52">
        <f>MONTH(Data!F1439)</f>
        <v>2</v>
      </c>
      <c r="C1439" s="52" t="str">
        <f>TEXT(Data!F1439,"mmm")</f>
        <v>Feb</v>
      </c>
      <c r="D1439" s="52" t="str">
        <f>Data!O1439</f>
        <v>Female</v>
      </c>
      <c r="E1439" s="52">
        <f>Data!G1439-Data!F1439</f>
        <v>4</v>
      </c>
      <c r="F1439" s="52">
        <f>IF(Data!J1439&lt;=5,Data!J1439,IF(Data!J1439&lt;=10,"6 TO 10","More than 10"))</f>
        <v>4</v>
      </c>
      <c r="G1439" s="52">
        <f t="shared" si="22"/>
        <v>4</v>
      </c>
      <c r="H1439" s="52">
        <f>ROUND(Data!C1439*Data!D1439-Data!E1439,2)</f>
        <v>0</v>
      </c>
      <c r="I1439" s="52">
        <f>IF(AND(OR(Sel_Mode="All",Data!I1439=Sel_Mode),OR(Sel_Gender="All",D1439=Sel_Gender),OR(Sel_Category="All",Data!B1439=Sel_Category),OR(Sel_Month="All",C1439=Sel_Month),OR(Sel_County="All",Data!L1439=Sel_County)),1,0)</f>
        <v>1</v>
      </c>
    </row>
    <row r="1440" spans="1:9" x14ac:dyDescent="0.25">
      <c r="A1440" s="52" t="str">
        <f>Data!A1440</f>
        <v>TX501439</v>
      </c>
      <c r="B1440" s="52">
        <f>MONTH(Data!F1440)</f>
        <v>2</v>
      </c>
      <c r="C1440" s="52" t="str">
        <f>TEXT(Data!F1440,"mmm")</f>
        <v>Feb</v>
      </c>
      <c r="D1440" s="52" t="str">
        <f>Data!O1440</f>
        <v>Male</v>
      </c>
      <c r="E1440" s="52">
        <f>Data!G1440-Data!F1440</f>
        <v>2</v>
      </c>
      <c r="F1440" s="52">
        <f>IF(Data!J1440&lt;=5,Data!J1440,IF(Data!J1440&lt;=10,"6 TO 10","More than 10"))</f>
        <v>4</v>
      </c>
      <c r="G1440" s="52">
        <f t="shared" si="22"/>
        <v>2</v>
      </c>
      <c r="H1440" s="52">
        <f>ROUND(Data!C1440*Data!D1440-Data!E1440,2)</f>
        <v>0</v>
      </c>
      <c r="I1440" s="52">
        <f>IF(AND(OR(Sel_Mode="All",Data!I1440=Sel_Mode),OR(Sel_Gender="All",D1440=Sel_Gender),OR(Sel_Category="All",Data!B1440=Sel_Category),OR(Sel_Month="All",C1440=Sel_Month),OR(Sel_County="All",Data!L1440=Sel_County)),1,0)</f>
        <v>1</v>
      </c>
    </row>
    <row r="1441" spans="1:9" x14ac:dyDescent="0.25">
      <c r="A1441" s="52" t="str">
        <f>Data!A1441</f>
        <v>TX501440</v>
      </c>
      <c r="B1441" s="52">
        <f>MONTH(Data!F1441)</f>
        <v>2</v>
      </c>
      <c r="C1441" s="52" t="str">
        <f>TEXT(Data!F1441,"mmm")</f>
        <v>Feb</v>
      </c>
      <c r="D1441" s="52" t="str">
        <f>Data!O1441</f>
        <v>Male</v>
      </c>
      <c r="E1441" s="52">
        <f>Data!G1441-Data!F1441</f>
        <v>1</v>
      </c>
      <c r="F1441" s="52">
        <f>IF(Data!J1441&lt;=5,Data!J1441,IF(Data!J1441&lt;=10,"6 TO 10","More than 10"))</f>
        <v>5</v>
      </c>
      <c r="G1441" s="52">
        <f t="shared" si="22"/>
        <v>1</v>
      </c>
      <c r="H1441" s="52">
        <f>ROUND(Data!C1441*Data!D1441-Data!E1441,2)</f>
        <v>0</v>
      </c>
      <c r="I1441" s="52">
        <f>IF(AND(OR(Sel_Mode="All",Data!I1441=Sel_Mode),OR(Sel_Gender="All",D1441=Sel_Gender),OR(Sel_Category="All",Data!B1441=Sel_Category),OR(Sel_Month="All",C1441=Sel_Month),OR(Sel_County="All",Data!L1441=Sel_County)),1,0)</f>
        <v>1</v>
      </c>
    </row>
    <row r="1442" spans="1:9" x14ac:dyDescent="0.25">
      <c r="A1442" s="52" t="str">
        <f>Data!A1442</f>
        <v>TX501441</v>
      </c>
      <c r="B1442" s="52">
        <f>MONTH(Data!F1442)</f>
        <v>2</v>
      </c>
      <c r="C1442" s="52" t="str">
        <f>TEXT(Data!F1442,"mmm")</f>
        <v>Feb</v>
      </c>
      <c r="D1442" s="52" t="str">
        <f>Data!O1442</f>
        <v>Other</v>
      </c>
      <c r="E1442" s="52">
        <f>Data!G1442-Data!F1442</f>
        <v>0</v>
      </c>
      <c r="F1442" s="52">
        <f>IF(Data!J1442&lt;=5,Data!J1442,IF(Data!J1442&lt;=10,"6 TO 10","More than 10"))</f>
        <v>2</v>
      </c>
      <c r="G1442" s="52">
        <f t="shared" si="22"/>
        <v>0</v>
      </c>
      <c r="H1442" s="52">
        <f>ROUND(Data!C1442*Data!D1442-Data!E1442,2)</f>
        <v>0</v>
      </c>
      <c r="I1442" s="52">
        <f>IF(AND(OR(Sel_Mode="All",Data!I1442=Sel_Mode),OR(Sel_Gender="All",D1442=Sel_Gender),OR(Sel_Category="All",Data!B1442=Sel_Category),OR(Sel_Month="All",C1442=Sel_Month),OR(Sel_County="All",Data!L1442=Sel_County)),1,0)</f>
        <v>1</v>
      </c>
    </row>
    <row r="1443" spans="1:9" x14ac:dyDescent="0.25">
      <c r="A1443" s="52" t="str">
        <f>Data!A1443</f>
        <v>TX501442</v>
      </c>
      <c r="B1443" s="52">
        <f>MONTH(Data!F1443)</f>
        <v>2</v>
      </c>
      <c r="C1443" s="52" t="str">
        <f>TEXT(Data!F1443,"mmm")</f>
        <v>Feb</v>
      </c>
      <c r="D1443" s="52" t="str">
        <f>Data!O1443</f>
        <v>Female</v>
      </c>
      <c r="E1443" s="52">
        <f>Data!G1443-Data!F1443</f>
        <v>4</v>
      </c>
      <c r="F1443" s="52">
        <f>IF(Data!J1443&lt;=5,Data!J1443,IF(Data!J1443&lt;=10,"6 TO 10","More than 10"))</f>
        <v>3</v>
      </c>
      <c r="G1443" s="52">
        <f t="shared" si="22"/>
        <v>4</v>
      </c>
      <c r="H1443" s="52">
        <f>ROUND(Data!C1443*Data!D1443-Data!E1443,2)</f>
        <v>0</v>
      </c>
      <c r="I1443" s="52">
        <f>IF(AND(OR(Sel_Mode="All",Data!I1443=Sel_Mode),OR(Sel_Gender="All",D1443=Sel_Gender),OR(Sel_Category="All",Data!B1443=Sel_Category),OR(Sel_Month="All",C1443=Sel_Month),OR(Sel_County="All",Data!L1443=Sel_County)),1,0)</f>
        <v>1</v>
      </c>
    </row>
    <row r="1444" spans="1:9" x14ac:dyDescent="0.25">
      <c r="A1444" s="52" t="str">
        <f>Data!A1444</f>
        <v>TX501443</v>
      </c>
      <c r="B1444" s="52">
        <f>MONTH(Data!F1444)</f>
        <v>2</v>
      </c>
      <c r="C1444" s="52" t="str">
        <f>TEXT(Data!F1444,"mmm")</f>
        <v>Feb</v>
      </c>
      <c r="D1444" s="52" t="str">
        <f>Data!O1444</f>
        <v>Female</v>
      </c>
      <c r="E1444" s="52">
        <f>Data!G1444-Data!F1444</f>
        <v>2</v>
      </c>
      <c r="F1444" s="52">
        <f>IF(Data!J1444&lt;=5,Data!J1444,IF(Data!J1444&lt;=10,"6 TO 10","More than 10"))</f>
        <v>5</v>
      </c>
      <c r="G1444" s="52">
        <f t="shared" si="22"/>
        <v>2</v>
      </c>
      <c r="H1444" s="52">
        <f>ROUND(Data!C1444*Data!D1444-Data!E1444,2)</f>
        <v>0</v>
      </c>
      <c r="I1444" s="52">
        <f>IF(AND(OR(Sel_Mode="All",Data!I1444=Sel_Mode),OR(Sel_Gender="All",D1444=Sel_Gender),OR(Sel_Category="All",Data!B1444=Sel_Category),OR(Sel_Month="All",C1444=Sel_Month),OR(Sel_County="All",Data!L1444=Sel_County)),1,0)</f>
        <v>1</v>
      </c>
    </row>
    <row r="1445" spans="1:9" x14ac:dyDescent="0.25">
      <c r="A1445" s="52" t="str">
        <f>Data!A1445</f>
        <v>TX501444</v>
      </c>
      <c r="B1445" s="52">
        <f>MONTH(Data!F1445)</f>
        <v>2</v>
      </c>
      <c r="C1445" s="52" t="str">
        <f>TEXT(Data!F1445,"mmm")</f>
        <v>Feb</v>
      </c>
      <c r="D1445" s="52" t="str">
        <f>Data!O1445</f>
        <v>Female</v>
      </c>
      <c r="E1445" s="52">
        <f>Data!G1445-Data!F1445</f>
        <v>4</v>
      </c>
      <c r="F1445" s="52">
        <f>IF(Data!J1445&lt;=5,Data!J1445,IF(Data!J1445&lt;=10,"6 TO 10","More than 10"))</f>
        <v>4</v>
      </c>
      <c r="G1445" s="52">
        <f t="shared" si="22"/>
        <v>4</v>
      </c>
      <c r="H1445" s="52">
        <f>ROUND(Data!C1445*Data!D1445-Data!E1445,2)</f>
        <v>0</v>
      </c>
      <c r="I1445" s="52">
        <f>IF(AND(OR(Sel_Mode="All",Data!I1445=Sel_Mode),OR(Sel_Gender="All",D1445=Sel_Gender),OR(Sel_Category="All",Data!B1445=Sel_Category),OR(Sel_Month="All",C1445=Sel_Month),OR(Sel_County="All",Data!L1445=Sel_County)),1,0)</f>
        <v>1</v>
      </c>
    </row>
    <row r="1446" spans="1:9" x14ac:dyDescent="0.25">
      <c r="A1446" s="52" t="str">
        <f>Data!A1446</f>
        <v>TX501445</v>
      </c>
      <c r="B1446" s="52">
        <f>MONTH(Data!F1446)</f>
        <v>2</v>
      </c>
      <c r="C1446" s="52" t="str">
        <f>TEXT(Data!F1446,"mmm")</f>
        <v>Feb</v>
      </c>
      <c r="D1446" s="52" t="str">
        <f>Data!O1446</f>
        <v>Male</v>
      </c>
      <c r="E1446" s="52">
        <f>Data!G1446-Data!F1446</f>
        <v>1</v>
      </c>
      <c r="F1446" s="52">
        <f>IF(Data!J1446&lt;=5,Data!J1446,IF(Data!J1446&lt;=10,"6 TO 10","More than 10"))</f>
        <v>4</v>
      </c>
      <c r="G1446" s="52">
        <f t="shared" si="22"/>
        <v>1</v>
      </c>
      <c r="H1446" s="52">
        <f>ROUND(Data!C1446*Data!D1446-Data!E1446,2)</f>
        <v>0</v>
      </c>
      <c r="I1446" s="52">
        <f>IF(AND(OR(Sel_Mode="All",Data!I1446=Sel_Mode),OR(Sel_Gender="All",D1446=Sel_Gender),OR(Sel_Category="All",Data!B1446=Sel_Category),OR(Sel_Month="All",C1446=Sel_Month),OR(Sel_County="All",Data!L1446=Sel_County)),1,0)</f>
        <v>1</v>
      </c>
    </row>
    <row r="1447" spans="1:9" x14ac:dyDescent="0.25">
      <c r="A1447" s="52" t="str">
        <f>Data!A1447</f>
        <v>TX501446</v>
      </c>
      <c r="B1447" s="52">
        <f>MONTH(Data!F1447)</f>
        <v>2</v>
      </c>
      <c r="C1447" s="52" t="str">
        <f>TEXT(Data!F1447,"mmm")</f>
        <v>Feb</v>
      </c>
      <c r="D1447" s="52" t="str">
        <f>Data!O1447</f>
        <v>Female</v>
      </c>
      <c r="E1447" s="52">
        <f>Data!G1447-Data!F1447</f>
        <v>0</v>
      </c>
      <c r="F1447" s="52">
        <f>IF(Data!J1447&lt;=5,Data!J1447,IF(Data!J1447&lt;=10,"6 TO 10","More than 10"))</f>
        <v>4</v>
      </c>
      <c r="G1447" s="52">
        <f t="shared" si="22"/>
        <v>0</v>
      </c>
      <c r="H1447" s="52">
        <f>ROUND(Data!C1447*Data!D1447-Data!E1447,2)</f>
        <v>0</v>
      </c>
      <c r="I1447" s="52">
        <f>IF(AND(OR(Sel_Mode="All",Data!I1447=Sel_Mode),OR(Sel_Gender="All",D1447=Sel_Gender),OR(Sel_Category="All",Data!B1447=Sel_Category),OR(Sel_Month="All",C1447=Sel_Month),OR(Sel_County="All",Data!L1447=Sel_County)),1,0)</f>
        <v>1</v>
      </c>
    </row>
    <row r="1448" spans="1:9" x14ac:dyDescent="0.25">
      <c r="A1448" s="52" t="str">
        <f>Data!A1448</f>
        <v>TX501447</v>
      </c>
      <c r="B1448" s="52">
        <f>MONTH(Data!F1448)</f>
        <v>2</v>
      </c>
      <c r="C1448" s="52" t="str">
        <f>TEXT(Data!F1448,"mmm")</f>
        <v>Feb</v>
      </c>
      <c r="D1448" s="52" t="str">
        <f>Data!O1448</f>
        <v>Male</v>
      </c>
      <c r="E1448" s="52">
        <f>Data!G1448-Data!F1448</f>
        <v>3</v>
      </c>
      <c r="F1448" s="52">
        <f>IF(Data!J1448&lt;=5,Data!J1448,IF(Data!J1448&lt;=10,"6 TO 10","More than 10"))</f>
        <v>3</v>
      </c>
      <c r="G1448" s="52">
        <f t="shared" si="22"/>
        <v>3</v>
      </c>
      <c r="H1448" s="52">
        <f>ROUND(Data!C1448*Data!D1448-Data!E1448,2)</f>
        <v>0</v>
      </c>
      <c r="I1448" s="52">
        <f>IF(AND(OR(Sel_Mode="All",Data!I1448=Sel_Mode),OR(Sel_Gender="All",D1448=Sel_Gender),OR(Sel_Category="All",Data!B1448=Sel_Category),OR(Sel_Month="All",C1448=Sel_Month),OR(Sel_County="All",Data!L1448=Sel_County)),1,0)</f>
        <v>1</v>
      </c>
    </row>
    <row r="1449" spans="1:9" x14ac:dyDescent="0.25">
      <c r="A1449" s="52" t="str">
        <f>Data!A1449</f>
        <v>TX501448</v>
      </c>
      <c r="B1449" s="52">
        <f>MONTH(Data!F1449)</f>
        <v>2</v>
      </c>
      <c r="C1449" s="52" t="str">
        <f>TEXT(Data!F1449,"mmm")</f>
        <v>Feb</v>
      </c>
      <c r="D1449" s="52" t="str">
        <f>Data!O1449</f>
        <v>Unknown</v>
      </c>
      <c r="E1449" s="52">
        <f>Data!G1449-Data!F1449</f>
        <v>1</v>
      </c>
      <c r="F1449" s="52">
        <f>IF(Data!J1449&lt;=5,Data!J1449,IF(Data!J1449&lt;=10,"6 TO 10","More than 10"))</f>
        <v>5</v>
      </c>
      <c r="G1449" s="52">
        <f t="shared" si="22"/>
        <v>1</v>
      </c>
      <c r="H1449" s="52">
        <f>ROUND(Data!C1449*Data!D1449-Data!E1449,2)</f>
        <v>0</v>
      </c>
      <c r="I1449" s="52">
        <f>IF(AND(OR(Sel_Mode="All",Data!I1449=Sel_Mode),OR(Sel_Gender="All",D1449=Sel_Gender),OR(Sel_Category="All",Data!B1449=Sel_Category),OR(Sel_Month="All",C1449=Sel_Month),OR(Sel_County="All",Data!L1449=Sel_County)),1,0)</f>
        <v>1</v>
      </c>
    </row>
    <row r="1450" spans="1:9" x14ac:dyDescent="0.25">
      <c r="A1450" s="52" t="str">
        <f>Data!A1450</f>
        <v>TX501449</v>
      </c>
      <c r="B1450" s="52">
        <f>MONTH(Data!F1450)</f>
        <v>2</v>
      </c>
      <c r="C1450" s="52" t="str">
        <f>TEXT(Data!F1450,"mmm")</f>
        <v>Feb</v>
      </c>
      <c r="D1450" s="52" t="str">
        <f>Data!O1450</f>
        <v>Male</v>
      </c>
      <c r="E1450" s="52">
        <f>Data!G1450-Data!F1450</f>
        <v>5</v>
      </c>
      <c r="F1450" s="52">
        <f>IF(Data!J1450&lt;=5,Data!J1450,IF(Data!J1450&lt;=10,"6 TO 10","More than 10"))</f>
        <v>5</v>
      </c>
      <c r="G1450" s="52">
        <f t="shared" si="22"/>
        <v>5</v>
      </c>
      <c r="H1450" s="52">
        <f>ROUND(Data!C1450*Data!D1450-Data!E1450,2)</f>
        <v>0</v>
      </c>
      <c r="I1450" s="52">
        <f>IF(AND(OR(Sel_Mode="All",Data!I1450=Sel_Mode),OR(Sel_Gender="All",D1450=Sel_Gender),OR(Sel_Category="All",Data!B1450=Sel_Category),OR(Sel_Month="All",C1450=Sel_Month),OR(Sel_County="All",Data!L1450=Sel_County)),1,0)</f>
        <v>1</v>
      </c>
    </row>
    <row r="1451" spans="1:9" x14ac:dyDescent="0.25">
      <c r="A1451" s="52" t="str">
        <f>Data!A1451</f>
        <v>TX501450</v>
      </c>
      <c r="B1451" s="52">
        <f>MONTH(Data!F1451)</f>
        <v>2</v>
      </c>
      <c r="C1451" s="52" t="str">
        <f>TEXT(Data!F1451,"mmm")</f>
        <v>Feb</v>
      </c>
      <c r="D1451" s="52" t="str">
        <f>Data!O1451</f>
        <v>Male</v>
      </c>
      <c r="E1451" s="52">
        <f>Data!G1451-Data!F1451</f>
        <v>1</v>
      </c>
      <c r="F1451" s="52">
        <f>IF(Data!J1451&lt;=5,Data!J1451,IF(Data!J1451&lt;=10,"6 TO 10","More than 10"))</f>
        <v>4</v>
      </c>
      <c r="G1451" s="52">
        <f t="shared" si="22"/>
        <v>1</v>
      </c>
      <c r="H1451" s="52">
        <f>ROUND(Data!C1451*Data!D1451-Data!E1451,2)</f>
        <v>0</v>
      </c>
      <c r="I1451" s="52">
        <f>IF(AND(OR(Sel_Mode="All",Data!I1451=Sel_Mode),OR(Sel_Gender="All",D1451=Sel_Gender),OR(Sel_Category="All",Data!B1451=Sel_Category),OR(Sel_Month="All",C1451=Sel_Month),OR(Sel_County="All",Data!L1451=Sel_County)),1,0)</f>
        <v>1</v>
      </c>
    </row>
    <row r="1452" spans="1:9" x14ac:dyDescent="0.25">
      <c r="A1452" s="52" t="str">
        <f>Data!A1452</f>
        <v>TX501451</v>
      </c>
      <c r="B1452" s="52">
        <f>MONTH(Data!F1452)</f>
        <v>2</v>
      </c>
      <c r="C1452" s="52" t="str">
        <f>TEXT(Data!F1452,"mmm")</f>
        <v>Feb</v>
      </c>
      <c r="D1452" s="52" t="str">
        <f>Data!O1452</f>
        <v>Female</v>
      </c>
      <c r="E1452" s="52">
        <f>Data!G1452-Data!F1452</f>
        <v>2</v>
      </c>
      <c r="F1452" s="52">
        <f>IF(Data!J1452&lt;=5,Data!J1452,IF(Data!J1452&lt;=10,"6 TO 10","More than 10"))</f>
        <v>5</v>
      </c>
      <c r="G1452" s="52">
        <f t="shared" si="22"/>
        <v>2</v>
      </c>
      <c r="H1452" s="52">
        <f>ROUND(Data!C1452*Data!D1452-Data!E1452,2)</f>
        <v>0</v>
      </c>
      <c r="I1452" s="52">
        <f>IF(AND(OR(Sel_Mode="All",Data!I1452=Sel_Mode),OR(Sel_Gender="All",D1452=Sel_Gender),OR(Sel_Category="All",Data!B1452=Sel_Category),OR(Sel_Month="All",C1452=Sel_Month),OR(Sel_County="All",Data!L1452=Sel_County)),1,0)</f>
        <v>1</v>
      </c>
    </row>
    <row r="1453" spans="1:9" x14ac:dyDescent="0.25">
      <c r="A1453" s="52" t="str">
        <f>Data!A1453</f>
        <v>TX501452</v>
      </c>
      <c r="B1453" s="52">
        <f>MONTH(Data!F1453)</f>
        <v>2</v>
      </c>
      <c r="C1453" s="52" t="str">
        <f>TEXT(Data!F1453,"mmm")</f>
        <v>Feb</v>
      </c>
      <c r="D1453" s="52" t="str">
        <f>Data!O1453</f>
        <v>Male</v>
      </c>
      <c r="E1453" s="52">
        <f>Data!G1453-Data!F1453</f>
        <v>2</v>
      </c>
      <c r="F1453" s="52">
        <f>IF(Data!J1453&lt;=5,Data!J1453,IF(Data!J1453&lt;=10,"6 TO 10","More than 10"))</f>
        <v>5</v>
      </c>
      <c r="G1453" s="52">
        <f t="shared" si="22"/>
        <v>2</v>
      </c>
      <c r="H1453" s="52">
        <f>ROUND(Data!C1453*Data!D1453-Data!E1453,2)</f>
        <v>0</v>
      </c>
      <c r="I1453" s="52">
        <f>IF(AND(OR(Sel_Mode="All",Data!I1453=Sel_Mode),OR(Sel_Gender="All",D1453=Sel_Gender),OR(Sel_Category="All",Data!B1453=Sel_Category),OR(Sel_Month="All",C1453=Sel_Month),OR(Sel_County="All",Data!L1453=Sel_County)),1,0)</f>
        <v>1</v>
      </c>
    </row>
    <row r="1454" spans="1:9" x14ac:dyDescent="0.25">
      <c r="A1454" s="52" t="str">
        <f>Data!A1454</f>
        <v>TX501453</v>
      </c>
      <c r="B1454" s="52">
        <f>MONTH(Data!F1454)</f>
        <v>2</v>
      </c>
      <c r="C1454" s="52" t="str">
        <f>TEXT(Data!F1454,"mmm")</f>
        <v>Feb</v>
      </c>
      <c r="D1454" s="52" t="str">
        <f>Data!O1454</f>
        <v>Male</v>
      </c>
      <c r="E1454" s="52">
        <f>Data!G1454-Data!F1454</f>
        <v>0</v>
      </c>
      <c r="F1454" s="52">
        <f>IF(Data!J1454&lt;=5,Data!J1454,IF(Data!J1454&lt;=10,"6 TO 10","More than 10"))</f>
        <v>3</v>
      </c>
      <c r="G1454" s="52">
        <f t="shared" si="22"/>
        <v>0</v>
      </c>
      <c r="H1454" s="52">
        <f>ROUND(Data!C1454*Data!D1454-Data!E1454,2)</f>
        <v>0</v>
      </c>
      <c r="I1454" s="52">
        <f>IF(AND(OR(Sel_Mode="All",Data!I1454=Sel_Mode),OR(Sel_Gender="All",D1454=Sel_Gender),OR(Sel_Category="All",Data!B1454=Sel_Category),OR(Sel_Month="All",C1454=Sel_Month),OR(Sel_County="All",Data!L1454=Sel_County)),1,0)</f>
        <v>1</v>
      </c>
    </row>
    <row r="1455" spans="1:9" x14ac:dyDescent="0.25">
      <c r="A1455" s="52" t="str">
        <f>Data!A1455</f>
        <v>TX501454</v>
      </c>
      <c r="B1455" s="52">
        <f>MONTH(Data!F1455)</f>
        <v>2</v>
      </c>
      <c r="C1455" s="52" t="str">
        <f>TEXT(Data!F1455,"mmm")</f>
        <v>Feb</v>
      </c>
      <c r="D1455" s="52" t="str">
        <f>Data!O1455</f>
        <v>Male</v>
      </c>
      <c r="E1455" s="52">
        <f>Data!G1455-Data!F1455</f>
        <v>3</v>
      </c>
      <c r="F1455" s="52">
        <f>IF(Data!J1455&lt;=5,Data!J1455,IF(Data!J1455&lt;=10,"6 TO 10","More than 10"))</f>
        <v>5</v>
      </c>
      <c r="G1455" s="52">
        <f t="shared" si="22"/>
        <v>3</v>
      </c>
      <c r="H1455" s="52">
        <f>ROUND(Data!C1455*Data!D1455-Data!E1455,2)</f>
        <v>0</v>
      </c>
      <c r="I1455" s="52">
        <f>IF(AND(OR(Sel_Mode="All",Data!I1455=Sel_Mode),OR(Sel_Gender="All",D1455=Sel_Gender),OR(Sel_Category="All",Data!B1455=Sel_Category),OR(Sel_Month="All",C1455=Sel_Month),OR(Sel_County="All",Data!L1455=Sel_County)),1,0)</f>
        <v>1</v>
      </c>
    </row>
    <row r="1456" spans="1:9" x14ac:dyDescent="0.25">
      <c r="A1456" s="52" t="str">
        <f>Data!A1456</f>
        <v>TX501455</v>
      </c>
      <c r="B1456" s="52">
        <f>MONTH(Data!F1456)</f>
        <v>2</v>
      </c>
      <c r="C1456" s="52" t="str">
        <f>TEXT(Data!F1456,"mmm")</f>
        <v>Feb</v>
      </c>
      <c r="D1456" s="52" t="str">
        <f>Data!O1456</f>
        <v>Male</v>
      </c>
      <c r="E1456" s="52">
        <f>Data!G1456-Data!F1456</f>
        <v>1</v>
      </c>
      <c r="F1456" s="52">
        <f>IF(Data!J1456&lt;=5,Data!J1456,IF(Data!J1456&lt;=10,"6 TO 10","More than 10"))</f>
        <v>3</v>
      </c>
      <c r="G1456" s="52">
        <f t="shared" si="22"/>
        <v>1</v>
      </c>
      <c r="H1456" s="52">
        <f>ROUND(Data!C1456*Data!D1456-Data!E1456,2)</f>
        <v>0</v>
      </c>
      <c r="I1456" s="52">
        <f>IF(AND(OR(Sel_Mode="All",Data!I1456=Sel_Mode),OR(Sel_Gender="All",D1456=Sel_Gender),OR(Sel_Category="All",Data!B1456=Sel_Category),OR(Sel_Month="All",C1456=Sel_Month),OR(Sel_County="All",Data!L1456=Sel_County)),1,0)</f>
        <v>1</v>
      </c>
    </row>
    <row r="1457" spans="1:9" x14ac:dyDescent="0.25">
      <c r="A1457" s="52" t="str">
        <f>Data!A1457</f>
        <v>TX501456</v>
      </c>
      <c r="B1457" s="52">
        <f>MONTH(Data!F1457)</f>
        <v>2</v>
      </c>
      <c r="C1457" s="52" t="str">
        <f>TEXT(Data!F1457,"mmm")</f>
        <v>Feb</v>
      </c>
      <c r="D1457" s="52" t="str">
        <f>Data!O1457</f>
        <v>Female</v>
      </c>
      <c r="E1457" s="52">
        <f>Data!G1457-Data!F1457</f>
        <v>2</v>
      </c>
      <c r="F1457" s="52">
        <f>IF(Data!J1457&lt;=5,Data!J1457,IF(Data!J1457&lt;=10,"6 TO 10","More than 10"))</f>
        <v>4</v>
      </c>
      <c r="G1457" s="52">
        <f t="shared" si="22"/>
        <v>2</v>
      </c>
      <c r="H1457" s="52">
        <f>ROUND(Data!C1457*Data!D1457-Data!E1457,2)</f>
        <v>0</v>
      </c>
      <c r="I1457" s="52">
        <f>IF(AND(OR(Sel_Mode="All",Data!I1457=Sel_Mode),OR(Sel_Gender="All",D1457=Sel_Gender),OR(Sel_Category="All",Data!B1457=Sel_Category),OR(Sel_Month="All",C1457=Sel_Month),OR(Sel_County="All",Data!L1457=Sel_County)),1,0)</f>
        <v>1</v>
      </c>
    </row>
    <row r="1458" spans="1:9" x14ac:dyDescent="0.25">
      <c r="A1458" s="52" t="str">
        <f>Data!A1458</f>
        <v>TX501457</v>
      </c>
      <c r="B1458" s="52">
        <f>MONTH(Data!F1458)</f>
        <v>2</v>
      </c>
      <c r="C1458" s="52" t="str">
        <f>TEXT(Data!F1458,"mmm")</f>
        <v>Feb</v>
      </c>
      <c r="D1458" s="52" t="str">
        <f>Data!O1458</f>
        <v>Female</v>
      </c>
      <c r="E1458" s="52">
        <f>Data!G1458-Data!F1458</f>
        <v>1</v>
      </c>
      <c r="F1458" s="52">
        <f>IF(Data!J1458&lt;=5,Data!J1458,IF(Data!J1458&lt;=10,"6 TO 10","More than 10"))</f>
        <v>3</v>
      </c>
      <c r="G1458" s="52">
        <f t="shared" si="22"/>
        <v>1</v>
      </c>
      <c r="H1458" s="52">
        <f>ROUND(Data!C1458*Data!D1458-Data!E1458,2)</f>
        <v>0</v>
      </c>
      <c r="I1458" s="52">
        <f>IF(AND(OR(Sel_Mode="All",Data!I1458=Sel_Mode),OR(Sel_Gender="All",D1458=Sel_Gender),OR(Sel_Category="All",Data!B1458=Sel_Category),OR(Sel_Month="All",C1458=Sel_Month),OR(Sel_County="All",Data!L1458=Sel_County)),1,0)</f>
        <v>1</v>
      </c>
    </row>
    <row r="1459" spans="1:9" x14ac:dyDescent="0.25">
      <c r="A1459" s="52" t="str">
        <f>Data!A1459</f>
        <v>TX501458</v>
      </c>
      <c r="B1459" s="52">
        <f>MONTH(Data!F1459)</f>
        <v>2</v>
      </c>
      <c r="C1459" s="52" t="str">
        <f>TEXT(Data!F1459,"mmm")</f>
        <v>Feb</v>
      </c>
      <c r="D1459" s="52" t="str">
        <f>Data!O1459</f>
        <v>Male</v>
      </c>
      <c r="E1459" s="52">
        <f>Data!G1459-Data!F1459</f>
        <v>1</v>
      </c>
      <c r="F1459" s="52">
        <f>IF(Data!J1459&lt;=5,Data!J1459,IF(Data!J1459&lt;=10,"6 TO 10","More than 10"))</f>
        <v>3</v>
      </c>
      <c r="G1459" s="52">
        <f t="shared" si="22"/>
        <v>1</v>
      </c>
      <c r="H1459" s="52">
        <f>ROUND(Data!C1459*Data!D1459-Data!E1459,2)</f>
        <v>0</v>
      </c>
      <c r="I1459" s="52">
        <f>IF(AND(OR(Sel_Mode="All",Data!I1459=Sel_Mode),OR(Sel_Gender="All",D1459=Sel_Gender),OR(Sel_Category="All",Data!B1459=Sel_Category),OR(Sel_Month="All",C1459=Sel_Month),OR(Sel_County="All",Data!L1459=Sel_County)),1,0)</f>
        <v>1</v>
      </c>
    </row>
    <row r="1460" spans="1:9" x14ac:dyDescent="0.25">
      <c r="A1460" s="52" t="str">
        <f>Data!A1460</f>
        <v>TX501459</v>
      </c>
      <c r="B1460" s="52">
        <f>MONTH(Data!F1460)</f>
        <v>2</v>
      </c>
      <c r="C1460" s="52" t="str">
        <f>TEXT(Data!F1460,"mmm")</f>
        <v>Feb</v>
      </c>
      <c r="D1460" s="52" t="str">
        <f>Data!O1460</f>
        <v>Female</v>
      </c>
      <c r="E1460" s="52">
        <f>Data!G1460-Data!F1460</f>
        <v>1</v>
      </c>
      <c r="F1460" s="52">
        <f>IF(Data!J1460&lt;=5,Data!J1460,IF(Data!J1460&lt;=10,"6 TO 10","More than 10"))</f>
        <v>5</v>
      </c>
      <c r="G1460" s="52">
        <f t="shared" si="22"/>
        <v>1</v>
      </c>
      <c r="H1460" s="52">
        <f>ROUND(Data!C1460*Data!D1460-Data!E1460,2)</f>
        <v>0</v>
      </c>
      <c r="I1460" s="52">
        <f>IF(AND(OR(Sel_Mode="All",Data!I1460=Sel_Mode),OR(Sel_Gender="All",D1460=Sel_Gender),OR(Sel_Category="All",Data!B1460=Sel_Category),OR(Sel_Month="All",C1460=Sel_Month),OR(Sel_County="All",Data!L1460=Sel_County)),1,0)</f>
        <v>1</v>
      </c>
    </row>
    <row r="1461" spans="1:9" x14ac:dyDescent="0.25">
      <c r="A1461" s="52" t="str">
        <f>Data!A1461</f>
        <v>TX501460</v>
      </c>
      <c r="B1461" s="52">
        <f>MONTH(Data!F1461)</f>
        <v>2</v>
      </c>
      <c r="C1461" s="52" t="str">
        <f>TEXT(Data!F1461,"mmm")</f>
        <v>Feb</v>
      </c>
      <c r="D1461" s="52" t="str">
        <f>Data!O1461</f>
        <v>Female</v>
      </c>
      <c r="E1461" s="52">
        <f>Data!G1461-Data!F1461</f>
        <v>8</v>
      </c>
      <c r="F1461" s="52">
        <f>IF(Data!J1461&lt;=5,Data!J1461,IF(Data!J1461&lt;=10,"6 TO 10","More than 10"))</f>
        <v>4</v>
      </c>
      <c r="G1461" s="52" t="str">
        <f t="shared" si="22"/>
        <v>8+</v>
      </c>
      <c r="H1461" s="52">
        <f>ROUND(Data!C1461*Data!D1461-Data!E1461,2)</f>
        <v>0</v>
      </c>
      <c r="I1461" s="52">
        <f>IF(AND(OR(Sel_Mode="All",Data!I1461=Sel_Mode),OR(Sel_Gender="All",D1461=Sel_Gender),OR(Sel_Category="All",Data!B1461=Sel_Category),OR(Sel_Month="All",C1461=Sel_Month),OR(Sel_County="All",Data!L1461=Sel_County)),1,0)</f>
        <v>1</v>
      </c>
    </row>
    <row r="1462" spans="1:9" x14ac:dyDescent="0.25">
      <c r="A1462" s="52" t="str">
        <f>Data!A1462</f>
        <v>TX501461</v>
      </c>
      <c r="B1462" s="52">
        <f>MONTH(Data!F1462)</f>
        <v>2</v>
      </c>
      <c r="C1462" s="52" t="str">
        <f>TEXT(Data!F1462,"mmm")</f>
        <v>Feb</v>
      </c>
      <c r="D1462" s="52" t="str">
        <f>Data!O1462</f>
        <v>Male</v>
      </c>
      <c r="E1462" s="52">
        <f>Data!G1462-Data!F1462</f>
        <v>4</v>
      </c>
      <c r="F1462" s="52">
        <f>IF(Data!J1462&lt;=5,Data!J1462,IF(Data!J1462&lt;=10,"6 TO 10","More than 10"))</f>
        <v>5</v>
      </c>
      <c r="G1462" s="52">
        <f t="shared" si="22"/>
        <v>4</v>
      </c>
      <c r="H1462" s="52">
        <f>ROUND(Data!C1462*Data!D1462-Data!E1462,2)</f>
        <v>0</v>
      </c>
      <c r="I1462" s="52">
        <f>IF(AND(OR(Sel_Mode="All",Data!I1462=Sel_Mode),OR(Sel_Gender="All",D1462=Sel_Gender),OR(Sel_Category="All",Data!B1462=Sel_Category),OR(Sel_Month="All",C1462=Sel_Month),OR(Sel_County="All",Data!L1462=Sel_County)),1,0)</f>
        <v>1</v>
      </c>
    </row>
    <row r="1463" spans="1:9" x14ac:dyDescent="0.25">
      <c r="A1463" s="52" t="str">
        <f>Data!A1463</f>
        <v>TX501462</v>
      </c>
      <c r="B1463" s="52">
        <f>MONTH(Data!F1463)</f>
        <v>2</v>
      </c>
      <c r="C1463" s="52" t="str">
        <f>TEXT(Data!F1463,"mmm")</f>
        <v>Feb</v>
      </c>
      <c r="D1463" s="52" t="str">
        <f>Data!O1463</f>
        <v>Male</v>
      </c>
      <c r="E1463" s="52">
        <f>Data!G1463-Data!F1463</f>
        <v>3</v>
      </c>
      <c r="F1463" s="52">
        <f>IF(Data!J1463&lt;=5,Data!J1463,IF(Data!J1463&lt;=10,"6 TO 10","More than 10"))</f>
        <v>5</v>
      </c>
      <c r="G1463" s="52">
        <f t="shared" si="22"/>
        <v>3</v>
      </c>
      <c r="H1463" s="52">
        <f>ROUND(Data!C1463*Data!D1463-Data!E1463,2)</f>
        <v>0</v>
      </c>
      <c r="I1463" s="52">
        <f>IF(AND(OR(Sel_Mode="All",Data!I1463=Sel_Mode),OR(Sel_Gender="All",D1463=Sel_Gender),OR(Sel_Category="All",Data!B1463=Sel_Category),OR(Sel_Month="All",C1463=Sel_Month),OR(Sel_County="All",Data!L1463=Sel_County)),1,0)</f>
        <v>1</v>
      </c>
    </row>
    <row r="1464" spans="1:9" x14ac:dyDescent="0.25">
      <c r="A1464" s="52" t="str">
        <f>Data!A1464</f>
        <v>TX501463</v>
      </c>
      <c r="B1464" s="52">
        <f>MONTH(Data!F1464)</f>
        <v>2</v>
      </c>
      <c r="C1464" s="52" t="str">
        <f>TEXT(Data!F1464,"mmm")</f>
        <v>Feb</v>
      </c>
      <c r="D1464" s="52" t="str">
        <f>Data!O1464</f>
        <v>Female</v>
      </c>
      <c r="E1464" s="52">
        <f>Data!G1464-Data!F1464</f>
        <v>3</v>
      </c>
      <c r="F1464" s="52">
        <f>IF(Data!J1464&lt;=5,Data!J1464,IF(Data!J1464&lt;=10,"6 TO 10","More than 10"))</f>
        <v>5</v>
      </c>
      <c r="G1464" s="52">
        <f t="shared" si="22"/>
        <v>3</v>
      </c>
      <c r="H1464" s="52">
        <f>ROUND(Data!C1464*Data!D1464-Data!E1464,2)</f>
        <v>0</v>
      </c>
      <c r="I1464" s="52">
        <f>IF(AND(OR(Sel_Mode="All",Data!I1464=Sel_Mode),OR(Sel_Gender="All",D1464=Sel_Gender),OR(Sel_Category="All",Data!B1464=Sel_Category),OR(Sel_Month="All",C1464=Sel_Month),OR(Sel_County="All",Data!L1464=Sel_County)),1,0)</f>
        <v>1</v>
      </c>
    </row>
    <row r="1465" spans="1:9" x14ac:dyDescent="0.25">
      <c r="A1465" s="52" t="str">
        <f>Data!A1465</f>
        <v>TX501464</v>
      </c>
      <c r="B1465" s="52">
        <f>MONTH(Data!F1465)</f>
        <v>2</v>
      </c>
      <c r="C1465" s="52" t="str">
        <f>TEXT(Data!F1465,"mmm")</f>
        <v>Feb</v>
      </c>
      <c r="D1465" s="52" t="str">
        <f>Data!O1465</f>
        <v>Unknown</v>
      </c>
      <c r="E1465" s="52">
        <f>Data!G1465-Data!F1465</f>
        <v>5</v>
      </c>
      <c r="F1465" s="52">
        <f>IF(Data!J1465&lt;=5,Data!J1465,IF(Data!J1465&lt;=10,"6 TO 10","More than 10"))</f>
        <v>1</v>
      </c>
      <c r="G1465" s="52">
        <f t="shared" si="22"/>
        <v>5</v>
      </c>
      <c r="H1465" s="52">
        <f>ROUND(Data!C1465*Data!D1465-Data!E1465,2)</f>
        <v>0</v>
      </c>
      <c r="I1465" s="52">
        <f>IF(AND(OR(Sel_Mode="All",Data!I1465=Sel_Mode),OR(Sel_Gender="All",D1465=Sel_Gender),OR(Sel_Category="All",Data!B1465=Sel_Category),OR(Sel_Month="All",C1465=Sel_Month),OR(Sel_County="All",Data!L1465=Sel_County)),1,0)</f>
        <v>1</v>
      </c>
    </row>
    <row r="1466" spans="1:9" x14ac:dyDescent="0.25">
      <c r="A1466" s="52" t="str">
        <f>Data!A1466</f>
        <v>TX501465</v>
      </c>
      <c r="B1466" s="52">
        <f>MONTH(Data!F1466)</f>
        <v>2</v>
      </c>
      <c r="C1466" s="52" t="str">
        <f>TEXT(Data!F1466,"mmm")</f>
        <v>Feb</v>
      </c>
      <c r="D1466" s="52" t="str">
        <f>Data!O1466</f>
        <v>Unknown</v>
      </c>
      <c r="E1466" s="52">
        <f>Data!G1466-Data!F1466</f>
        <v>1</v>
      </c>
      <c r="F1466" s="52">
        <f>IF(Data!J1466&lt;=5,Data!J1466,IF(Data!J1466&lt;=10,"6 TO 10","More than 10"))</f>
        <v>4</v>
      </c>
      <c r="G1466" s="52">
        <f t="shared" si="22"/>
        <v>1</v>
      </c>
      <c r="H1466" s="52">
        <f>ROUND(Data!C1466*Data!D1466-Data!E1466,2)</f>
        <v>0</v>
      </c>
      <c r="I1466" s="52">
        <f>IF(AND(OR(Sel_Mode="All",Data!I1466=Sel_Mode),OR(Sel_Gender="All",D1466=Sel_Gender),OR(Sel_Category="All",Data!B1466=Sel_Category),OR(Sel_Month="All",C1466=Sel_Month),OR(Sel_County="All",Data!L1466=Sel_County)),1,0)</f>
        <v>1</v>
      </c>
    </row>
    <row r="1467" spans="1:9" x14ac:dyDescent="0.25">
      <c r="A1467" s="52" t="str">
        <f>Data!A1467</f>
        <v>TX501466</v>
      </c>
      <c r="B1467" s="52">
        <f>MONTH(Data!F1467)</f>
        <v>2</v>
      </c>
      <c r="C1467" s="52" t="str">
        <f>TEXT(Data!F1467,"mmm")</f>
        <v>Feb</v>
      </c>
      <c r="D1467" s="52" t="str">
        <f>Data!O1467</f>
        <v>Male</v>
      </c>
      <c r="E1467" s="52">
        <f>Data!G1467-Data!F1467</f>
        <v>0</v>
      </c>
      <c r="F1467" s="52">
        <f>IF(Data!J1467&lt;=5,Data!J1467,IF(Data!J1467&lt;=10,"6 TO 10","More than 10"))</f>
        <v>4</v>
      </c>
      <c r="G1467" s="52">
        <f t="shared" si="22"/>
        <v>0</v>
      </c>
      <c r="H1467" s="52">
        <f>ROUND(Data!C1467*Data!D1467-Data!E1467,2)</f>
        <v>0</v>
      </c>
      <c r="I1467" s="52">
        <f>IF(AND(OR(Sel_Mode="All",Data!I1467=Sel_Mode),OR(Sel_Gender="All",D1467=Sel_Gender),OR(Sel_Category="All",Data!B1467=Sel_Category),OR(Sel_Month="All",C1467=Sel_Month),OR(Sel_County="All",Data!L1467=Sel_County)),1,0)</f>
        <v>1</v>
      </c>
    </row>
    <row r="1468" spans="1:9" x14ac:dyDescent="0.25">
      <c r="A1468" s="52" t="str">
        <f>Data!A1468</f>
        <v>TX501467</v>
      </c>
      <c r="B1468" s="52">
        <f>MONTH(Data!F1468)</f>
        <v>2</v>
      </c>
      <c r="C1468" s="52" t="str">
        <f>TEXT(Data!F1468,"mmm")</f>
        <v>Feb</v>
      </c>
      <c r="D1468" s="52" t="str">
        <f>Data!O1468</f>
        <v>Male</v>
      </c>
      <c r="E1468" s="52">
        <f>Data!G1468-Data!F1468</f>
        <v>1</v>
      </c>
      <c r="F1468" s="52">
        <f>IF(Data!J1468&lt;=5,Data!J1468,IF(Data!J1468&lt;=10,"6 TO 10","More than 10"))</f>
        <v>5</v>
      </c>
      <c r="G1468" s="52">
        <f t="shared" si="22"/>
        <v>1</v>
      </c>
      <c r="H1468" s="52">
        <f>ROUND(Data!C1468*Data!D1468-Data!E1468,2)</f>
        <v>0</v>
      </c>
      <c r="I1468" s="52">
        <f>IF(AND(OR(Sel_Mode="All",Data!I1468=Sel_Mode),OR(Sel_Gender="All",D1468=Sel_Gender),OR(Sel_Category="All",Data!B1468=Sel_Category),OR(Sel_Month="All",C1468=Sel_Month),OR(Sel_County="All",Data!L1468=Sel_County)),1,0)</f>
        <v>1</v>
      </c>
    </row>
    <row r="1469" spans="1:9" x14ac:dyDescent="0.25">
      <c r="A1469" s="52" t="str">
        <f>Data!A1469</f>
        <v>TX501468</v>
      </c>
      <c r="B1469" s="52">
        <f>MONTH(Data!F1469)</f>
        <v>2</v>
      </c>
      <c r="C1469" s="52" t="str">
        <f>TEXT(Data!F1469,"mmm")</f>
        <v>Feb</v>
      </c>
      <c r="D1469" s="52" t="str">
        <f>Data!O1469</f>
        <v>Male</v>
      </c>
      <c r="E1469" s="52">
        <f>Data!G1469-Data!F1469</f>
        <v>4</v>
      </c>
      <c r="F1469" s="52">
        <f>IF(Data!J1469&lt;=5,Data!J1469,IF(Data!J1469&lt;=10,"6 TO 10","More than 10"))</f>
        <v>5</v>
      </c>
      <c r="G1469" s="52">
        <f t="shared" si="22"/>
        <v>4</v>
      </c>
      <c r="H1469" s="52">
        <f>ROUND(Data!C1469*Data!D1469-Data!E1469,2)</f>
        <v>0</v>
      </c>
      <c r="I1469" s="52">
        <f>IF(AND(OR(Sel_Mode="All",Data!I1469=Sel_Mode),OR(Sel_Gender="All",D1469=Sel_Gender),OR(Sel_Category="All",Data!B1469=Sel_Category),OR(Sel_Month="All",C1469=Sel_Month),OR(Sel_County="All",Data!L1469=Sel_County)),1,0)</f>
        <v>1</v>
      </c>
    </row>
    <row r="1470" spans="1:9" x14ac:dyDescent="0.25">
      <c r="A1470" s="52" t="str">
        <f>Data!A1470</f>
        <v>TX501469</v>
      </c>
      <c r="B1470" s="52">
        <f>MONTH(Data!F1470)</f>
        <v>2</v>
      </c>
      <c r="C1470" s="52" t="str">
        <f>TEXT(Data!F1470,"mmm")</f>
        <v>Feb</v>
      </c>
      <c r="D1470" s="52" t="str">
        <f>Data!O1470</f>
        <v>Female</v>
      </c>
      <c r="E1470" s="52">
        <f>Data!G1470-Data!F1470</f>
        <v>1</v>
      </c>
      <c r="F1470" s="52">
        <f>IF(Data!J1470&lt;=5,Data!J1470,IF(Data!J1470&lt;=10,"6 TO 10","More than 10"))</f>
        <v>5</v>
      </c>
      <c r="G1470" s="52">
        <f t="shared" si="22"/>
        <v>1</v>
      </c>
      <c r="H1470" s="52">
        <f>ROUND(Data!C1470*Data!D1470-Data!E1470,2)</f>
        <v>0</v>
      </c>
      <c r="I1470" s="52">
        <f>IF(AND(OR(Sel_Mode="All",Data!I1470=Sel_Mode),OR(Sel_Gender="All",D1470=Sel_Gender),OR(Sel_Category="All",Data!B1470=Sel_Category),OR(Sel_Month="All",C1470=Sel_Month),OR(Sel_County="All",Data!L1470=Sel_County)),1,0)</f>
        <v>1</v>
      </c>
    </row>
    <row r="1471" spans="1:9" x14ac:dyDescent="0.25">
      <c r="A1471" s="52" t="str">
        <f>Data!A1471</f>
        <v>TX501470</v>
      </c>
      <c r="B1471" s="52">
        <f>MONTH(Data!F1471)</f>
        <v>2</v>
      </c>
      <c r="C1471" s="52" t="str">
        <f>TEXT(Data!F1471,"mmm")</f>
        <v>Feb</v>
      </c>
      <c r="D1471" s="52" t="str">
        <f>Data!O1471</f>
        <v>Female</v>
      </c>
      <c r="E1471" s="52">
        <f>Data!G1471-Data!F1471</f>
        <v>1</v>
      </c>
      <c r="F1471" s="52">
        <f>IF(Data!J1471&lt;=5,Data!J1471,IF(Data!J1471&lt;=10,"6 TO 10","More than 10"))</f>
        <v>4</v>
      </c>
      <c r="G1471" s="52">
        <f t="shared" si="22"/>
        <v>1</v>
      </c>
      <c r="H1471" s="52">
        <f>ROUND(Data!C1471*Data!D1471-Data!E1471,2)</f>
        <v>0</v>
      </c>
      <c r="I1471" s="52">
        <f>IF(AND(OR(Sel_Mode="All",Data!I1471=Sel_Mode),OR(Sel_Gender="All",D1471=Sel_Gender),OR(Sel_Category="All",Data!B1471=Sel_Category),OR(Sel_Month="All",C1471=Sel_Month),OR(Sel_County="All",Data!L1471=Sel_County)),1,0)</f>
        <v>1</v>
      </c>
    </row>
    <row r="1472" spans="1:9" x14ac:dyDescent="0.25">
      <c r="A1472" s="52" t="str">
        <f>Data!A1472</f>
        <v>TX501471</v>
      </c>
      <c r="B1472" s="52">
        <f>MONTH(Data!F1472)</f>
        <v>2</v>
      </c>
      <c r="C1472" s="52" t="str">
        <f>TEXT(Data!F1472,"mmm")</f>
        <v>Feb</v>
      </c>
      <c r="D1472" s="52" t="str">
        <f>Data!O1472</f>
        <v>Male</v>
      </c>
      <c r="E1472" s="52">
        <f>Data!G1472-Data!F1472</f>
        <v>3</v>
      </c>
      <c r="F1472" s="52">
        <f>IF(Data!J1472&lt;=5,Data!J1472,IF(Data!J1472&lt;=10,"6 TO 10","More than 10"))</f>
        <v>5</v>
      </c>
      <c r="G1472" s="52">
        <f t="shared" si="22"/>
        <v>3</v>
      </c>
      <c r="H1472" s="52">
        <f>ROUND(Data!C1472*Data!D1472-Data!E1472,2)</f>
        <v>0</v>
      </c>
      <c r="I1472" s="52">
        <f>IF(AND(OR(Sel_Mode="All",Data!I1472=Sel_Mode),OR(Sel_Gender="All",D1472=Sel_Gender),OR(Sel_Category="All",Data!B1472=Sel_Category),OR(Sel_Month="All",C1472=Sel_Month),OR(Sel_County="All",Data!L1472=Sel_County)),1,0)</f>
        <v>1</v>
      </c>
    </row>
    <row r="1473" spans="1:9" x14ac:dyDescent="0.25">
      <c r="A1473" s="52" t="str">
        <f>Data!A1473</f>
        <v>TX501472</v>
      </c>
      <c r="B1473" s="52">
        <f>MONTH(Data!F1473)</f>
        <v>2</v>
      </c>
      <c r="C1473" s="52" t="str">
        <f>TEXT(Data!F1473,"mmm")</f>
        <v>Feb</v>
      </c>
      <c r="D1473" s="52" t="str">
        <f>Data!O1473</f>
        <v>Female</v>
      </c>
      <c r="E1473" s="52">
        <f>Data!G1473-Data!F1473</f>
        <v>2</v>
      </c>
      <c r="F1473" s="52">
        <f>IF(Data!J1473&lt;=5,Data!J1473,IF(Data!J1473&lt;=10,"6 TO 10","More than 10"))</f>
        <v>4</v>
      </c>
      <c r="G1473" s="52">
        <f t="shared" si="22"/>
        <v>2</v>
      </c>
      <c r="H1473" s="52">
        <f>ROUND(Data!C1473*Data!D1473-Data!E1473,2)</f>
        <v>0</v>
      </c>
      <c r="I1473" s="52">
        <f>IF(AND(OR(Sel_Mode="All",Data!I1473=Sel_Mode),OR(Sel_Gender="All",D1473=Sel_Gender),OR(Sel_Category="All",Data!B1473=Sel_Category),OR(Sel_Month="All",C1473=Sel_Month),OR(Sel_County="All",Data!L1473=Sel_County)),1,0)</f>
        <v>1</v>
      </c>
    </row>
    <row r="1474" spans="1:9" x14ac:dyDescent="0.25">
      <c r="A1474" s="52" t="str">
        <f>Data!A1474</f>
        <v>TX501473</v>
      </c>
      <c r="B1474" s="52">
        <f>MONTH(Data!F1474)</f>
        <v>2</v>
      </c>
      <c r="C1474" s="52" t="str">
        <f>TEXT(Data!F1474,"mmm")</f>
        <v>Feb</v>
      </c>
      <c r="D1474" s="52" t="str">
        <f>Data!O1474</f>
        <v>Male</v>
      </c>
      <c r="E1474" s="52">
        <f>Data!G1474-Data!F1474</f>
        <v>4</v>
      </c>
      <c r="F1474" s="52">
        <f>IF(Data!J1474&lt;=5,Data!J1474,IF(Data!J1474&lt;=10,"6 TO 10","More than 10"))</f>
        <v>5</v>
      </c>
      <c r="G1474" s="52">
        <f t="shared" ref="G1474:G1537" si="23">IF(E1474&gt;=8,"8+",E1474)</f>
        <v>4</v>
      </c>
      <c r="H1474" s="52">
        <f>ROUND(Data!C1474*Data!D1474-Data!E1474,2)</f>
        <v>0</v>
      </c>
      <c r="I1474" s="52">
        <f>IF(AND(OR(Sel_Mode="All",Data!I1474=Sel_Mode),OR(Sel_Gender="All",D1474=Sel_Gender),OR(Sel_Category="All",Data!B1474=Sel_Category),OR(Sel_Month="All",C1474=Sel_Month),OR(Sel_County="All",Data!L1474=Sel_County)),1,0)</f>
        <v>1</v>
      </c>
    </row>
    <row r="1475" spans="1:9" x14ac:dyDescent="0.25">
      <c r="A1475" s="52" t="str">
        <f>Data!A1475</f>
        <v>TX501474</v>
      </c>
      <c r="B1475" s="52">
        <f>MONTH(Data!F1475)</f>
        <v>2</v>
      </c>
      <c r="C1475" s="52" t="str">
        <f>TEXT(Data!F1475,"mmm")</f>
        <v>Feb</v>
      </c>
      <c r="D1475" s="52" t="str">
        <f>Data!O1475</f>
        <v>Male</v>
      </c>
      <c r="E1475" s="52">
        <f>Data!G1475-Data!F1475</f>
        <v>0</v>
      </c>
      <c r="F1475" s="52">
        <f>IF(Data!J1475&lt;=5,Data!J1475,IF(Data!J1475&lt;=10,"6 TO 10","More than 10"))</f>
        <v>5</v>
      </c>
      <c r="G1475" s="52">
        <f t="shared" si="23"/>
        <v>0</v>
      </c>
      <c r="H1475" s="52">
        <f>ROUND(Data!C1475*Data!D1475-Data!E1475,2)</f>
        <v>0</v>
      </c>
      <c r="I1475" s="52">
        <f>IF(AND(OR(Sel_Mode="All",Data!I1475=Sel_Mode),OR(Sel_Gender="All",D1475=Sel_Gender),OR(Sel_Category="All",Data!B1475=Sel_Category),OR(Sel_Month="All",C1475=Sel_Month),OR(Sel_County="All",Data!L1475=Sel_County)),1,0)</f>
        <v>1</v>
      </c>
    </row>
    <row r="1476" spans="1:9" x14ac:dyDescent="0.25">
      <c r="A1476" s="52" t="str">
        <f>Data!A1476</f>
        <v>TX501475</v>
      </c>
      <c r="B1476" s="52">
        <f>MONTH(Data!F1476)</f>
        <v>2</v>
      </c>
      <c r="C1476" s="52" t="str">
        <f>TEXT(Data!F1476,"mmm")</f>
        <v>Feb</v>
      </c>
      <c r="D1476" s="52" t="str">
        <f>Data!O1476</f>
        <v>Female</v>
      </c>
      <c r="E1476" s="52">
        <f>Data!G1476-Data!F1476</f>
        <v>3</v>
      </c>
      <c r="F1476" s="52">
        <f>IF(Data!J1476&lt;=5,Data!J1476,IF(Data!J1476&lt;=10,"6 TO 10","More than 10"))</f>
        <v>3</v>
      </c>
      <c r="G1476" s="52">
        <f t="shared" si="23"/>
        <v>3</v>
      </c>
      <c r="H1476" s="52">
        <f>ROUND(Data!C1476*Data!D1476-Data!E1476,2)</f>
        <v>0</v>
      </c>
      <c r="I1476" s="52">
        <f>IF(AND(OR(Sel_Mode="All",Data!I1476=Sel_Mode),OR(Sel_Gender="All",D1476=Sel_Gender),OR(Sel_Category="All",Data!B1476=Sel_Category),OR(Sel_Month="All",C1476=Sel_Month),OR(Sel_County="All",Data!L1476=Sel_County)),1,0)</f>
        <v>1</v>
      </c>
    </row>
    <row r="1477" spans="1:9" x14ac:dyDescent="0.25">
      <c r="A1477" s="52" t="str">
        <f>Data!A1477</f>
        <v>TX501476</v>
      </c>
      <c r="B1477" s="52">
        <f>MONTH(Data!F1477)</f>
        <v>2</v>
      </c>
      <c r="C1477" s="52" t="str">
        <f>TEXT(Data!F1477,"mmm")</f>
        <v>Feb</v>
      </c>
      <c r="D1477" s="52" t="str">
        <f>Data!O1477</f>
        <v>Male</v>
      </c>
      <c r="E1477" s="52">
        <f>Data!G1477-Data!F1477</f>
        <v>1</v>
      </c>
      <c r="F1477" s="52">
        <f>IF(Data!J1477&lt;=5,Data!J1477,IF(Data!J1477&lt;=10,"6 TO 10","More than 10"))</f>
        <v>4</v>
      </c>
      <c r="G1477" s="52">
        <f t="shared" si="23"/>
        <v>1</v>
      </c>
      <c r="H1477" s="52">
        <f>ROUND(Data!C1477*Data!D1477-Data!E1477,2)</f>
        <v>0</v>
      </c>
      <c r="I1477" s="52">
        <f>IF(AND(OR(Sel_Mode="All",Data!I1477=Sel_Mode),OR(Sel_Gender="All",D1477=Sel_Gender),OR(Sel_Category="All",Data!B1477=Sel_Category),OR(Sel_Month="All",C1477=Sel_Month),OR(Sel_County="All",Data!L1477=Sel_County)),1,0)</f>
        <v>1</v>
      </c>
    </row>
    <row r="1478" spans="1:9" x14ac:dyDescent="0.25">
      <c r="A1478" s="52" t="str">
        <f>Data!A1478</f>
        <v>TX501477</v>
      </c>
      <c r="B1478" s="52">
        <f>MONTH(Data!F1478)</f>
        <v>2</v>
      </c>
      <c r="C1478" s="52" t="str">
        <f>TEXT(Data!F1478,"mmm")</f>
        <v>Feb</v>
      </c>
      <c r="D1478" s="52" t="str">
        <f>Data!O1478</f>
        <v>Female</v>
      </c>
      <c r="E1478" s="52">
        <f>Data!G1478-Data!F1478</f>
        <v>7</v>
      </c>
      <c r="F1478" s="52">
        <f>IF(Data!J1478&lt;=5,Data!J1478,IF(Data!J1478&lt;=10,"6 TO 10","More than 10"))</f>
        <v>2</v>
      </c>
      <c r="G1478" s="52">
        <f t="shared" si="23"/>
        <v>7</v>
      </c>
      <c r="H1478" s="52">
        <f>ROUND(Data!C1478*Data!D1478-Data!E1478,2)</f>
        <v>0</v>
      </c>
      <c r="I1478" s="52">
        <f>IF(AND(OR(Sel_Mode="All",Data!I1478=Sel_Mode),OR(Sel_Gender="All",D1478=Sel_Gender),OR(Sel_Category="All",Data!B1478=Sel_Category),OR(Sel_Month="All",C1478=Sel_Month),OR(Sel_County="All",Data!L1478=Sel_County)),1,0)</f>
        <v>1</v>
      </c>
    </row>
    <row r="1479" spans="1:9" x14ac:dyDescent="0.25">
      <c r="A1479" s="52" t="str">
        <f>Data!A1479</f>
        <v>TX501478</v>
      </c>
      <c r="B1479" s="52">
        <f>MONTH(Data!F1479)</f>
        <v>2</v>
      </c>
      <c r="C1479" s="52" t="str">
        <f>TEXT(Data!F1479,"mmm")</f>
        <v>Feb</v>
      </c>
      <c r="D1479" s="52" t="str">
        <f>Data!O1479</f>
        <v>Male</v>
      </c>
      <c r="E1479" s="52">
        <f>Data!G1479-Data!F1479</f>
        <v>4</v>
      </c>
      <c r="F1479" s="52">
        <f>IF(Data!J1479&lt;=5,Data!J1479,IF(Data!J1479&lt;=10,"6 TO 10","More than 10"))</f>
        <v>3</v>
      </c>
      <c r="G1479" s="52">
        <f t="shared" si="23"/>
        <v>4</v>
      </c>
      <c r="H1479" s="52">
        <f>ROUND(Data!C1479*Data!D1479-Data!E1479,2)</f>
        <v>0</v>
      </c>
      <c r="I1479" s="52">
        <f>IF(AND(OR(Sel_Mode="All",Data!I1479=Sel_Mode),OR(Sel_Gender="All",D1479=Sel_Gender),OR(Sel_Category="All",Data!B1479=Sel_Category),OR(Sel_Month="All",C1479=Sel_Month),OR(Sel_County="All",Data!L1479=Sel_County)),1,0)</f>
        <v>1</v>
      </c>
    </row>
    <row r="1480" spans="1:9" x14ac:dyDescent="0.25">
      <c r="A1480" s="52" t="str">
        <f>Data!A1480</f>
        <v>TX501479</v>
      </c>
      <c r="B1480" s="52">
        <f>MONTH(Data!F1480)</f>
        <v>2</v>
      </c>
      <c r="C1480" s="52" t="str">
        <f>TEXT(Data!F1480,"mmm")</f>
        <v>Feb</v>
      </c>
      <c r="D1480" s="52" t="str">
        <f>Data!O1480</f>
        <v>Female</v>
      </c>
      <c r="E1480" s="52">
        <f>Data!G1480-Data!F1480</f>
        <v>2</v>
      </c>
      <c r="F1480" s="52">
        <f>IF(Data!J1480&lt;=5,Data!J1480,IF(Data!J1480&lt;=10,"6 TO 10","More than 10"))</f>
        <v>5</v>
      </c>
      <c r="G1480" s="52">
        <f t="shared" si="23"/>
        <v>2</v>
      </c>
      <c r="H1480" s="52">
        <f>ROUND(Data!C1480*Data!D1480-Data!E1480,2)</f>
        <v>0</v>
      </c>
      <c r="I1480" s="52">
        <f>IF(AND(OR(Sel_Mode="All",Data!I1480=Sel_Mode),OR(Sel_Gender="All",D1480=Sel_Gender),OR(Sel_Category="All",Data!B1480=Sel_Category),OR(Sel_Month="All",C1480=Sel_Month),OR(Sel_County="All",Data!L1480=Sel_County)),1,0)</f>
        <v>1</v>
      </c>
    </row>
    <row r="1481" spans="1:9" x14ac:dyDescent="0.25">
      <c r="A1481" s="52" t="str">
        <f>Data!A1481</f>
        <v>TX501480</v>
      </c>
      <c r="B1481" s="52">
        <f>MONTH(Data!F1481)</f>
        <v>2</v>
      </c>
      <c r="C1481" s="52" t="str">
        <f>TEXT(Data!F1481,"mmm")</f>
        <v>Feb</v>
      </c>
      <c r="D1481" s="52" t="str">
        <f>Data!O1481</f>
        <v>Female</v>
      </c>
      <c r="E1481" s="52">
        <f>Data!G1481-Data!F1481</f>
        <v>5</v>
      </c>
      <c r="F1481" s="52">
        <f>IF(Data!J1481&lt;=5,Data!J1481,IF(Data!J1481&lt;=10,"6 TO 10","More than 10"))</f>
        <v>3</v>
      </c>
      <c r="G1481" s="52">
        <f t="shared" si="23"/>
        <v>5</v>
      </c>
      <c r="H1481" s="52">
        <f>ROUND(Data!C1481*Data!D1481-Data!E1481,2)</f>
        <v>0</v>
      </c>
      <c r="I1481" s="52">
        <f>IF(AND(OR(Sel_Mode="All",Data!I1481=Sel_Mode),OR(Sel_Gender="All",D1481=Sel_Gender),OR(Sel_Category="All",Data!B1481=Sel_Category),OR(Sel_Month="All",C1481=Sel_Month),OR(Sel_County="All",Data!L1481=Sel_County)),1,0)</f>
        <v>1</v>
      </c>
    </row>
    <row r="1482" spans="1:9" x14ac:dyDescent="0.25">
      <c r="A1482" s="52" t="str">
        <f>Data!A1482</f>
        <v>TX501481</v>
      </c>
      <c r="B1482" s="52">
        <f>MONTH(Data!F1482)</f>
        <v>2</v>
      </c>
      <c r="C1482" s="52" t="str">
        <f>TEXT(Data!F1482,"mmm")</f>
        <v>Feb</v>
      </c>
      <c r="D1482" s="52" t="str">
        <f>Data!O1482</f>
        <v>Male</v>
      </c>
      <c r="E1482" s="52">
        <f>Data!G1482-Data!F1482</f>
        <v>0</v>
      </c>
      <c r="F1482" s="52">
        <f>IF(Data!J1482&lt;=5,Data!J1482,IF(Data!J1482&lt;=10,"6 TO 10","More than 10"))</f>
        <v>4</v>
      </c>
      <c r="G1482" s="52">
        <f t="shared" si="23"/>
        <v>0</v>
      </c>
      <c r="H1482" s="52">
        <f>ROUND(Data!C1482*Data!D1482-Data!E1482,2)</f>
        <v>0</v>
      </c>
      <c r="I1482" s="52">
        <f>IF(AND(OR(Sel_Mode="All",Data!I1482=Sel_Mode),OR(Sel_Gender="All",D1482=Sel_Gender),OR(Sel_Category="All",Data!B1482=Sel_Category),OR(Sel_Month="All",C1482=Sel_Month),OR(Sel_County="All",Data!L1482=Sel_County)),1,0)</f>
        <v>1</v>
      </c>
    </row>
    <row r="1483" spans="1:9" x14ac:dyDescent="0.25">
      <c r="A1483" s="52" t="str">
        <f>Data!A1483</f>
        <v>TX501482</v>
      </c>
      <c r="B1483" s="52">
        <f>MONTH(Data!F1483)</f>
        <v>2</v>
      </c>
      <c r="C1483" s="52" t="str">
        <f>TEXT(Data!F1483,"mmm")</f>
        <v>Feb</v>
      </c>
      <c r="D1483" s="52" t="str">
        <f>Data!O1483</f>
        <v>Female</v>
      </c>
      <c r="E1483" s="52">
        <f>Data!G1483-Data!F1483</f>
        <v>3</v>
      </c>
      <c r="F1483" s="52">
        <f>IF(Data!J1483&lt;=5,Data!J1483,IF(Data!J1483&lt;=10,"6 TO 10","More than 10"))</f>
        <v>5</v>
      </c>
      <c r="G1483" s="52">
        <f t="shared" si="23"/>
        <v>3</v>
      </c>
      <c r="H1483" s="52">
        <f>ROUND(Data!C1483*Data!D1483-Data!E1483,2)</f>
        <v>0</v>
      </c>
      <c r="I1483" s="52">
        <f>IF(AND(OR(Sel_Mode="All",Data!I1483=Sel_Mode),OR(Sel_Gender="All",D1483=Sel_Gender),OR(Sel_Category="All",Data!B1483=Sel_Category),OR(Sel_Month="All",C1483=Sel_Month),OR(Sel_County="All",Data!L1483=Sel_County)),1,0)</f>
        <v>1</v>
      </c>
    </row>
    <row r="1484" spans="1:9" x14ac:dyDescent="0.25">
      <c r="A1484" s="52" t="str">
        <f>Data!A1484</f>
        <v>TX501483</v>
      </c>
      <c r="B1484" s="52">
        <f>MONTH(Data!F1484)</f>
        <v>2</v>
      </c>
      <c r="C1484" s="52" t="str">
        <f>TEXT(Data!F1484,"mmm")</f>
        <v>Feb</v>
      </c>
      <c r="D1484" s="52" t="str">
        <f>Data!O1484</f>
        <v>Male</v>
      </c>
      <c r="E1484" s="52">
        <f>Data!G1484-Data!F1484</f>
        <v>1</v>
      </c>
      <c r="F1484" s="52">
        <f>IF(Data!J1484&lt;=5,Data!J1484,IF(Data!J1484&lt;=10,"6 TO 10","More than 10"))</f>
        <v>5</v>
      </c>
      <c r="G1484" s="52">
        <f t="shared" si="23"/>
        <v>1</v>
      </c>
      <c r="H1484" s="52">
        <f>ROUND(Data!C1484*Data!D1484-Data!E1484,2)</f>
        <v>0</v>
      </c>
      <c r="I1484" s="52">
        <f>IF(AND(OR(Sel_Mode="All",Data!I1484=Sel_Mode),OR(Sel_Gender="All",D1484=Sel_Gender),OR(Sel_Category="All",Data!B1484=Sel_Category),OR(Sel_Month="All",C1484=Sel_Month),OR(Sel_County="All",Data!L1484=Sel_County)),1,0)</f>
        <v>1</v>
      </c>
    </row>
    <row r="1485" spans="1:9" x14ac:dyDescent="0.25">
      <c r="A1485" s="52" t="str">
        <f>Data!A1485</f>
        <v>TX501484</v>
      </c>
      <c r="B1485" s="52">
        <f>MONTH(Data!F1485)</f>
        <v>2</v>
      </c>
      <c r="C1485" s="52" t="str">
        <f>TEXT(Data!F1485,"mmm")</f>
        <v>Feb</v>
      </c>
      <c r="D1485" s="52" t="str">
        <f>Data!O1485</f>
        <v>Female</v>
      </c>
      <c r="E1485" s="52">
        <f>Data!G1485-Data!F1485</f>
        <v>1</v>
      </c>
      <c r="F1485" s="52">
        <f>IF(Data!J1485&lt;=5,Data!J1485,IF(Data!J1485&lt;=10,"6 TO 10","More than 10"))</f>
        <v>5</v>
      </c>
      <c r="G1485" s="52">
        <f t="shared" si="23"/>
        <v>1</v>
      </c>
      <c r="H1485" s="52">
        <f>ROUND(Data!C1485*Data!D1485-Data!E1485,2)</f>
        <v>0</v>
      </c>
      <c r="I1485" s="52">
        <f>IF(AND(OR(Sel_Mode="All",Data!I1485=Sel_Mode),OR(Sel_Gender="All",D1485=Sel_Gender),OR(Sel_Category="All",Data!B1485=Sel_Category),OR(Sel_Month="All",C1485=Sel_Month),OR(Sel_County="All",Data!L1485=Sel_County)),1,0)</f>
        <v>1</v>
      </c>
    </row>
    <row r="1486" spans="1:9" x14ac:dyDescent="0.25">
      <c r="A1486" s="52" t="str">
        <f>Data!A1486</f>
        <v>TX501485</v>
      </c>
      <c r="B1486" s="52">
        <f>MONTH(Data!F1486)</f>
        <v>2</v>
      </c>
      <c r="C1486" s="52" t="str">
        <f>TEXT(Data!F1486,"mmm")</f>
        <v>Feb</v>
      </c>
      <c r="D1486" s="52" t="str">
        <f>Data!O1486</f>
        <v>Other</v>
      </c>
      <c r="E1486" s="52">
        <f>Data!G1486-Data!F1486</f>
        <v>1</v>
      </c>
      <c r="F1486" s="52">
        <f>IF(Data!J1486&lt;=5,Data!J1486,IF(Data!J1486&lt;=10,"6 TO 10","More than 10"))</f>
        <v>3</v>
      </c>
      <c r="G1486" s="52">
        <f t="shared" si="23"/>
        <v>1</v>
      </c>
      <c r="H1486" s="52">
        <f>ROUND(Data!C1486*Data!D1486-Data!E1486,2)</f>
        <v>0</v>
      </c>
      <c r="I1486" s="52">
        <f>IF(AND(OR(Sel_Mode="All",Data!I1486=Sel_Mode),OR(Sel_Gender="All",D1486=Sel_Gender),OR(Sel_Category="All",Data!B1486=Sel_Category),OR(Sel_Month="All",C1486=Sel_Month),OR(Sel_County="All",Data!L1486=Sel_County)),1,0)</f>
        <v>1</v>
      </c>
    </row>
    <row r="1487" spans="1:9" x14ac:dyDescent="0.25">
      <c r="A1487" s="52" t="str">
        <f>Data!A1487</f>
        <v>TX501486</v>
      </c>
      <c r="B1487" s="52">
        <f>MONTH(Data!F1487)</f>
        <v>2</v>
      </c>
      <c r="C1487" s="52" t="str">
        <f>TEXT(Data!F1487,"mmm")</f>
        <v>Feb</v>
      </c>
      <c r="D1487" s="52" t="str">
        <f>Data!O1487</f>
        <v>Female</v>
      </c>
      <c r="E1487" s="52">
        <f>Data!G1487-Data!F1487</f>
        <v>2</v>
      </c>
      <c r="F1487" s="52">
        <f>IF(Data!J1487&lt;=5,Data!J1487,IF(Data!J1487&lt;=10,"6 TO 10","More than 10"))</f>
        <v>4</v>
      </c>
      <c r="G1487" s="52">
        <f t="shared" si="23"/>
        <v>2</v>
      </c>
      <c r="H1487" s="52">
        <f>ROUND(Data!C1487*Data!D1487-Data!E1487,2)</f>
        <v>0</v>
      </c>
      <c r="I1487" s="52">
        <f>IF(AND(OR(Sel_Mode="All",Data!I1487=Sel_Mode),OR(Sel_Gender="All",D1487=Sel_Gender),OR(Sel_Category="All",Data!B1487=Sel_Category),OR(Sel_Month="All",C1487=Sel_Month),OR(Sel_County="All",Data!L1487=Sel_County)),1,0)</f>
        <v>1</v>
      </c>
    </row>
    <row r="1488" spans="1:9" x14ac:dyDescent="0.25">
      <c r="A1488" s="52" t="str">
        <f>Data!A1488</f>
        <v>TX501487</v>
      </c>
      <c r="B1488" s="52">
        <f>MONTH(Data!F1488)</f>
        <v>2</v>
      </c>
      <c r="C1488" s="52" t="str">
        <f>TEXT(Data!F1488,"mmm")</f>
        <v>Feb</v>
      </c>
      <c r="D1488" s="52" t="str">
        <f>Data!O1488</f>
        <v>Female</v>
      </c>
      <c r="E1488" s="52">
        <f>Data!G1488-Data!F1488</f>
        <v>2</v>
      </c>
      <c r="F1488" s="52">
        <f>IF(Data!J1488&lt;=5,Data!J1488,IF(Data!J1488&lt;=10,"6 TO 10","More than 10"))</f>
        <v>4</v>
      </c>
      <c r="G1488" s="52">
        <f t="shared" si="23"/>
        <v>2</v>
      </c>
      <c r="H1488" s="52">
        <f>ROUND(Data!C1488*Data!D1488-Data!E1488,2)</f>
        <v>0</v>
      </c>
      <c r="I1488" s="52">
        <f>IF(AND(OR(Sel_Mode="All",Data!I1488=Sel_Mode),OR(Sel_Gender="All",D1488=Sel_Gender),OR(Sel_Category="All",Data!B1488=Sel_Category),OR(Sel_Month="All",C1488=Sel_Month),OR(Sel_County="All",Data!L1488=Sel_County)),1,0)</f>
        <v>1</v>
      </c>
    </row>
    <row r="1489" spans="1:9" x14ac:dyDescent="0.25">
      <c r="A1489" s="52" t="str">
        <f>Data!A1489</f>
        <v>TX501488</v>
      </c>
      <c r="B1489" s="52">
        <f>MONTH(Data!F1489)</f>
        <v>2</v>
      </c>
      <c r="C1489" s="52" t="str">
        <f>TEXT(Data!F1489,"mmm")</f>
        <v>Feb</v>
      </c>
      <c r="D1489" s="52" t="str">
        <f>Data!O1489</f>
        <v>Female</v>
      </c>
      <c r="E1489" s="52">
        <f>Data!G1489-Data!F1489</f>
        <v>3</v>
      </c>
      <c r="F1489" s="52">
        <f>IF(Data!J1489&lt;=5,Data!J1489,IF(Data!J1489&lt;=10,"6 TO 10","More than 10"))</f>
        <v>4</v>
      </c>
      <c r="G1489" s="52">
        <f t="shared" si="23"/>
        <v>3</v>
      </c>
      <c r="H1489" s="52">
        <f>ROUND(Data!C1489*Data!D1489-Data!E1489,2)</f>
        <v>0</v>
      </c>
      <c r="I1489" s="52">
        <f>IF(AND(OR(Sel_Mode="All",Data!I1489=Sel_Mode),OR(Sel_Gender="All",D1489=Sel_Gender),OR(Sel_Category="All",Data!B1489=Sel_Category),OR(Sel_Month="All",C1489=Sel_Month),OR(Sel_County="All",Data!L1489=Sel_County)),1,0)</f>
        <v>1</v>
      </c>
    </row>
    <row r="1490" spans="1:9" x14ac:dyDescent="0.25">
      <c r="A1490" s="52" t="str">
        <f>Data!A1490</f>
        <v>TX501489</v>
      </c>
      <c r="B1490" s="52">
        <f>MONTH(Data!F1490)</f>
        <v>2</v>
      </c>
      <c r="C1490" s="52" t="str">
        <f>TEXT(Data!F1490,"mmm")</f>
        <v>Feb</v>
      </c>
      <c r="D1490" s="52" t="str">
        <f>Data!O1490</f>
        <v>Female</v>
      </c>
      <c r="E1490" s="52">
        <f>Data!G1490-Data!F1490</f>
        <v>2</v>
      </c>
      <c r="F1490" s="52">
        <f>IF(Data!J1490&lt;=5,Data!J1490,IF(Data!J1490&lt;=10,"6 TO 10","More than 10"))</f>
        <v>1</v>
      </c>
      <c r="G1490" s="52">
        <f t="shared" si="23"/>
        <v>2</v>
      </c>
      <c r="H1490" s="52">
        <f>ROUND(Data!C1490*Data!D1490-Data!E1490,2)</f>
        <v>0</v>
      </c>
      <c r="I1490" s="52">
        <f>IF(AND(OR(Sel_Mode="All",Data!I1490=Sel_Mode),OR(Sel_Gender="All",D1490=Sel_Gender),OR(Sel_Category="All",Data!B1490=Sel_Category),OR(Sel_Month="All",C1490=Sel_Month),OR(Sel_County="All",Data!L1490=Sel_County)),1,0)</f>
        <v>1</v>
      </c>
    </row>
    <row r="1491" spans="1:9" x14ac:dyDescent="0.25">
      <c r="A1491" s="52" t="str">
        <f>Data!A1491</f>
        <v>TX501490</v>
      </c>
      <c r="B1491" s="52">
        <f>MONTH(Data!F1491)</f>
        <v>2</v>
      </c>
      <c r="C1491" s="52" t="str">
        <f>TEXT(Data!F1491,"mmm")</f>
        <v>Feb</v>
      </c>
      <c r="D1491" s="52" t="str">
        <f>Data!O1491</f>
        <v>Male</v>
      </c>
      <c r="E1491" s="52">
        <f>Data!G1491-Data!F1491</f>
        <v>5</v>
      </c>
      <c r="F1491" s="52">
        <f>IF(Data!J1491&lt;=5,Data!J1491,IF(Data!J1491&lt;=10,"6 TO 10","More than 10"))</f>
        <v>5</v>
      </c>
      <c r="G1491" s="52">
        <f t="shared" si="23"/>
        <v>5</v>
      </c>
      <c r="H1491" s="52">
        <f>ROUND(Data!C1491*Data!D1491-Data!E1491,2)</f>
        <v>0</v>
      </c>
      <c r="I1491" s="52">
        <f>IF(AND(OR(Sel_Mode="All",Data!I1491=Sel_Mode),OR(Sel_Gender="All",D1491=Sel_Gender),OR(Sel_Category="All",Data!B1491=Sel_Category),OR(Sel_Month="All",C1491=Sel_Month),OR(Sel_County="All",Data!L1491=Sel_County)),1,0)</f>
        <v>1</v>
      </c>
    </row>
    <row r="1492" spans="1:9" x14ac:dyDescent="0.25">
      <c r="A1492" s="52" t="str">
        <f>Data!A1492</f>
        <v>TX501491</v>
      </c>
      <c r="B1492" s="52">
        <f>MONTH(Data!F1492)</f>
        <v>2</v>
      </c>
      <c r="C1492" s="52" t="str">
        <f>TEXT(Data!F1492,"mmm")</f>
        <v>Feb</v>
      </c>
      <c r="D1492" s="52" t="str">
        <f>Data!O1492</f>
        <v>Male</v>
      </c>
      <c r="E1492" s="52">
        <f>Data!G1492-Data!F1492</f>
        <v>3</v>
      </c>
      <c r="F1492" s="52">
        <f>IF(Data!J1492&lt;=5,Data!J1492,IF(Data!J1492&lt;=10,"6 TO 10","More than 10"))</f>
        <v>4</v>
      </c>
      <c r="G1492" s="52">
        <f t="shared" si="23"/>
        <v>3</v>
      </c>
      <c r="H1492" s="52">
        <f>ROUND(Data!C1492*Data!D1492-Data!E1492,2)</f>
        <v>0</v>
      </c>
      <c r="I1492" s="52">
        <f>IF(AND(OR(Sel_Mode="All",Data!I1492=Sel_Mode),OR(Sel_Gender="All",D1492=Sel_Gender),OR(Sel_Category="All",Data!B1492=Sel_Category),OR(Sel_Month="All",C1492=Sel_Month),OR(Sel_County="All",Data!L1492=Sel_County)),1,0)</f>
        <v>1</v>
      </c>
    </row>
    <row r="1493" spans="1:9" x14ac:dyDescent="0.25">
      <c r="A1493" s="52" t="str">
        <f>Data!A1493</f>
        <v>TX501492</v>
      </c>
      <c r="B1493" s="52">
        <f>MONTH(Data!F1493)</f>
        <v>2</v>
      </c>
      <c r="C1493" s="52" t="str">
        <f>TEXT(Data!F1493,"mmm")</f>
        <v>Feb</v>
      </c>
      <c r="D1493" s="52" t="str">
        <f>Data!O1493</f>
        <v>Female</v>
      </c>
      <c r="E1493" s="52">
        <f>Data!G1493-Data!F1493</f>
        <v>2</v>
      </c>
      <c r="F1493" s="52">
        <f>IF(Data!J1493&lt;=5,Data!J1493,IF(Data!J1493&lt;=10,"6 TO 10","More than 10"))</f>
        <v>4</v>
      </c>
      <c r="G1493" s="52">
        <f t="shared" si="23"/>
        <v>2</v>
      </c>
      <c r="H1493" s="52">
        <f>ROUND(Data!C1493*Data!D1493-Data!E1493,2)</f>
        <v>0</v>
      </c>
      <c r="I1493" s="52">
        <f>IF(AND(OR(Sel_Mode="All",Data!I1493=Sel_Mode),OR(Sel_Gender="All",D1493=Sel_Gender),OR(Sel_Category="All",Data!B1493=Sel_Category),OR(Sel_Month="All",C1493=Sel_Month),OR(Sel_County="All",Data!L1493=Sel_County)),1,0)</f>
        <v>1</v>
      </c>
    </row>
    <row r="1494" spans="1:9" x14ac:dyDescent="0.25">
      <c r="A1494" s="52" t="str">
        <f>Data!A1494</f>
        <v>TX501493</v>
      </c>
      <c r="B1494" s="52">
        <f>MONTH(Data!F1494)</f>
        <v>2</v>
      </c>
      <c r="C1494" s="52" t="str">
        <f>TEXT(Data!F1494,"mmm")</f>
        <v>Feb</v>
      </c>
      <c r="D1494" s="52" t="str">
        <f>Data!O1494</f>
        <v>Male</v>
      </c>
      <c r="E1494" s="52">
        <f>Data!G1494-Data!F1494</f>
        <v>3</v>
      </c>
      <c r="F1494" s="52">
        <f>IF(Data!J1494&lt;=5,Data!J1494,IF(Data!J1494&lt;=10,"6 TO 10","More than 10"))</f>
        <v>4</v>
      </c>
      <c r="G1494" s="52">
        <f t="shared" si="23"/>
        <v>3</v>
      </c>
      <c r="H1494" s="52">
        <f>ROUND(Data!C1494*Data!D1494-Data!E1494,2)</f>
        <v>0</v>
      </c>
      <c r="I1494" s="52">
        <f>IF(AND(OR(Sel_Mode="All",Data!I1494=Sel_Mode),OR(Sel_Gender="All",D1494=Sel_Gender),OR(Sel_Category="All",Data!B1494=Sel_Category),OR(Sel_Month="All",C1494=Sel_Month),OR(Sel_County="All",Data!L1494=Sel_County)),1,0)</f>
        <v>1</v>
      </c>
    </row>
    <row r="1495" spans="1:9" x14ac:dyDescent="0.25">
      <c r="A1495" s="52" t="str">
        <f>Data!A1495</f>
        <v>TX501494</v>
      </c>
      <c r="B1495" s="52">
        <f>MONTH(Data!F1495)</f>
        <v>2</v>
      </c>
      <c r="C1495" s="52" t="str">
        <f>TEXT(Data!F1495,"mmm")</f>
        <v>Feb</v>
      </c>
      <c r="D1495" s="52" t="str">
        <f>Data!O1495</f>
        <v>Unknown</v>
      </c>
      <c r="E1495" s="52">
        <f>Data!G1495-Data!F1495</f>
        <v>0</v>
      </c>
      <c r="F1495" s="52">
        <f>IF(Data!J1495&lt;=5,Data!J1495,IF(Data!J1495&lt;=10,"6 TO 10","More than 10"))</f>
        <v>4</v>
      </c>
      <c r="G1495" s="52">
        <f t="shared" si="23"/>
        <v>0</v>
      </c>
      <c r="H1495" s="52">
        <f>ROUND(Data!C1495*Data!D1495-Data!E1495,2)</f>
        <v>0</v>
      </c>
      <c r="I1495" s="52">
        <f>IF(AND(OR(Sel_Mode="All",Data!I1495=Sel_Mode),OR(Sel_Gender="All",D1495=Sel_Gender),OR(Sel_Category="All",Data!B1495=Sel_Category),OR(Sel_Month="All",C1495=Sel_Month),OR(Sel_County="All",Data!L1495=Sel_County)),1,0)</f>
        <v>1</v>
      </c>
    </row>
    <row r="1496" spans="1:9" x14ac:dyDescent="0.25">
      <c r="A1496" s="52" t="str">
        <f>Data!A1496</f>
        <v>TX501495</v>
      </c>
      <c r="B1496" s="52">
        <f>MONTH(Data!F1496)</f>
        <v>2</v>
      </c>
      <c r="C1496" s="52" t="str">
        <f>TEXT(Data!F1496,"mmm")</f>
        <v>Feb</v>
      </c>
      <c r="D1496" s="52" t="str">
        <f>Data!O1496</f>
        <v>Female</v>
      </c>
      <c r="E1496" s="52">
        <f>Data!G1496-Data!F1496</f>
        <v>2</v>
      </c>
      <c r="F1496" s="52">
        <f>IF(Data!J1496&lt;=5,Data!J1496,IF(Data!J1496&lt;=10,"6 TO 10","More than 10"))</f>
        <v>3</v>
      </c>
      <c r="G1496" s="52">
        <f t="shared" si="23"/>
        <v>2</v>
      </c>
      <c r="H1496" s="52">
        <f>ROUND(Data!C1496*Data!D1496-Data!E1496,2)</f>
        <v>0</v>
      </c>
      <c r="I1496" s="52">
        <f>IF(AND(OR(Sel_Mode="All",Data!I1496=Sel_Mode),OR(Sel_Gender="All",D1496=Sel_Gender),OR(Sel_Category="All",Data!B1496=Sel_Category),OR(Sel_Month="All",C1496=Sel_Month),OR(Sel_County="All",Data!L1496=Sel_County)),1,0)</f>
        <v>1</v>
      </c>
    </row>
    <row r="1497" spans="1:9" x14ac:dyDescent="0.25">
      <c r="A1497" s="52" t="str">
        <f>Data!A1497</f>
        <v>TX501496</v>
      </c>
      <c r="B1497" s="52">
        <f>MONTH(Data!F1497)</f>
        <v>2</v>
      </c>
      <c r="C1497" s="52" t="str">
        <f>TEXT(Data!F1497,"mmm")</f>
        <v>Feb</v>
      </c>
      <c r="D1497" s="52" t="str">
        <f>Data!O1497</f>
        <v>Male</v>
      </c>
      <c r="E1497" s="52">
        <f>Data!G1497-Data!F1497</f>
        <v>2</v>
      </c>
      <c r="F1497" s="52">
        <f>IF(Data!J1497&lt;=5,Data!J1497,IF(Data!J1497&lt;=10,"6 TO 10","More than 10"))</f>
        <v>4</v>
      </c>
      <c r="G1497" s="52">
        <f t="shared" si="23"/>
        <v>2</v>
      </c>
      <c r="H1497" s="52">
        <f>ROUND(Data!C1497*Data!D1497-Data!E1497,2)</f>
        <v>0</v>
      </c>
      <c r="I1497" s="52">
        <f>IF(AND(OR(Sel_Mode="All",Data!I1497=Sel_Mode),OR(Sel_Gender="All",D1497=Sel_Gender),OR(Sel_Category="All",Data!B1497=Sel_Category),OR(Sel_Month="All",C1497=Sel_Month),OR(Sel_County="All",Data!L1497=Sel_County)),1,0)</f>
        <v>1</v>
      </c>
    </row>
    <row r="1498" spans="1:9" x14ac:dyDescent="0.25">
      <c r="A1498" s="52" t="str">
        <f>Data!A1498</f>
        <v>TX501497</v>
      </c>
      <c r="B1498" s="52">
        <f>MONTH(Data!F1498)</f>
        <v>2</v>
      </c>
      <c r="C1498" s="52" t="str">
        <f>TEXT(Data!F1498,"mmm")</f>
        <v>Feb</v>
      </c>
      <c r="D1498" s="52" t="str">
        <f>Data!O1498</f>
        <v>Female</v>
      </c>
      <c r="E1498" s="52">
        <f>Data!G1498-Data!F1498</f>
        <v>2</v>
      </c>
      <c r="F1498" s="52">
        <f>IF(Data!J1498&lt;=5,Data!J1498,IF(Data!J1498&lt;=10,"6 TO 10","More than 10"))</f>
        <v>5</v>
      </c>
      <c r="G1498" s="52">
        <f t="shared" si="23"/>
        <v>2</v>
      </c>
      <c r="H1498" s="52">
        <f>ROUND(Data!C1498*Data!D1498-Data!E1498,2)</f>
        <v>0</v>
      </c>
      <c r="I1498" s="52">
        <f>IF(AND(OR(Sel_Mode="All",Data!I1498=Sel_Mode),OR(Sel_Gender="All",D1498=Sel_Gender),OR(Sel_Category="All",Data!B1498=Sel_Category),OR(Sel_Month="All",C1498=Sel_Month),OR(Sel_County="All",Data!L1498=Sel_County)),1,0)</f>
        <v>1</v>
      </c>
    </row>
    <row r="1499" spans="1:9" x14ac:dyDescent="0.25">
      <c r="A1499" s="52" t="str">
        <f>Data!A1499</f>
        <v>TX501498</v>
      </c>
      <c r="B1499" s="52">
        <f>MONTH(Data!F1499)</f>
        <v>2</v>
      </c>
      <c r="C1499" s="52" t="str">
        <f>TEXT(Data!F1499,"mmm")</f>
        <v>Feb</v>
      </c>
      <c r="D1499" s="52" t="str">
        <f>Data!O1499</f>
        <v>Unknown</v>
      </c>
      <c r="E1499" s="52">
        <f>Data!G1499-Data!F1499</f>
        <v>1</v>
      </c>
      <c r="F1499" s="52">
        <f>IF(Data!J1499&lt;=5,Data!J1499,IF(Data!J1499&lt;=10,"6 TO 10","More than 10"))</f>
        <v>5</v>
      </c>
      <c r="G1499" s="52">
        <f t="shared" si="23"/>
        <v>1</v>
      </c>
      <c r="H1499" s="52">
        <f>ROUND(Data!C1499*Data!D1499-Data!E1499,2)</f>
        <v>0</v>
      </c>
      <c r="I1499" s="52">
        <f>IF(AND(OR(Sel_Mode="All",Data!I1499=Sel_Mode),OR(Sel_Gender="All",D1499=Sel_Gender),OR(Sel_Category="All",Data!B1499=Sel_Category),OR(Sel_Month="All",C1499=Sel_Month),OR(Sel_County="All",Data!L1499=Sel_County)),1,0)</f>
        <v>1</v>
      </c>
    </row>
    <row r="1500" spans="1:9" x14ac:dyDescent="0.25">
      <c r="A1500" s="52" t="str">
        <f>Data!A1500</f>
        <v>TX501499</v>
      </c>
      <c r="B1500" s="52">
        <f>MONTH(Data!F1500)</f>
        <v>2</v>
      </c>
      <c r="C1500" s="52" t="str">
        <f>TEXT(Data!F1500,"mmm")</f>
        <v>Feb</v>
      </c>
      <c r="D1500" s="52" t="str">
        <f>Data!O1500</f>
        <v>Male</v>
      </c>
      <c r="E1500" s="52">
        <f>Data!G1500-Data!F1500</f>
        <v>1</v>
      </c>
      <c r="F1500" s="52">
        <f>IF(Data!J1500&lt;=5,Data!J1500,IF(Data!J1500&lt;=10,"6 TO 10","More than 10"))</f>
        <v>2</v>
      </c>
      <c r="G1500" s="52">
        <f t="shared" si="23"/>
        <v>1</v>
      </c>
      <c r="H1500" s="52">
        <f>ROUND(Data!C1500*Data!D1500-Data!E1500,2)</f>
        <v>0</v>
      </c>
      <c r="I1500" s="52">
        <f>IF(AND(OR(Sel_Mode="All",Data!I1500=Sel_Mode),OR(Sel_Gender="All",D1500=Sel_Gender),OR(Sel_Category="All",Data!B1500=Sel_Category),OR(Sel_Month="All",C1500=Sel_Month),OR(Sel_County="All",Data!L1500=Sel_County)),1,0)</f>
        <v>1</v>
      </c>
    </row>
    <row r="1501" spans="1:9" x14ac:dyDescent="0.25">
      <c r="A1501" s="52" t="str">
        <f>Data!A1501</f>
        <v>TX501500</v>
      </c>
      <c r="B1501" s="52">
        <f>MONTH(Data!F1501)</f>
        <v>2</v>
      </c>
      <c r="C1501" s="52" t="str">
        <f>TEXT(Data!F1501,"mmm")</f>
        <v>Feb</v>
      </c>
      <c r="D1501" s="52" t="str">
        <f>Data!O1501</f>
        <v>Female</v>
      </c>
      <c r="E1501" s="52">
        <f>Data!G1501-Data!F1501</f>
        <v>3</v>
      </c>
      <c r="F1501" s="52">
        <f>IF(Data!J1501&lt;=5,Data!J1501,IF(Data!J1501&lt;=10,"6 TO 10","More than 10"))</f>
        <v>5</v>
      </c>
      <c r="G1501" s="52">
        <f t="shared" si="23"/>
        <v>3</v>
      </c>
      <c r="H1501" s="52">
        <f>ROUND(Data!C1501*Data!D1501-Data!E1501,2)</f>
        <v>0</v>
      </c>
      <c r="I1501" s="52">
        <f>IF(AND(OR(Sel_Mode="All",Data!I1501=Sel_Mode),OR(Sel_Gender="All",D1501=Sel_Gender),OR(Sel_Category="All",Data!B1501=Sel_Category),OR(Sel_Month="All",C1501=Sel_Month),OR(Sel_County="All",Data!L1501=Sel_County)),1,0)</f>
        <v>1</v>
      </c>
    </row>
    <row r="1502" spans="1:9" x14ac:dyDescent="0.25">
      <c r="A1502" s="52" t="str">
        <f>Data!A1502</f>
        <v>TX501501</v>
      </c>
      <c r="B1502" s="52">
        <f>MONTH(Data!F1502)</f>
        <v>2</v>
      </c>
      <c r="C1502" s="52" t="str">
        <f>TEXT(Data!F1502,"mmm")</f>
        <v>Feb</v>
      </c>
      <c r="D1502" s="52" t="str">
        <f>Data!O1502</f>
        <v>Female</v>
      </c>
      <c r="E1502" s="52">
        <f>Data!G1502-Data!F1502</f>
        <v>6</v>
      </c>
      <c r="F1502" s="52">
        <f>IF(Data!J1502&lt;=5,Data!J1502,IF(Data!J1502&lt;=10,"6 TO 10","More than 10"))</f>
        <v>2</v>
      </c>
      <c r="G1502" s="52">
        <f t="shared" si="23"/>
        <v>6</v>
      </c>
      <c r="H1502" s="52">
        <f>ROUND(Data!C1502*Data!D1502-Data!E1502,2)</f>
        <v>0</v>
      </c>
      <c r="I1502" s="52">
        <f>IF(AND(OR(Sel_Mode="All",Data!I1502=Sel_Mode),OR(Sel_Gender="All",D1502=Sel_Gender),OR(Sel_Category="All",Data!B1502=Sel_Category),OR(Sel_Month="All",C1502=Sel_Month),OR(Sel_County="All",Data!L1502=Sel_County)),1,0)</f>
        <v>1</v>
      </c>
    </row>
    <row r="1503" spans="1:9" x14ac:dyDescent="0.25">
      <c r="A1503" s="52" t="str">
        <f>Data!A1503</f>
        <v>TX501502</v>
      </c>
      <c r="B1503" s="52">
        <f>MONTH(Data!F1503)</f>
        <v>2</v>
      </c>
      <c r="C1503" s="52" t="str">
        <f>TEXT(Data!F1503,"mmm")</f>
        <v>Feb</v>
      </c>
      <c r="D1503" s="52" t="str">
        <f>Data!O1503</f>
        <v>Female</v>
      </c>
      <c r="E1503" s="52">
        <f>Data!G1503-Data!F1503</f>
        <v>2</v>
      </c>
      <c r="F1503" s="52">
        <f>IF(Data!J1503&lt;=5,Data!J1503,IF(Data!J1503&lt;=10,"6 TO 10","More than 10"))</f>
        <v>4</v>
      </c>
      <c r="G1503" s="52">
        <f t="shared" si="23"/>
        <v>2</v>
      </c>
      <c r="H1503" s="52">
        <f>ROUND(Data!C1503*Data!D1503-Data!E1503,2)</f>
        <v>0</v>
      </c>
      <c r="I1503" s="52">
        <f>IF(AND(OR(Sel_Mode="All",Data!I1503=Sel_Mode),OR(Sel_Gender="All",D1503=Sel_Gender),OR(Sel_Category="All",Data!B1503=Sel_Category),OR(Sel_Month="All",C1503=Sel_Month),OR(Sel_County="All",Data!L1503=Sel_County)),1,0)</f>
        <v>1</v>
      </c>
    </row>
    <row r="1504" spans="1:9" x14ac:dyDescent="0.25">
      <c r="A1504" s="52" t="str">
        <f>Data!A1504</f>
        <v>TX501503</v>
      </c>
      <c r="B1504" s="52">
        <f>MONTH(Data!F1504)</f>
        <v>2</v>
      </c>
      <c r="C1504" s="52" t="str">
        <f>TEXT(Data!F1504,"mmm")</f>
        <v>Feb</v>
      </c>
      <c r="D1504" s="52" t="str">
        <f>Data!O1504</f>
        <v>Female</v>
      </c>
      <c r="E1504" s="52">
        <f>Data!G1504-Data!F1504</f>
        <v>3</v>
      </c>
      <c r="F1504" s="52">
        <f>IF(Data!J1504&lt;=5,Data!J1504,IF(Data!J1504&lt;=10,"6 TO 10","More than 10"))</f>
        <v>4</v>
      </c>
      <c r="G1504" s="52">
        <f t="shared" si="23"/>
        <v>3</v>
      </c>
      <c r="H1504" s="52">
        <f>ROUND(Data!C1504*Data!D1504-Data!E1504,2)</f>
        <v>0</v>
      </c>
      <c r="I1504" s="52">
        <f>IF(AND(OR(Sel_Mode="All",Data!I1504=Sel_Mode),OR(Sel_Gender="All",D1504=Sel_Gender),OR(Sel_Category="All",Data!B1504=Sel_Category),OR(Sel_Month="All",C1504=Sel_Month),OR(Sel_County="All",Data!L1504=Sel_County)),1,0)</f>
        <v>1</v>
      </c>
    </row>
    <row r="1505" spans="1:9" x14ac:dyDescent="0.25">
      <c r="A1505" s="52" t="str">
        <f>Data!A1505</f>
        <v>TX501504</v>
      </c>
      <c r="B1505" s="52">
        <f>MONTH(Data!F1505)</f>
        <v>2</v>
      </c>
      <c r="C1505" s="52" t="str">
        <f>TEXT(Data!F1505,"mmm")</f>
        <v>Feb</v>
      </c>
      <c r="D1505" s="52" t="str">
        <f>Data!O1505</f>
        <v>Male</v>
      </c>
      <c r="E1505" s="52">
        <f>Data!G1505-Data!F1505</f>
        <v>1</v>
      </c>
      <c r="F1505" s="52">
        <f>IF(Data!J1505&lt;=5,Data!J1505,IF(Data!J1505&lt;=10,"6 TO 10","More than 10"))</f>
        <v>3</v>
      </c>
      <c r="G1505" s="52">
        <f t="shared" si="23"/>
        <v>1</v>
      </c>
      <c r="H1505" s="52">
        <f>ROUND(Data!C1505*Data!D1505-Data!E1505,2)</f>
        <v>0</v>
      </c>
      <c r="I1505" s="52">
        <f>IF(AND(OR(Sel_Mode="All",Data!I1505=Sel_Mode),OR(Sel_Gender="All",D1505=Sel_Gender),OR(Sel_Category="All",Data!B1505=Sel_Category),OR(Sel_Month="All",C1505=Sel_Month),OR(Sel_County="All",Data!L1505=Sel_County)),1,0)</f>
        <v>1</v>
      </c>
    </row>
    <row r="1506" spans="1:9" x14ac:dyDescent="0.25">
      <c r="A1506" s="52" t="str">
        <f>Data!A1506</f>
        <v>TX501505</v>
      </c>
      <c r="B1506" s="52">
        <f>MONTH(Data!F1506)</f>
        <v>2</v>
      </c>
      <c r="C1506" s="52" t="str">
        <f>TEXT(Data!F1506,"mmm")</f>
        <v>Feb</v>
      </c>
      <c r="D1506" s="52" t="str">
        <f>Data!O1506</f>
        <v>Female</v>
      </c>
      <c r="E1506" s="52">
        <f>Data!G1506-Data!F1506</f>
        <v>5</v>
      </c>
      <c r="F1506" s="52">
        <f>IF(Data!J1506&lt;=5,Data!J1506,IF(Data!J1506&lt;=10,"6 TO 10","More than 10"))</f>
        <v>5</v>
      </c>
      <c r="G1506" s="52">
        <f t="shared" si="23"/>
        <v>5</v>
      </c>
      <c r="H1506" s="52">
        <f>ROUND(Data!C1506*Data!D1506-Data!E1506,2)</f>
        <v>0</v>
      </c>
      <c r="I1506" s="52">
        <f>IF(AND(OR(Sel_Mode="All",Data!I1506=Sel_Mode),OR(Sel_Gender="All",D1506=Sel_Gender),OR(Sel_Category="All",Data!B1506=Sel_Category),OR(Sel_Month="All",C1506=Sel_Month),OR(Sel_County="All",Data!L1506=Sel_County)),1,0)</f>
        <v>1</v>
      </c>
    </row>
    <row r="1507" spans="1:9" x14ac:dyDescent="0.25">
      <c r="A1507" s="52" t="str">
        <f>Data!A1507</f>
        <v>TX501506</v>
      </c>
      <c r="B1507" s="52">
        <f>MONTH(Data!F1507)</f>
        <v>2</v>
      </c>
      <c r="C1507" s="52" t="str">
        <f>TEXT(Data!F1507,"mmm")</f>
        <v>Feb</v>
      </c>
      <c r="D1507" s="52" t="str">
        <f>Data!O1507</f>
        <v>Male</v>
      </c>
      <c r="E1507" s="52">
        <f>Data!G1507-Data!F1507</f>
        <v>1</v>
      </c>
      <c r="F1507" s="52">
        <f>IF(Data!J1507&lt;=5,Data!J1507,IF(Data!J1507&lt;=10,"6 TO 10","More than 10"))</f>
        <v>4</v>
      </c>
      <c r="G1507" s="52">
        <f t="shared" si="23"/>
        <v>1</v>
      </c>
      <c r="H1507" s="52">
        <f>ROUND(Data!C1507*Data!D1507-Data!E1507,2)</f>
        <v>0</v>
      </c>
      <c r="I1507" s="52">
        <f>IF(AND(OR(Sel_Mode="All",Data!I1507=Sel_Mode),OR(Sel_Gender="All",D1507=Sel_Gender),OR(Sel_Category="All",Data!B1507=Sel_Category),OR(Sel_Month="All",C1507=Sel_Month),OR(Sel_County="All",Data!L1507=Sel_County)),1,0)</f>
        <v>1</v>
      </c>
    </row>
    <row r="1508" spans="1:9" x14ac:dyDescent="0.25">
      <c r="A1508" s="52" t="str">
        <f>Data!A1508</f>
        <v>TX501507</v>
      </c>
      <c r="B1508" s="52">
        <f>MONTH(Data!F1508)</f>
        <v>2</v>
      </c>
      <c r="C1508" s="52" t="str">
        <f>TEXT(Data!F1508,"mmm")</f>
        <v>Feb</v>
      </c>
      <c r="D1508" s="52" t="str">
        <f>Data!O1508</f>
        <v>Male</v>
      </c>
      <c r="E1508" s="52">
        <f>Data!G1508-Data!F1508</f>
        <v>8</v>
      </c>
      <c r="F1508" s="52">
        <f>IF(Data!J1508&lt;=5,Data!J1508,IF(Data!J1508&lt;=10,"6 TO 10","More than 10"))</f>
        <v>3</v>
      </c>
      <c r="G1508" s="52" t="str">
        <f t="shared" si="23"/>
        <v>8+</v>
      </c>
      <c r="H1508" s="52">
        <f>ROUND(Data!C1508*Data!D1508-Data!E1508,2)</f>
        <v>0</v>
      </c>
      <c r="I1508" s="52">
        <f>IF(AND(OR(Sel_Mode="All",Data!I1508=Sel_Mode),OR(Sel_Gender="All",D1508=Sel_Gender),OR(Sel_Category="All",Data!B1508=Sel_Category),OR(Sel_Month="All",C1508=Sel_Month),OR(Sel_County="All",Data!L1508=Sel_County)),1,0)</f>
        <v>1</v>
      </c>
    </row>
    <row r="1509" spans="1:9" x14ac:dyDescent="0.25">
      <c r="A1509" s="52" t="str">
        <f>Data!A1509</f>
        <v>TX501508</v>
      </c>
      <c r="B1509" s="52">
        <f>MONTH(Data!F1509)</f>
        <v>2</v>
      </c>
      <c r="C1509" s="52" t="str">
        <f>TEXT(Data!F1509,"mmm")</f>
        <v>Feb</v>
      </c>
      <c r="D1509" s="52" t="str">
        <f>Data!O1509</f>
        <v>Male</v>
      </c>
      <c r="E1509" s="52">
        <f>Data!G1509-Data!F1509</f>
        <v>1</v>
      </c>
      <c r="F1509" s="52">
        <f>IF(Data!J1509&lt;=5,Data!J1509,IF(Data!J1509&lt;=10,"6 TO 10","More than 10"))</f>
        <v>4</v>
      </c>
      <c r="G1509" s="52">
        <f t="shared" si="23"/>
        <v>1</v>
      </c>
      <c r="H1509" s="52">
        <f>ROUND(Data!C1509*Data!D1509-Data!E1509,2)</f>
        <v>0</v>
      </c>
      <c r="I1509" s="52">
        <f>IF(AND(OR(Sel_Mode="All",Data!I1509=Sel_Mode),OR(Sel_Gender="All",D1509=Sel_Gender),OR(Sel_Category="All",Data!B1509=Sel_Category),OR(Sel_Month="All",C1509=Sel_Month),OR(Sel_County="All",Data!L1509=Sel_County)),1,0)</f>
        <v>1</v>
      </c>
    </row>
    <row r="1510" spans="1:9" x14ac:dyDescent="0.25">
      <c r="A1510" s="52" t="str">
        <f>Data!A1510</f>
        <v>TX501509</v>
      </c>
      <c r="B1510" s="52">
        <f>MONTH(Data!F1510)</f>
        <v>2</v>
      </c>
      <c r="C1510" s="52" t="str">
        <f>TEXT(Data!F1510,"mmm")</f>
        <v>Feb</v>
      </c>
      <c r="D1510" s="52" t="str">
        <f>Data!O1510</f>
        <v>Male</v>
      </c>
      <c r="E1510" s="52">
        <f>Data!G1510-Data!F1510</f>
        <v>0</v>
      </c>
      <c r="F1510" s="52">
        <f>IF(Data!J1510&lt;=5,Data!J1510,IF(Data!J1510&lt;=10,"6 TO 10","More than 10"))</f>
        <v>5</v>
      </c>
      <c r="G1510" s="52">
        <f t="shared" si="23"/>
        <v>0</v>
      </c>
      <c r="H1510" s="52">
        <f>ROUND(Data!C1510*Data!D1510-Data!E1510,2)</f>
        <v>0</v>
      </c>
      <c r="I1510" s="52">
        <f>IF(AND(OR(Sel_Mode="All",Data!I1510=Sel_Mode),OR(Sel_Gender="All",D1510=Sel_Gender),OR(Sel_Category="All",Data!B1510=Sel_Category),OR(Sel_Month="All",C1510=Sel_Month),OR(Sel_County="All",Data!L1510=Sel_County)),1,0)</f>
        <v>1</v>
      </c>
    </row>
    <row r="1511" spans="1:9" x14ac:dyDescent="0.25">
      <c r="A1511" s="52" t="str">
        <f>Data!A1511</f>
        <v>TX501510</v>
      </c>
      <c r="B1511" s="52">
        <f>MONTH(Data!F1511)</f>
        <v>2</v>
      </c>
      <c r="C1511" s="52" t="str">
        <f>TEXT(Data!F1511,"mmm")</f>
        <v>Feb</v>
      </c>
      <c r="D1511" s="52" t="str">
        <f>Data!O1511</f>
        <v>Male</v>
      </c>
      <c r="E1511" s="52">
        <f>Data!G1511-Data!F1511</f>
        <v>4</v>
      </c>
      <c r="F1511" s="52">
        <f>IF(Data!J1511&lt;=5,Data!J1511,IF(Data!J1511&lt;=10,"6 TO 10","More than 10"))</f>
        <v>3</v>
      </c>
      <c r="G1511" s="52">
        <f t="shared" si="23"/>
        <v>4</v>
      </c>
      <c r="H1511" s="52">
        <f>ROUND(Data!C1511*Data!D1511-Data!E1511,2)</f>
        <v>0</v>
      </c>
      <c r="I1511" s="52">
        <f>IF(AND(OR(Sel_Mode="All",Data!I1511=Sel_Mode),OR(Sel_Gender="All",D1511=Sel_Gender),OR(Sel_Category="All",Data!B1511=Sel_Category),OR(Sel_Month="All",C1511=Sel_Month),OR(Sel_County="All",Data!L1511=Sel_County)),1,0)</f>
        <v>1</v>
      </c>
    </row>
    <row r="1512" spans="1:9" x14ac:dyDescent="0.25">
      <c r="A1512" s="52" t="str">
        <f>Data!A1512</f>
        <v>TX501511</v>
      </c>
      <c r="B1512" s="52">
        <f>MONTH(Data!F1512)</f>
        <v>2</v>
      </c>
      <c r="C1512" s="52" t="str">
        <f>TEXT(Data!F1512,"mmm")</f>
        <v>Feb</v>
      </c>
      <c r="D1512" s="52" t="str">
        <f>Data!O1512</f>
        <v>Male</v>
      </c>
      <c r="E1512" s="52">
        <f>Data!G1512-Data!F1512</f>
        <v>2</v>
      </c>
      <c r="F1512" s="52">
        <f>IF(Data!J1512&lt;=5,Data!J1512,IF(Data!J1512&lt;=10,"6 TO 10","More than 10"))</f>
        <v>4</v>
      </c>
      <c r="G1512" s="52">
        <f t="shared" si="23"/>
        <v>2</v>
      </c>
      <c r="H1512" s="52">
        <f>ROUND(Data!C1512*Data!D1512-Data!E1512,2)</f>
        <v>0</v>
      </c>
      <c r="I1512" s="52">
        <f>IF(AND(OR(Sel_Mode="All",Data!I1512=Sel_Mode),OR(Sel_Gender="All",D1512=Sel_Gender),OR(Sel_Category="All",Data!B1512=Sel_Category),OR(Sel_Month="All",C1512=Sel_Month),OR(Sel_County="All",Data!L1512=Sel_County)),1,0)</f>
        <v>1</v>
      </c>
    </row>
    <row r="1513" spans="1:9" x14ac:dyDescent="0.25">
      <c r="A1513" s="52" t="str">
        <f>Data!A1513</f>
        <v>TX501512</v>
      </c>
      <c r="B1513" s="52">
        <f>MONTH(Data!F1513)</f>
        <v>2</v>
      </c>
      <c r="C1513" s="52" t="str">
        <f>TEXT(Data!F1513,"mmm")</f>
        <v>Feb</v>
      </c>
      <c r="D1513" s="52" t="str">
        <f>Data!O1513</f>
        <v>Female</v>
      </c>
      <c r="E1513" s="52">
        <f>Data!G1513-Data!F1513</f>
        <v>1</v>
      </c>
      <c r="F1513" s="52">
        <f>IF(Data!J1513&lt;=5,Data!J1513,IF(Data!J1513&lt;=10,"6 TO 10","More than 10"))</f>
        <v>4</v>
      </c>
      <c r="G1513" s="52">
        <f t="shared" si="23"/>
        <v>1</v>
      </c>
      <c r="H1513" s="52">
        <f>ROUND(Data!C1513*Data!D1513-Data!E1513,2)</f>
        <v>0</v>
      </c>
      <c r="I1513" s="52">
        <f>IF(AND(OR(Sel_Mode="All",Data!I1513=Sel_Mode),OR(Sel_Gender="All",D1513=Sel_Gender),OR(Sel_Category="All",Data!B1513=Sel_Category),OR(Sel_Month="All",C1513=Sel_Month),OR(Sel_County="All",Data!L1513=Sel_County)),1,0)</f>
        <v>1</v>
      </c>
    </row>
    <row r="1514" spans="1:9" x14ac:dyDescent="0.25">
      <c r="A1514" s="52" t="str">
        <f>Data!A1514</f>
        <v>TX501513</v>
      </c>
      <c r="B1514" s="52">
        <f>MONTH(Data!F1514)</f>
        <v>2</v>
      </c>
      <c r="C1514" s="52" t="str">
        <f>TEXT(Data!F1514,"mmm")</f>
        <v>Feb</v>
      </c>
      <c r="D1514" s="52" t="str">
        <f>Data!O1514</f>
        <v>Female</v>
      </c>
      <c r="E1514" s="52">
        <f>Data!G1514-Data!F1514</f>
        <v>2</v>
      </c>
      <c r="F1514" s="52">
        <f>IF(Data!J1514&lt;=5,Data!J1514,IF(Data!J1514&lt;=10,"6 TO 10","More than 10"))</f>
        <v>3</v>
      </c>
      <c r="G1514" s="52">
        <f t="shared" si="23"/>
        <v>2</v>
      </c>
      <c r="H1514" s="52">
        <f>ROUND(Data!C1514*Data!D1514-Data!E1514,2)</f>
        <v>0</v>
      </c>
      <c r="I1514" s="52">
        <f>IF(AND(OR(Sel_Mode="All",Data!I1514=Sel_Mode),OR(Sel_Gender="All",D1514=Sel_Gender),OR(Sel_Category="All",Data!B1514=Sel_Category),OR(Sel_Month="All",C1514=Sel_Month),OR(Sel_County="All",Data!L1514=Sel_County)),1,0)</f>
        <v>1</v>
      </c>
    </row>
    <row r="1515" spans="1:9" x14ac:dyDescent="0.25">
      <c r="A1515" s="52" t="str">
        <f>Data!A1515</f>
        <v>TX501514</v>
      </c>
      <c r="B1515" s="52">
        <f>MONTH(Data!F1515)</f>
        <v>2</v>
      </c>
      <c r="C1515" s="52" t="str">
        <f>TEXT(Data!F1515,"mmm")</f>
        <v>Feb</v>
      </c>
      <c r="D1515" s="52" t="str">
        <f>Data!O1515</f>
        <v>Female</v>
      </c>
      <c r="E1515" s="52">
        <f>Data!G1515-Data!F1515</f>
        <v>2</v>
      </c>
      <c r="F1515" s="52">
        <f>IF(Data!J1515&lt;=5,Data!J1515,IF(Data!J1515&lt;=10,"6 TO 10","More than 10"))</f>
        <v>3</v>
      </c>
      <c r="G1515" s="52">
        <f t="shared" si="23"/>
        <v>2</v>
      </c>
      <c r="H1515" s="52">
        <f>ROUND(Data!C1515*Data!D1515-Data!E1515,2)</f>
        <v>0</v>
      </c>
      <c r="I1515" s="52">
        <f>IF(AND(OR(Sel_Mode="All",Data!I1515=Sel_Mode),OR(Sel_Gender="All",D1515=Sel_Gender),OR(Sel_Category="All",Data!B1515=Sel_Category),OR(Sel_Month="All",C1515=Sel_Month),OR(Sel_County="All",Data!L1515=Sel_County)),1,0)</f>
        <v>1</v>
      </c>
    </row>
    <row r="1516" spans="1:9" x14ac:dyDescent="0.25">
      <c r="A1516" s="52" t="str">
        <f>Data!A1516</f>
        <v>TX501515</v>
      </c>
      <c r="B1516" s="52">
        <f>MONTH(Data!F1516)</f>
        <v>2</v>
      </c>
      <c r="C1516" s="52" t="str">
        <f>TEXT(Data!F1516,"mmm")</f>
        <v>Feb</v>
      </c>
      <c r="D1516" s="52" t="str">
        <f>Data!O1516</f>
        <v>Female</v>
      </c>
      <c r="E1516" s="52">
        <f>Data!G1516-Data!F1516</f>
        <v>7</v>
      </c>
      <c r="F1516" s="52">
        <f>IF(Data!J1516&lt;=5,Data!J1516,IF(Data!J1516&lt;=10,"6 TO 10","More than 10"))</f>
        <v>5</v>
      </c>
      <c r="G1516" s="52">
        <f t="shared" si="23"/>
        <v>7</v>
      </c>
      <c r="H1516" s="52">
        <f>ROUND(Data!C1516*Data!D1516-Data!E1516,2)</f>
        <v>0</v>
      </c>
      <c r="I1516" s="52">
        <f>IF(AND(OR(Sel_Mode="All",Data!I1516=Sel_Mode),OR(Sel_Gender="All",D1516=Sel_Gender),OR(Sel_Category="All",Data!B1516=Sel_Category),OR(Sel_Month="All",C1516=Sel_Month),OR(Sel_County="All",Data!L1516=Sel_County)),1,0)</f>
        <v>1</v>
      </c>
    </row>
    <row r="1517" spans="1:9" x14ac:dyDescent="0.25">
      <c r="A1517" s="52" t="str">
        <f>Data!A1517</f>
        <v>TX501516</v>
      </c>
      <c r="B1517" s="52">
        <f>MONTH(Data!F1517)</f>
        <v>2</v>
      </c>
      <c r="C1517" s="52" t="str">
        <f>TEXT(Data!F1517,"mmm")</f>
        <v>Feb</v>
      </c>
      <c r="D1517" s="52" t="str">
        <f>Data!O1517</f>
        <v>Female</v>
      </c>
      <c r="E1517" s="52">
        <f>Data!G1517-Data!F1517</f>
        <v>1</v>
      </c>
      <c r="F1517" s="52">
        <f>IF(Data!J1517&lt;=5,Data!J1517,IF(Data!J1517&lt;=10,"6 TO 10","More than 10"))</f>
        <v>4</v>
      </c>
      <c r="G1517" s="52">
        <f t="shared" si="23"/>
        <v>1</v>
      </c>
      <c r="H1517" s="52">
        <f>ROUND(Data!C1517*Data!D1517-Data!E1517,2)</f>
        <v>0</v>
      </c>
      <c r="I1517" s="52">
        <f>IF(AND(OR(Sel_Mode="All",Data!I1517=Sel_Mode),OR(Sel_Gender="All",D1517=Sel_Gender),OR(Sel_Category="All",Data!B1517=Sel_Category),OR(Sel_Month="All",C1517=Sel_Month),OR(Sel_County="All",Data!L1517=Sel_County)),1,0)</f>
        <v>1</v>
      </c>
    </row>
    <row r="1518" spans="1:9" x14ac:dyDescent="0.25">
      <c r="A1518" s="52" t="str">
        <f>Data!A1518</f>
        <v>TX501517</v>
      </c>
      <c r="B1518" s="52">
        <f>MONTH(Data!F1518)</f>
        <v>2</v>
      </c>
      <c r="C1518" s="52" t="str">
        <f>TEXT(Data!F1518,"mmm")</f>
        <v>Feb</v>
      </c>
      <c r="D1518" s="52" t="str">
        <f>Data!O1518</f>
        <v>Male</v>
      </c>
      <c r="E1518" s="52">
        <f>Data!G1518-Data!F1518</f>
        <v>2</v>
      </c>
      <c r="F1518" s="52">
        <f>IF(Data!J1518&lt;=5,Data!J1518,IF(Data!J1518&lt;=10,"6 TO 10","More than 10"))</f>
        <v>4</v>
      </c>
      <c r="G1518" s="52">
        <f t="shared" si="23"/>
        <v>2</v>
      </c>
      <c r="H1518" s="52">
        <f>ROUND(Data!C1518*Data!D1518-Data!E1518,2)</f>
        <v>0</v>
      </c>
      <c r="I1518" s="52">
        <f>IF(AND(OR(Sel_Mode="All",Data!I1518=Sel_Mode),OR(Sel_Gender="All",D1518=Sel_Gender),OR(Sel_Category="All",Data!B1518=Sel_Category),OR(Sel_Month="All",C1518=Sel_Month),OR(Sel_County="All",Data!L1518=Sel_County)),1,0)</f>
        <v>1</v>
      </c>
    </row>
    <row r="1519" spans="1:9" x14ac:dyDescent="0.25">
      <c r="A1519" s="52" t="str">
        <f>Data!A1519</f>
        <v>TX501518</v>
      </c>
      <c r="B1519" s="52">
        <f>MONTH(Data!F1519)</f>
        <v>2</v>
      </c>
      <c r="C1519" s="52" t="str">
        <f>TEXT(Data!F1519,"mmm")</f>
        <v>Feb</v>
      </c>
      <c r="D1519" s="52" t="str">
        <f>Data!O1519</f>
        <v>Female</v>
      </c>
      <c r="E1519" s="52">
        <f>Data!G1519-Data!F1519</f>
        <v>1</v>
      </c>
      <c r="F1519" s="52">
        <f>IF(Data!J1519&lt;=5,Data!J1519,IF(Data!J1519&lt;=10,"6 TO 10","More than 10"))</f>
        <v>3</v>
      </c>
      <c r="G1519" s="52">
        <f t="shared" si="23"/>
        <v>1</v>
      </c>
      <c r="H1519" s="52">
        <f>ROUND(Data!C1519*Data!D1519-Data!E1519,2)</f>
        <v>0</v>
      </c>
      <c r="I1519" s="52">
        <f>IF(AND(OR(Sel_Mode="All",Data!I1519=Sel_Mode),OR(Sel_Gender="All",D1519=Sel_Gender),OR(Sel_Category="All",Data!B1519=Sel_Category),OR(Sel_Month="All",C1519=Sel_Month),OR(Sel_County="All",Data!L1519=Sel_County)),1,0)</f>
        <v>1</v>
      </c>
    </row>
    <row r="1520" spans="1:9" x14ac:dyDescent="0.25">
      <c r="A1520" s="52" t="str">
        <f>Data!A1520</f>
        <v>TX501519</v>
      </c>
      <c r="B1520" s="52">
        <f>MONTH(Data!F1520)</f>
        <v>2</v>
      </c>
      <c r="C1520" s="52" t="str">
        <f>TEXT(Data!F1520,"mmm")</f>
        <v>Feb</v>
      </c>
      <c r="D1520" s="52" t="str">
        <f>Data!O1520</f>
        <v>Male</v>
      </c>
      <c r="E1520" s="52">
        <f>Data!G1520-Data!F1520</f>
        <v>4</v>
      </c>
      <c r="F1520" s="52">
        <f>IF(Data!J1520&lt;=5,Data!J1520,IF(Data!J1520&lt;=10,"6 TO 10","More than 10"))</f>
        <v>4</v>
      </c>
      <c r="G1520" s="52">
        <f t="shared" si="23"/>
        <v>4</v>
      </c>
      <c r="H1520" s="52">
        <f>ROUND(Data!C1520*Data!D1520-Data!E1520,2)</f>
        <v>0</v>
      </c>
      <c r="I1520" s="52">
        <f>IF(AND(OR(Sel_Mode="All",Data!I1520=Sel_Mode),OR(Sel_Gender="All",D1520=Sel_Gender),OR(Sel_Category="All",Data!B1520=Sel_Category),OR(Sel_Month="All",C1520=Sel_Month),OR(Sel_County="All",Data!L1520=Sel_County)),1,0)</f>
        <v>1</v>
      </c>
    </row>
    <row r="1521" spans="1:9" x14ac:dyDescent="0.25">
      <c r="A1521" s="52" t="str">
        <f>Data!A1521</f>
        <v>TX501520</v>
      </c>
      <c r="B1521" s="52">
        <f>MONTH(Data!F1521)</f>
        <v>2</v>
      </c>
      <c r="C1521" s="52" t="str">
        <f>TEXT(Data!F1521,"mmm")</f>
        <v>Feb</v>
      </c>
      <c r="D1521" s="52" t="str">
        <f>Data!O1521</f>
        <v>Female</v>
      </c>
      <c r="E1521" s="52">
        <f>Data!G1521-Data!F1521</f>
        <v>2</v>
      </c>
      <c r="F1521" s="52">
        <f>IF(Data!J1521&lt;=5,Data!J1521,IF(Data!J1521&lt;=10,"6 TO 10","More than 10"))</f>
        <v>4</v>
      </c>
      <c r="G1521" s="52">
        <f t="shared" si="23"/>
        <v>2</v>
      </c>
      <c r="H1521" s="52">
        <f>ROUND(Data!C1521*Data!D1521-Data!E1521,2)</f>
        <v>0</v>
      </c>
      <c r="I1521" s="52">
        <f>IF(AND(OR(Sel_Mode="All",Data!I1521=Sel_Mode),OR(Sel_Gender="All",D1521=Sel_Gender),OR(Sel_Category="All",Data!B1521=Sel_Category),OR(Sel_Month="All",C1521=Sel_Month),OR(Sel_County="All",Data!L1521=Sel_County)),1,0)</f>
        <v>1</v>
      </c>
    </row>
    <row r="1522" spans="1:9" x14ac:dyDescent="0.25">
      <c r="A1522" s="52" t="str">
        <f>Data!A1522</f>
        <v>TX501521</v>
      </c>
      <c r="B1522" s="52">
        <f>MONTH(Data!F1522)</f>
        <v>2</v>
      </c>
      <c r="C1522" s="52" t="str">
        <f>TEXT(Data!F1522,"mmm")</f>
        <v>Feb</v>
      </c>
      <c r="D1522" s="52" t="str">
        <f>Data!O1522</f>
        <v>Male</v>
      </c>
      <c r="E1522" s="52">
        <f>Data!G1522-Data!F1522</f>
        <v>2</v>
      </c>
      <c r="F1522" s="52">
        <f>IF(Data!J1522&lt;=5,Data!J1522,IF(Data!J1522&lt;=10,"6 TO 10","More than 10"))</f>
        <v>4</v>
      </c>
      <c r="G1522" s="52">
        <f t="shared" si="23"/>
        <v>2</v>
      </c>
      <c r="H1522" s="52">
        <f>ROUND(Data!C1522*Data!D1522-Data!E1522,2)</f>
        <v>0</v>
      </c>
      <c r="I1522" s="52">
        <f>IF(AND(OR(Sel_Mode="All",Data!I1522=Sel_Mode),OR(Sel_Gender="All",D1522=Sel_Gender),OR(Sel_Category="All",Data!B1522=Sel_Category),OR(Sel_Month="All",C1522=Sel_Month),OR(Sel_County="All",Data!L1522=Sel_County)),1,0)</f>
        <v>1</v>
      </c>
    </row>
    <row r="1523" spans="1:9" x14ac:dyDescent="0.25">
      <c r="A1523" s="52" t="str">
        <f>Data!A1523</f>
        <v>TX501522</v>
      </c>
      <c r="B1523" s="52">
        <f>MONTH(Data!F1523)</f>
        <v>2</v>
      </c>
      <c r="C1523" s="52" t="str">
        <f>TEXT(Data!F1523,"mmm")</f>
        <v>Feb</v>
      </c>
      <c r="D1523" s="52" t="str">
        <f>Data!O1523</f>
        <v>Male</v>
      </c>
      <c r="E1523" s="52">
        <f>Data!G1523-Data!F1523</f>
        <v>0</v>
      </c>
      <c r="F1523" s="52">
        <f>IF(Data!J1523&lt;=5,Data!J1523,IF(Data!J1523&lt;=10,"6 TO 10","More than 10"))</f>
        <v>5</v>
      </c>
      <c r="G1523" s="52">
        <f t="shared" si="23"/>
        <v>0</v>
      </c>
      <c r="H1523" s="52">
        <f>ROUND(Data!C1523*Data!D1523-Data!E1523,2)</f>
        <v>0</v>
      </c>
      <c r="I1523" s="52">
        <f>IF(AND(OR(Sel_Mode="All",Data!I1523=Sel_Mode),OR(Sel_Gender="All",D1523=Sel_Gender),OR(Sel_Category="All",Data!B1523=Sel_Category),OR(Sel_Month="All",C1523=Sel_Month),OR(Sel_County="All",Data!L1523=Sel_County)),1,0)</f>
        <v>1</v>
      </c>
    </row>
    <row r="1524" spans="1:9" x14ac:dyDescent="0.25">
      <c r="A1524" s="52" t="str">
        <f>Data!A1524</f>
        <v>TX501523</v>
      </c>
      <c r="B1524" s="52">
        <f>MONTH(Data!F1524)</f>
        <v>2</v>
      </c>
      <c r="C1524" s="52" t="str">
        <f>TEXT(Data!F1524,"mmm")</f>
        <v>Feb</v>
      </c>
      <c r="D1524" s="52" t="str">
        <f>Data!O1524</f>
        <v>Female</v>
      </c>
      <c r="E1524" s="52">
        <f>Data!G1524-Data!F1524</f>
        <v>3</v>
      </c>
      <c r="F1524" s="52">
        <f>IF(Data!J1524&lt;=5,Data!J1524,IF(Data!J1524&lt;=10,"6 TO 10","More than 10"))</f>
        <v>5</v>
      </c>
      <c r="G1524" s="52">
        <f t="shared" si="23"/>
        <v>3</v>
      </c>
      <c r="H1524" s="52">
        <f>ROUND(Data!C1524*Data!D1524-Data!E1524,2)</f>
        <v>0</v>
      </c>
      <c r="I1524" s="52">
        <f>IF(AND(OR(Sel_Mode="All",Data!I1524=Sel_Mode),OR(Sel_Gender="All",D1524=Sel_Gender),OR(Sel_Category="All",Data!B1524=Sel_Category),OR(Sel_Month="All",C1524=Sel_Month),OR(Sel_County="All",Data!L1524=Sel_County)),1,0)</f>
        <v>1</v>
      </c>
    </row>
    <row r="1525" spans="1:9" x14ac:dyDescent="0.25">
      <c r="A1525" s="52" t="str">
        <f>Data!A1525</f>
        <v>TX501524</v>
      </c>
      <c r="B1525" s="52">
        <f>MONTH(Data!F1525)</f>
        <v>2</v>
      </c>
      <c r="C1525" s="52" t="str">
        <f>TEXT(Data!F1525,"mmm")</f>
        <v>Feb</v>
      </c>
      <c r="D1525" s="52" t="str">
        <f>Data!O1525</f>
        <v>Unknown</v>
      </c>
      <c r="E1525" s="52">
        <f>Data!G1525-Data!F1525</f>
        <v>0</v>
      </c>
      <c r="F1525" s="52">
        <f>IF(Data!J1525&lt;=5,Data!J1525,IF(Data!J1525&lt;=10,"6 TO 10","More than 10"))</f>
        <v>4</v>
      </c>
      <c r="G1525" s="52">
        <f t="shared" si="23"/>
        <v>0</v>
      </c>
      <c r="H1525" s="52">
        <f>ROUND(Data!C1525*Data!D1525-Data!E1525,2)</f>
        <v>0</v>
      </c>
      <c r="I1525" s="52">
        <f>IF(AND(OR(Sel_Mode="All",Data!I1525=Sel_Mode),OR(Sel_Gender="All",D1525=Sel_Gender),OR(Sel_Category="All",Data!B1525=Sel_Category),OR(Sel_Month="All",C1525=Sel_Month),OR(Sel_County="All",Data!L1525=Sel_County)),1,0)</f>
        <v>1</v>
      </c>
    </row>
    <row r="1526" spans="1:9" x14ac:dyDescent="0.25">
      <c r="A1526" s="52" t="str">
        <f>Data!A1526</f>
        <v>TX501525</v>
      </c>
      <c r="B1526" s="52">
        <f>MONTH(Data!F1526)</f>
        <v>2</v>
      </c>
      <c r="C1526" s="52" t="str">
        <f>TEXT(Data!F1526,"mmm")</f>
        <v>Feb</v>
      </c>
      <c r="D1526" s="52" t="str">
        <f>Data!O1526</f>
        <v>Unknown</v>
      </c>
      <c r="E1526" s="52">
        <f>Data!G1526-Data!F1526</f>
        <v>5</v>
      </c>
      <c r="F1526" s="52">
        <f>IF(Data!J1526&lt;=5,Data!J1526,IF(Data!J1526&lt;=10,"6 TO 10","More than 10"))</f>
        <v>4</v>
      </c>
      <c r="G1526" s="52">
        <f t="shared" si="23"/>
        <v>5</v>
      </c>
      <c r="H1526" s="52">
        <f>ROUND(Data!C1526*Data!D1526-Data!E1526,2)</f>
        <v>0</v>
      </c>
      <c r="I1526" s="52">
        <f>IF(AND(OR(Sel_Mode="All",Data!I1526=Sel_Mode),OR(Sel_Gender="All",D1526=Sel_Gender),OR(Sel_Category="All",Data!B1526=Sel_Category),OR(Sel_Month="All",C1526=Sel_Month),OR(Sel_County="All",Data!L1526=Sel_County)),1,0)</f>
        <v>1</v>
      </c>
    </row>
    <row r="1527" spans="1:9" x14ac:dyDescent="0.25">
      <c r="A1527" s="52" t="str">
        <f>Data!A1527</f>
        <v>TX501526</v>
      </c>
      <c r="B1527" s="52">
        <f>MONTH(Data!F1527)</f>
        <v>2</v>
      </c>
      <c r="C1527" s="52" t="str">
        <f>TEXT(Data!F1527,"mmm")</f>
        <v>Feb</v>
      </c>
      <c r="D1527" s="52" t="str">
        <f>Data!O1527</f>
        <v>Male</v>
      </c>
      <c r="E1527" s="52">
        <f>Data!G1527-Data!F1527</f>
        <v>1</v>
      </c>
      <c r="F1527" s="52">
        <f>IF(Data!J1527&lt;=5,Data!J1527,IF(Data!J1527&lt;=10,"6 TO 10","More than 10"))</f>
        <v>2</v>
      </c>
      <c r="G1527" s="52">
        <f t="shared" si="23"/>
        <v>1</v>
      </c>
      <c r="H1527" s="52">
        <f>ROUND(Data!C1527*Data!D1527-Data!E1527,2)</f>
        <v>0</v>
      </c>
      <c r="I1527" s="52">
        <f>IF(AND(OR(Sel_Mode="All",Data!I1527=Sel_Mode),OR(Sel_Gender="All",D1527=Sel_Gender),OR(Sel_Category="All",Data!B1527=Sel_Category),OR(Sel_Month="All",C1527=Sel_Month),OR(Sel_County="All",Data!L1527=Sel_County)),1,0)</f>
        <v>1</v>
      </c>
    </row>
    <row r="1528" spans="1:9" x14ac:dyDescent="0.25">
      <c r="A1528" s="52" t="str">
        <f>Data!A1528</f>
        <v>TX501527</v>
      </c>
      <c r="B1528" s="52">
        <f>MONTH(Data!F1528)</f>
        <v>2</v>
      </c>
      <c r="C1528" s="52" t="str">
        <f>TEXT(Data!F1528,"mmm")</f>
        <v>Feb</v>
      </c>
      <c r="D1528" s="52" t="str">
        <f>Data!O1528</f>
        <v>Male</v>
      </c>
      <c r="E1528" s="52">
        <f>Data!G1528-Data!F1528</f>
        <v>0</v>
      </c>
      <c r="F1528" s="52">
        <f>IF(Data!J1528&lt;=5,Data!J1528,IF(Data!J1528&lt;=10,"6 TO 10","More than 10"))</f>
        <v>3</v>
      </c>
      <c r="G1528" s="52">
        <f t="shared" si="23"/>
        <v>0</v>
      </c>
      <c r="H1528" s="52">
        <f>ROUND(Data!C1528*Data!D1528-Data!E1528,2)</f>
        <v>0</v>
      </c>
      <c r="I1528" s="52">
        <f>IF(AND(OR(Sel_Mode="All",Data!I1528=Sel_Mode),OR(Sel_Gender="All",D1528=Sel_Gender),OR(Sel_Category="All",Data!B1528=Sel_Category),OR(Sel_Month="All",C1528=Sel_Month),OR(Sel_County="All",Data!L1528=Sel_County)),1,0)</f>
        <v>1</v>
      </c>
    </row>
    <row r="1529" spans="1:9" x14ac:dyDescent="0.25">
      <c r="A1529" s="52" t="str">
        <f>Data!A1529</f>
        <v>TX501528</v>
      </c>
      <c r="B1529" s="52">
        <f>MONTH(Data!F1529)</f>
        <v>2</v>
      </c>
      <c r="C1529" s="52" t="str">
        <f>TEXT(Data!F1529,"mmm")</f>
        <v>Feb</v>
      </c>
      <c r="D1529" s="52" t="str">
        <f>Data!O1529</f>
        <v>Male</v>
      </c>
      <c r="E1529" s="52">
        <f>Data!G1529-Data!F1529</f>
        <v>1</v>
      </c>
      <c r="F1529" s="52">
        <f>IF(Data!J1529&lt;=5,Data!J1529,IF(Data!J1529&lt;=10,"6 TO 10","More than 10"))</f>
        <v>5</v>
      </c>
      <c r="G1529" s="52">
        <f t="shared" si="23"/>
        <v>1</v>
      </c>
      <c r="H1529" s="52">
        <f>ROUND(Data!C1529*Data!D1529-Data!E1529,2)</f>
        <v>0</v>
      </c>
      <c r="I1529" s="52">
        <f>IF(AND(OR(Sel_Mode="All",Data!I1529=Sel_Mode),OR(Sel_Gender="All",D1529=Sel_Gender),OR(Sel_Category="All",Data!B1529=Sel_Category),OR(Sel_Month="All",C1529=Sel_Month),OR(Sel_County="All",Data!L1529=Sel_County)),1,0)</f>
        <v>1</v>
      </c>
    </row>
    <row r="1530" spans="1:9" x14ac:dyDescent="0.25">
      <c r="A1530" s="52" t="str">
        <f>Data!A1530</f>
        <v>TX501529</v>
      </c>
      <c r="B1530" s="52">
        <f>MONTH(Data!F1530)</f>
        <v>2</v>
      </c>
      <c r="C1530" s="52" t="str">
        <f>TEXT(Data!F1530,"mmm")</f>
        <v>Feb</v>
      </c>
      <c r="D1530" s="52" t="str">
        <f>Data!O1530</f>
        <v>Unknown</v>
      </c>
      <c r="E1530" s="52">
        <f>Data!G1530-Data!F1530</f>
        <v>2</v>
      </c>
      <c r="F1530" s="52">
        <f>IF(Data!J1530&lt;=5,Data!J1530,IF(Data!J1530&lt;=10,"6 TO 10","More than 10"))</f>
        <v>5</v>
      </c>
      <c r="G1530" s="52">
        <f t="shared" si="23"/>
        <v>2</v>
      </c>
      <c r="H1530" s="52">
        <f>ROUND(Data!C1530*Data!D1530-Data!E1530,2)</f>
        <v>0</v>
      </c>
      <c r="I1530" s="52">
        <f>IF(AND(OR(Sel_Mode="All",Data!I1530=Sel_Mode),OR(Sel_Gender="All",D1530=Sel_Gender),OR(Sel_Category="All",Data!B1530=Sel_Category),OR(Sel_Month="All",C1530=Sel_Month),OR(Sel_County="All",Data!L1530=Sel_County)),1,0)</f>
        <v>1</v>
      </c>
    </row>
    <row r="1531" spans="1:9" x14ac:dyDescent="0.25">
      <c r="A1531" s="52" t="str">
        <f>Data!A1531</f>
        <v>TX501530</v>
      </c>
      <c r="B1531" s="52">
        <f>MONTH(Data!F1531)</f>
        <v>2</v>
      </c>
      <c r="C1531" s="52" t="str">
        <f>TEXT(Data!F1531,"mmm")</f>
        <v>Feb</v>
      </c>
      <c r="D1531" s="52" t="str">
        <f>Data!O1531</f>
        <v>Male</v>
      </c>
      <c r="E1531" s="52">
        <f>Data!G1531-Data!F1531</f>
        <v>3</v>
      </c>
      <c r="F1531" s="52">
        <f>IF(Data!J1531&lt;=5,Data!J1531,IF(Data!J1531&lt;=10,"6 TO 10","More than 10"))</f>
        <v>2</v>
      </c>
      <c r="G1531" s="52">
        <f t="shared" si="23"/>
        <v>3</v>
      </c>
      <c r="H1531" s="52">
        <f>ROUND(Data!C1531*Data!D1531-Data!E1531,2)</f>
        <v>0</v>
      </c>
      <c r="I1531" s="52">
        <f>IF(AND(OR(Sel_Mode="All",Data!I1531=Sel_Mode),OR(Sel_Gender="All",D1531=Sel_Gender),OR(Sel_Category="All",Data!B1531=Sel_Category),OR(Sel_Month="All",C1531=Sel_Month),OR(Sel_County="All",Data!L1531=Sel_County)),1,0)</f>
        <v>1</v>
      </c>
    </row>
    <row r="1532" spans="1:9" x14ac:dyDescent="0.25">
      <c r="A1532" s="52" t="str">
        <f>Data!A1532</f>
        <v>TX501531</v>
      </c>
      <c r="B1532" s="52">
        <f>MONTH(Data!F1532)</f>
        <v>2</v>
      </c>
      <c r="C1532" s="52" t="str">
        <f>TEXT(Data!F1532,"mmm")</f>
        <v>Feb</v>
      </c>
      <c r="D1532" s="52" t="str">
        <f>Data!O1532</f>
        <v>Unknown</v>
      </c>
      <c r="E1532" s="52">
        <f>Data!G1532-Data!F1532</f>
        <v>2</v>
      </c>
      <c r="F1532" s="52">
        <f>IF(Data!J1532&lt;=5,Data!J1532,IF(Data!J1532&lt;=10,"6 TO 10","More than 10"))</f>
        <v>4</v>
      </c>
      <c r="G1532" s="52">
        <f t="shared" si="23"/>
        <v>2</v>
      </c>
      <c r="H1532" s="52">
        <f>ROUND(Data!C1532*Data!D1532-Data!E1532,2)</f>
        <v>0</v>
      </c>
      <c r="I1532" s="52">
        <f>IF(AND(OR(Sel_Mode="All",Data!I1532=Sel_Mode),OR(Sel_Gender="All",D1532=Sel_Gender),OR(Sel_Category="All",Data!B1532=Sel_Category),OR(Sel_Month="All",C1532=Sel_Month),OR(Sel_County="All",Data!L1532=Sel_County)),1,0)</f>
        <v>1</v>
      </c>
    </row>
    <row r="1533" spans="1:9" x14ac:dyDescent="0.25">
      <c r="A1533" s="52" t="str">
        <f>Data!A1533</f>
        <v>TX501532</v>
      </c>
      <c r="B1533" s="52">
        <f>MONTH(Data!F1533)</f>
        <v>2</v>
      </c>
      <c r="C1533" s="52" t="str">
        <f>TEXT(Data!F1533,"mmm")</f>
        <v>Feb</v>
      </c>
      <c r="D1533" s="52" t="str">
        <f>Data!O1533</f>
        <v>Male</v>
      </c>
      <c r="E1533" s="52">
        <f>Data!G1533-Data!F1533</f>
        <v>0</v>
      </c>
      <c r="F1533" s="52">
        <f>IF(Data!J1533&lt;=5,Data!J1533,IF(Data!J1533&lt;=10,"6 TO 10","More than 10"))</f>
        <v>4</v>
      </c>
      <c r="G1533" s="52">
        <f t="shared" si="23"/>
        <v>0</v>
      </c>
      <c r="H1533" s="52">
        <f>ROUND(Data!C1533*Data!D1533-Data!E1533,2)</f>
        <v>0</v>
      </c>
      <c r="I1533" s="52">
        <f>IF(AND(OR(Sel_Mode="All",Data!I1533=Sel_Mode),OR(Sel_Gender="All",D1533=Sel_Gender),OR(Sel_Category="All",Data!B1533=Sel_Category),OR(Sel_Month="All",C1533=Sel_Month),OR(Sel_County="All",Data!L1533=Sel_County)),1,0)</f>
        <v>1</v>
      </c>
    </row>
    <row r="1534" spans="1:9" x14ac:dyDescent="0.25">
      <c r="A1534" s="52" t="str">
        <f>Data!A1534</f>
        <v>TX501533</v>
      </c>
      <c r="B1534" s="52">
        <f>MONTH(Data!F1534)</f>
        <v>2</v>
      </c>
      <c r="C1534" s="52" t="str">
        <f>TEXT(Data!F1534,"mmm")</f>
        <v>Feb</v>
      </c>
      <c r="D1534" s="52" t="str">
        <f>Data!O1534</f>
        <v>Unknown</v>
      </c>
      <c r="E1534" s="52">
        <f>Data!G1534-Data!F1534</f>
        <v>1</v>
      </c>
      <c r="F1534" s="52">
        <f>IF(Data!J1534&lt;=5,Data!J1534,IF(Data!J1534&lt;=10,"6 TO 10","More than 10"))</f>
        <v>5</v>
      </c>
      <c r="G1534" s="52">
        <f t="shared" si="23"/>
        <v>1</v>
      </c>
      <c r="H1534" s="52">
        <f>ROUND(Data!C1534*Data!D1534-Data!E1534,2)</f>
        <v>0</v>
      </c>
      <c r="I1534" s="52">
        <f>IF(AND(OR(Sel_Mode="All",Data!I1534=Sel_Mode),OR(Sel_Gender="All",D1534=Sel_Gender),OR(Sel_Category="All",Data!B1534=Sel_Category),OR(Sel_Month="All",C1534=Sel_Month),OR(Sel_County="All",Data!L1534=Sel_County)),1,0)</f>
        <v>1</v>
      </c>
    </row>
    <row r="1535" spans="1:9" x14ac:dyDescent="0.25">
      <c r="A1535" s="52" t="str">
        <f>Data!A1535</f>
        <v>TX501534</v>
      </c>
      <c r="B1535" s="52">
        <f>MONTH(Data!F1535)</f>
        <v>2</v>
      </c>
      <c r="C1535" s="52" t="str">
        <f>TEXT(Data!F1535,"mmm")</f>
        <v>Feb</v>
      </c>
      <c r="D1535" s="52" t="str">
        <f>Data!O1535</f>
        <v>Female</v>
      </c>
      <c r="E1535" s="52">
        <f>Data!G1535-Data!F1535</f>
        <v>1</v>
      </c>
      <c r="F1535" s="52">
        <f>IF(Data!J1535&lt;=5,Data!J1535,IF(Data!J1535&lt;=10,"6 TO 10","More than 10"))</f>
        <v>5</v>
      </c>
      <c r="G1535" s="52">
        <f t="shared" si="23"/>
        <v>1</v>
      </c>
      <c r="H1535" s="52">
        <f>ROUND(Data!C1535*Data!D1535-Data!E1535,2)</f>
        <v>0</v>
      </c>
      <c r="I1535" s="52">
        <f>IF(AND(OR(Sel_Mode="All",Data!I1535=Sel_Mode),OR(Sel_Gender="All",D1535=Sel_Gender),OR(Sel_Category="All",Data!B1535=Sel_Category),OR(Sel_Month="All",C1535=Sel_Month),OR(Sel_County="All",Data!L1535=Sel_County)),1,0)</f>
        <v>1</v>
      </c>
    </row>
    <row r="1536" spans="1:9" x14ac:dyDescent="0.25">
      <c r="A1536" s="52" t="str">
        <f>Data!A1536</f>
        <v>TX501535</v>
      </c>
      <c r="B1536" s="52">
        <f>MONTH(Data!F1536)</f>
        <v>2</v>
      </c>
      <c r="C1536" s="52" t="str">
        <f>TEXT(Data!F1536,"mmm")</f>
        <v>Feb</v>
      </c>
      <c r="D1536" s="52" t="str">
        <f>Data!O1536</f>
        <v>Female</v>
      </c>
      <c r="E1536" s="52">
        <f>Data!G1536-Data!F1536</f>
        <v>4</v>
      </c>
      <c r="F1536" s="52">
        <f>IF(Data!J1536&lt;=5,Data!J1536,IF(Data!J1536&lt;=10,"6 TO 10","More than 10"))</f>
        <v>3</v>
      </c>
      <c r="G1536" s="52">
        <f t="shared" si="23"/>
        <v>4</v>
      </c>
      <c r="H1536" s="52">
        <f>ROUND(Data!C1536*Data!D1536-Data!E1536,2)</f>
        <v>0</v>
      </c>
      <c r="I1536" s="52">
        <f>IF(AND(OR(Sel_Mode="All",Data!I1536=Sel_Mode),OR(Sel_Gender="All",D1536=Sel_Gender),OR(Sel_Category="All",Data!B1536=Sel_Category),OR(Sel_Month="All",C1536=Sel_Month),OR(Sel_County="All",Data!L1536=Sel_County)),1,0)</f>
        <v>1</v>
      </c>
    </row>
    <row r="1537" spans="1:9" x14ac:dyDescent="0.25">
      <c r="A1537" s="52" t="str">
        <f>Data!A1537</f>
        <v>TX501536</v>
      </c>
      <c r="B1537" s="52">
        <f>MONTH(Data!F1537)</f>
        <v>2</v>
      </c>
      <c r="C1537" s="52" t="str">
        <f>TEXT(Data!F1537,"mmm")</f>
        <v>Feb</v>
      </c>
      <c r="D1537" s="52" t="str">
        <f>Data!O1537</f>
        <v>Male</v>
      </c>
      <c r="E1537" s="52">
        <f>Data!G1537-Data!F1537</f>
        <v>1</v>
      </c>
      <c r="F1537" s="52">
        <f>IF(Data!J1537&lt;=5,Data!J1537,IF(Data!J1537&lt;=10,"6 TO 10","More than 10"))</f>
        <v>5</v>
      </c>
      <c r="G1537" s="52">
        <f t="shared" si="23"/>
        <v>1</v>
      </c>
      <c r="H1537" s="52">
        <f>ROUND(Data!C1537*Data!D1537-Data!E1537,2)</f>
        <v>0</v>
      </c>
      <c r="I1537" s="52">
        <f>IF(AND(OR(Sel_Mode="All",Data!I1537=Sel_Mode),OR(Sel_Gender="All",D1537=Sel_Gender),OR(Sel_Category="All",Data!B1537=Sel_Category),OR(Sel_Month="All",C1537=Sel_Month),OR(Sel_County="All",Data!L1537=Sel_County)),1,0)</f>
        <v>1</v>
      </c>
    </row>
    <row r="1538" spans="1:9" x14ac:dyDescent="0.25">
      <c r="A1538" s="52" t="str">
        <f>Data!A1538</f>
        <v>TX501537</v>
      </c>
      <c r="B1538" s="52">
        <f>MONTH(Data!F1538)</f>
        <v>2</v>
      </c>
      <c r="C1538" s="52" t="str">
        <f>TEXT(Data!F1538,"mmm")</f>
        <v>Feb</v>
      </c>
      <c r="D1538" s="52" t="str">
        <f>Data!O1538</f>
        <v>Male</v>
      </c>
      <c r="E1538" s="52">
        <f>Data!G1538-Data!F1538</f>
        <v>3</v>
      </c>
      <c r="F1538" s="52">
        <f>IF(Data!J1538&lt;=5,Data!J1538,IF(Data!J1538&lt;=10,"6 TO 10","More than 10"))</f>
        <v>5</v>
      </c>
      <c r="G1538" s="52">
        <f t="shared" ref="G1538:G1601" si="24">IF(E1538&gt;=8,"8+",E1538)</f>
        <v>3</v>
      </c>
      <c r="H1538" s="52">
        <f>ROUND(Data!C1538*Data!D1538-Data!E1538,2)</f>
        <v>0</v>
      </c>
      <c r="I1538" s="52">
        <f>IF(AND(OR(Sel_Mode="All",Data!I1538=Sel_Mode),OR(Sel_Gender="All",D1538=Sel_Gender),OR(Sel_Category="All",Data!B1538=Sel_Category),OR(Sel_Month="All",C1538=Sel_Month),OR(Sel_County="All",Data!L1538=Sel_County)),1,0)</f>
        <v>1</v>
      </c>
    </row>
    <row r="1539" spans="1:9" x14ac:dyDescent="0.25">
      <c r="A1539" s="52" t="str">
        <f>Data!A1539</f>
        <v>TX501538</v>
      </c>
      <c r="B1539" s="52">
        <f>MONTH(Data!F1539)</f>
        <v>2</v>
      </c>
      <c r="C1539" s="52" t="str">
        <f>TEXT(Data!F1539,"mmm")</f>
        <v>Feb</v>
      </c>
      <c r="D1539" s="52" t="str">
        <f>Data!O1539</f>
        <v>Female</v>
      </c>
      <c r="E1539" s="52">
        <f>Data!G1539-Data!F1539</f>
        <v>1</v>
      </c>
      <c r="F1539" s="52">
        <f>IF(Data!J1539&lt;=5,Data!J1539,IF(Data!J1539&lt;=10,"6 TO 10","More than 10"))</f>
        <v>3</v>
      </c>
      <c r="G1539" s="52">
        <f t="shared" si="24"/>
        <v>1</v>
      </c>
      <c r="H1539" s="52">
        <f>ROUND(Data!C1539*Data!D1539-Data!E1539,2)</f>
        <v>0</v>
      </c>
      <c r="I1539" s="52">
        <f>IF(AND(OR(Sel_Mode="All",Data!I1539=Sel_Mode),OR(Sel_Gender="All",D1539=Sel_Gender),OR(Sel_Category="All",Data!B1539=Sel_Category),OR(Sel_Month="All",C1539=Sel_Month),OR(Sel_County="All",Data!L1539=Sel_County)),1,0)</f>
        <v>1</v>
      </c>
    </row>
    <row r="1540" spans="1:9" x14ac:dyDescent="0.25">
      <c r="A1540" s="52" t="str">
        <f>Data!A1540</f>
        <v>TX501539</v>
      </c>
      <c r="B1540" s="52">
        <f>MONTH(Data!F1540)</f>
        <v>2</v>
      </c>
      <c r="C1540" s="52" t="str">
        <f>TEXT(Data!F1540,"mmm")</f>
        <v>Feb</v>
      </c>
      <c r="D1540" s="52" t="str">
        <f>Data!O1540</f>
        <v>Female</v>
      </c>
      <c r="E1540" s="52">
        <f>Data!G1540-Data!F1540</f>
        <v>3</v>
      </c>
      <c r="F1540" s="52">
        <f>IF(Data!J1540&lt;=5,Data!J1540,IF(Data!J1540&lt;=10,"6 TO 10","More than 10"))</f>
        <v>5</v>
      </c>
      <c r="G1540" s="52">
        <f t="shared" si="24"/>
        <v>3</v>
      </c>
      <c r="H1540" s="52">
        <f>ROUND(Data!C1540*Data!D1540-Data!E1540,2)</f>
        <v>0</v>
      </c>
      <c r="I1540" s="52">
        <f>IF(AND(OR(Sel_Mode="All",Data!I1540=Sel_Mode),OR(Sel_Gender="All",D1540=Sel_Gender),OR(Sel_Category="All",Data!B1540=Sel_Category),OR(Sel_Month="All",C1540=Sel_Month),OR(Sel_County="All",Data!L1540=Sel_County)),1,0)</f>
        <v>1</v>
      </c>
    </row>
    <row r="1541" spans="1:9" x14ac:dyDescent="0.25">
      <c r="A1541" s="52" t="str">
        <f>Data!A1541</f>
        <v>TX501540</v>
      </c>
      <c r="B1541" s="52">
        <f>MONTH(Data!F1541)</f>
        <v>2</v>
      </c>
      <c r="C1541" s="52" t="str">
        <f>TEXT(Data!F1541,"mmm")</f>
        <v>Feb</v>
      </c>
      <c r="D1541" s="52" t="str">
        <f>Data!O1541</f>
        <v>Female</v>
      </c>
      <c r="E1541" s="52">
        <f>Data!G1541-Data!F1541</f>
        <v>0</v>
      </c>
      <c r="F1541" s="52">
        <f>IF(Data!J1541&lt;=5,Data!J1541,IF(Data!J1541&lt;=10,"6 TO 10","More than 10"))</f>
        <v>4</v>
      </c>
      <c r="G1541" s="52">
        <f t="shared" si="24"/>
        <v>0</v>
      </c>
      <c r="H1541" s="52">
        <f>ROUND(Data!C1541*Data!D1541-Data!E1541,2)</f>
        <v>0</v>
      </c>
      <c r="I1541" s="52">
        <f>IF(AND(OR(Sel_Mode="All",Data!I1541=Sel_Mode),OR(Sel_Gender="All",D1541=Sel_Gender),OR(Sel_Category="All",Data!B1541=Sel_Category),OR(Sel_Month="All",C1541=Sel_Month),OR(Sel_County="All",Data!L1541=Sel_County)),1,0)</f>
        <v>1</v>
      </c>
    </row>
    <row r="1542" spans="1:9" x14ac:dyDescent="0.25">
      <c r="A1542" s="52" t="str">
        <f>Data!A1542</f>
        <v>TX501541</v>
      </c>
      <c r="B1542" s="52">
        <f>MONTH(Data!F1542)</f>
        <v>2</v>
      </c>
      <c r="C1542" s="52" t="str">
        <f>TEXT(Data!F1542,"mmm")</f>
        <v>Feb</v>
      </c>
      <c r="D1542" s="52" t="str">
        <f>Data!O1542</f>
        <v>Male</v>
      </c>
      <c r="E1542" s="52">
        <f>Data!G1542-Data!F1542</f>
        <v>0</v>
      </c>
      <c r="F1542" s="52">
        <f>IF(Data!J1542&lt;=5,Data!J1542,IF(Data!J1542&lt;=10,"6 TO 10","More than 10"))</f>
        <v>5</v>
      </c>
      <c r="G1542" s="52">
        <f t="shared" si="24"/>
        <v>0</v>
      </c>
      <c r="H1542" s="52">
        <f>ROUND(Data!C1542*Data!D1542-Data!E1542,2)</f>
        <v>0</v>
      </c>
      <c r="I1542" s="52">
        <f>IF(AND(OR(Sel_Mode="All",Data!I1542=Sel_Mode),OR(Sel_Gender="All",D1542=Sel_Gender),OR(Sel_Category="All",Data!B1542=Sel_Category),OR(Sel_Month="All",C1542=Sel_Month),OR(Sel_County="All",Data!L1542=Sel_County)),1,0)</f>
        <v>1</v>
      </c>
    </row>
    <row r="1543" spans="1:9" x14ac:dyDescent="0.25">
      <c r="A1543" s="52" t="str">
        <f>Data!A1543</f>
        <v>TX501542</v>
      </c>
      <c r="B1543" s="52">
        <f>MONTH(Data!F1543)</f>
        <v>2</v>
      </c>
      <c r="C1543" s="52" t="str">
        <f>TEXT(Data!F1543,"mmm")</f>
        <v>Feb</v>
      </c>
      <c r="D1543" s="52" t="str">
        <f>Data!O1543</f>
        <v>Male</v>
      </c>
      <c r="E1543" s="52">
        <f>Data!G1543-Data!F1543</f>
        <v>1</v>
      </c>
      <c r="F1543" s="52">
        <f>IF(Data!J1543&lt;=5,Data!J1543,IF(Data!J1543&lt;=10,"6 TO 10","More than 10"))</f>
        <v>5</v>
      </c>
      <c r="G1543" s="52">
        <f t="shared" si="24"/>
        <v>1</v>
      </c>
      <c r="H1543" s="52">
        <f>ROUND(Data!C1543*Data!D1543-Data!E1543,2)</f>
        <v>0</v>
      </c>
      <c r="I1543" s="52">
        <f>IF(AND(OR(Sel_Mode="All",Data!I1543=Sel_Mode),OR(Sel_Gender="All",D1543=Sel_Gender),OR(Sel_Category="All",Data!B1543=Sel_Category),OR(Sel_Month="All",C1543=Sel_Month),OR(Sel_County="All",Data!L1543=Sel_County)),1,0)</f>
        <v>1</v>
      </c>
    </row>
    <row r="1544" spans="1:9" x14ac:dyDescent="0.25">
      <c r="A1544" s="52" t="str">
        <f>Data!A1544</f>
        <v>TX501543</v>
      </c>
      <c r="B1544" s="52">
        <f>MONTH(Data!F1544)</f>
        <v>2</v>
      </c>
      <c r="C1544" s="52" t="str">
        <f>TEXT(Data!F1544,"mmm")</f>
        <v>Feb</v>
      </c>
      <c r="D1544" s="52" t="str">
        <f>Data!O1544</f>
        <v>Male</v>
      </c>
      <c r="E1544" s="52">
        <f>Data!G1544-Data!F1544</f>
        <v>3</v>
      </c>
      <c r="F1544" s="52">
        <f>IF(Data!J1544&lt;=5,Data!J1544,IF(Data!J1544&lt;=10,"6 TO 10","More than 10"))</f>
        <v>2</v>
      </c>
      <c r="G1544" s="52">
        <f t="shared" si="24"/>
        <v>3</v>
      </c>
      <c r="H1544" s="52">
        <f>ROUND(Data!C1544*Data!D1544-Data!E1544,2)</f>
        <v>0</v>
      </c>
      <c r="I1544" s="52">
        <f>IF(AND(OR(Sel_Mode="All",Data!I1544=Sel_Mode),OR(Sel_Gender="All",D1544=Sel_Gender),OR(Sel_Category="All",Data!B1544=Sel_Category),OR(Sel_Month="All",C1544=Sel_Month),OR(Sel_County="All",Data!L1544=Sel_County)),1,0)</f>
        <v>1</v>
      </c>
    </row>
    <row r="1545" spans="1:9" x14ac:dyDescent="0.25">
      <c r="A1545" s="52" t="str">
        <f>Data!A1545</f>
        <v>TX501544</v>
      </c>
      <c r="B1545" s="52">
        <f>MONTH(Data!F1545)</f>
        <v>2</v>
      </c>
      <c r="C1545" s="52" t="str">
        <f>TEXT(Data!F1545,"mmm")</f>
        <v>Feb</v>
      </c>
      <c r="D1545" s="52" t="str">
        <f>Data!O1545</f>
        <v>Female</v>
      </c>
      <c r="E1545" s="52">
        <f>Data!G1545-Data!F1545</f>
        <v>3</v>
      </c>
      <c r="F1545" s="52">
        <f>IF(Data!J1545&lt;=5,Data!J1545,IF(Data!J1545&lt;=10,"6 TO 10","More than 10"))</f>
        <v>4</v>
      </c>
      <c r="G1545" s="52">
        <f t="shared" si="24"/>
        <v>3</v>
      </c>
      <c r="H1545" s="52">
        <f>ROUND(Data!C1545*Data!D1545-Data!E1545,2)</f>
        <v>0</v>
      </c>
      <c r="I1545" s="52">
        <f>IF(AND(OR(Sel_Mode="All",Data!I1545=Sel_Mode),OR(Sel_Gender="All",D1545=Sel_Gender),OR(Sel_Category="All",Data!B1545=Sel_Category),OR(Sel_Month="All",C1545=Sel_Month),OR(Sel_County="All",Data!L1545=Sel_County)),1,0)</f>
        <v>1</v>
      </c>
    </row>
    <row r="1546" spans="1:9" x14ac:dyDescent="0.25">
      <c r="A1546" s="52" t="str">
        <f>Data!A1546</f>
        <v>TX501545</v>
      </c>
      <c r="B1546" s="52">
        <f>MONTH(Data!F1546)</f>
        <v>2</v>
      </c>
      <c r="C1546" s="52" t="str">
        <f>TEXT(Data!F1546,"mmm")</f>
        <v>Feb</v>
      </c>
      <c r="D1546" s="52" t="str">
        <f>Data!O1546</f>
        <v>Female</v>
      </c>
      <c r="E1546" s="52">
        <f>Data!G1546-Data!F1546</f>
        <v>0</v>
      </c>
      <c r="F1546" s="52">
        <f>IF(Data!J1546&lt;=5,Data!J1546,IF(Data!J1546&lt;=10,"6 TO 10","More than 10"))</f>
        <v>2</v>
      </c>
      <c r="G1546" s="52">
        <f t="shared" si="24"/>
        <v>0</v>
      </c>
      <c r="H1546" s="52">
        <f>ROUND(Data!C1546*Data!D1546-Data!E1546,2)</f>
        <v>0</v>
      </c>
      <c r="I1546" s="52">
        <f>IF(AND(OR(Sel_Mode="All",Data!I1546=Sel_Mode),OR(Sel_Gender="All",D1546=Sel_Gender),OR(Sel_Category="All",Data!B1546=Sel_Category),OR(Sel_Month="All",C1546=Sel_Month),OR(Sel_County="All",Data!L1546=Sel_County)),1,0)</f>
        <v>1</v>
      </c>
    </row>
    <row r="1547" spans="1:9" x14ac:dyDescent="0.25">
      <c r="A1547" s="52" t="str">
        <f>Data!A1547</f>
        <v>TX501546</v>
      </c>
      <c r="B1547" s="52">
        <f>MONTH(Data!F1547)</f>
        <v>2</v>
      </c>
      <c r="C1547" s="52" t="str">
        <f>TEXT(Data!F1547,"mmm")</f>
        <v>Feb</v>
      </c>
      <c r="D1547" s="52" t="str">
        <f>Data!O1547</f>
        <v>Female</v>
      </c>
      <c r="E1547" s="52">
        <f>Data!G1547-Data!F1547</f>
        <v>2</v>
      </c>
      <c r="F1547" s="52">
        <f>IF(Data!J1547&lt;=5,Data!J1547,IF(Data!J1547&lt;=10,"6 TO 10","More than 10"))</f>
        <v>4</v>
      </c>
      <c r="G1547" s="52">
        <f t="shared" si="24"/>
        <v>2</v>
      </c>
      <c r="H1547" s="52">
        <f>ROUND(Data!C1547*Data!D1547-Data!E1547,2)</f>
        <v>0</v>
      </c>
      <c r="I1547" s="52">
        <f>IF(AND(OR(Sel_Mode="All",Data!I1547=Sel_Mode),OR(Sel_Gender="All",D1547=Sel_Gender),OR(Sel_Category="All",Data!B1547=Sel_Category),OR(Sel_Month="All",C1547=Sel_Month),OR(Sel_County="All",Data!L1547=Sel_County)),1,0)</f>
        <v>1</v>
      </c>
    </row>
    <row r="1548" spans="1:9" x14ac:dyDescent="0.25">
      <c r="A1548" s="52" t="str">
        <f>Data!A1548</f>
        <v>TX501547</v>
      </c>
      <c r="B1548" s="52">
        <f>MONTH(Data!F1548)</f>
        <v>2</v>
      </c>
      <c r="C1548" s="52" t="str">
        <f>TEXT(Data!F1548,"mmm")</f>
        <v>Feb</v>
      </c>
      <c r="D1548" s="52" t="str">
        <f>Data!O1548</f>
        <v>Female</v>
      </c>
      <c r="E1548" s="52">
        <f>Data!G1548-Data!F1548</f>
        <v>14</v>
      </c>
      <c r="F1548" s="52">
        <f>IF(Data!J1548&lt;=5,Data!J1548,IF(Data!J1548&lt;=10,"6 TO 10","More than 10"))</f>
        <v>5</v>
      </c>
      <c r="G1548" s="52" t="str">
        <f t="shared" si="24"/>
        <v>8+</v>
      </c>
      <c r="H1548" s="52">
        <f>ROUND(Data!C1548*Data!D1548-Data!E1548,2)</f>
        <v>0</v>
      </c>
      <c r="I1548" s="52">
        <f>IF(AND(OR(Sel_Mode="All",Data!I1548=Sel_Mode),OR(Sel_Gender="All",D1548=Sel_Gender),OR(Sel_Category="All",Data!B1548=Sel_Category),OR(Sel_Month="All",C1548=Sel_Month),OR(Sel_County="All",Data!L1548=Sel_County)),1,0)</f>
        <v>1</v>
      </c>
    </row>
    <row r="1549" spans="1:9" x14ac:dyDescent="0.25">
      <c r="A1549" s="52" t="str">
        <f>Data!A1549</f>
        <v>TX501548</v>
      </c>
      <c r="B1549" s="52">
        <f>MONTH(Data!F1549)</f>
        <v>2</v>
      </c>
      <c r="C1549" s="52" t="str">
        <f>TEXT(Data!F1549,"mmm")</f>
        <v>Feb</v>
      </c>
      <c r="D1549" s="52" t="str">
        <f>Data!O1549</f>
        <v>Female</v>
      </c>
      <c r="E1549" s="52">
        <f>Data!G1549-Data!F1549</f>
        <v>4</v>
      </c>
      <c r="F1549" s="52">
        <f>IF(Data!J1549&lt;=5,Data!J1549,IF(Data!J1549&lt;=10,"6 TO 10","More than 10"))</f>
        <v>4</v>
      </c>
      <c r="G1549" s="52">
        <f t="shared" si="24"/>
        <v>4</v>
      </c>
      <c r="H1549" s="52">
        <f>ROUND(Data!C1549*Data!D1549-Data!E1549,2)</f>
        <v>0</v>
      </c>
      <c r="I1549" s="52">
        <f>IF(AND(OR(Sel_Mode="All",Data!I1549=Sel_Mode),OR(Sel_Gender="All",D1549=Sel_Gender),OR(Sel_Category="All",Data!B1549=Sel_Category),OR(Sel_Month="All",C1549=Sel_Month),OR(Sel_County="All",Data!L1549=Sel_County)),1,0)</f>
        <v>1</v>
      </c>
    </row>
    <row r="1550" spans="1:9" x14ac:dyDescent="0.25">
      <c r="A1550" s="52" t="str">
        <f>Data!A1550</f>
        <v>TX501549</v>
      </c>
      <c r="B1550" s="52">
        <f>MONTH(Data!F1550)</f>
        <v>2</v>
      </c>
      <c r="C1550" s="52" t="str">
        <f>TEXT(Data!F1550,"mmm")</f>
        <v>Feb</v>
      </c>
      <c r="D1550" s="52" t="str">
        <f>Data!O1550</f>
        <v>Female</v>
      </c>
      <c r="E1550" s="52">
        <f>Data!G1550-Data!F1550</f>
        <v>1</v>
      </c>
      <c r="F1550" s="52">
        <f>IF(Data!J1550&lt;=5,Data!J1550,IF(Data!J1550&lt;=10,"6 TO 10","More than 10"))</f>
        <v>3</v>
      </c>
      <c r="G1550" s="52">
        <f t="shared" si="24"/>
        <v>1</v>
      </c>
      <c r="H1550" s="52">
        <f>ROUND(Data!C1550*Data!D1550-Data!E1550,2)</f>
        <v>0</v>
      </c>
      <c r="I1550" s="52">
        <f>IF(AND(OR(Sel_Mode="All",Data!I1550=Sel_Mode),OR(Sel_Gender="All",D1550=Sel_Gender),OR(Sel_Category="All",Data!B1550=Sel_Category),OR(Sel_Month="All",C1550=Sel_Month),OR(Sel_County="All",Data!L1550=Sel_County)),1,0)</f>
        <v>1</v>
      </c>
    </row>
    <row r="1551" spans="1:9" x14ac:dyDescent="0.25">
      <c r="A1551" s="52" t="str">
        <f>Data!A1551</f>
        <v>TX501550</v>
      </c>
      <c r="B1551" s="52">
        <f>MONTH(Data!F1551)</f>
        <v>2</v>
      </c>
      <c r="C1551" s="52" t="str">
        <f>TEXT(Data!F1551,"mmm")</f>
        <v>Feb</v>
      </c>
      <c r="D1551" s="52" t="str">
        <f>Data!O1551</f>
        <v>Male</v>
      </c>
      <c r="E1551" s="52">
        <f>Data!G1551-Data!F1551</f>
        <v>2</v>
      </c>
      <c r="F1551" s="52">
        <f>IF(Data!J1551&lt;=5,Data!J1551,IF(Data!J1551&lt;=10,"6 TO 10","More than 10"))</f>
        <v>4</v>
      </c>
      <c r="G1551" s="52">
        <f t="shared" si="24"/>
        <v>2</v>
      </c>
      <c r="H1551" s="52">
        <f>ROUND(Data!C1551*Data!D1551-Data!E1551,2)</f>
        <v>0</v>
      </c>
      <c r="I1551" s="52">
        <f>IF(AND(OR(Sel_Mode="All",Data!I1551=Sel_Mode),OR(Sel_Gender="All",D1551=Sel_Gender),OR(Sel_Category="All",Data!B1551=Sel_Category),OR(Sel_Month="All",C1551=Sel_Month),OR(Sel_County="All",Data!L1551=Sel_County)),1,0)</f>
        <v>1</v>
      </c>
    </row>
    <row r="1552" spans="1:9" x14ac:dyDescent="0.25">
      <c r="A1552" s="52" t="str">
        <f>Data!A1552</f>
        <v>TX501551</v>
      </c>
      <c r="B1552" s="52">
        <f>MONTH(Data!F1552)</f>
        <v>2</v>
      </c>
      <c r="C1552" s="52" t="str">
        <f>TEXT(Data!F1552,"mmm")</f>
        <v>Feb</v>
      </c>
      <c r="D1552" s="52" t="str">
        <f>Data!O1552</f>
        <v>Male</v>
      </c>
      <c r="E1552" s="52">
        <f>Data!G1552-Data!F1552</f>
        <v>4</v>
      </c>
      <c r="F1552" s="52">
        <f>IF(Data!J1552&lt;=5,Data!J1552,IF(Data!J1552&lt;=10,"6 TO 10","More than 10"))</f>
        <v>5</v>
      </c>
      <c r="G1552" s="52">
        <f t="shared" si="24"/>
        <v>4</v>
      </c>
      <c r="H1552" s="52">
        <f>ROUND(Data!C1552*Data!D1552-Data!E1552,2)</f>
        <v>0</v>
      </c>
      <c r="I1552" s="52">
        <f>IF(AND(OR(Sel_Mode="All",Data!I1552=Sel_Mode),OR(Sel_Gender="All",D1552=Sel_Gender),OR(Sel_Category="All",Data!B1552=Sel_Category),OR(Sel_Month="All",C1552=Sel_Month),OR(Sel_County="All",Data!L1552=Sel_County)),1,0)</f>
        <v>1</v>
      </c>
    </row>
    <row r="1553" spans="1:9" x14ac:dyDescent="0.25">
      <c r="A1553" s="52" t="str">
        <f>Data!A1553</f>
        <v>TX501552</v>
      </c>
      <c r="B1553" s="52">
        <f>MONTH(Data!F1553)</f>
        <v>2</v>
      </c>
      <c r="C1553" s="52" t="str">
        <f>TEXT(Data!F1553,"mmm")</f>
        <v>Feb</v>
      </c>
      <c r="D1553" s="52" t="str">
        <f>Data!O1553</f>
        <v>Male</v>
      </c>
      <c r="E1553" s="52">
        <f>Data!G1553-Data!F1553</f>
        <v>2</v>
      </c>
      <c r="F1553" s="52">
        <f>IF(Data!J1553&lt;=5,Data!J1553,IF(Data!J1553&lt;=10,"6 TO 10","More than 10"))</f>
        <v>5</v>
      </c>
      <c r="G1553" s="52">
        <f t="shared" si="24"/>
        <v>2</v>
      </c>
      <c r="H1553" s="52">
        <f>ROUND(Data!C1553*Data!D1553-Data!E1553,2)</f>
        <v>0</v>
      </c>
      <c r="I1553" s="52">
        <f>IF(AND(OR(Sel_Mode="All",Data!I1553=Sel_Mode),OR(Sel_Gender="All",D1553=Sel_Gender),OR(Sel_Category="All",Data!B1553=Sel_Category),OR(Sel_Month="All",C1553=Sel_Month),OR(Sel_County="All",Data!L1553=Sel_County)),1,0)</f>
        <v>1</v>
      </c>
    </row>
    <row r="1554" spans="1:9" x14ac:dyDescent="0.25">
      <c r="A1554" s="52" t="str">
        <f>Data!A1554</f>
        <v>TX501553</v>
      </c>
      <c r="B1554" s="52">
        <f>MONTH(Data!F1554)</f>
        <v>2</v>
      </c>
      <c r="C1554" s="52" t="str">
        <f>TEXT(Data!F1554,"mmm")</f>
        <v>Feb</v>
      </c>
      <c r="D1554" s="52" t="str">
        <f>Data!O1554</f>
        <v>Male</v>
      </c>
      <c r="E1554" s="52">
        <f>Data!G1554-Data!F1554</f>
        <v>3</v>
      </c>
      <c r="F1554" s="52">
        <f>IF(Data!J1554&lt;=5,Data!J1554,IF(Data!J1554&lt;=10,"6 TO 10","More than 10"))</f>
        <v>5</v>
      </c>
      <c r="G1554" s="52">
        <f t="shared" si="24"/>
        <v>3</v>
      </c>
      <c r="H1554" s="52">
        <f>ROUND(Data!C1554*Data!D1554-Data!E1554,2)</f>
        <v>0</v>
      </c>
      <c r="I1554" s="52">
        <f>IF(AND(OR(Sel_Mode="All",Data!I1554=Sel_Mode),OR(Sel_Gender="All",D1554=Sel_Gender),OR(Sel_Category="All",Data!B1554=Sel_Category),OR(Sel_Month="All",C1554=Sel_Month),OR(Sel_County="All",Data!L1554=Sel_County)),1,0)</f>
        <v>1</v>
      </c>
    </row>
    <row r="1555" spans="1:9" x14ac:dyDescent="0.25">
      <c r="A1555" s="52" t="str">
        <f>Data!A1555</f>
        <v>TX501554</v>
      </c>
      <c r="B1555" s="52">
        <f>MONTH(Data!F1555)</f>
        <v>2</v>
      </c>
      <c r="C1555" s="52" t="str">
        <f>TEXT(Data!F1555,"mmm")</f>
        <v>Feb</v>
      </c>
      <c r="D1555" s="52" t="str">
        <f>Data!O1555</f>
        <v>Female</v>
      </c>
      <c r="E1555" s="52">
        <f>Data!G1555-Data!F1555</f>
        <v>1</v>
      </c>
      <c r="F1555" s="52">
        <f>IF(Data!J1555&lt;=5,Data!J1555,IF(Data!J1555&lt;=10,"6 TO 10","More than 10"))</f>
        <v>4</v>
      </c>
      <c r="G1555" s="52">
        <f t="shared" si="24"/>
        <v>1</v>
      </c>
      <c r="H1555" s="52">
        <f>ROUND(Data!C1555*Data!D1555-Data!E1555,2)</f>
        <v>0</v>
      </c>
      <c r="I1555" s="52">
        <f>IF(AND(OR(Sel_Mode="All",Data!I1555=Sel_Mode),OR(Sel_Gender="All",D1555=Sel_Gender),OR(Sel_Category="All",Data!B1555=Sel_Category),OR(Sel_Month="All",C1555=Sel_Month),OR(Sel_County="All",Data!L1555=Sel_County)),1,0)</f>
        <v>1</v>
      </c>
    </row>
    <row r="1556" spans="1:9" x14ac:dyDescent="0.25">
      <c r="A1556" s="52" t="str">
        <f>Data!A1556</f>
        <v>TX501555</v>
      </c>
      <c r="B1556" s="52">
        <f>MONTH(Data!F1556)</f>
        <v>2</v>
      </c>
      <c r="C1556" s="52" t="str">
        <f>TEXT(Data!F1556,"mmm")</f>
        <v>Feb</v>
      </c>
      <c r="D1556" s="52" t="str">
        <f>Data!O1556</f>
        <v>Female</v>
      </c>
      <c r="E1556" s="52">
        <f>Data!G1556-Data!F1556</f>
        <v>2</v>
      </c>
      <c r="F1556" s="52">
        <f>IF(Data!J1556&lt;=5,Data!J1556,IF(Data!J1556&lt;=10,"6 TO 10","More than 10"))</f>
        <v>4</v>
      </c>
      <c r="G1556" s="52">
        <f t="shared" si="24"/>
        <v>2</v>
      </c>
      <c r="H1556" s="52">
        <f>ROUND(Data!C1556*Data!D1556-Data!E1556,2)</f>
        <v>0</v>
      </c>
      <c r="I1556" s="52">
        <f>IF(AND(OR(Sel_Mode="All",Data!I1556=Sel_Mode),OR(Sel_Gender="All",D1556=Sel_Gender),OR(Sel_Category="All",Data!B1556=Sel_Category),OR(Sel_Month="All",C1556=Sel_Month),OR(Sel_County="All",Data!L1556=Sel_County)),1,0)</f>
        <v>1</v>
      </c>
    </row>
    <row r="1557" spans="1:9" x14ac:dyDescent="0.25">
      <c r="A1557" s="52" t="str">
        <f>Data!A1557</f>
        <v>TX501556</v>
      </c>
      <c r="B1557" s="52">
        <f>MONTH(Data!F1557)</f>
        <v>2</v>
      </c>
      <c r="C1557" s="52" t="str">
        <f>TEXT(Data!F1557,"mmm")</f>
        <v>Feb</v>
      </c>
      <c r="D1557" s="52" t="str">
        <f>Data!O1557</f>
        <v>Unknown</v>
      </c>
      <c r="E1557" s="52">
        <f>Data!G1557-Data!F1557</f>
        <v>3</v>
      </c>
      <c r="F1557" s="52">
        <f>IF(Data!J1557&lt;=5,Data!J1557,IF(Data!J1557&lt;=10,"6 TO 10","More than 10"))</f>
        <v>5</v>
      </c>
      <c r="G1557" s="52">
        <f t="shared" si="24"/>
        <v>3</v>
      </c>
      <c r="H1557" s="52">
        <f>ROUND(Data!C1557*Data!D1557-Data!E1557,2)</f>
        <v>0</v>
      </c>
      <c r="I1557" s="52">
        <f>IF(AND(OR(Sel_Mode="All",Data!I1557=Sel_Mode),OR(Sel_Gender="All",D1557=Sel_Gender),OR(Sel_Category="All",Data!B1557=Sel_Category),OR(Sel_Month="All",C1557=Sel_Month),OR(Sel_County="All",Data!L1557=Sel_County)),1,0)</f>
        <v>1</v>
      </c>
    </row>
    <row r="1558" spans="1:9" x14ac:dyDescent="0.25">
      <c r="A1558" s="52" t="str">
        <f>Data!A1558</f>
        <v>TX501557</v>
      </c>
      <c r="B1558" s="52">
        <f>MONTH(Data!F1558)</f>
        <v>2</v>
      </c>
      <c r="C1558" s="52" t="str">
        <f>TEXT(Data!F1558,"mmm")</f>
        <v>Feb</v>
      </c>
      <c r="D1558" s="52" t="str">
        <f>Data!O1558</f>
        <v>Male</v>
      </c>
      <c r="E1558" s="52">
        <f>Data!G1558-Data!F1558</f>
        <v>5</v>
      </c>
      <c r="F1558" s="52">
        <f>IF(Data!J1558&lt;=5,Data!J1558,IF(Data!J1558&lt;=10,"6 TO 10","More than 10"))</f>
        <v>4</v>
      </c>
      <c r="G1558" s="52">
        <f t="shared" si="24"/>
        <v>5</v>
      </c>
      <c r="H1558" s="52">
        <f>ROUND(Data!C1558*Data!D1558-Data!E1558,2)</f>
        <v>0</v>
      </c>
      <c r="I1558" s="52">
        <f>IF(AND(OR(Sel_Mode="All",Data!I1558=Sel_Mode),OR(Sel_Gender="All",D1558=Sel_Gender),OR(Sel_Category="All",Data!B1558=Sel_Category),OR(Sel_Month="All",C1558=Sel_Month),OR(Sel_County="All",Data!L1558=Sel_County)),1,0)</f>
        <v>1</v>
      </c>
    </row>
    <row r="1559" spans="1:9" x14ac:dyDescent="0.25">
      <c r="A1559" s="52" t="str">
        <f>Data!A1559</f>
        <v>TX501558</v>
      </c>
      <c r="B1559" s="52">
        <f>MONTH(Data!F1559)</f>
        <v>2</v>
      </c>
      <c r="C1559" s="52" t="str">
        <f>TEXT(Data!F1559,"mmm")</f>
        <v>Feb</v>
      </c>
      <c r="D1559" s="52" t="str">
        <f>Data!O1559</f>
        <v>Male</v>
      </c>
      <c r="E1559" s="52">
        <f>Data!G1559-Data!F1559</f>
        <v>11</v>
      </c>
      <c r="F1559" s="52">
        <f>IF(Data!J1559&lt;=5,Data!J1559,IF(Data!J1559&lt;=10,"6 TO 10","More than 10"))</f>
        <v>4</v>
      </c>
      <c r="G1559" s="52" t="str">
        <f t="shared" si="24"/>
        <v>8+</v>
      </c>
      <c r="H1559" s="52">
        <f>ROUND(Data!C1559*Data!D1559-Data!E1559,2)</f>
        <v>0</v>
      </c>
      <c r="I1559" s="52">
        <f>IF(AND(OR(Sel_Mode="All",Data!I1559=Sel_Mode),OR(Sel_Gender="All",D1559=Sel_Gender),OR(Sel_Category="All",Data!B1559=Sel_Category),OR(Sel_Month="All",C1559=Sel_Month),OR(Sel_County="All",Data!L1559=Sel_County)),1,0)</f>
        <v>1</v>
      </c>
    </row>
    <row r="1560" spans="1:9" x14ac:dyDescent="0.25">
      <c r="A1560" s="52" t="str">
        <f>Data!A1560</f>
        <v>TX501559</v>
      </c>
      <c r="B1560" s="52">
        <f>MONTH(Data!F1560)</f>
        <v>2</v>
      </c>
      <c r="C1560" s="52" t="str">
        <f>TEXT(Data!F1560,"mmm")</f>
        <v>Feb</v>
      </c>
      <c r="D1560" s="52" t="str">
        <f>Data!O1560</f>
        <v>Other</v>
      </c>
      <c r="E1560" s="52">
        <f>Data!G1560-Data!F1560</f>
        <v>0</v>
      </c>
      <c r="F1560" s="52">
        <f>IF(Data!J1560&lt;=5,Data!J1560,IF(Data!J1560&lt;=10,"6 TO 10","More than 10"))</f>
        <v>4</v>
      </c>
      <c r="G1560" s="52">
        <f t="shared" si="24"/>
        <v>0</v>
      </c>
      <c r="H1560" s="52">
        <f>ROUND(Data!C1560*Data!D1560-Data!E1560,2)</f>
        <v>0</v>
      </c>
      <c r="I1560" s="52">
        <f>IF(AND(OR(Sel_Mode="All",Data!I1560=Sel_Mode),OR(Sel_Gender="All",D1560=Sel_Gender),OR(Sel_Category="All",Data!B1560=Sel_Category),OR(Sel_Month="All",C1560=Sel_Month),OR(Sel_County="All",Data!L1560=Sel_County)),1,0)</f>
        <v>1</v>
      </c>
    </row>
    <row r="1561" spans="1:9" x14ac:dyDescent="0.25">
      <c r="A1561" s="52" t="str">
        <f>Data!A1561</f>
        <v>TX501560</v>
      </c>
      <c r="B1561" s="52">
        <f>MONTH(Data!F1561)</f>
        <v>2</v>
      </c>
      <c r="C1561" s="52" t="str">
        <f>TEXT(Data!F1561,"mmm")</f>
        <v>Feb</v>
      </c>
      <c r="D1561" s="52" t="str">
        <f>Data!O1561</f>
        <v>Female</v>
      </c>
      <c r="E1561" s="52">
        <f>Data!G1561-Data!F1561</f>
        <v>2</v>
      </c>
      <c r="F1561" s="52">
        <f>IF(Data!J1561&lt;=5,Data!J1561,IF(Data!J1561&lt;=10,"6 TO 10","More than 10"))</f>
        <v>4</v>
      </c>
      <c r="G1561" s="52">
        <f t="shared" si="24"/>
        <v>2</v>
      </c>
      <c r="H1561" s="52">
        <f>ROUND(Data!C1561*Data!D1561-Data!E1561,2)</f>
        <v>0</v>
      </c>
      <c r="I1561" s="52">
        <f>IF(AND(OR(Sel_Mode="All",Data!I1561=Sel_Mode),OR(Sel_Gender="All",D1561=Sel_Gender),OR(Sel_Category="All",Data!B1561=Sel_Category),OR(Sel_Month="All",C1561=Sel_Month),OR(Sel_County="All",Data!L1561=Sel_County)),1,0)</f>
        <v>1</v>
      </c>
    </row>
    <row r="1562" spans="1:9" x14ac:dyDescent="0.25">
      <c r="A1562" s="52" t="str">
        <f>Data!A1562</f>
        <v>TX501561</v>
      </c>
      <c r="B1562" s="52">
        <f>MONTH(Data!F1562)</f>
        <v>2</v>
      </c>
      <c r="C1562" s="52" t="str">
        <f>TEXT(Data!F1562,"mmm")</f>
        <v>Feb</v>
      </c>
      <c r="D1562" s="52" t="str">
        <f>Data!O1562</f>
        <v>Female</v>
      </c>
      <c r="E1562" s="52">
        <f>Data!G1562-Data!F1562</f>
        <v>1</v>
      </c>
      <c r="F1562" s="52">
        <f>IF(Data!J1562&lt;=5,Data!J1562,IF(Data!J1562&lt;=10,"6 TO 10","More than 10"))</f>
        <v>5</v>
      </c>
      <c r="G1562" s="52">
        <f t="shared" si="24"/>
        <v>1</v>
      </c>
      <c r="H1562" s="52">
        <f>ROUND(Data!C1562*Data!D1562-Data!E1562,2)</f>
        <v>0</v>
      </c>
      <c r="I1562" s="52">
        <f>IF(AND(OR(Sel_Mode="All",Data!I1562=Sel_Mode),OR(Sel_Gender="All",D1562=Sel_Gender),OR(Sel_Category="All",Data!B1562=Sel_Category),OR(Sel_Month="All",C1562=Sel_Month),OR(Sel_County="All",Data!L1562=Sel_County)),1,0)</f>
        <v>1</v>
      </c>
    </row>
    <row r="1563" spans="1:9" x14ac:dyDescent="0.25">
      <c r="A1563" s="52" t="str">
        <f>Data!A1563</f>
        <v>TX501562</v>
      </c>
      <c r="B1563" s="52">
        <f>MONTH(Data!F1563)</f>
        <v>2</v>
      </c>
      <c r="C1563" s="52" t="str">
        <f>TEXT(Data!F1563,"mmm")</f>
        <v>Feb</v>
      </c>
      <c r="D1563" s="52" t="str">
        <f>Data!O1563</f>
        <v>Other</v>
      </c>
      <c r="E1563" s="52">
        <f>Data!G1563-Data!F1563</f>
        <v>3</v>
      </c>
      <c r="F1563" s="52">
        <f>IF(Data!J1563&lt;=5,Data!J1563,IF(Data!J1563&lt;=10,"6 TO 10","More than 10"))</f>
        <v>4</v>
      </c>
      <c r="G1563" s="52">
        <f t="shared" si="24"/>
        <v>3</v>
      </c>
      <c r="H1563" s="52">
        <f>ROUND(Data!C1563*Data!D1563-Data!E1563,2)</f>
        <v>0</v>
      </c>
      <c r="I1563" s="52">
        <f>IF(AND(OR(Sel_Mode="All",Data!I1563=Sel_Mode),OR(Sel_Gender="All",D1563=Sel_Gender),OR(Sel_Category="All",Data!B1563=Sel_Category),OR(Sel_Month="All",C1563=Sel_Month),OR(Sel_County="All",Data!L1563=Sel_County)),1,0)</f>
        <v>1</v>
      </c>
    </row>
    <row r="1564" spans="1:9" x14ac:dyDescent="0.25">
      <c r="A1564" s="52" t="str">
        <f>Data!A1564</f>
        <v>TX501563</v>
      </c>
      <c r="B1564" s="52">
        <f>MONTH(Data!F1564)</f>
        <v>2</v>
      </c>
      <c r="C1564" s="52" t="str">
        <f>TEXT(Data!F1564,"mmm")</f>
        <v>Feb</v>
      </c>
      <c r="D1564" s="52" t="str">
        <f>Data!O1564</f>
        <v>Female</v>
      </c>
      <c r="E1564" s="52">
        <f>Data!G1564-Data!F1564</f>
        <v>1</v>
      </c>
      <c r="F1564" s="52">
        <f>IF(Data!J1564&lt;=5,Data!J1564,IF(Data!J1564&lt;=10,"6 TO 10","More than 10"))</f>
        <v>5</v>
      </c>
      <c r="G1564" s="52">
        <f t="shared" si="24"/>
        <v>1</v>
      </c>
      <c r="H1564" s="52">
        <f>ROUND(Data!C1564*Data!D1564-Data!E1564,2)</f>
        <v>0</v>
      </c>
      <c r="I1564" s="52">
        <f>IF(AND(OR(Sel_Mode="All",Data!I1564=Sel_Mode),OR(Sel_Gender="All",D1564=Sel_Gender),OR(Sel_Category="All",Data!B1564=Sel_Category),OR(Sel_Month="All",C1564=Sel_Month),OR(Sel_County="All",Data!L1564=Sel_County)),1,0)</f>
        <v>1</v>
      </c>
    </row>
    <row r="1565" spans="1:9" x14ac:dyDescent="0.25">
      <c r="A1565" s="52" t="str">
        <f>Data!A1565</f>
        <v>TX501564</v>
      </c>
      <c r="B1565" s="52">
        <f>MONTH(Data!F1565)</f>
        <v>2</v>
      </c>
      <c r="C1565" s="52" t="str">
        <f>TEXT(Data!F1565,"mmm")</f>
        <v>Feb</v>
      </c>
      <c r="D1565" s="52" t="str">
        <f>Data!O1565</f>
        <v>Female</v>
      </c>
      <c r="E1565" s="52">
        <f>Data!G1565-Data!F1565</f>
        <v>0</v>
      </c>
      <c r="F1565" s="52">
        <f>IF(Data!J1565&lt;=5,Data!J1565,IF(Data!J1565&lt;=10,"6 TO 10","More than 10"))</f>
        <v>4</v>
      </c>
      <c r="G1565" s="52">
        <f t="shared" si="24"/>
        <v>0</v>
      </c>
      <c r="H1565" s="52">
        <f>ROUND(Data!C1565*Data!D1565-Data!E1565,2)</f>
        <v>0</v>
      </c>
      <c r="I1565" s="52">
        <f>IF(AND(OR(Sel_Mode="All",Data!I1565=Sel_Mode),OR(Sel_Gender="All",D1565=Sel_Gender),OR(Sel_Category="All",Data!B1565=Sel_Category),OR(Sel_Month="All",C1565=Sel_Month),OR(Sel_County="All",Data!L1565=Sel_County)),1,0)</f>
        <v>1</v>
      </c>
    </row>
    <row r="1566" spans="1:9" x14ac:dyDescent="0.25">
      <c r="A1566" s="52" t="str">
        <f>Data!A1566</f>
        <v>TX501565</v>
      </c>
      <c r="B1566" s="52">
        <f>MONTH(Data!F1566)</f>
        <v>2</v>
      </c>
      <c r="C1566" s="52" t="str">
        <f>TEXT(Data!F1566,"mmm")</f>
        <v>Feb</v>
      </c>
      <c r="D1566" s="52" t="str">
        <f>Data!O1566</f>
        <v>Male</v>
      </c>
      <c r="E1566" s="52">
        <f>Data!G1566-Data!F1566</f>
        <v>3</v>
      </c>
      <c r="F1566" s="52">
        <f>IF(Data!J1566&lt;=5,Data!J1566,IF(Data!J1566&lt;=10,"6 TO 10","More than 10"))</f>
        <v>5</v>
      </c>
      <c r="G1566" s="52">
        <f t="shared" si="24"/>
        <v>3</v>
      </c>
      <c r="H1566" s="52">
        <f>ROUND(Data!C1566*Data!D1566-Data!E1566,2)</f>
        <v>0</v>
      </c>
      <c r="I1566" s="52">
        <f>IF(AND(OR(Sel_Mode="All",Data!I1566=Sel_Mode),OR(Sel_Gender="All",D1566=Sel_Gender),OR(Sel_Category="All",Data!B1566=Sel_Category),OR(Sel_Month="All",C1566=Sel_Month),OR(Sel_County="All",Data!L1566=Sel_County)),1,0)</f>
        <v>1</v>
      </c>
    </row>
    <row r="1567" spans="1:9" x14ac:dyDescent="0.25">
      <c r="A1567" s="52" t="str">
        <f>Data!A1567</f>
        <v>TX501566</v>
      </c>
      <c r="B1567" s="52">
        <f>MONTH(Data!F1567)</f>
        <v>2</v>
      </c>
      <c r="C1567" s="52" t="str">
        <f>TEXT(Data!F1567,"mmm")</f>
        <v>Feb</v>
      </c>
      <c r="D1567" s="52" t="str">
        <f>Data!O1567</f>
        <v>Male</v>
      </c>
      <c r="E1567" s="52">
        <f>Data!G1567-Data!F1567</f>
        <v>1</v>
      </c>
      <c r="F1567" s="52">
        <f>IF(Data!J1567&lt;=5,Data!J1567,IF(Data!J1567&lt;=10,"6 TO 10","More than 10"))</f>
        <v>5</v>
      </c>
      <c r="G1567" s="52">
        <f t="shared" si="24"/>
        <v>1</v>
      </c>
      <c r="H1567" s="52">
        <f>ROUND(Data!C1567*Data!D1567-Data!E1567,2)</f>
        <v>0</v>
      </c>
      <c r="I1567" s="52">
        <f>IF(AND(OR(Sel_Mode="All",Data!I1567=Sel_Mode),OR(Sel_Gender="All",D1567=Sel_Gender),OR(Sel_Category="All",Data!B1567=Sel_Category),OR(Sel_Month="All",C1567=Sel_Month),OR(Sel_County="All",Data!L1567=Sel_County)),1,0)</f>
        <v>1</v>
      </c>
    </row>
    <row r="1568" spans="1:9" x14ac:dyDescent="0.25">
      <c r="A1568" s="52" t="str">
        <f>Data!A1568</f>
        <v>TX501567</v>
      </c>
      <c r="B1568" s="52">
        <f>MONTH(Data!F1568)</f>
        <v>2</v>
      </c>
      <c r="C1568" s="52" t="str">
        <f>TEXT(Data!F1568,"mmm")</f>
        <v>Feb</v>
      </c>
      <c r="D1568" s="52" t="str">
        <f>Data!O1568</f>
        <v>Female</v>
      </c>
      <c r="E1568" s="52">
        <f>Data!G1568-Data!F1568</f>
        <v>1</v>
      </c>
      <c r="F1568" s="52">
        <f>IF(Data!J1568&lt;=5,Data!J1568,IF(Data!J1568&lt;=10,"6 TO 10","More than 10"))</f>
        <v>3</v>
      </c>
      <c r="G1568" s="52">
        <f t="shared" si="24"/>
        <v>1</v>
      </c>
      <c r="H1568" s="52">
        <f>ROUND(Data!C1568*Data!D1568-Data!E1568,2)</f>
        <v>0</v>
      </c>
      <c r="I1568" s="52">
        <f>IF(AND(OR(Sel_Mode="All",Data!I1568=Sel_Mode),OR(Sel_Gender="All",D1568=Sel_Gender),OR(Sel_Category="All",Data!B1568=Sel_Category),OR(Sel_Month="All",C1568=Sel_Month),OR(Sel_County="All",Data!L1568=Sel_County)),1,0)</f>
        <v>1</v>
      </c>
    </row>
    <row r="1569" spans="1:9" x14ac:dyDescent="0.25">
      <c r="A1569" s="52" t="str">
        <f>Data!A1569</f>
        <v>TX501568</v>
      </c>
      <c r="B1569" s="52">
        <f>MONTH(Data!F1569)</f>
        <v>2</v>
      </c>
      <c r="C1569" s="52" t="str">
        <f>TEXT(Data!F1569,"mmm")</f>
        <v>Feb</v>
      </c>
      <c r="D1569" s="52" t="str">
        <f>Data!O1569</f>
        <v>Male</v>
      </c>
      <c r="E1569" s="52">
        <f>Data!G1569-Data!F1569</f>
        <v>2</v>
      </c>
      <c r="F1569" s="52">
        <f>IF(Data!J1569&lt;=5,Data!J1569,IF(Data!J1569&lt;=10,"6 TO 10","More than 10"))</f>
        <v>5</v>
      </c>
      <c r="G1569" s="52">
        <f t="shared" si="24"/>
        <v>2</v>
      </c>
      <c r="H1569" s="52">
        <f>ROUND(Data!C1569*Data!D1569-Data!E1569,2)</f>
        <v>0</v>
      </c>
      <c r="I1569" s="52">
        <f>IF(AND(OR(Sel_Mode="All",Data!I1569=Sel_Mode),OR(Sel_Gender="All",D1569=Sel_Gender),OR(Sel_Category="All",Data!B1569=Sel_Category),OR(Sel_Month="All",C1569=Sel_Month),OR(Sel_County="All",Data!L1569=Sel_County)),1,0)</f>
        <v>1</v>
      </c>
    </row>
    <row r="1570" spans="1:9" x14ac:dyDescent="0.25">
      <c r="A1570" s="52" t="str">
        <f>Data!A1570</f>
        <v>TX501569</v>
      </c>
      <c r="B1570" s="52">
        <f>MONTH(Data!F1570)</f>
        <v>2</v>
      </c>
      <c r="C1570" s="52" t="str">
        <f>TEXT(Data!F1570,"mmm")</f>
        <v>Feb</v>
      </c>
      <c r="D1570" s="52" t="str">
        <f>Data!O1570</f>
        <v>Female</v>
      </c>
      <c r="E1570" s="52">
        <f>Data!G1570-Data!F1570</f>
        <v>1</v>
      </c>
      <c r="F1570" s="52">
        <f>IF(Data!J1570&lt;=5,Data!J1570,IF(Data!J1570&lt;=10,"6 TO 10","More than 10"))</f>
        <v>5</v>
      </c>
      <c r="G1570" s="52">
        <f t="shared" si="24"/>
        <v>1</v>
      </c>
      <c r="H1570" s="52">
        <f>ROUND(Data!C1570*Data!D1570-Data!E1570,2)</f>
        <v>0</v>
      </c>
      <c r="I1570" s="52">
        <f>IF(AND(OR(Sel_Mode="All",Data!I1570=Sel_Mode),OR(Sel_Gender="All",D1570=Sel_Gender),OR(Sel_Category="All",Data!B1570=Sel_Category),OR(Sel_Month="All",C1570=Sel_Month),OR(Sel_County="All",Data!L1570=Sel_County)),1,0)</f>
        <v>1</v>
      </c>
    </row>
    <row r="1571" spans="1:9" x14ac:dyDescent="0.25">
      <c r="A1571" s="52" t="str">
        <f>Data!A1571</f>
        <v>TX501570</v>
      </c>
      <c r="B1571" s="52">
        <f>MONTH(Data!F1571)</f>
        <v>2</v>
      </c>
      <c r="C1571" s="52" t="str">
        <f>TEXT(Data!F1571,"mmm")</f>
        <v>Feb</v>
      </c>
      <c r="D1571" s="52" t="str">
        <f>Data!O1571</f>
        <v>Male</v>
      </c>
      <c r="E1571" s="52">
        <f>Data!G1571-Data!F1571</f>
        <v>4</v>
      </c>
      <c r="F1571" s="52">
        <f>IF(Data!J1571&lt;=5,Data!J1571,IF(Data!J1571&lt;=10,"6 TO 10","More than 10"))</f>
        <v>5</v>
      </c>
      <c r="G1571" s="52">
        <f t="shared" si="24"/>
        <v>4</v>
      </c>
      <c r="H1571" s="52">
        <f>ROUND(Data!C1571*Data!D1571-Data!E1571,2)</f>
        <v>0</v>
      </c>
      <c r="I1571" s="52">
        <f>IF(AND(OR(Sel_Mode="All",Data!I1571=Sel_Mode),OR(Sel_Gender="All",D1571=Sel_Gender),OR(Sel_Category="All",Data!B1571=Sel_Category),OR(Sel_Month="All",C1571=Sel_Month),OR(Sel_County="All",Data!L1571=Sel_County)),1,0)</f>
        <v>1</v>
      </c>
    </row>
    <row r="1572" spans="1:9" x14ac:dyDescent="0.25">
      <c r="A1572" s="52" t="str">
        <f>Data!A1572</f>
        <v>TX501571</v>
      </c>
      <c r="B1572" s="52">
        <f>MONTH(Data!F1572)</f>
        <v>2</v>
      </c>
      <c r="C1572" s="52" t="str">
        <f>TEXT(Data!F1572,"mmm")</f>
        <v>Feb</v>
      </c>
      <c r="D1572" s="52" t="str">
        <f>Data!O1572</f>
        <v>Male</v>
      </c>
      <c r="E1572" s="52">
        <f>Data!G1572-Data!F1572</f>
        <v>2</v>
      </c>
      <c r="F1572" s="52">
        <f>IF(Data!J1572&lt;=5,Data!J1572,IF(Data!J1572&lt;=10,"6 TO 10","More than 10"))</f>
        <v>4</v>
      </c>
      <c r="G1572" s="52">
        <f t="shared" si="24"/>
        <v>2</v>
      </c>
      <c r="H1572" s="52">
        <f>ROUND(Data!C1572*Data!D1572-Data!E1572,2)</f>
        <v>0</v>
      </c>
      <c r="I1572" s="52">
        <f>IF(AND(OR(Sel_Mode="All",Data!I1572=Sel_Mode),OR(Sel_Gender="All",D1572=Sel_Gender),OR(Sel_Category="All",Data!B1572=Sel_Category),OR(Sel_Month="All",C1572=Sel_Month),OR(Sel_County="All",Data!L1572=Sel_County)),1,0)</f>
        <v>1</v>
      </c>
    </row>
    <row r="1573" spans="1:9" x14ac:dyDescent="0.25">
      <c r="A1573" s="52" t="str">
        <f>Data!A1573</f>
        <v>TX501572</v>
      </c>
      <c r="B1573" s="52">
        <f>MONTH(Data!F1573)</f>
        <v>2</v>
      </c>
      <c r="C1573" s="52" t="str">
        <f>TEXT(Data!F1573,"mmm")</f>
        <v>Feb</v>
      </c>
      <c r="D1573" s="52" t="str">
        <f>Data!O1573</f>
        <v>Male</v>
      </c>
      <c r="E1573" s="52">
        <f>Data!G1573-Data!F1573</f>
        <v>1</v>
      </c>
      <c r="F1573" s="52">
        <f>IF(Data!J1573&lt;=5,Data!J1573,IF(Data!J1573&lt;=10,"6 TO 10","More than 10"))</f>
        <v>5</v>
      </c>
      <c r="G1573" s="52">
        <f t="shared" si="24"/>
        <v>1</v>
      </c>
      <c r="H1573" s="52">
        <f>ROUND(Data!C1573*Data!D1573-Data!E1573,2)</f>
        <v>0</v>
      </c>
      <c r="I1573" s="52">
        <f>IF(AND(OR(Sel_Mode="All",Data!I1573=Sel_Mode),OR(Sel_Gender="All",D1573=Sel_Gender),OR(Sel_Category="All",Data!B1573=Sel_Category),OR(Sel_Month="All",C1573=Sel_Month),OR(Sel_County="All",Data!L1573=Sel_County)),1,0)</f>
        <v>1</v>
      </c>
    </row>
    <row r="1574" spans="1:9" x14ac:dyDescent="0.25">
      <c r="A1574" s="52" t="str">
        <f>Data!A1574</f>
        <v>TX501573</v>
      </c>
      <c r="B1574" s="52">
        <f>MONTH(Data!F1574)</f>
        <v>2</v>
      </c>
      <c r="C1574" s="52" t="str">
        <f>TEXT(Data!F1574,"mmm")</f>
        <v>Feb</v>
      </c>
      <c r="D1574" s="52" t="str">
        <f>Data!O1574</f>
        <v>Female</v>
      </c>
      <c r="E1574" s="52">
        <f>Data!G1574-Data!F1574</f>
        <v>3</v>
      </c>
      <c r="F1574" s="52">
        <f>IF(Data!J1574&lt;=5,Data!J1574,IF(Data!J1574&lt;=10,"6 TO 10","More than 10"))</f>
        <v>3</v>
      </c>
      <c r="G1574" s="52">
        <f t="shared" si="24"/>
        <v>3</v>
      </c>
      <c r="H1574" s="52">
        <f>ROUND(Data!C1574*Data!D1574-Data!E1574,2)</f>
        <v>0</v>
      </c>
      <c r="I1574" s="52">
        <f>IF(AND(OR(Sel_Mode="All",Data!I1574=Sel_Mode),OR(Sel_Gender="All",D1574=Sel_Gender),OR(Sel_Category="All",Data!B1574=Sel_Category),OR(Sel_Month="All",C1574=Sel_Month),OR(Sel_County="All",Data!L1574=Sel_County)),1,0)</f>
        <v>1</v>
      </c>
    </row>
    <row r="1575" spans="1:9" x14ac:dyDescent="0.25">
      <c r="A1575" s="52" t="str">
        <f>Data!A1575</f>
        <v>TX501574</v>
      </c>
      <c r="B1575" s="52">
        <f>MONTH(Data!F1575)</f>
        <v>2</v>
      </c>
      <c r="C1575" s="52" t="str">
        <f>TEXT(Data!F1575,"mmm")</f>
        <v>Feb</v>
      </c>
      <c r="D1575" s="52" t="str">
        <f>Data!O1575</f>
        <v>Female</v>
      </c>
      <c r="E1575" s="52">
        <f>Data!G1575-Data!F1575</f>
        <v>1</v>
      </c>
      <c r="F1575" s="52">
        <f>IF(Data!J1575&lt;=5,Data!J1575,IF(Data!J1575&lt;=10,"6 TO 10","More than 10"))</f>
        <v>4</v>
      </c>
      <c r="G1575" s="52">
        <f t="shared" si="24"/>
        <v>1</v>
      </c>
      <c r="H1575" s="52">
        <f>ROUND(Data!C1575*Data!D1575-Data!E1575,2)</f>
        <v>0</v>
      </c>
      <c r="I1575" s="52">
        <f>IF(AND(OR(Sel_Mode="All",Data!I1575=Sel_Mode),OR(Sel_Gender="All",D1575=Sel_Gender),OR(Sel_Category="All",Data!B1575=Sel_Category),OR(Sel_Month="All",C1575=Sel_Month),OR(Sel_County="All",Data!L1575=Sel_County)),1,0)</f>
        <v>1</v>
      </c>
    </row>
    <row r="1576" spans="1:9" x14ac:dyDescent="0.25">
      <c r="A1576" s="52" t="str">
        <f>Data!A1576</f>
        <v>TX501575</v>
      </c>
      <c r="B1576" s="52">
        <f>MONTH(Data!F1576)</f>
        <v>2</v>
      </c>
      <c r="C1576" s="52" t="str">
        <f>TEXT(Data!F1576,"mmm")</f>
        <v>Feb</v>
      </c>
      <c r="D1576" s="52" t="str">
        <f>Data!O1576</f>
        <v>Female</v>
      </c>
      <c r="E1576" s="52">
        <f>Data!G1576-Data!F1576</f>
        <v>2</v>
      </c>
      <c r="F1576" s="52">
        <f>IF(Data!J1576&lt;=5,Data!J1576,IF(Data!J1576&lt;=10,"6 TO 10","More than 10"))</f>
        <v>4</v>
      </c>
      <c r="G1576" s="52">
        <f t="shared" si="24"/>
        <v>2</v>
      </c>
      <c r="H1576" s="52">
        <f>ROUND(Data!C1576*Data!D1576-Data!E1576,2)</f>
        <v>0</v>
      </c>
      <c r="I1576" s="52">
        <f>IF(AND(OR(Sel_Mode="All",Data!I1576=Sel_Mode),OR(Sel_Gender="All",D1576=Sel_Gender),OR(Sel_Category="All",Data!B1576=Sel_Category),OR(Sel_Month="All",C1576=Sel_Month),OR(Sel_County="All",Data!L1576=Sel_County)),1,0)</f>
        <v>1</v>
      </c>
    </row>
    <row r="1577" spans="1:9" x14ac:dyDescent="0.25">
      <c r="A1577" s="52" t="str">
        <f>Data!A1577</f>
        <v>TX501576</v>
      </c>
      <c r="B1577" s="52">
        <f>MONTH(Data!F1577)</f>
        <v>2</v>
      </c>
      <c r="C1577" s="52" t="str">
        <f>TEXT(Data!F1577,"mmm")</f>
        <v>Feb</v>
      </c>
      <c r="D1577" s="52" t="str">
        <f>Data!O1577</f>
        <v>Female</v>
      </c>
      <c r="E1577" s="52">
        <f>Data!G1577-Data!F1577</f>
        <v>2</v>
      </c>
      <c r="F1577" s="52">
        <f>IF(Data!J1577&lt;=5,Data!J1577,IF(Data!J1577&lt;=10,"6 TO 10","More than 10"))</f>
        <v>4</v>
      </c>
      <c r="G1577" s="52">
        <f t="shared" si="24"/>
        <v>2</v>
      </c>
      <c r="H1577" s="52">
        <f>ROUND(Data!C1577*Data!D1577-Data!E1577,2)</f>
        <v>0</v>
      </c>
      <c r="I1577" s="52">
        <f>IF(AND(OR(Sel_Mode="All",Data!I1577=Sel_Mode),OR(Sel_Gender="All",D1577=Sel_Gender),OR(Sel_Category="All",Data!B1577=Sel_Category),OR(Sel_Month="All",C1577=Sel_Month),OR(Sel_County="All",Data!L1577=Sel_County)),1,0)</f>
        <v>1</v>
      </c>
    </row>
    <row r="1578" spans="1:9" x14ac:dyDescent="0.25">
      <c r="A1578" s="52" t="str">
        <f>Data!A1578</f>
        <v>TX501577</v>
      </c>
      <c r="B1578" s="52">
        <f>MONTH(Data!F1578)</f>
        <v>2</v>
      </c>
      <c r="C1578" s="52" t="str">
        <f>TEXT(Data!F1578,"mmm")</f>
        <v>Feb</v>
      </c>
      <c r="D1578" s="52" t="str">
        <f>Data!O1578</f>
        <v>Female</v>
      </c>
      <c r="E1578" s="52">
        <f>Data!G1578-Data!F1578</f>
        <v>6</v>
      </c>
      <c r="F1578" s="52">
        <f>IF(Data!J1578&lt;=5,Data!J1578,IF(Data!J1578&lt;=10,"6 TO 10","More than 10"))</f>
        <v>4</v>
      </c>
      <c r="G1578" s="52">
        <f t="shared" si="24"/>
        <v>6</v>
      </c>
      <c r="H1578" s="52">
        <f>ROUND(Data!C1578*Data!D1578-Data!E1578,2)</f>
        <v>0</v>
      </c>
      <c r="I1578" s="52">
        <f>IF(AND(OR(Sel_Mode="All",Data!I1578=Sel_Mode),OR(Sel_Gender="All",D1578=Sel_Gender),OR(Sel_Category="All",Data!B1578=Sel_Category),OR(Sel_Month="All",C1578=Sel_Month),OR(Sel_County="All",Data!L1578=Sel_County)),1,0)</f>
        <v>1</v>
      </c>
    </row>
    <row r="1579" spans="1:9" x14ac:dyDescent="0.25">
      <c r="A1579" s="52" t="str">
        <f>Data!A1579</f>
        <v>TX501578</v>
      </c>
      <c r="B1579" s="52">
        <f>MONTH(Data!F1579)</f>
        <v>2</v>
      </c>
      <c r="C1579" s="52" t="str">
        <f>TEXT(Data!F1579,"mmm")</f>
        <v>Feb</v>
      </c>
      <c r="D1579" s="52" t="str">
        <f>Data!O1579</f>
        <v>Female</v>
      </c>
      <c r="E1579" s="52">
        <f>Data!G1579-Data!F1579</f>
        <v>2</v>
      </c>
      <c r="F1579" s="52">
        <f>IF(Data!J1579&lt;=5,Data!J1579,IF(Data!J1579&lt;=10,"6 TO 10","More than 10"))</f>
        <v>5</v>
      </c>
      <c r="G1579" s="52">
        <f t="shared" si="24"/>
        <v>2</v>
      </c>
      <c r="H1579" s="52">
        <f>ROUND(Data!C1579*Data!D1579-Data!E1579,2)</f>
        <v>0</v>
      </c>
      <c r="I1579" s="52">
        <f>IF(AND(OR(Sel_Mode="All",Data!I1579=Sel_Mode),OR(Sel_Gender="All",D1579=Sel_Gender),OR(Sel_Category="All",Data!B1579=Sel_Category),OR(Sel_Month="All",C1579=Sel_Month),OR(Sel_County="All",Data!L1579=Sel_County)),1,0)</f>
        <v>1</v>
      </c>
    </row>
    <row r="1580" spans="1:9" x14ac:dyDescent="0.25">
      <c r="A1580" s="52" t="str">
        <f>Data!A1580</f>
        <v>TX501579</v>
      </c>
      <c r="B1580" s="52">
        <f>MONTH(Data!F1580)</f>
        <v>2</v>
      </c>
      <c r="C1580" s="52" t="str">
        <f>TEXT(Data!F1580,"mmm")</f>
        <v>Feb</v>
      </c>
      <c r="D1580" s="52" t="str">
        <f>Data!O1580</f>
        <v>Female</v>
      </c>
      <c r="E1580" s="52">
        <f>Data!G1580-Data!F1580</f>
        <v>0</v>
      </c>
      <c r="F1580" s="52">
        <f>IF(Data!J1580&lt;=5,Data!J1580,IF(Data!J1580&lt;=10,"6 TO 10","More than 10"))</f>
        <v>4</v>
      </c>
      <c r="G1580" s="52">
        <f t="shared" si="24"/>
        <v>0</v>
      </c>
      <c r="H1580" s="52">
        <f>ROUND(Data!C1580*Data!D1580-Data!E1580,2)</f>
        <v>0</v>
      </c>
      <c r="I1580" s="52">
        <f>IF(AND(OR(Sel_Mode="All",Data!I1580=Sel_Mode),OR(Sel_Gender="All",D1580=Sel_Gender),OR(Sel_Category="All",Data!B1580=Sel_Category),OR(Sel_Month="All",C1580=Sel_Month),OR(Sel_County="All",Data!L1580=Sel_County)),1,0)</f>
        <v>1</v>
      </c>
    </row>
    <row r="1581" spans="1:9" x14ac:dyDescent="0.25">
      <c r="A1581" s="52" t="str">
        <f>Data!A1581</f>
        <v>TX501580</v>
      </c>
      <c r="B1581" s="52">
        <f>MONTH(Data!F1581)</f>
        <v>2</v>
      </c>
      <c r="C1581" s="52" t="str">
        <f>TEXT(Data!F1581,"mmm")</f>
        <v>Feb</v>
      </c>
      <c r="D1581" s="52" t="str">
        <f>Data!O1581</f>
        <v>Female</v>
      </c>
      <c r="E1581" s="52">
        <f>Data!G1581-Data!F1581</f>
        <v>2</v>
      </c>
      <c r="F1581" s="52">
        <f>IF(Data!J1581&lt;=5,Data!J1581,IF(Data!J1581&lt;=10,"6 TO 10","More than 10"))</f>
        <v>5</v>
      </c>
      <c r="G1581" s="52">
        <f t="shared" si="24"/>
        <v>2</v>
      </c>
      <c r="H1581" s="52">
        <f>ROUND(Data!C1581*Data!D1581-Data!E1581,2)</f>
        <v>0</v>
      </c>
      <c r="I1581" s="52">
        <f>IF(AND(OR(Sel_Mode="All",Data!I1581=Sel_Mode),OR(Sel_Gender="All",D1581=Sel_Gender),OR(Sel_Category="All",Data!B1581=Sel_Category),OR(Sel_Month="All",C1581=Sel_Month),OR(Sel_County="All",Data!L1581=Sel_County)),1,0)</f>
        <v>1</v>
      </c>
    </row>
    <row r="1582" spans="1:9" x14ac:dyDescent="0.25">
      <c r="A1582" s="52" t="str">
        <f>Data!A1582</f>
        <v>TX501581</v>
      </c>
      <c r="B1582" s="52">
        <f>MONTH(Data!F1582)</f>
        <v>2</v>
      </c>
      <c r="C1582" s="52" t="str">
        <f>TEXT(Data!F1582,"mmm")</f>
        <v>Feb</v>
      </c>
      <c r="D1582" s="52" t="str">
        <f>Data!O1582</f>
        <v>Male</v>
      </c>
      <c r="E1582" s="52">
        <f>Data!G1582-Data!F1582</f>
        <v>0</v>
      </c>
      <c r="F1582" s="52">
        <f>IF(Data!J1582&lt;=5,Data!J1582,IF(Data!J1582&lt;=10,"6 TO 10","More than 10"))</f>
        <v>5</v>
      </c>
      <c r="G1582" s="52">
        <f t="shared" si="24"/>
        <v>0</v>
      </c>
      <c r="H1582" s="52">
        <f>ROUND(Data!C1582*Data!D1582-Data!E1582,2)</f>
        <v>0</v>
      </c>
      <c r="I1582" s="52">
        <f>IF(AND(OR(Sel_Mode="All",Data!I1582=Sel_Mode),OR(Sel_Gender="All",D1582=Sel_Gender),OR(Sel_Category="All",Data!B1582=Sel_Category),OR(Sel_Month="All",C1582=Sel_Month),OR(Sel_County="All",Data!L1582=Sel_County)),1,0)</f>
        <v>1</v>
      </c>
    </row>
    <row r="1583" spans="1:9" x14ac:dyDescent="0.25">
      <c r="A1583" s="52" t="str">
        <f>Data!A1583</f>
        <v>TX501582</v>
      </c>
      <c r="B1583" s="52">
        <f>MONTH(Data!F1583)</f>
        <v>2</v>
      </c>
      <c r="C1583" s="52" t="str">
        <f>TEXT(Data!F1583,"mmm")</f>
        <v>Feb</v>
      </c>
      <c r="D1583" s="52" t="str">
        <f>Data!O1583</f>
        <v>Female</v>
      </c>
      <c r="E1583" s="52">
        <f>Data!G1583-Data!F1583</f>
        <v>5</v>
      </c>
      <c r="F1583" s="52">
        <f>IF(Data!J1583&lt;=5,Data!J1583,IF(Data!J1583&lt;=10,"6 TO 10","More than 10"))</f>
        <v>4</v>
      </c>
      <c r="G1583" s="52">
        <f t="shared" si="24"/>
        <v>5</v>
      </c>
      <c r="H1583" s="52">
        <f>ROUND(Data!C1583*Data!D1583-Data!E1583,2)</f>
        <v>0</v>
      </c>
      <c r="I1583" s="52">
        <f>IF(AND(OR(Sel_Mode="All",Data!I1583=Sel_Mode),OR(Sel_Gender="All",D1583=Sel_Gender),OR(Sel_Category="All",Data!B1583=Sel_Category),OR(Sel_Month="All",C1583=Sel_Month),OR(Sel_County="All",Data!L1583=Sel_County)),1,0)</f>
        <v>1</v>
      </c>
    </row>
    <row r="1584" spans="1:9" x14ac:dyDescent="0.25">
      <c r="A1584" s="52" t="str">
        <f>Data!A1584</f>
        <v>TX501583</v>
      </c>
      <c r="B1584" s="52">
        <f>MONTH(Data!F1584)</f>
        <v>2</v>
      </c>
      <c r="C1584" s="52" t="str">
        <f>TEXT(Data!F1584,"mmm")</f>
        <v>Feb</v>
      </c>
      <c r="D1584" s="52" t="str">
        <f>Data!O1584</f>
        <v>Male</v>
      </c>
      <c r="E1584" s="52">
        <f>Data!G1584-Data!F1584</f>
        <v>2</v>
      </c>
      <c r="F1584" s="52">
        <f>IF(Data!J1584&lt;=5,Data!J1584,IF(Data!J1584&lt;=10,"6 TO 10","More than 10"))</f>
        <v>1</v>
      </c>
      <c r="G1584" s="52">
        <f t="shared" si="24"/>
        <v>2</v>
      </c>
      <c r="H1584" s="52">
        <f>ROUND(Data!C1584*Data!D1584-Data!E1584,2)</f>
        <v>0</v>
      </c>
      <c r="I1584" s="52">
        <f>IF(AND(OR(Sel_Mode="All",Data!I1584=Sel_Mode),OR(Sel_Gender="All",D1584=Sel_Gender),OR(Sel_Category="All",Data!B1584=Sel_Category),OR(Sel_Month="All",C1584=Sel_Month),OR(Sel_County="All",Data!L1584=Sel_County)),1,0)</f>
        <v>1</v>
      </c>
    </row>
    <row r="1585" spans="1:9" x14ac:dyDescent="0.25">
      <c r="A1585" s="52" t="str">
        <f>Data!A1585</f>
        <v>TX501584</v>
      </c>
      <c r="B1585" s="52">
        <f>MONTH(Data!F1585)</f>
        <v>2</v>
      </c>
      <c r="C1585" s="52" t="str">
        <f>TEXT(Data!F1585,"mmm")</f>
        <v>Feb</v>
      </c>
      <c r="D1585" s="52" t="str">
        <f>Data!O1585</f>
        <v>Female</v>
      </c>
      <c r="E1585" s="52">
        <f>Data!G1585-Data!F1585</f>
        <v>1</v>
      </c>
      <c r="F1585" s="52">
        <f>IF(Data!J1585&lt;=5,Data!J1585,IF(Data!J1585&lt;=10,"6 TO 10","More than 10"))</f>
        <v>4</v>
      </c>
      <c r="G1585" s="52">
        <f t="shared" si="24"/>
        <v>1</v>
      </c>
      <c r="H1585" s="52">
        <f>ROUND(Data!C1585*Data!D1585-Data!E1585,2)</f>
        <v>0</v>
      </c>
      <c r="I1585" s="52">
        <f>IF(AND(OR(Sel_Mode="All",Data!I1585=Sel_Mode),OR(Sel_Gender="All",D1585=Sel_Gender),OR(Sel_Category="All",Data!B1585=Sel_Category),OR(Sel_Month="All",C1585=Sel_Month),OR(Sel_County="All",Data!L1585=Sel_County)),1,0)</f>
        <v>1</v>
      </c>
    </row>
    <row r="1586" spans="1:9" x14ac:dyDescent="0.25">
      <c r="A1586" s="52" t="str">
        <f>Data!A1586</f>
        <v>TX501585</v>
      </c>
      <c r="B1586" s="52">
        <f>MONTH(Data!F1586)</f>
        <v>2</v>
      </c>
      <c r="C1586" s="52" t="str">
        <f>TEXT(Data!F1586,"mmm")</f>
        <v>Feb</v>
      </c>
      <c r="D1586" s="52" t="str">
        <f>Data!O1586</f>
        <v>Unknown</v>
      </c>
      <c r="E1586" s="52">
        <f>Data!G1586-Data!F1586</f>
        <v>3</v>
      </c>
      <c r="F1586" s="52">
        <f>IF(Data!J1586&lt;=5,Data!J1586,IF(Data!J1586&lt;=10,"6 TO 10","More than 10"))</f>
        <v>2</v>
      </c>
      <c r="G1586" s="52">
        <f t="shared" si="24"/>
        <v>3</v>
      </c>
      <c r="H1586" s="52">
        <f>ROUND(Data!C1586*Data!D1586-Data!E1586,2)</f>
        <v>0</v>
      </c>
      <c r="I1586" s="52">
        <f>IF(AND(OR(Sel_Mode="All",Data!I1586=Sel_Mode),OR(Sel_Gender="All",D1586=Sel_Gender),OR(Sel_Category="All",Data!B1586=Sel_Category),OR(Sel_Month="All",C1586=Sel_Month),OR(Sel_County="All",Data!L1586=Sel_County)),1,0)</f>
        <v>1</v>
      </c>
    </row>
    <row r="1587" spans="1:9" x14ac:dyDescent="0.25">
      <c r="A1587" s="52" t="str">
        <f>Data!A1587</f>
        <v>TX501586</v>
      </c>
      <c r="B1587" s="52">
        <f>MONTH(Data!F1587)</f>
        <v>2</v>
      </c>
      <c r="C1587" s="52" t="str">
        <f>TEXT(Data!F1587,"mmm")</f>
        <v>Feb</v>
      </c>
      <c r="D1587" s="52" t="str">
        <f>Data!O1587</f>
        <v>Male</v>
      </c>
      <c r="E1587" s="52">
        <f>Data!G1587-Data!F1587</f>
        <v>1</v>
      </c>
      <c r="F1587" s="52">
        <f>IF(Data!J1587&lt;=5,Data!J1587,IF(Data!J1587&lt;=10,"6 TO 10","More than 10"))</f>
        <v>5</v>
      </c>
      <c r="G1587" s="52">
        <f t="shared" si="24"/>
        <v>1</v>
      </c>
      <c r="H1587" s="52">
        <f>ROUND(Data!C1587*Data!D1587-Data!E1587,2)</f>
        <v>0</v>
      </c>
      <c r="I1587" s="52">
        <f>IF(AND(OR(Sel_Mode="All",Data!I1587=Sel_Mode),OR(Sel_Gender="All",D1587=Sel_Gender),OR(Sel_Category="All",Data!B1587=Sel_Category),OR(Sel_Month="All",C1587=Sel_Month),OR(Sel_County="All",Data!L1587=Sel_County)),1,0)</f>
        <v>1</v>
      </c>
    </row>
    <row r="1588" spans="1:9" x14ac:dyDescent="0.25">
      <c r="A1588" s="52" t="str">
        <f>Data!A1588</f>
        <v>TX501587</v>
      </c>
      <c r="B1588" s="52">
        <f>MONTH(Data!F1588)</f>
        <v>2</v>
      </c>
      <c r="C1588" s="52" t="str">
        <f>TEXT(Data!F1588,"mmm")</f>
        <v>Feb</v>
      </c>
      <c r="D1588" s="52" t="str">
        <f>Data!O1588</f>
        <v>Female</v>
      </c>
      <c r="E1588" s="52">
        <f>Data!G1588-Data!F1588</f>
        <v>1</v>
      </c>
      <c r="F1588" s="52">
        <f>IF(Data!J1588&lt;=5,Data!J1588,IF(Data!J1588&lt;=10,"6 TO 10","More than 10"))</f>
        <v>4</v>
      </c>
      <c r="G1588" s="52">
        <f t="shared" si="24"/>
        <v>1</v>
      </c>
      <c r="H1588" s="52">
        <f>ROUND(Data!C1588*Data!D1588-Data!E1588,2)</f>
        <v>0</v>
      </c>
      <c r="I1588" s="52">
        <f>IF(AND(OR(Sel_Mode="All",Data!I1588=Sel_Mode),OR(Sel_Gender="All",D1588=Sel_Gender),OR(Sel_Category="All",Data!B1588=Sel_Category),OR(Sel_Month="All",C1588=Sel_Month),OR(Sel_County="All",Data!L1588=Sel_County)),1,0)</f>
        <v>1</v>
      </c>
    </row>
    <row r="1589" spans="1:9" x14ac:dyDescent="0.25">
      <c r="A1589" s="52" t="str">
        <f>Data!A1589</f>
        <v>TX501588</v>
      </c>
      <c r="B1589" s="52">
        <f>MONTH(Data!F1589)</f>
        <v>2</v>
      </c>
      <c r="C1589" s="52" t="str">
        <f>TEXT(Data!F1589,"mmm")</f>
        <v>Feb</v>
      </c>
      <c r="D1589" s="52" t="str">
        <f>Data!O1589</f>
        <v>Male</v>
      </c>
      <c r="E1589" s="52">
        <f>Data!G1589-Data!F1589</f>
        <v>1</v>
      </c>
      <c r="F1589" s="52">
        <f>IF(Data!J1589&lt;=5,Data!J1589,IF(Data!J1589&lt;=10,"6 TO 10","More than 10"))</f>
        <v>5</v>
      </c>
      <c r="G1589" s="52">
        <f t="shared" si="24"/>
        <v>1</v>
      </c>
      <c r="H1589" s="52">
        <f>ROUND(Data!C1589*Data!D1589-Data!E1589,2)</f>
        <v>0</v>
      </c>
      <c r="I1589" s="52">
        <f>IF(AND(OR(Sel_Mode="All",Data!I1589=Sel_Mode),OR(Sel_Gender="All",D1589=Sel_Gender),OR(Sel_Category="All",Data!B1589=Sel_Category),OR(Sel_Month="All",C1589=Sel_Month),OR(Sel_County="All",Data!L1589=Sel_County)),1,0)</f>
        <v>1</v>
      </c>
    </row>
    <row r="1590" spans="1:9" x14ac:dyDescent="0.25">
      <c r="A1590" s="52" t="str">
        <f>Data!A1590</f>
        <v>TX501589</v>
      </c>
      <c r="B1590" s="52">
        <f>MONTH(Data!F1590)</f>
        <v>2</v>
      </c>
      <c r="C1590" s="52" t="str">
        <f>TEXT(Data!F1590,"mmm")</f>
        <v>Feb</v>
      </c>
      <c r="D1590" s="52" t="str">
        <f>Data!O1590</f>
        <v>Other</v>
      </c>
      <c r="E1590" s="52">
        <f>Data!G1590-Data!F1590</f>
        <v>2</v>
      </c>
      <c r="F1590" s="52">
        <f>IF(Data!J1590&lt;=5,Data!J1590,IF(Data!J1590&lt;=10,"6 TO 10","More than 10"))</f>
        <v>4</v>
      </c>
      <c r="G1590" s="52">
        <f t="shared" si="24"/>
        <v>2</v>
      </c>
      <c r="H1590" s="52">
        <f>ROUND(Data!C1590*Data!D1590-Data!E1590,2)</f>
        <v>0</v>
      </c>
      <c r="I1590" s="52">
        <f>IF(AND(OR(Sel_Mode="All",Data!I1590=Sel_Mode),OR(Sel_Gender="All",D1590=Sel_Gender),OR(Sel_Category="All",Data!B1590=Sel_Category),OR(Sel_Month="All",C1590=Sel_Month),OR(Sel_County="All",Data!L1590=Sel_County)),1,0)</f>
        <v>1</v>
      </c>
    </row>
    <row r="1591" spans="1:9" x14ac:dyDescent="0.25">
      <c r="A1591" s="52" t="str">
        <f>Data!A1591</f>
        <v>TX501590</v>
      </c>
      <c r="B1591" s="52">
        <f>MONTH(Data!F1591)</f>
        <v>2</v>
      </c>
      <c r="C1591" s="52" t="str">
        <f>TEXT(Data!F1591,"mmm")</f>
        <v>Feb</v>
      </c>
      <c r="D1591" s="52" t="str">
        <f>Data!O1591</f>
        <v>Female</v>
      </c>
      <c r="E1591" s="52">
        <f>Data!G1591-Data!F1591</f>
        <v>1</v>
      </c>
      <c r="F1591" s="52">
        <f>IF(Data!J1591&lt;=5,Data!J1591,IF(Data!J1591&lt;=10,"6 TO 10","More than 10"))</f>
        <v>1</v>
      </c>
      <c r="G1591" s="52">
        <f t="shared" si="24"/>
        <v>1</v>
      </c>
      <c r="H1591" s="52">
        <f>ROUND(Data!C1591*Data!D1591-Data!E1591,2)</f>
        <v>0</v>
      </c>
      <c r="I1591" s="52">
        <f>IF(AND(OR(Sel_Mode="All",Data!I1591=Sel_Mode),OR(Sel_Gender="All",D1591=Sel_Gender),OR(Sel_Category="All",Data!B1591=Sel_Category),OR(Sel_Month="All",C1591=Sel_Month),OR(Sel_County="All",Data!L1591=Sel_County)),1,0)</f>
        <v>1</v>
      </c>
    </row>
    <row r="1592" spans="1:9" x14ac:dyDescent="0.25">
      <c r="A1592" s="52" t="str">
        <f>Data!A1592</f>
        <v>TX501591</v>
      </c>
      <c r="B1592" s="52">
        <f>MONTH(Data!F1592)</f>
        <v>2</v>
      </c>
      <c r="C1592" s="52" t="str">
        <f>TEXT(Data!F1592,"mmm")</f>
        <v>Feb</v>
      </c>
      <c r="D1592" s="52" t="str">
        <f>Data!O1592</f>
        <v>Female</v>
      </c>
      <c r="E1592" s="52">
        <f>Data!G1592-Data!F1592</f>
        <v>2</v>
      </c>
      <c r="F1592" s="52">
        <f>IF(Data!J1592&lt;=5,Data!J1592,IF(Data!J1592&lt;=10,"6 TO 10","More than 10"))</f>
        <v>3</v>
      </c>
      <c r="G1592" s="52">
        <f t="shared" si="24"/>
        <v>2</v>
      </c>
      <c r="H1592" s="52">
        <f>ROUND(Data!C1592*Data!D1592-Data!E1592,2)</f>
        <v>0</v>
      </c>
      <c r="I1592" s="52">
        <f>IF(AND(OR(Sel_Mode="All",Data!I1592=Sel_Mode),OR(Sel_Gender="All",D1592=Sel_Gender),OR(Sel_Category="All",Data!B1592=Sel_Category),OR(Sel_Month="All",C1592=Sel_Month),OR(Sel_County="All",Data!L1592=Sel_County)),1,0)</f>
        <v>1</v>
      </c>
    </row>
    <row r="1593" spans="1:9" x14ac:dyDescent="0.25">
      <c r="A1593" s="52" t="str">
        <f>Data!A1593</f>
        <v>TX501592</v>
      </c>
      <c r="B1593" s="52">
        <f>MONTH(Data!F1593)</f>
        <v>3</v>
      </c>
      <c r="C1593" s="52" t="str">
        <f>TEXT(Data!F1593,"mmm")</f>
        <v>Mar</v>
      </c>
      <c r="D1593" s="52" t="str">
        <f>Data!O1593</f>
        <v>Female</v>
      </c>
      <c r="E1593" s="52">
        <f>Data!G1593-Data!F1593</f>
        <v>13</v>
      </c>
      <c r="F1593" s="52">
        <f>IF(Data!J1593&lt;=5,Data!J1593,IF(Data!J1593&lt;=10,"6 TO 10","More than 10"))</f>
        <v>4</v>
      </c>
      <c r="G1593" s="52" t="str">
        <f t="shared" si="24"/>
        <v>8+</v>
      </c>
      <c r="H1593" s="52">
        <f>ROUND(Data!C1593*Data!D1593-Data!E1593,2)</f>
        <v>0</v>
      </c>
      <c r="I1593" s="52">
        <f>IF(AND(OR(Sel_Mode="All",Data!I1593=Sel_Mode),OR(Sel_Gender="All",D1593=Sel_Gender),OR(Sel_Category="All",Data!B1593=Sel_Category),OR(Sel_Month="All",C1593=Sel_Month),OR(Sel_County="All",Data!L1593=Sel_County)),1,0)</f>
        <v>1</v>
      </c>
    </row>
    <row r="1594" spans="1:9" x14ac:dyDescent="0.25">
      <c r="A1594" s="52" t="str">
        <f>Data!A1594</f>
        <v>TX501593</v>
      </c>
      <c r="B1594" s="52">
        <f>MONTH(Data!F1594)</f>
        <v>3</v>
      </c>
      <c r="C1594" s="52" t="str">
        <f>TEXT(Data!F1594,"mmm")</f>
        <v>Mar</v>
      </c>
      <c r="D1594" s="52" t="str">
        <f>Data!O1594</f>
        <v>Female</v>
      </c>
      <c r="E1594" s="52">
        <f>Data!G1594-Data!F1594</f>
        <v>1</v>
      </c>
      <c r="F1594" s="52">
        <f>IF(Data!J1594&lt;=5,Data!J1594,IF(Data!J1594&lt;=10,"6 TO 10","More than 10"))</f>
        <v>5</v>
      </c>
      <c r="G1594" s="52">
        <f t="shared" si="24"/>
        <v>1</v>
      </c>
      <c r="H1594" s="52">
        <f>ROUND(Data!C1594*Data!D1594-Data!E1594,2)</f>
        <v>0</v>
      </c>
      <c r="I1594" s="52">
        <f>IF(AND(OR(Sel_Mode="All",Data!I1594=Sel_Mode),OR(Sel_Gender="All",D1594=Sel_Gender),OR(Sel_Category="All",Data!B1594=Sel_Category),OR(Sel_Month="All",C1594=Sel_Month),OR(Sel_County="All",Data!L1594=Sel_County)),1,0)</f>
        <v>1</v>
      </c>
    </row>
    <row r="1595" spans="1:9" x14ac:dyDescent="0.25">
      <c r="A1595" s="52" t="str">
        <f>Data!A1595</f>
        <v>TX501594</v>
      </c>
      <c r="B1595" s="52">
        <f>MONTH(Data!F1595)</f>
        <v>3</v>
      </c>
      <c r="C1595" s="52" t="str">
        <f>TEXT(Data!F1595,"mmm")</f>
        <v>Mar</v>
      </c>
      <c r="D1595" s="52" t="str">
        <f>Data!O1595</f>
        <v>Male</v>
      </c>
      <c r="E1595" s="52">
        <f>Data!G1595-Data!F1595</f>
        <v>6</v>
      </c>
      <c r="F1595" s="52">
        <f>IF(Data!J1595&lt;=5,Data!J1595,IF(Data!J1595&lt;=10,"6 TO 10","More than 10"))</f>
        <v>2</v>
      </c>
      <c r="G1595" s="52">
        <f t="shared" si="24"/>
        <v>6</v>
      </c>
      <c r="H1595" s="52">
        <f>ROUND(Data!C1595*Data!D1595-Data!E1595,2)</f>
        <v>0</v>
      </c>
      <c r="I1595" s="52">
        <f>IF(AND(OR(Sel_Mode="All",Data!I1595=Sel_Mode),OR(Sel_Gender="All",D1595=Sel_Gender),OR(Sel_Category="All",Data!B1595=Sel_Category),OR(Sel_Month="All",C1595=Sel_Month),OR(Sel_County="All",Data!L1595=Sel_County)),1,0)</f>
        <v>1</v>
      </c>
    </row>
    <row r="1596" spans="1:9" x14ac:dyDescent="0.25">
      <c r="A1596" s="52" t="str">
        <f>Data!A1596</f>
        <v>TX501595</v>
      </c>
      <c r="B1596" s="52">
        <f>MONTH(Data!F1596)</f>
        <v>3</v>
      </c>
      <c r="C1596" s="52" t="str">
        <f>TEXT(Data!F1596,"mmm")</f>
        <v>Mar</v>
      </c>
      <c r="D1596" s="52" t="str">
        <f>Data!O1596</f>
        <v>Female</v>
      </c>
      <c r="E1596" s="52">
        <f>Data!G1596-Data!F1596</f>
        <v>5</v>
      </c>
      <c r="F1596" s="52">
        <f>IF(Data!J1596&lt;=5,Data!J1596,IF(Data!J1596&lt;=10,"6 TO 10","More than 10"))</f>
        <v>4</v>
      </c>
      <c r="G1596" s="52">
        <f t="shared" si="24"/>
        <v>5</v>
      </c>
      <c r="H1596" s="52">
        <f>ROUND(Data!C1596*Data!D1596-Data!E1596,2)</f>
        <v>0</v>
      </c>
      <c r="I1596" s="52">
        <f>IF(AND(OR(Sel_Mode="All",Data!I1596=Sel_Mode),OR(Sel_Gender="All",D1596=Sel_Gender),OR(Sel_Category="All",Data!B1596=Sel_Category),OR(Sel_Month="All",C1596=Sel_Month),OR(Sel_County="All",Data!L1596=Sel_County)),1,0)</f>
        <v>1</v>
      </c>
    </row>
    <row r="1597" spans="1:9" x14ac:dyDescent="0.25">
      <c r="A1597" s="52" t="str">
        <f>Data!A1597</f>
        <v>TX501596</v>
      </c>
      <c r="B1597" s="52">
        <f>MONTH(Data!F1597)</f>
        <v>3</v>
      </c>
      <c r="C1597" s="52" t="str">
        <f>TEXT(Data!F1597,"mmm")</f>
        <v>Mar</v>
      </c>
      <c r="D1597" s="52" t="str">
        <f>Data!O1597</f>
        <v>Male</v>
      </c>
      <c r="E1597" s="52">
        <f>Data!G1597-Data!F1597</f>
        <v>0</v>
      </c>
      <c r="F1597" s="52">
        <f>IF(Data!J1597&lt;=5,Data!J1597,IF(Data!J1597&lt;=10,"6 TO 10","More than 10"))</f>
        <v>3</v>
      </c>
      <c r="G1597" s="52">
        <f t="shared" si="24"/>
        <v>0</v>
      </c>
      <c r="H1597" s="52">
        <f>ROUND(Data!C1597*Data!D1597-Data!E1597,2)</f>
        <v>0</v>
      </c>
      <c r="I1597" s="52">
        <f>IF(AND(OR(Sel_Mode="All",Data!I1597=Sel_Mode),OR(Sel_Gender="All",D1597=Sel_Gender),OR(Sel_Category="All",Data!B1597=Sel_Category),OR(Sel_Month="All",C1597=Sel_Month),OR(Sel_County="All",Data!L1597=Sel_County)),1,0)</f>
        <v>1</v>
      </c>
    </row>
    <row r="1598" spans="1:9" x14ac:dyDescent="0.25">
      <c r="A1598" s="52" t="str">
        <f>Data!A1598</f>
        <v>TX501597</v>
      </c>
      <c r="B1598" s="52">
        <f>MONTH(Data!F1598)</f>
        <v>3</v>
      </c>
      <c r="C1598" s="52" t="str">
        <f>TEXT(Data!F1598,"mmm")</f>
        <v>Mar</v>
      </c>
      <c r="D1598" s="52" t="str">
        <f>Data!O1598</f>
        <v>Unknown</v>
      </c>
      <c r="E1598" s="52">
        <f>Data!G1598-Data!F1598</f>
        <v>1</v>
      </c>
      <c r="F1598" s="52">
        <f>IF(Data!J1598&lt;=5,Data!J1598,IF(Data!J1598&lt;=10,"6 TO 10","More than 10"))</f>
        <v>4</v>
      </c>
      <c r="G1598" s="52">
        <f t="shared" si="24"/>
        <v>1</v>
      </c>
      <c r="H1598" s="52">
        <f>ROUND(Data!C1598*Data!D1598-Data!E1598,2)</f>
        <v>0</v>
      </c>
      <c r="I1598" s="52">
        <f>IF(AND(OR(Sel_Mode="All",Data!I1598=Sel_Mode),OR(Sel_Gender="All",D1598=Sel_Gender),OR(Sel_Category="All",Data!B1598=Sel_Category),OR(Sel_Month="All",C1598=Sel_Month),OR(Sel_County="All",Data!L1598=Sel_County)),1,0)</f>
        <v>1</v>
      </c>
    </row>
    <row r="1599" spans="1:9" x14ac:dyDescent="0.25">
      <c r="A1599" s="52" t="str">
        <f>Data!A1599</f>
        <v>TX501598</v>
      </c>
      <c r="B1599" s="52">
        <f>MONTH(Data!F1599)</f>
        <v>3</v>
      </c>
      <c r="C1599" s="52" t="str">
        <f>TEXT(Data!F1599,"mmm")</f>
        <v>Mar</v>
      </c>
      <c r="D1599" s="52" t="str">
        <f>Data!O1599</f>
        <v>Female</v>
      </c>
      <c r="E1599" s="52">
        <f>Data!G1599-Data!F1599</f>
        <v>4</v>
      </c>
      <c r="F1599" s="52">
        <f>IF(Data!J1599&lt;=5,Data!J1599,IF(Data!J1599&lt;=10,"6 TO 10","More than 10"))</f>
        <v>4</v>
      </c>
      <c r="G1599" s="52">
        <f t="shared" si="24"/>
        <v>4</v>
      </c>
      <c r="H1599" s="52">
        <f>ROUND(Data!C1599*Data!D1599-Data!E1599,2)</f>
        <v>0</v>
      </c>
      <c r="I1599" s="52">
        <f>IF(AND(OR(Sel_Mode="All",Data!I1599=Sel_Mode),OR(Sel_Gender="All",D1599=Sel_Gender),OR(Sel_Category="All",Data!B1599=Sel_Category),OR(Sel_Month="All",C1599=Sel_Month),OR(Sel_County="All",Data!L1599=Sel_County)),1,0)</f>
        <v>1</v>
      </c>
    </row>
    <row r="1600" spans="1:9" x14ac:dyDescent="0.25">
      <c r="A1600" s="52" t="str">
        <f>Data!A1600</f>
        <v>TX501599</v>
      </c>
      <c r="B1600" s="52">
        <f>MONTH(Data!F1600)</f>
        <v>3</v>
      </c>
      <c r="C1600" s="52" t="str">
        <f>TEXT(Data!F1600,"mmm")</f>
        <v>Mar</v>
      </c>
      <c r="D1600" s="52" t="str">
        <f>Data!O1600</f>
        <v>Female</v>
      </c>
      <c r="E1600" s="52">
        <f>Data!G1600-Data!F1600</f>
        <v>1</v>
      </c>
      <c r="F1600" s="52">
        <f>IF(Data!J1600&lt;=5,Data!J1600,IF(Data!J1600&lt;=10,"6 TO 10","More than 10"))</f>
        <v>4</v>
      </c>
      <c r="G1600" s="52">
        <f t="shared" si="24"/>
        <v>1</v>
      </c>
      <c r="H1600" s="52">
        <f>ROUND(Data!C1600*Data!D1600-Data!E1600,2)</f>
        <v>0</v>
      </c>
      <c r="I1600" s="52">
        <f>IF(AND(OR(Sel_Mode="All",Data!I1600=Sel_Mode),OR(Sel_Gender="All",D1600=Sel_Gender),OR(Sel_Category="All",Data!B1600=Sel_Category),OR(Sel_Month="All",C1600=Sel_Month),OR(Sel_County="All",Data!L1600=Sel_County)),1,0)</f>
        <v>1</v>
      </c>
    </row>
    <row r="1601" spans="1:9" x14ac:dyDescent="0.25">
      <c r="A1601" s="52" t="str">
        <f>Data!A1601</f>
        <v>TX501600</v>
      </c>
      <c r="B1601" s="52">
        <f>MONTH(Data!F1601)</f>
        <v>3</v>
      </c>
      <c r="C1601" s="52" t="str">
        <f>TEXT(Data!F1601,"mmm")</f>
        <v>Mar</v>
      </c>
      <c r="D1601" s="52" t="str">
        <f>Data!O1601</f>
        <v>Female</v>
      </c>
      <c r="E1601" s="52">
        <f>Data!G1601-Data!F1601</f>
        <v>8</v>
      </c>
      <c r="F1601" s="52">
        <f>IF(Data!J1601&lt;=5,Data!J1601,IF(Data!J1601&lt;=10,"6 TO 10","More than 10"))</f>
        <v>4</v>
      </c>
      <c r="G1601" s="52" t="str">
        <f t="shared" si="24"/>
        <v>8+</v>
      </c>
      <c r="H1601" s="52">
        <f>ROUND(Data!C1601*Data!D1601-Data!E1601,2)</f>
        <v>0</v>
      </c>
      <c r="I1601" s="52">
        <f>IF(AND(OR(Sel_Mode="All",Data!I1601=Sel_Mode),OR(Sel_Gender="All",D1601=Sel_Gender),OR(Sel_Category="All",Data!B1601=Sel_Category),OR(Sel_Month="All",C1601=Sel_Month),OR(Sel_County="All",Data!L1601=Sel_County)),1,0)</f>
        <v>1</v>
      </c>
    </row>
    <row r="1602" spans="1:9" x14ac:dyDescent="0.25">
      <c r="A1602" s="52" t="str">
        <f>Data!A1602</f>
        <v>TX501601</v>
      </c>
      <c r="B1602" s="52">
        <f>MONTH(Data!F1602)</f>
        <v>3</v>
      </c>
      <c r="C1602" s="52" t="str">
        <f>TEXT(Data!F1602,"mmm")</f>
        <v>Mar</v>
      </c>
      <c r="D1602" s="52" t="str">
        <f>Data!O1602</f>
        <v>Male</v>
      </c>
      <c r="E1602" s="52">
        <f>Data!G1602-Data!F1602</f>
        <v>2</v>
      </c>
      <c r="F1602" s="52">
        <f>IF(Data!J1602&lt;=5,Data!J1602,IF(Data!J1602&lt;=10,"6 TO 10","More than 10"))</f>
        <v>5</v>
      </c>
      <c r="G1602" s="52">
        <f t="shared" ref="G1602:G1665" si="25">IF(E1602&gt;=8,"8+",E1602)</f>
        <v>2</v>
      </c>
      <c r="H1602" s="52">
        <f>ROUND(Data!C1602*Data!D1602-Data!E1602,2)</f>
        <v>0</v>
      </c>
      <c r="I1602" s="52">
        <f>IF(AND(OR(Sel_Mode="All",Data!I1602=Sel_Mode),OR(Sel_Gender="All",D1602=Sel_Gender),OR(Sel_Category="All",Data!B1602=Sel_Category),OR(Sel_Month="All",C1602=Sel_Month),OR(Sel_County="All",Data!L1602=Sel_County)),1,0)</f>
        <v>1</v>
      </c>
    </row>
    <row r="1603" spans="1:9" x14ac:dyDescent="0.25">
      <c r="A1603" s="52" t="str">
        <f>Data!A1603</f>
        <v>TX501602</v>
      </c>
      <c r="B1603" s="52">
        <f>MONTH(Data!F1603)</f>
        <v>3</v>
      </c>
      <c r="C1603" s="52" t="str">
        <f>TEXT(Data!F1603,"mmm")</f>
        <v>Mar</v>
      </c>
      <c r="D1603" s="52" t="str">
        <f>Data!O1603</f>
        <v>Male</v>
      </c>
      <c r="E1603" s="52">
        <f>Data!G1603-Data!F1603</f>
        <v>2</v>
      </c>
      <c r="F1603" s="52">
        <f>IF(Data!J1603&lt;=5,Data!J1603,IF(Data!J1603&lt;=10,"6 TO 10","More than 10"))</f>
        <v>5</v>
      </c>
      <c r="G1603" s="52">
        <f t="shared" si="25"/>
        <v>2</v>
      </c>
      <c r="H1603" s="52">
        <f>ROUND(Data!C1603*Data!D1603-Data!E1603,2)</f>
        <v>0</v>
      </c>
      <c r="I1603" s="52">
        <f>IF(AND(OR(Sel_Mode="All",Data!I1603=Sel_Mode),OR(Sel_Gender="All",D1603=Sel_Gender),OR(Sel_Category="All",Data!B1603=Sel_Category),OR(Sel_Month="All",C1603=Sel_Month),OR(Sel_County="All",Data!L1603=Sel_County)),1,0)</f>
        <v>1</v>
      </c>
    </row>
    <row r="1604" spans="1:9" x14ac:dyDescent="0.25">
      <c r="A1604" s="52" t="str">
        <f>Data!A1604</f>
        <v>TX501603</v>
      </c>
      <c r="B1604" s="52">
        <f>MONTH(Data!F1604)</f>
        <v>3</v>
      </c>
      <c r="C1604" s="52" t="str">
        <f>TEXT(Data!F1604,"mmm")</f>
        <v>Mar</v>
      </c>
      <c r="D1604" s="52" t="str">
        <f>Data!O1604</f>
        <v>Female</v>
      </c>
      <c r="E1604" s="52">
        <f>Data!G1604-Data!F1604</f>
        <v>0</v>
      </c>
      <c r="F1604" s="52">
        <f>IF(Data!J1604&lt;=5,Data!J1604,IF(Data!J1604&lt;=10,"6 TO 10","More than 10"))</f>
        <v>4</v>
      </c>
      <c r="G1604" s="52">
        <f t="shared" si="25"/>
        <v>0</v>
      </c>
      <c r="H1604" s="52">
        <f>ROUND(Data!C1604*Data!D1604-Data!E1604,2)</f>
        <v>0</v>
      </c>
      <c r="I1604" s="52">
        <f>IF(AND(OR(Sel_Mode="All",Data!I1604=Sel_Mode),OR(Sel_Gender="All",D1604=Sel_Gender),OR(Sel_Category="All",Data!B1604=Sel_Category),OR(Sel_Month="All",C1604=Sel_Month),OR(Sel_County="All",Data!L1604=Sel_County)),1,0)</f>
        <v>1</v>
      </c>
    </row>
    <row r="1605" spans="1:9" x14ac:dyDescent="0.25">
      <c r="A1605" s="52" t="str">
        <f>Data!A1605</f>
        <v>TX501604</v>
      </c>
      <c r="B1605" s="52">
        <f>MONTH(Data!F1605)</f>
        <v>3</v>
      </c>
      <c r="C1605" s="52" t="str">
        <f>TEXT(Data!F1605,"mmm")</f>
        <v>Mar</v>
      </c>
      <c r="D1605" s="52" t="str">
        <f>Data!O1605</f>
        <v>Male</v>
      </c>
      <c r="E1605" s="52">
        <f>Data!G1605-Data!F1605</f>
        <v>2</v>
      </c>
      <c r="F1605" s="52">
        <f>IF(Data!J1605&lt;=5,Data!J1605,IF(Data!J1605&lt;=10,"6 TO 10","More than 10"))</f>
        <v>3</v>
      </c>
      <c r="G1605" s="52">
        <f t="shared" si="25"/>
        <v>2</v>
      </c>
      <c r="H1605" s="52">
        <f>ROUND(Data!C1605*Data!D1605-Data!E1605,2)</f>
        <v>0</v>
      </c>
      <c r="I1605" s="52">
        <f>IF(AND(OR(Sel_Mode="All",Data!I1605=Sel_Mode),OR(Sel_Gender="All",D1605=Sel_Gender),OR(Sel_Category="All",Data!B1605=Sel_Category),OR(Sel_Month="All",C1605=Sel_Month),OR(Sel_County="All",Data!L1605=Sel_County)),1,0)</f>
        <v>1</v>
      </c>
    </row>
    <row r="1606" spans="1:9" x14ac:dyDescent="0.25">
      <c r="A1606" s="52" t="str">
        <f>Data!A1606</f>
        <v>TX501605</v>
      </c>
      <c r="B1606" s="52">
        <f>MONTH(Data!F1606)</f>
        <v>3</v>
      </c>
      <c r="C1606" s="52" t="str">
        <f>TEXT(Data!F1606,"mmm")</f>
        <v>Mar</v>
      </c>
      <c r="D1606" s="52" t="str">
        <f>Data!O1606</f>
        <v>Male</v>
      </c>
      <c r="E1606" s="52">
        <f>Data!G1606-Data!F1606</f>
        <v>1</v>
      </c>
      <c r="F1606" s="52">
        <f>IF(Data!J1606&lt;=5,Data!J1606,IF(Data!J1606&lt;=10,"6 TO 10","More than 10"))</f>
        <v>4</v>
      </c>
      <c r="G1606" s="52">
        <f t="shared" si="25"/>
        <v>1</v>
      </c>
      <c r="H1606" s="52">
        <f>ROUND(Data!C1606*Data!D1606-Data!E1606,2)</f>
        <v>0</v>
      </c>
      <c r="I1606" s="52">
        <f>IF(AND(OR(Sel_Mode="All",Data!I1606=Sel_Mode),OR(Sel_Gender="All",D1606=Sel_Gender),OR(Sel_Category="All",Data!B1606=Sel_Category),OR(Sel_Month="All",C1606=Sel_Month),OR(Sel_County="All",Data!L1606=Sel_County)),1,0)</f>
        <v>1</v>
      </c>
    </row>
    <row r="1607" spans="1:9" x14ac:dyDescent="0.25">
      <c r="A1607" s="52" t="str">
        <f>Data!A1607</f>
        <v>TX501606</v>
      </c>
      <c r="B1607" s="52">
        <f>MONTH(Data!F1607)</f>
        <v>3</v>
      </c>
      <c r="C1607" s="52" t="str">
        <f>TEXT(Data!F1607,"mmm")</f>
        <v>Mar</v>
      </c>
      <c r="D1607" s="52" t="str">
        <f>Data!O1607</f>
        <v>Male</v>
      </c>
      <c r="E1607" s="52">
        <f>Data!G1607-Data!F1607</f>
        <v>4</v>
      </c>
      <c r="F1607" s="52">
        <f>IF(Data!J1607&lt;=5,Data!J1607,IF(Data!J1607&lt;=10,"6 TO 10","More than 10"))</f>
        <v>3</v>
      </c>
      <c r="G1607" s="52">
        <f t="shared" si="25"/>
        <v>4</v>
      </c>
      <c r="H1607" s="52">
        <f>ROUND(Data!C1607*Data!D1607-Data!E1607,2)</f>
        <v>0</v>
      </c>
      <c r="I1607" s="52">
        <f>IF(AND(OR(Sel_Mode="All",Data!I1607=Sel_Mode),OR(Sel_Gender="All",D1607=Sel_Gender),OR(Sel_Category="All",Data!B1607=Sel_Category),OR(Sel_Month="All",C1607=Sel_Month),OR(Sel_County="All",Data!L1607=Sel_County)),1,0)</f>
        <v>1</v>
      </c>
    </row>
    <row r="1608" spans="1:9" x14ac:dyDescent="0.25">
      <c r="A1608" s="52" t="str">
        <f>Data!A1608</f>
        <v>TX501607</v>
      </c>
      <c r="B1608" s="52">
        <f>MONTH(Data!F1608)</f>
        <v>3</v>
      </c>
      <c r="C1608" s="52" t="str">
        <f>TEXT(Data!F1608,"mmm")</f>
        <v>Mar</v>
      </c>
      <c r="D1608" s="52" t="str">
        <f>Data!O1608</f>
        <v>Female</v>
      </c>
      <c r="E1608" s="52">
        <f>Data!G1608-Data!F1608</f>
        <v>1</v>
      </c>
      <c r="F1608" s="52">
        <f>IF(Data!J1608&lt;=5,Data!J1608,IF(Data!J1608&lt;=10,"6 TO 10","More than 10"))</f>
        <v>2</v>
      </c>
      <c r="G1608" s="52">
        <f t="shared" si="25"/>
        <v>1</v>
      </c>
      <c r="H1608" s="52">
        <f>ROUND(Data!C1608*Data!D1608-Data!E1608,2)</f>
        <v>0</v>
      </c>
      <c r="I1608" s="52">
        <f>IF(AND(OR(Sel_Mode="All",Data!I1608=Sel_Mode),OR(Sel_Gender="All",D1608=Sel_Gender),OR(Sel_Category="All",Data!B1608=Sel_Category),OR(Sel_Month="All",C1608=Sel_Month),OR(Sel_County="All",Data!L1608=Sel_County)),1,0)</f>
        <v>1</v>
      </c>
    </row>
    <row r="1609" spans="1:9" x14ac:dyDescent="0.25">
      <c r="A1609" s="52" t="str">
        <f>Data!A1609</f>
        <v>TX501608</v>
      </c>
      <c r="B1609" s="52">
        <f>MONTH(Data!F1609)</f>
        <v>3</v>
      </c>
      <c r="C1609" s="52" t="str">
        <f>TEXT(Data!F1609,"mmm")</f>
        <v>Mar</v>
      </c>
      <c r="D1609" s="52" t="str">
        <f>Data!O1609</f>
        <v>Female</v>
      </c>
      <c r="E1609" s="52">
        <f>Data!G1609-Data!F1609</f>
        <v>2</v>
      </c>
      <c r="F1609" s="52">
        <f>IF(Data!J1609&lt;=5,Data!J1609,IF(Data!J1609&lt;=10,"6 TO 10","More than 10"))</f>
        <v>4</v>
      </c>
      <c r="G1609" s="52">
        <f t="shared" si="25"/>
        <v>2</v>
      </c>
      <c r="H1609" s="52">
        <f>ROUND(Data!C1609*Data!D1609-Data!E1609,2)</f>
        <v>0</v>
      </c>
      <c r="I1609" s="52">
        <f>IF(AND(OR(Sel_Mode="All",Data!I1609=Sel_Mode),OR(Sel_Gender="All",D1609=Sel_Gender),OR(Sel_Category="All",Data!B1609=Sel_Category),OR(Sel_Month="All",C1609=Sel_Month),OR(Sel_County="All",Data!L1609=Sel_County)),1,0)</f>
        <v>1</v>
      </c>
    </row>
    <row r="1610" spans="1:9" x14ac:dyDescent="0.25">
      <c r="A1610" s="52" t="str">
        <f>Data!A1610</f>
        <v>TX501609</v>
      </c>
      <c r="B1610" s="52">
        <f>MONTH(Data!F1610)</f>
        <v>3</v>
      </c>
      <c r="C1610" s="52" t="str">
        <f>TEXT(Data!F1610,"mmm")</f>
        <v>Mar</v>
      </c>
      <c r="D1610" s="52" t="str">
        <f>Data!O1610</f>
        <v>Male</v>
      </c>
      <c r="E1610" s="52">
        <f>Data!G1610-Data!F1610</f>
        <v>1</v>
      </c>
      <c r="F1610" s="52">
        <f>IF(Data!J1610&lt;=5,Data!J1610,IF(Data!J1610&lt;=10,"6 TO 10","More than 10"))</f>
        <v>5</v>
      </c>
      <c r="G1610" s="52">
        <f t="shared" si="25"/>
        <v>1</v>
      </c>
      <c r="H1610" s="52">
        <f>ROUND(Data!C1610*Data!D1610-Data!E1610,2)</f>
        <v>0</v>
      </c>
      <c r="I1610" s="52">
        <f>IF(AND(OR(Sel_Mode="All",Data!I1610=Sel_Mode),OR(Sel_Gender="All",D1610=Sel_Gender),OR(Sel_Category="All",Data!B1610=Sel_Category),OR(Sel_Month="All",C1610=Sel_Month),OR(Sel_County="All",Data!L1610=Sel_County)),1,0)</f>
        <v>1</v>
      </c>
    </row>
    <row r="1611" spans="1:9" x14ac:dyDescent="0.25">
      <c r="A1611" s="52" t="str">
        <f>Data!A1611</f>
        <v>TX501610</v>
      </c>
      <c r="B1611" s="52">
        <f>MONTH(Data!F1611)</f>
        <v>3</v>
      </c>
      <c r="C1611" s="52" t="str">
        <f>TEXT(Data!F1611,"mmm")</f>
        <v>Mar</v>
      </c>
      <c r="D1611" s="52" t="str">
        <f>Data!O1611</f>
        <v>Male</v>
      </c>
      <c r="E1611" s="52">
        <f>Data!G1611-Data!F1611</f>
        <v>2</v>
      </c>
      <c r="F1611" s="52">
        <f>IF(Data!J1611&lt;=5,Data!J1611,IF(Data!J1611&lt;=10,"6 TO 10","More than 10"))</f>
        <v>4</v>
      </c>
      <c r="G1611" s="52">
        <f t="shared" si="25"/>
        <v>2</v>
      </c>
      <c r="H1611" s="52">
        <f>ROUND(Data!C1611*Data!D1611-Data!E1611,2)</f>
        <v>0</v>
      </c>
      <c r="I1611" s="52">
        <f>IF(AND(OR(Sel_Mode="All",Data!I1611=Sel_Mode),OR(Sel_Gender="All",D1611=Sel_Gender),OR(Sel_Category="All",Data!B1611=Sel_Category),OR(Sel_Month="All",C1611=Sel_Month),OR(Sel_County="All",Data!L1611=Sel_County)),1,0)</f>
        <v>1</v>
      </c>
    </row>
    <row r="1612" spans="1:9" x14ac:dyDescent="0.25">
      <c r="A1612" s="52" t="str">
        <f>Data!A1612</f>
        <v>TX501611</v>
      </c>
      <c r="B1612" s="52">
        <f>MONTH(Data!F1612)</f>
        <v>3</v>
      </c>
      <c r="C1612" s="52" t="str">
        <f>TEXT(Data!F1612,"mmm")</f>
        <v>Mar</v>
      </c>
      <c r="D1612" s="52" t="str">
        <f>Data!O1612</f>
        <v>Male</v>
      </c>
      <c r="E1612" s="52">
        <f>Data!G1612-Data!F1612</f>
        <v>1</v>
      </c>
      <c r="F1612" s="52">
        <f>IF(Data!J1612&lt;=5,Data!J1612,IF(Data!J1612&lt;=10,"6 TO 10","More than 10"))</f>
        <v>5</v>
      </c>
      <c r="G1612" s="52">
        <f t="shared" si="25"/>
        <v>1</v>
      </c>
      <c r="H1612" s="52">
        <f>ROUND(Data!C1612*Data!D1612-Data!E1612,2)</f>
        <v>0</v>
      </c>
      <c r="I1612" s="52">
        <f>IF(AND(OR(Sel_Mode="All",Data!I1612=Sel_Mode),OR(Sel_Gender="All",D1612=Sel_Gender),OR(Sel_Category="All",Data!B1612=Sel_Category),OR(Sel_Month="All",C1612=Sel_Month),OR(Sel_County="All",Data!L1612=Sel_County)),1,0)</f>
        <v>1</v>
      </c>
    </row>
    <row r="1613" spans="1:9" x14ac:dyDescent="0.25">
      <c r="A1613" s="52" t="str">
        <f>Data!A1613</f>
        <v>TX501612</v>
      </c>
      <c r="B1613" s="52">
        <f>MONTH(Data!F1613)</f>
        <v>3</v>
      </c>
      <c r="C1613" s="52" t="str">
        <f>TEXT(Data!F1613,"mmm")</f>
        <v>Mar</v>
      </c>
      <c r="D1613" s="52" t="str">
        <f>Data!O1613</f>
        <v>Male</v>
      </c>
      <c r="E1613" s="52">
        <f>Data!G1613-Data!F1613</f>
        <v>1</v>
      </c>
      <c r="F1613" s="52">
        <f>IF(Data!J1613&lt;=5,Data!J1613,IF(Data!J1613&lt;=10,"6 TO 10","More than 10"))</f>
        <v>4</v>
      </c>
      <c r="G1613" s="52">
        <f t="shared" si="25"/>
        <v>1</v>
      </c>
      <c r="H1613" s="52">
        <f>ROUND(Data!C1613*Data!D1613-Data!E1613,2)</f>
        <v>0</v>
      </c>
      <c r="I1613" s="52">
        <f>IF(AND(OR(Sel_Mode="All",Data!I1613=Sel_Mode),OR(Sel_Gender="All",D1613=Sel_Gender),OR(Sel_Category="All",Data!B1613=Sel_Category),OR(Sel_Month="All",C1613=Sel_Month),OR(Sel_County="All",Data!L1613=Sel_County)),1,0)</f>
        <v>1</v>
      </c>
    </row>
    <row r="1614" spans="1:9" x14ac:dyDescent="0.25">
      <c r="A1614" s="52" t="str">
        <f>Data!A1614</f>
        <v>TX501613</v>
      </c>
      <c r="B1614" s="52">
        <f>MONTH(Data!F1614)</f>
        <v>3</v>
      </c>
      <c r="C1614" s="52" t="str">
        <f>TEXT(Data!F1614,"mmm")</f>
        <v>Mar</v>
      </c>
      <c r="D1614" s="52" t="str">
        <f>Data!O1614</f>
        <v>Female</v>
      </c>
      <c r="E1614" s="52">
        <f>Data!G1614-Data!F1614</f>
        <v>4</v>
      </c>
      <c r="F1614" s="52">
        <f>IF(Data!J1614&lt;=5,Data!J1614,IF(Data!J1614&lt;=10,"6 TO 10","More than 10"))</f>
        <v>5</v>
      </c>
      <c r="G1614" s="52">
        <f t="shared" si="25"/>
        <v>4</v>
      </c>
      <c r="H1614" s="52">
        <f>ROUND(Data!C1614*Data!D1614-Data!E1614,2)</f>
        <v>0</v>
      </c>
      <c r="I1614" s="52">
        <f>IF(AND(OR(Sel_Mode="All",Data!I1614=Sel_Mode),OR(Sel_Gender="All",D1614=Sel_Gender),OR(Sel_Category="All",Data!B1614=Sel_Category),OR(Sel_Month="All",C1614=Sel_Month),OR(Sel_County="All",Data!L1614=Sel_County)),1,0)</f>
        <v>1</v>
      </c>
    </row>
    <row r="1615" spans="1:9" x14ac:dyDescent="0.25">
      <c r="A1615" s="52" t="str">
        <f>Data!A1615</f>
        <v>TX501614</v>
      </c>
      <c r="B1615" s="52">
        <f>MONTH(Data!F1615)</f>
        <v>3</v>
      </c>
      <c r="C1615" s="52" t="str">
        <f>TEXT(Data!F1615,"mmm")</f>
        <v>Mar</v>
      </c>
      <c r="D1615" s="52" t="str">
        <f>Data!O1615</f>
        <v>Female</v>
      </c>
      <c r="E1615" s="52">
        <f>Data!G1615-Data!F1615</f>
        <v>3</v>
      </c>
      <c r="F1615" s="52">
        <f>IF(Data!J1615&lt;=5,Data!J1615,IF(Data!J1615&lt;=10,"6 TO 10","More than 10"))</f>
        <v>3</v>
      </c>
      <c r="G1615" s="52">
        <f t="shared" si="25"/>
        <v>3</v>
      </c>
      <c r="H1615" s="52">
        <f>ROUND(Data!C1615*Data!D1615-Data!E1615,2)</f>
        <v>0</v>
      </c>
      <c r="I1615" s="52">
        <f>IF(AND(OR(Sel_Mode="All",Data!I1615=Sel_Mode),OR(Sel_Gender="All",D1615=Sel_Gender),OR(Sel_Category="All",Data!B1615=Sel_Category),OR(Sel_Month="All",C1615=Sel_Month),OR(Sel_County="All",Data!L1615=Sel_County)),1,0)</f>
        <v>1</v>
      </c>
    </row>
    <row r="1616" spans="1:9" x14ac:dyDescent="0.25">
      <c r="A1616" s="52" t="str">
        <f>Data!A1616</f>
        <v>TX501615</v>
      </c>
      <c r="B1616" s="52">
        <f>MONTH(Data!F1616)</f>
        <v>3</v>
      </c>
      <c r="C1616" s="52" t="str">
        <f>TEXT(Data!F1616,"mmm")</f>
        <v>Mar</v>
      </c>
      <c r="D1616" s="52" t="str">
        <f>Data!O1616</f>
        <v>Female</v>
      </c>
      <c r="E1616" s="52">
        <f>Data!G1616-Data!F1616</f>
        <v>2</v>
      </c>
      <c r="F1616" s="52">
        <f>IF(Data!J1616&lt;=5,Data!J1616,IF(Data!J1616&lt;=10,"6 TO 10","More than 10"))</f>
        <v>4</v>
      </c>
      <c r="G1616" s="52">
        <f t="shared" si="25"/>
        <v>2</v>
      </c>
      <c r="H1616" s="52">
        <f>ROUND(Data!C1616*Data!D1616-Data!E1616,2)</f>
        <v>0</v>
      </c>
      <c r="I1616" s="52">
        <f>IF(AND(OR(Sel_Mode="All",Data!I1616=Sel_Mode),OR(Sel_Gender="All",D1616=Sel_Gender),OR(Sel_Category="All",Data!B1616=Sel_Category),OR(Sel_Month="All",C1616=Sel_Month),OR(Sel_County="All",Data!L1616=Sel_County)),1,0)</f>
        <v>1</v>
      </c>
    </row>
    <row r="1617" spans="1:9" x14ac:dyDescent="0.25">
      <c r="A1617" s="52" t="str">
        <f>Data!A1617</f>
        <v>TX501616</v>
      </c>
      <c r="B1617" s="52">
        <f>MONTH(Data!F1617)</f>
        <v>3</v>
      </c>
      <c r="C1617" s="52" t="str">
        <f>TEXT(Data!F1617,"mmm")</f>
        <v>Mar</v>
      </c>
      <c r="D1617" s="52" t="str">
        <f>Data!O1617</f>
        <v>Female</v>
      </c>
      <c r="E1617" s="52">
        <f>Data!G1617-Data!F1617</f>
        <v>2</v>
      </c>
      <c r="F1617" s="52">
        <f>IF(Data!J1617&lt;=5,Data!J1617,IF(Data!J1617&lt;=10,"6 TO 10","More than 10"))</f>
        <v>3</v>
      </c>
      <c r="G1617" s="52">
        <f t="shared" si="25"/>
        <v>2</v>
      </c>
      <c r="H1617" s="52">
        <f>ROUND(Data!C1617*Data!D1617-Data!E1617,2)</f>
        <v>0</v>
      </c>
      <c r="I1617" s="52">
        <f>IF(AND(OR(Sel_Mode="All",Data!I1617=Sel_Mode),OR(Sel_Gender="All",D1617=Sel_Gender),OR(Sel_Category="All",Data!B1617=Sel_Category),OR(Sel_Month="All",C1617=Sel_Month),OR(Sel_County="All",Data!L1617=Sel_County)),1,0)</f>
        <v>1</v>
      </c>
    </row>
    <row r="1618" spans="1:9" x14ac:dyDescent="0.25">
      <c r="A1618" s="52" t="str">
        <f>Data!A1618</f>
        <v>TX501617</v>
      </c>
      <c r="B1618" s="52">
        <f>MONTH(Data!F1618)</f>
        <v>3</v>
      </c>
      <c r="C1618" s="52" t="str">
        <f>TEXT(Data!F1618,"mmm")</f>
        <v>Mar</v>
      </c>
      <c r="D1618" s="52" t="str">
        <f>Data!O1618</f>
        <v>Female</v>
      </c>
      <c r="E1618" s="52">
        <f>Data!G1618-Data!F1618</f>
        <v>3</v>
      </c>
      <c r="F1618" s="52">
        <f>IF(Data!J1618&lt;=5,Data!J1618,IF(Data!J1618&lt;=10,"6 TO 10","More than 10"))</f>
        <v>4</v>
      </c>
      <c r="G1618" s="52">
        <f t="shared" si="25"/>
        <v>3</v>
      </c>
      <c r="H1618" s="52">
        <f>ROUND(Data!C1618*Data!D1618-Data!E1618,2)</f>
        <v>0</v>
      </c>
      <c r="I1618" s="52">
        <f>IF(AND(OR(Sel_Mode="All",Data!I1618=Sel_Mode),OR(Sel_Gender="All",D1618=Sel_Gender),OR(Sel_Category="All",Data!B1618=Sel_Category),OR(Sel_Month="All",C1618=Sel_Month),OR(Sel_County="All",Data!L1618=Sel_County)),1,0)</f>
        <v>1</v>
      </c>
    </row>
    <row r="1619" spans="1:9" x14ac:dyDescent="0.25">
      <c r="A1619" s="52" t="str">
        <f>Data!A1619</f>
        <v>TX501618</v>
      </c>
      <c r="B1619" s="52">
        <f>MONTH(Data!F1619)</f>
        <v>3</v>
      </c>
      <c r="C1619" s="52" t="str">
        <f>TEXT(Data!F1619,"mmm")</f>
        <v>Mar</v>
      </c>
      <c r="D1619" s="52" t="str">
        <f>Data!O1619</f>
        <v>Other</v>
      </c>
      <c r="E1619" s="52">
        <f>Data!G1619-Data!F1619</f>
        <v>14</v>
      </c>
      <c r="F1619" s="52">
        <f>IF(Data!J1619&lt;=5,Data!J1619,IF(Data!J1619&lt;=10,"6 TO 10","More than 10"))</f>
        <v>5</v>
      </c>
      <c r="G1619" s="52" t="str">
        <f t="shared" si="25"/>
        <v>8+</v>
      </c>
      <c r="H1619" s="52">
        <f>ROUND(Data!C1619*Data!D1619-Data!E1619,2)</f>
        <v>0</v>
      </c>
      <c r="I1619" s="52">
        <f>IF(AND(OR(Sel_Mode="All",Data!I1619=Sel_Mode),OR(Sel_Gender="All",D1619=Sel_Gender),OR(Sel_Category="All",Data!B1619=Sel_Category),OR(Sel_Month="All",C1619=Sel_Month),OR(Sel_County="All",Data!L1619=Sel_County)),1,0)</f>
        <v>1</v>
      </c>
    </row>
    <row r="1620" spans="1:9" x14ac:dyDescent="0.25">
      <c r="A1620" s="52" t="str">
        <f>Data!A1620</f>
        <v>TX501619</v>
      </c>
      <c r="B1620" s="52">
        <f>MONTH(Data!F1620)</f>
        <v>3</v>
      </c>
      <c r="C1620" s="52" t="str">
        <f>TEXT(Data!F1620,"mmm")</f>
        <v>Mar</v>
      </c>
      <c r="D1620" s="52" t="str">
        <f>Data!O1620</f>
        <v>Male</v>
      </c>
      <c r="E1620" s="52">
        <f>Data!G1620-Data!F1620</f>
        <v>2</v>
      </c>
      <c r="F1620" s="52">
        <f>IF(Data!J1620&lt;=5,Data!J1620,IF(Data!J1620&lt;=10,"6 TO 10","More than 10"))</f>
        <v>3</v>
      </c>
      <c r="G1620" s="52">
        <f t="shared" si="25"/>
        <v>2</v>
      </c>
      <c r="H1620" s="52">
        <f>ROUND(Data!C1620*Data!D1620-Data!E1620,2)</f>
        <v>0</v>
      </c>
      <c r="I1620" s="52">
        <f>IF(AND(OR(Sel_Mode="All",Data!I1620=Sel_Mode),OR(Sel_Gender="All",D1620=Sel_Gender),OR(Sel_Category="All",Data!B1620=Sel_Category),OR(Sel_Month="All",C1620=Sel_Month),OR(Sel_County="All",Data!L1620=Sel_County)),1,0)</f>
        <v>1</v>
      </c>
    </row>
    <row r="1621" spans="1:9" x14ac:dyDescent="0.25">
      <c r="A1621" s="52" t="str">
        <f>Data!A1621</f>
        <v>TX501620</v>
      </c>
      <c r="B1621" s="52">
        <f>MONTH(Data!F1621)</f>
        <v>3</v>
      </c>
      <c r="C1621" s="52" t="str">
        <f>TEXT(Data!F1621,"mmm")</f>
        <v>Mar</v>
      </c>
      <c r="D1621" s="52" t="str">
        <f>Data!O1621</f>
        <v>Female</v>
      </c>
      <c r="E1621" s="52">
        <f>Data!G1621-Data!F1621</f>
        <v>0</v>
      </c>
      <c r="F1621" s="52">
        <f>IF(Data!J1621&lt;=5,Data!J1621,IF(Data!J1621&lt;=10,"6 TO 10","More than 10"))</f>
        <v>4</v>
      </c>
      <c r="G1621" s="52">
        <f t="shared" si="25"/>
        <v>0</v>
      </c>
      <c r="H1621" s="52">
        <f>ROUND(Data!C1621*Data!D1621-Data!E1621,2)</f>
        <v>0</v>
      </c>
      <c r="I1621" s="52">
        <f>IF(AND(OR(Sel_Mode="All",Data!I1621=Sel_Mode),OR(Sel_Gender="All",D1621=Sel_Gender),OR(Sel_Category="All",Data!B1621=Sel_Category),OR(Sel_Month="All",C1621=Sel_Month),OR(Sel_County="All",Data!L1621=Sel_County)),1,0)</f>
        <v>1</v>
      </c>
    </row>
    <row r="1622" spans="1:9" x14ac:dyDescent="0.25">
      <c r="A1622" s="52" t="str">
        <f>Data!A1622</f>
        <v>TX501621</v>
      </c>
      <c r="B1622" s="52">
        <f>MONTH(Data!F1622)</f>
        <v>3</v>
      </c>
      <c r="C1622" s="52" t="str">
        <f>TEXT(Data!F1622,"mmm")</f>
        <v>Mar</v>
      </c>
      <c r="D1622" s="52" t="str">
        <f>Data!O1622</f>
        <v>Male</v>
      </c>
      <c r="E1622" s="52">
        <f>Data!G1622-Data!F1622</f>
        <v>1</v>
      </c>
      <c r="F1622" s="52">
        <f>IF(Data!J1622&lt;=5,Data!J1622,IF(Data!J1622&lt;=10,"6 TO 10","More than 10"))</f>
        <v>4</v>
      </c>
      <c r="G1622" s="52">
        <f t="shared" si="25"/>
        <v>1</v>
      </c>
      <c r="H1622" s="52">
        <f>ROUND(Data!C1622*Data!D1622-Data!E1622,2)</f>
        <v>0</v>
      </c>
      <c r="I1622" s="52">
        <f>IF(AND(OR(Sel_Mode="All",Data!I1622=Sel_Mode),OR(Sel_Gender="All",D1622=Sel_Gender),OR(Sel_Category="All",Data!B1622=Sel_Category),OR(Sel_Month="All",C1622=Sel_Month),OR(Sel_County="All",Data!L1622=Sel_County)),1,0)</f>
        <v>1</v>
      </c>
    </row>
    <row r="1623" spans="1:9" x14ac:dyDescent="0.25">
      <c r="A1623" s="52" t="str">
        <f>Data!A1623</f>
        <v>TX501622</v>
      </c>
      <c r="B1623" s="52">
        <f>MONTH(Data!F1623)</f>
        <v>3</v>
      </c>
      <c r="C1623" s="52" t="str">
        <f>TEXT(Data!F1623,"mmm")</f>
        <v>Mar</v>
      </c>
      <c r="D1623" s="52" t="str">
        <f>Data!O1623</f>
        <v>Male</v>
      </c>
      <c r="E1623" s="52">
        <f>Data!G1623-Data!F1623</f>
        <v>2</v>
      </c>
      <c r="F1623" s="52">
        <f>IF(Data!J1623&lt;=5,Data!J1623,IF(Data!J1623&lt;=10,"6 TO 10","More than 10"))</f>
        <v>4</v>
      </c>
      <c r="G1623" s="52">
        <f t="shared" si="25"/>
        <v>2</v>
      </c>
      <c r="H1623" s="52">
        <f>ROUND(Data!C1623*Data!D1623-Data!E1623,2)</f>
        <v>0</v>
      </c>
      <c r="I1623" s="52">
        <f>IF(AND(OR(Sel_Mode="All",Data!I1623=Sel_Mode),OR(Sel_Gender="All",D1623=Sel_Gender),OR(Sel_Category="All",Data!B1623=Sel_Category),OR(Sel_Month="All",C1623=Sel_Month),OR(Sel_County="All",Data!L1623=Sel_County)),1,0)</f>
        <v>1</v>
      </c>
    </row>
    <row r="1624" spans="1:9" x14ac:dyDescent="0.25">
      <c r="A1624" s="52" t="str">
        <f>Data!A1624</f>
        <v>TX501623</v>
      </c>
      <c r="B1624" s="52">
        <f>MONTH(Data!F1624)</f>
        <v>3</v>
      </c>
      <c r="C1624" s="52" t="str">
        <f>TEXT(Data!F1624,"mmm")</f>
        <v>Mar</v>
      </c>
      <c r="D1624" s="52" t="str">
        <f>Data!O1624</f>
        <v>Female</v>
      </c>
      <c r="E1624" s="52">
        <f>Data!G1624-Data!F1624</f>
        <v>4</v>
      </c>
      <c r="F1624" s="52">
        <f>IF(Data!J1624&lt;=5,Data!J1624,IF(Data!J1624&lt;=10,"6 TO 10","More than 10"))</f>
        <v>4</v>
      </c>
      <c r="G1624" s="52">
        <f t="shared" si="25"/>
        <v>4</v>
      </c>
      <c r="H1624" s="52">
        <f>ROUND(Data!C1624*Data!D1624-Data!E1624,2)</f>
        <v>0</v>
      </c>
      <c r="I1624" s="52">
        <f>IF(AND(OR(Sel_Mode="All",Data!I1624=Sel_Mode),OR(Sel_Gender="All",D1624=Sel_Gender),OR(Sel_Category="All",Data!B1624=Sel_Category),OR(Sel_Month="All",C1624=Sel_Month),OR(Sel_County="All",Data!L1624=Sel_County)),1,0)</f>
        <v>1</v>
      </c>
    </row>
    <row r="1625" spans="1:9" x14ac:dyDescent="0.25">
      <c r="A1625" s="52" t="str">
        <f>Data!A1625</f>
        <v>TX501624</v>
      </c>
      <c r="B1625" s="52">
        <f>MONTH(Data!F1625)</f>
        <v>3</v>
      </c>
      <c r="C1625" s="52" t="str">
        <f>TEXT(Data!F1625,"mmm")</f>
        <v>Mar</v>
      </c>
      <c r="D1625" s="52" t="str">
        <f>Data!O1625</f>
        <v>Other</v>
      </c>
      <c r="E1625" s="52">
        <f>Data!G1625-Data!F1625</f>
        <v>1</v>
      </c>
      <c r="F1625" s="52">
        <f>IF(Data!J1625&lt;=5,Data!J1625,IF(Data!J1625&lt;=10,"6 TO 10","More than 10"))</f>
        <v>5</v>
      </c>
      <c r="G1625" s="52">
        <f t="shared" si="25"/>
        <v>1</v>
      </c>
      <c r="H1625" s="52">
        <f>ROUND(Data!C1625*Data!D1625-Data!E1625,2)</f>
        <v>0</v>
      </c>
      <c r="I1625" s="52">
        <f>IF(AND(OR(Sel_Mode="All",Data!I1625=Sel_Mode),OR(Sel_Gender="All",D1625=Sel_Gender),OR(Sel_Category="All",Data!B1625=Sel_Category),OR(Sel_Month="All",C1625=Sel_Month),OR(Sel_County="All",Data!L1625=Sel_County)),1,0)</f>
        <v>1</v>
      </c>
    </row>
    <row r="1626" spans="1:9" x14ac:dyDescent="0.25">
      <c r="A1626" s="52" t="str">
        <f>Data!A1626</f>
        <v>TX501625</v>
      </c>
      <c r="B1626" s="52">
        <f>MONTH(Data!F1626)</f>
        <v>3</v>
      </c>
      <c r="C1626" s="52" t="str">
        <f>TEXT(Data!F1626,"mmm")</f>
        <v>Mar</v>
      </c>
      <c r="D1626" s="52" t="str">
        <f>Data!O1626</f>
        <v>Other</v>
      </c>
      <c r="E1626" s="52">
        <f>Data!G1626-Data!F1626</f>
        <v>1</v>
      </c>
      <c r="F1626" s="52">
        <f>IF(Data!J1626&lt;=5,Data!J1626,IF(Data!J1626&lt;=10,"6 TO 10","More than 10"))</f>
        <v>3</v>
      </c>
      <c r="G1626" s="52">
        <f t="shared" si="25"/>
        <v>1</v>
      </c>
      <c r="H1626" s="52">
        <f>ROUND(Data!C1626*Data!D1626-Data!E1626,2)</f>
        <v>0</v>
      </c>
      <c r="I1626" s="52">
        <f>IF(AND(OR(Sel_Mode="All",Data!I1626=Sel_Mode),OR(Sel_Gender="All",D1626=Sel_Gender),OR(Sel_Category="All",Data!B1626=Sel_Category),OR(Sel_Month="All",C1626=Sel_Month),OR(Sel_County="All",Data!L1626=Sel_County)),1,0)</f>
        <v>1</v>
      </c>
    </row>
    <row r="1627" spans="1:9" x14ac:dyDescent="0.25">
      <c r="A1627" s="52" t="str">
        <f>Data!A1627</f>
        <v>TX501626</v>
      </c>
      <c r="B1627" s="52">
        <f>MONTH(Data!F1627)</f>
        <v>3</v>
      </c>
      <c r="C1627" s="52" t="str">
        <f>TEXT(Data!F1627,"mmm")</f>
        <v>Mar</v>
      </c>
      <c r="D1627" s="52" t="str">
        <f>Data!O1627</f>
        <v>Female</v>
      </c>
      <c r="E1627" s="52">
        <f>Data!G1627-Data!F1627</f>
        <v>4</v>
      </c>
      <c r="F1627" s="52">
        <f>IF(Data!J1627&lt;=5,Data!J1627,IF(Data!J1627&lt;=10,"6 TO 10","More than 10"))</f>
        <v>5</v>
      </c>
      <c r="G1627" s="52">
        <f t="shared" si="25"/>
        <v>4</v>
      </c>
      <c r="H1627" s="52">
        <f>ROUND(Data!C1627*Data!D1627-Data!E1627,2)</f>
        <v>0</v>
      </c>
      <c r="I1627" s="52">
        <f>IF(AND(OR(Sel_Mode="All",Data!I1627=Sel_Mode),OR(Sel_Gender="All",D1627=Sel_Gender),OR(Sel_Category="All",Data!B1627=Sel_Category),OR(Sel_Month="All",C1627=Sel_Month),OR(Sel_County="All",Data!L1627=Sel_County)),1,0)</f>
        <v>1</v>
      </c>
    </row>
    <row r="1628" spans="1:9" x14ac:dyDescent="0.25">
      <c r="A1628" s="52" t="str">
        <f>Data!A1628</f>
        <v>TX501627</v>
      </c>
      <c r="B1628" s="52">
        <f>MONTH(Data!F1628)</f>
        <v>3</v>
      </c>
      <c r="C1628" s="52" t="str">
        <f>TEXT(Data!F1628,"mmm")</f>
        <v>Mar</v>
      </c>
      <c r="D1628" s="52" t="str">
        <f>Data!O1628</f>
        <v>Female</v>
      </c>
      <c r="E1628" s="52">
        <f>Data!G1628-Data!F1628</f>
        <v>1</v>
      </c>
      <c r="F1628" s="52">
        <f>IF(Data!J1628&lt;=5,Data!J1628,IF(Data!J1628&lt;=10,"6 TO 10","More than 10"))</f>
        <v>4</v>
      </c>
      <c r="G1628" s="52">
        <f t="shared" si="25"/>
        <v>1</v>
      </c>
      <c r="H1628" s="52">
        <f>ROUND(Data!C1628*Data!D1628-Data!E1628,2)</f>
        <v>0</v>
      </c>
      <c r="I1628" s="52">
        <f>IF(AND(OR(Sel_Mode="All",Data!I1628=Sel_Mode),OR(Sel_Gender="All",D1628=Sel_Gender),OR(Sel_Category="All",Data!B1628=Sel_Category),OR(Sel_Month="All",C1628=Sel_Month),OR(Sel_County="All",Data!L1628=Sel_County)),1,0)</f>
        <v>1</v>
      </c>
    </row>
    <row r="1629" spans="1:9" x14ac:dyDescent="0.25">
      <c r="A1629" s="52" t="str">
        <f>Data!A1629</f>
        <v>TX501628</v>
      </c>
      <c r="B1629" s="52">
        <f>MONTH(Data!F1629)</f>
        <v>3</v>
      </c>
      <c r="C1629" s="52" t="str">
        <f>TEXT(Data!F1629,"mmm")</f>
        <v>Mar</v>
      </c>
      <c r="D1629" s="52" t="str">
        <f>Data!O1629</f>
        <v>Male</v>
      </c>
      <c r="E1629" s="52">
        <f>Data!G1629-Data!F1629</f>
        <v>2</v>
      </c>
      <c r="F1629" s="52">
        <f>IF(Data!J1629&lt;=5,Data!J1629,IF(Data!J1629&lt;=10,"6 TO 10","More than 10"))</f>
        <v>4</v>
      </c>
      <c r="G1629" s="52">
        <f t="shared" si="25"/>
        <v>2</v>
      </c>
      <c r="H1629" s="52">
        <f>ROUND(Data!C1629*Data!D1629-Data!E1629,2)</f>
        <v>0</v>
      </c>
      <c r="I1629" s="52">
        <f>IF(AND(OR(Sel_Mode="All",Data!I1629=Sel_Mode),OR(Sel_Gender="All",D1629=Sel_Gender),OR(Sel_Category="All",Data!B1629=Sel_Category),OR(Sel_Month="All",C1629=Sel_Month),OR(Sel_County="All",Data!L1629=Sel_County)),1,0)</f>
        <v>1</v>
      </c>
    </row>
    <row r="1630" spans="1:9" x14ac:dyDescent="0.25">
      <c r="A1630" s="52" t="str">
        <f>Data!A1630</f>
        <v>TX501629</v>
      </c>
      <c r="B1630" s="52">
        <f>MONTH(Data!F1630)</f>
        <v>3</v>
      </c>
      <c r="C1630" s="52" t="str">
        <f>TEXT(Data!F1630,"mmm")</f>
        <v>Mar</v>
      </c>
      <c r="D1630" s="52" t="str">
        <f>Data!O1630</f>
        <v>Male</v>
      </c>
      <c r="E1630" s="52">
        <f>Data!G1630-Data!F1630</f>
        <v>1</v>
      </c>
      <c r="F1630" s="52">
        <f>IF(Data!J1630&lt;=5,Data!J1630,IF(Data!J1630&lt;=10,"6 TO 10","More than 10"))</f>
        <v>3</v>
      </c>
      <c r="G1630" s="52">
        <f t="shared" si="25"/>
        <v>1</v>
      </c>
      <c r="H1630" s="52">
        <f>ROUND(Data!C1630*Data!D1630-Data!E1630,2)</f>
        <v>0</v>
      </c>
      <c r="I1630" s="52">
        <f>IF(AND(OR(Sel_Mode="All",Data!I1630=Sel_Mode),OR(Sel_Gender="All",D1630=Sel_Gender),OR(Sel_Category="All",Data!B1630=Sel_Category),OR(Sel_Month="All",C1630=Sel_Month),OR(Sel_County="All",Data!L1630=Sel_County)),1,0)</f>
        <v>1</v>
      </c>
    </row>
    <row r="1631" spans="1:9" x14ac:dyDescent="0.25">
      <c r="A1631" s="52" t="str">
        <f>Data!A1631</f>
        <v>TX501630</v>
      </c>
      <c r="B1631" s="52">
        <f>MONTH(Data!F1631)</f>
        <v>3</v>
      </c>
      <c r="C1631" s="52" t="str">
        <f>TEXT(Data!F1631,"mmm")</f>
        <v>Mar</v>
      </c>
      <c r="D1631" s="52" t="str">
        <f>Data!O1631</f>
        <v>Female</v>
      </c>
      <c r="E1631" s="52">
        <f>Data!G1631-Data!F1631</f>
        <v>3</v>
      </c>
      <c r="F1631" s="52">
        <f>IF(Data!J1631&lt;=5,Data!J1631,IF(Data!J1631&lt;=10,"6 TO 10","More than 10"))</f>
        <v>4</v>
      </c>
      <c r="G1631" s="52">
        <f t="shared" si="25"/>
        <v>3</v>
      </c>
      <c r="H1631" s="52">
        <f>ROUND(Data!C1631*Data!D1631-Data!E1631,2)</f>
        <v>0</v>
      </c>
      <c r="I1631" s="52">
        <f>IF(AND(OR(Sel_Mode="All",Data!I1631=Sel_Mode),OR(Sel_Gender="All",D1631=Sel_Gender),OR(Sel_Category="All",Data!B1631=Sel_Category),OR(Sel_Month="All",C1631=Sel_Month),OR(Sel_County="All",Data!L1631=Sel_County)),1,0)</f>
        <v>1</v>
      </c>
    </row>
    <row r="1632" spans="1:9" x14ac:dyDescent="0.25">
      <c r="A1632" s="52" t="str">
        <f>Data!A1632</f>
        <v>TX501631</v>
      </c>
      <c r="B1632" s="52">
        <f>MONTH(Data!F1632)</f>
        <v>3</v>
      </c>
      <c r="C1632" s="52" t="str">
        <f>TEXT(Data!F1632,"mmm")</f>
        <v>Mar</v>
      </c>
      <c r="D1632" s="52" t="str">
        <f>Data!O1632</f>
        <v>Female</v>
      </c>
      <c r="E1632" s="52">
        <f>Data!G1632-Data!F1632</f>
        <v>5</v>
      </c>
      <c r="F1632" s="52">
        <f>IF(Data!J1632&lt;=5,Data!J1632,IF(Data!J1632&lt;=10,"6 TO 10","More than 10"))</f>
        <v>3</v>
      </c>
      <c r="G1632" s="52">
        <f t="shared" si="25"/>
        <v>5</v>
      </c>
      <c r="H1632" s="52">
        <f>ROUND(Data!C1632*Data!D1632-Data!E1632,2)</f>
        <v>0</v>
      </c>
      <c r="I1632" s="52">
        <f>IF(AND(OR(Sel_Mode="All",Data!I1632=Sel_Mode),OR(Sel_Gender="All",D1632=Sel_Gender),OR(Sel_Category="All",Data!B1632=Sel_Category),OR(Sel_Month="All",C1632=Sel_Month),OR(Sel_County="All",Data!L1632=Sel_County)),1,0)</f>
        <v>1</v>
      </c>
    </row>
    <row r="1633" spans="1:9" x14ac:dyDescent="0.25">
      <c r="A1633" s="52" t="str">
        <f>Data!A1633</f>
        <v>TX501632</v>
      </c>
      <c r="B1633" s="52">
        <f>MONTH(Data!F1633)</f>
        <v>3</v>
      </c>
      <c r="C1633" s="52" t="str">
        <f>TEXT(Data!F1633,"mmm")</f>
        <v>Mar</v>
      </c>
      <c r="D1633" s="52" t="str">
        <f>Data!O1633</f>
        <v>Female</v>
      </c>
      <c r="E1633" s="52">
        <f>Data!G1633-Data!F1633</f>
        <v>2</v>
      </c>
      <c r="F1633" s="52">
        <f>IF(Data!J1633&lt;=5,Data!J1633,IF(Data!J1633&lt;=10,"6 TO 10","More than 10"))</f>
        <v>4</v>
      </c>
      <c r="G1633" s="52">
        <f t="shared" si="25"/>
        <v>2</v>
      </c>
      <c r="H1633" s="52">
        <f>ROUND(Data!C1633*Data!D1633-Data!E1633,2)</f>
        <v>0</v>
      </c>
      <c r="I1633" s="52">
        <f>IF(AND(OR(Sel_Mode="All",Data!I1633=Sel_Mode),OR(Sel_Gender="All",D1633=Sel_Gender),OR(Sel_Category="All",Data!B1633=Sel_Category),OR(Sel_Month="All",C1633=Sel_Month),OR(Sel_County="All",Data!L1633=Sel_County)),1,0)</f>
        <v>1</v>
      </c>
    </row>
    <row r="1634" spans="1:9" x14ac:dyDescent="0.25">
      <c r="A1634" s="52" t="str">
        <f>Data!A1634</f>
        <v>TX501633</v>
      </c>
      <c r="B1634" s="52">
        <f>MONTH(Data!F1634)</f>
        <v>3</v>
      </c>
      <c r="C1634" s="52" t="str">
        <f>TEXT(Data!F1634,"mmm")</f>
        <v>Mar</v>
      </c>
      <c r="D1634" s="52" t="str">
        <f>Data!O1634</f>
        <v>Female</v>
      </c>
      <c r="E1634" s="52">
        <f>Data!G1634-Data!F1634</f>
        <v>4</v>
      </c>
      <c r="F1634" s="52">
        <f>IF(Data!J1634&lt;=5,Data!J1634,IF(Data!J1634&lt;=10,"6 TO 10","More than 10"))</f>
        <v>4</v>
      </c>
      <c r="G1634" s="52">
        <f t="shared" si="25"/>
        <v>4</v>
      </c>
      <c r="H1634" s="52">
        <f>ROUND(Data!C1634*Data!D1634-Data!E1634,2)</f>
        <v>0</v>
      </c>
      <c r="I1634" s="52">
        <f>IF(AND(OR(Sel_Mode="All",Data!I1634=Sel_Mode),OR(Sel_Gender="All",D1634=Sel_Gender),OR(Sel_Category="All",Data!B1634=Sel_Category),OR(Sel_Month="All",C1634=Sel_Month),OR(Sel_County="All",Data!L1634=Sel_County)),1,0)</f>
        <v>1</v>
      </c>
    </row>
    <row r="1635" spans="1:9" x14ac:dyDescent="0.25">
      <c r="A1635" s="52" t="str">
        <f>Data!A1635</f>
        <v>TX501634</v>
      </c>
      <c r="B1635" s="52">
        <f>MONTH(Data!F1635)</f>
        <v>3</v>
      </c>
      <c r="C1635" s="52" t="str">
        <f>TEXT(Data!F1635,"mmm")</f>
        <v>Mar</v>
      </c>
      <c r="D1635" s="52" t="str">
        <f>Data!O1635</f>
        <v>Unknown</v>
      </c>
      <c r="E1635" s="52">
        <f>Data!G1635-Data!F1635</f>
        <v>2</v>
      </c>
      <c r="F1635" s="52">
        <f>IF(Data!J1635&lt;=5,Data!J1635,IF(Data!J1635&lt;=10,"6 TO 10","More than 10"))</f>
        <v>4</v>
      </c>
      <c r="G1635" s="52">
        <f t="shared" si="25"/>
        <v>2</v>
      </c>
      <c r="H1635" s="52">
        <f>ROUND(Data!C1635*Data!D1635-Data!E1635,2)</f>
        <v>0</v>
      </c>
      <c r="I1635" s="52">
        <f>IF(AND(OR(Sel_Mode="All",Data!I1635=Sel_Mode),OR(Sel_Gender="All",D1635=Sel_Gender),OR(Sel_Category="All",Data!B1635=Sel_Category),OR(Sel_Month="All",C1635=Sel_Month),OR(Sel_County="All",Data!L1635=Sel_County)),1,0)</f>
        <v>1</v>
      </c>
    </row>
    <row r="1636" spans="1:9" x14ac:dyDescent="0.25">
      <c r="A1636" s="52" t="str">
        <f>Data!A1636</f>
        <v>TX501635</v>
      </c>
      <c r="B1636" s="52">
        <f>MONTH(Data!F1636)</f>
        <v>3</v>
      </c>
      <c r="C1636" s="52" t="str">
        <f>TEXT(Data!F1636,"mmm")</f>
        <v>Mar</v>
      </c>
      <c r="D1636" s="52" t="str">
        <f>Data!O1636</f>
        <v>Male</v>
      </c>
      <c r="E1636" s="52">
        <f>Data!G1636-Data!F1636</f>
        <v>2</v>
      </c>
      <c r="F1636" s="52">
        <f>IF(Data!J1636&lt;=5,Data!J1636,IF(Data!J1636&lt;=10,"6 TO 10","More than 10"))</f>
        <v>4</v>
      </c>
      <c r="G1636" s="52">
        <f t="shared" si="25"/>
        <v>2</v>
      </c>
      <c r="H1636" s="52">
        <f>ROUND(Data!C1636*Data!D1636-Data!E1636,2)</f>
        <v>0</v>
      </c>
      <c r="I1636" s="52">
        <f>IF(AND(OR(Sel_Mode="All",Data!I1636=Sel_Mode),OR(Sel_Gender="All",D1636=Sel_Gender),OR(Sel_Category="All",Data!B1636=Sel_Category),OR(Sel_Month="All",C1636=Sel_Month),OR(Sel_County="All",Data!L1636=Sel_County)),1,0)</f>
        <v>1</v>
      </c>
    </row>
    <row r="1637" spans="1:9" x14ac:dyDescent="0.25">
      <c r="A1637" s="52" t="str">
        <f>Data!A1637</f>
        <v>TX501636</v>
      </c>
      <c r="B1637" s="52">
        <f>MONTH(Data!F1637)</f>
        <v>3</v>
      </c>
      <c r="C1637" s="52" t="str">
        <f>TEXT(Data!F1637,"mmm")</f>
        <v>Mar</v>
      </c>
      <c r="D1637" s="52" t="str">
        <f>Data!O1637</f>
        <v>Male</v>
      </c>
      <c r="E1637" s="52">
        <f>Data!G1637-Data!F1637</f>
        <v>14</v>
      </c>
      <c r="F1637" s="52">
        <f>IF(Data!J1637&lt;=5,Data!J1637,IF(Data!J1637&lt;=10,"6 TO 10","More than 10"))</f>
        <v>4</v>
      </c>
      <c r="G1637" s="52" t="str">
        <f t="shared" si="25"/>
        <v>8+</v>
      </c>
      <c r="H1637" s="52">
        <f>ROUND(Data!C1637*Data!D1637-Data!E1637,2)</f>
        <v>0</v>
      </c>
      <c r="I1637" s="52">
        <f>IF(AND(OR(Sel_Mode="All",Data!I1637=Sel_Mode),OR(Sel_Gender="All",D1637=Sel_Gender),OR(Sel_Category="All",Data!B1637=Sel_Category),OR(Sel_Month="All",C1637=Sel_Month),OR(Sel_County="All",Data!L1637=Sel_County)),1,0)</f>
        <v>1</v>
      </c>
    </row>
    <row r="1638" spans="1:9" x14ac:dyDescent="0.25">
      <c r="A1638" s="52" t="str">
        <f>Data!A1638</f>
        <v>TX501637</v>
      </c>
      <c r="B1638" s="52">
        <f>MONTH(Data!F1638)</f>
        <v>3</v>
      </c>
      <c r="C1638" s="52" t="str">
        <f>TEXT(Data!F1638,"mmm")</f>
        <v>Mar</v>
      </c>
      <c r="D1638" s="52" t="str">
        <f>Data!O1638</f>
        <v>Male</v>
      </c>
      <c r="E1638" s="52">
        <f>Data!G1638-Data!F1638</f>
        <v>3</v>
      </c>
      <c r="F1638" s="52">
        <f>IF(Data!J1638&lt;=5,Data!J1638,IF(Data!J1638&lt;=10,"6 TO 10","More than 10"))</f>
        <v>5</v>
      </c>
      <c r="G1638" s="52">
        <f t="shared" si="25"/>
        <v>3</v>
      </c>
      <c r="H1638" s="52">
        <f>ROUND(Data!C1638*Data!D1638-Data!E1638,2)</f>
        <v>0</v>
      </c>
      <c r="I1638" s="52">
        <f>IF(AND(OR(Sel_Mode="All",Data!I1638=Sel_Mode),OR(Sel_Gender="All",D1638=Sel_Gender),OR(Sel_Category="All",Data!B1638=Sel_Category),OR(Sel_Month="All",C1638=Sel_Month),OR(Sel_County="All",Data!L1638=Sel_County)),1,0)</f>
        <v>1</v>
      </c>
    </row>
    <row r="1639" spans="1:9" x14ac:dyDescent="0.25">
      <c r="A1639" s="52" t="str">
        <f>Data!A1639</f>
        <v>TX501638</v>
      </c>
      <c r="B1639" s="52">
        <f>MONTH(Data!F1639)</f>
        <v>3</v>
      </c>
      <c r="C1639" s="52" t="str">
        <f>TEXT(Data!F1639,"mmm")</f>
        <v>Mar</v>
      </c>
      <c r="D1639" s="52" t="str">
        <f>Data!O1639</f>
        <v>Other</v>
      </c>
      <c r="E1639" s="52">
        <f>Data!G1639-Data!F1639</f>
        <v>2</v>
      </c>
      <c r="F1639" s="52">
        <f>IF(Data!J1639&lt;=5,Data!J1639,IF(Data!J1639&lt;=10,"6 TO 10","More than 10"))</f>
        <v>5</v>
      </c>
      <c r="G1639" s="52">
        <f t="shared" si="25"/>
        <v>2</v>
      </c>
      <c r="H1639" s="52">
        <f>ROUND(Data!C1639*Data!D1639-Data!E1639,2)</f>
        <v>0</v>
      </c>
      <c r="I1639" s="52">
        <f>IF(AND(OR(Sel_Mode="All",Data!I1639=Sel_Mode),OR(Sel_Gender="All",D1639=Sel_Gender),OR(Sel_Category="All",Data!B1639=Sel_Category),OR(Sel_Month="All",C1639=Sel_Month),OR(Sel_County="All",Data!L1639=Sel_County)),1,0)</f>
        <v>1</v>
      </c>
    </row>
    <row r="1640" spans="1:9" x14ac:dyDescent="0.25">
      <c r="A1640" s="52" t="str">
        <f>Data!A1640</f>
        <v>TX501639</v>
      </c>
      <c r="B1640" s="52">
        <f>MONTH(Data!F1640)</f>
        <v>3</v>
      </c>
      <c r="C1640" s="52" t="str">
        <f>TEXT(Data!F1640,"mmm")</f>
        <v>Mar</v>
      </c>
      <c r="D1640" s="52" t="str">
        <f>Data!O1640</f>
        <v>Male</v>
      </c>
      <c r="E1640" s="52">
        <f>Data!G1640-Data!F1640</f>
        <v>3</v>
      </c>
      <c r="F1640" s="52">
        <f>IF(Data!J1640&lt;=5,Data!J1640,IF(Data!J1640&lt;=10,"6 TO 10","More than 10"))</f>
        <v>3</v>
      </c>
      <c r="G1640" s="52">
        <f t="shared" si="25"/>
        <v>3</v>
      </c>
      <c r="H1640" s="52">
        <f>ROUND(Data!C1640*Data!D1640-Data!E1640,2)</f>
        <v>0</v>
      </c>
      <c r="I1640" s="52">
        <f>IF(AND(OR(Sel_Mode="All",Data!I1640=Sel_Mode),OR(Sel_Gender="All",D1640=Sel_Gender),OR(Sel_Category="All",Data!B1640=Sel_Category),OR(Sel_Month="All",C1640=Sel_Month),OR(Sel_County="All",Data!L1640=Sel_County)),1,0)</f>
        <v>1</v>
      </c>
    </row>
    <row r="1641" spans="1:9" x14ac:dyDescent="0.25">
      <c r="A1641" s="52" t="str">
        <f>Data!A1641</f>
        <v>TX501640</v>
      </c>
      <c r="B1641" s="52">
        <f>MONTH(Data!F1641)</f>
        <v>3</v>
      </c>
      <c r="C1641" s="52" t="str">
        <f>TEXT(Data!F1641,"mmm")</f>
        <v>Mar</v>
      </c>
      <c r="D1641" s="52" t="str">
        <f>Data!O1641</f>
        <v>Male</v>
      </c>
      <c r="E1641" s="52">
        <f>Data!G1641-Data!F1641</f>
        <v>0</v>
      </c>
      <c r="F1641" s="52">
        <f>IF(Data!J1641&lt;=5,Data!J1641,IF(Data!J1641&lt;=10,"6 TO 10","More than 10"))</f>
        <v>5</v>
      </c>
      <c r="G1641" s="52">
        <f t="shared" si="25"/>
        <v>0</v>
      </c>
      <c r="H1641" s="52">
        <f>ROUND(Data!C1641*Data!D1641-Data!E1641,2)</f>
        <v>0</v>
      </c>
      <c r="I1641" s="52">
        <f>IF(AND(OR(Sel_Mode="All",Data!I1641=Sel_Mode),OR(Sel_Gender="All",D1641=Sel_Gender),OR(Sel_Category="All",Data!B1641=Sel_Category),OR(Sel_Month="All",C1641=Sel_Month),OR(Sel_County="All",Data!L1641=Sel_County)),1,0)</f>
        <v>1</v>
      </c>
    </row>
    <row r="1642" spans="1:9" x14ac:dyDescent="0.25">
      <c r="A1642" s="52" t="str">
        <f>Data!A1642</f>
        <v>TX501641</v>
      </c>
      <c r="B1642" s="52">
        <f>MONTH(Data!F1642)</f>
        <v>3</v>
      </c>
      <c r="C1642" s="52" t="str">
        <f>TEXT(Data!F1642,"mmm")</f>
        <v>Mar</v>
      </c>
      <c r="D1642" s="52" t="str">
        <f>Data!O1642</f>
        <v>Male</v>
      </c>
      <c r="E1642" s="52">
        <f>Data!G1642-Data!F1642</f>
        <v>1</v>
      </c>
      <c r="F1642" s="52">
        <f>IF(Data!J1642&lt;=5,Data!J1642,IF(Data!J1642&lt;=10,"6 TO 10","More than 10"))</f>
        <v>5</v>
      </c>
      <c r="G1642" s="52">
        <f t="shared" si="25"/>
        <v>1</v>
      </c>
      <c r="H1642" s="52">
        <f>ROUND(Data!C1642*Data!D1642-Data!E1642,2)</f>
        <v>0</v>
      </c>
      <c r="I1642" s="52">
        <f>IF(AND(OR(Sel_Mode="All",Data!I1642=Sel_Mode),OR(Sel_Gender="All",D1642=Sel_Gender),OR(Sel_Category="All",Data!B1642=Sel_Category),OR(Sel_Month="All",C1642=Sel_Month),OR(Sel_County="All",Data!L1642=Sel_County)),1,0)</f>
        <v>1</v>
      </c>
    </row>
    <row r="1643" spans="1:9" x14ac:dyDescent="0.25">
      <c r="A1643" s="52" t="str">
        <f>Data!A1643</f>
        <v>TX501642</v>
      </c>
      <c r="B1643" s="52">
        <f>MONTH(Data!F1643)</f>
        <v>3</v>
      </c>
      <c r="C1643" s="52" t="str">
        <f>TEXT(Data!F1643,"mmm")</f>
        <v>Mar</v>
      </c>
      <c r="D1643" s="52" t="str">
        <f>Data!O1643</f>
        <v>Female</v>
      </c>
      <c r="E1643" s="52">
        <f>Data!G1643-Data!F1643</f>
        <v>2</v>
      </c>
      <c r="F1643" s="52">
        <f>IF(Data!J1643&lt;=5,Data!J1643,IF(Data!J1643&lt;=10,"6 TO 10","More than 10"))</f>
        <v>5</v>
      </c>
      <c r="G1643" s="52">
        <f t="shared" si="25"/>
        <v>2</v>
      </c>
      <c r="H1643" s="52">
        <f>ROUND(Data!C1643*Data!D1643-Data!E1643,2)</f>
        <v>0</v>
      </c>
      <c r="I1643" s="52">
        <f>IF(AND(OR(Sel_Mode="All",Data!I1643=Sel_Mode),OR(Sel_Gender="All",D1643=Sel_Gender),OR(Sel_Category="All",Data!B1643=Sel_Category),OR(Sel_Month="All",C1643=Sel_Month),OR(Sel_County="All",Data!L1643=Sel_County)),1,0)</f>
        <v>1</v>
      </c>
    </row>
    <row r="1644" spans="1:9" x14ac:dyDescent="0.25">
      <c r="A1644" s="52" t="str">
        <f>Data!A1644</f>
        <v>TX501643</v>
      </c>
      <c r="B1644" s="52">
        <f>MONTH(Data!F1644)</f>
        <v>3</v>
      </c>
      <c r="C1644" s="52" t="str">
        <f>TEXT(Data!F1644,"mmm")</f>
        <v>Mar</v>
      </c>
      <c r="D1644" s="52" t="str">
        <f>Data!O1644</f>
        <v>Male</v>
      </c>
      <c r="E1644" s="52">
        <f>Data!G1644-Data!F1644</f>
        <v>2</v>
      </c>
      <c r="F1644" s="52">
        <f>IF(Data!J1644&lt;=5,Data!J1644,IF(Data!J1644&lt;=10,"6 TO 10","More than 10"))</f>
        <v>3</v>
      </c>
      <c r="G1644" s="52">
        <f t="shared" si="25"/>
        <v>2</v>
      </c>
      <c r="H1644" s="52">
        <f>ROUND(Data!C1644*Data!D1644-Data!E1644,2)</f>
        <v>0</v>
      </c>
      <c r="I1644" s="52">
        <f>IF(AND(OR(Sel_Mode="All",Data!I1644=Sel_Mode),OR(Sel_Gender="All",D1644=Sel_Gender),OR(Sel_Category="All",Data!B1644=Sel_Category),OR(Sel_Month="All",C1644=Sel_Month),OR(Sel_County="All",Data!L1644=Sel_County)),1,0)</f>
        <v>1</v>
      </c>
    </row>
    <row r="1645" spans="1:9" x14ac:dyDescent="0.25">
      <c r="A1645" s="52" t="str">
        <f>Data!A1645</f>
        <v>TX501644</v>
      </c>
      <c r="B1645" s="52">
        <f>MONTH(Data!F1645)</f>
        <v>3</v>
      </c>
      <c r="C1645" s="52" t="str">
        <f>TEXT(Data!F1645,"mmm")</f>
        <v>Mar</v>
      </c>
      <c r="D1645" s="52" t="str">
        <f>Data!O1645</f>
        <v>Male</v>
      </c>
      <c r="E1645" s="52">
        <f>Data!G1645-Data!F1645</f>
        <v>3</v>
      </c>
      <c r="F1645" s="52">
        <f>IF(Data!J1645&lt;=5,Data!J1645,IF(Data!J1645&lt;=10,"6 TO 10","More than 10"))</f>
        <v>4</v>
      </c>
      <c r="G1645" s="52">
        <f t="shared" si="25"/>
        <v>3</v>
      </c>
      <c r="H1645" s="52">
        <f>ROUND(Data!C1645*Data!D1645-Data!E1645,2)</f>
        <v>0</v>
      </c>
      <c r="I1645" s="52">
        <f>IF(AND(OR(Sel_Mode="All",Data!I1645=Sel_Mode),OR(Sel_Gender="All",D1645=Sel_Gender),OR(Sel_Category="All",Data!B1645=Sel_Category),OR(Sel_Month="All",C1645=Sel_Month),OR(Sel_County="All",Data!L1645=Sel_County)),1,0)</f>
        <v>1</v>
      </c>
    </row>
    <row r="1646" spans="1:9" x14ac:dyDescent="0.25">
      <c r="A1646" s="52" t="str">
        <f>Data!A1646</f>
        <v>TX501645</v>
      </c>
      <c r="B1646" s="52">
        <f>MONTH(Data!F1646)</f>
        <v>3</v>
      </c>
      <c r="C1646" s="52" t="str">
        <f>TEXT(Data!F1646,"mmm")</f>
        <v>Mar</v>
      </c>
      <c r="D1646" s="52" t="str">
        <f>Data!O1646</f>
        <v>Male</v>
      </c>
      <c r="E1646" s="52">
        <f>Data!G1646-Data!F1646</f>
        <v>2</v>
      </c>
      <c r="F1646" s="52">
        <f>IF(Data!J1646&lt;=5,Data!J1646,IF(Data!J1646&lt;=10,"6 TO 10","More than 10"))</f>
        <v>4</v>
      </c>
      <c r="G1646" s="52">
        <f t="shared" si="25"/>
        <v>2</v>
      </c>
      <c r="H1646" s="52">
        <f>ROUND(Data!C1646*Data!D1646-Data!E1646,2)</f>
        <v>0</v>
      </c>
      <c r="I1646" s="52">
        <f>IF(AND(OR(Sel_Mode="All",Data!I1646=Sel_Mode),OR(Sel_Gender="All",D1646=Sel_Gender),OR(Sel_Category="All",Data!B1646=Sel_Category),OR(Sel_Month="All",C1646=Sel_Month),OR(Sel_County="All",Data!L1646=Sel_County)),1,0)</f>
        <v>1</v>
      </c>
    </row>
    <row r="1647" spans="1:9" x14ac:dyDescent="0.25">
      <c r="A1647" s="52" t="str">
        <f>Data!A1647</f>
        <v>TX501646</v>
      </c>
      <c r="B1647" s="52">
        <f>MONTH(Data!F1647)</f>
        <v>3</v>
      </c>
      <c r="C1647" s="52" t="str">
        <f>TEXT(Data!F1647,"mmm")</f>
        <v>Mar</v>
      </c>
      <c r="D1647" s="52" t="str">
        <f>Data!O1647</f>
        <v>Male</v>
      </c>
      <c r="E1647" s="52">
        <f>Data!G1647-Data!F1647</f>
        <v>3</v>
      </c>
      <c r="F1647" s="52">
        <f>IF(Data!J1647&lt;=5,Data!J1647,IF(Data!J1647&lt;=10,"6 TO 10","More than 10"))</f>
        <v>5</v>
      </c>
      <c r="G1647" s="52">
        <f t="shared" si="25"/>
        <v>3</v>
      </c>
      <c r="H1647" s="52">
        <f>ROUND(Data!C1647*Data!D1647-Data!E1647,2)</f>
        <v>0</v>
      </c>
      <c r="I1647" s="52">
        <f>IF(AND(OR(Sel_Mode="All",Data!I1647=Sel_Mode),OR(Sel_Gender="All",D1647=Sel_Gender),OR(Sel_Category="All",Data!B1647=Sel_Category),OR(Sel_Month="All",C1647=Sel_Month),OR(Sel_County="All",Data!L1647=Sel_County)),1,0)</f>
        <v>1</v>
      </c>
    </row>
    <row r="1648" spans="1:9" x14ac:dyDescent="0.25">
      <c r="A1648" s="52" t="str">
        <f>Data!A1648</f>
        <v>TX501647</v>
      </c>
      <c r="B1648" s="52">
        <f>MONTH(Data!F1648)</f>
        <v>3</v>
      </c>
      <c r="C1648" s="52" t="str">
        <f>TEXT(Data!F1648,"mmm")</f>
        <v>Mar</v>
      </c>
      <c r="D1648" s="52" t="str">
        <f>Data!O1648</f>
        <v>Male</v>
      </c>
      <c r="E1648" s="52">
        <f>Data!G1648-Data!F1648</f>
        <v>1</v>
      </c>
      <c r="F1648" s="52">
        <f>IF(Data!J1648&lt;=5,Data!J1648,IF(Data!J1648&lt;=10,"6 TO 10","More than 10"))</f>
        <v>3</v>
      </c>
      <c r="G1648" s="52">
        <f t="shared" si="25"/>
        <v>1</v>
      </c>
      <c r="H1648" s="52">
        <f>ROUND(Data!C1648*Data!D1648-Data!E1648,2)</f>
        <v>0</v>
      </c>
      <c r="I1648" s="52">
        <f>IF(AND(OR(Sel_Mode="All",Data!I1648=Sel_Mode),OR(Sel_Gender="All",D1648=Sel_Gender),OR(Sel_Category="All",Data!B1648=Sel_Category),OR(Sel_Month="All",C1648=Sel_Month),OR(Sel_County="All",Data!L1648=Sel_County)),1,0)</f>
        <v>1</v>
      </c>
    </row>
    <row r="1649" spans="1:9" x14ac:dyDescent="0.25">
      <c r="A1649" s="52" t="str">
        <f>Data!A1649</f>
        <v>TX501648</v>
      </c>
      <c r="B1649" s="52">
        <f>MONTH(Data!F1649)</f>
        <v>3</v>
      </c>
      <c r="C1649" s="52" t="str">
        <f>TEXT(Data!F1649,"mmm")</f>
        <v>Mar</v>
      </c>
      <c r="D1649" s="52" t="str">
        <f>Data!O1649</f>
        <v>Male</v>
      </c>
      <c r="E1649" s="52">
        <f>Data!G1649-Data!F1649</f>
        <v>2</v>
      </c>
      <c r="F1649" s="52">
        <f>IF(Data!J1649&lt;=5,Data!J1649,IF(Data!J1649&lt;=10,"6 TO 10","More than 10"))</f>
        <v>5</v>
      </c>
      <c r="G1649" s="52">
        <f t="shared" si="25"/>
        <v>2</v>
      </c>
      <c r="H1649" s="52">
        <f>ROUND(Data!C1649*Data!D1649-Data!E1649,2)</f>
        <v>0</v>
      </c>
      <c r="I1649" s="52">
        <f>IF(AND(OR(Sel_Mode="All",Data!I1649=Sel_Mode),OR(Sel_Gender="All",D1649=Sel_Gender),OR(Sel_Category="All",Data!B1649=Sel_Category),OR(Sel_Month="All",C1649=Sel_Month),OR(Sel_County="All",Data!L1649=Sel_County)),1,0)</f>
        <v>1</v>
      </c>
    </row>
    <row r="1650" spans="1:9" x14ac:dyDescent="0.25">
      <c r="A1650" s="52" t="str">
        <f>Data!A1650</f>
        <v>TX501649</v>
      </c>
      <c r="B1650" s="52">
        <f>MONTH(Data!F1650)</f>
        <v>3</v>
      </c>
      <c r="C1650" s="52" t="str">
        <f>TEXT(Data!F1650,"mmm")</f>
        <v>Mar</v>
      </c>
      <c r="D1650" s="52" t="str">
        <f>Data!O1650</f>
        <v>Female</v>
      </c>
      <c r="E1650" s="52">
        <f>Data!G1650-Data!F1650</f>
        <v>1</v>
      </c>
      <c r="F1650" s="52">
        <f>IF(Data!J1650&lt;=5,Data!J1650,IF(Data!J1650&lt;=10,"6 TO 10","More than 10"))</f>
        <v>3</v>
      </c>
      <c r="G1650" s="52">
        <f t="shared" si="25"/>
        <v>1</v>
      </c>
      <c r="H1650" s="52">
        <f>ROUND(Data!C1650*Data!D1650-Data!E1650,2)</f>
        <v>0</v>
      </c>
      <c r="I1650" s="52">
        <f>IF(AND(OR(Sel_Mode="All",Data!I1650=Sel_Mode),OR(Sel_Gender="All",D1650=Sel_Gender),OR(Sel_Category="All",Data!B1650=Sel_Category),OR(Sel_Month="All",C1650=Sel_Month),OR(Sel_County="All",Data!L1650=Sel_County)),1,0)</f>
        <v>1</v>
      </c>
    </row>
    <row r="1651" spans="1:9" x14ac:dyDescent="0.25">
      <c r="A1651" s="52" t="str">
        <f>Data!A1651</f>
        <v>TX501650</v>
      </c>
      <c r="B1651" s="52">
        <f>MONTH(Data!F1651)</f>
        <v>3</v>
      </c>
      <c r="C1651" s="52" t="str">
        <f>TEXT(Data!F1651,"mmm")</f>
        <v>Mar</v>
      </c>
      <c r="D1651" s="52" t="str">
        <f>Data!O1651</f>
        <v>Female</v>
      </c>
      <c r="E1651" s="52">
        <f>Data!G1651-Data!F1651</f>
        <v>3</v>
      </c>
      <c r="F1651" s="52">
        <f>IF(Data!J1651&lt;=5,Data!J1651,IF(Data!J1651&lt;=10,"6 TO 10","More than 10"))</f>
        <v>4</v>
      </c>
      <c r="G1651" s="52">
        <f t="shared" si="25"/>
        <v>3</v>
      </c>
      <c r="H1651" s="52">
        <f>ROUND(Data!C1651*Data!D1651-Data!E1651,2)</f>
        <v>0</v>
      </c>
      <c r="I1651" s="52">
        <f>IF(AND(OR(Sel_Mode="All",Data!I1651=Sel_Mode),OR(Sel_Gender="All",D1651=Sel_Gender),OR(Sel_Category="All",Data!B1651=Sel_Category),OR(Sel_Month="All",C1651=Sel_Month),OR(Sel_County="All",Data!L1651=Sel_County)),1,0)</f>
        <v>1</v>
      </c>
    </row>
    <row r="1652" spans="1:9" x14ac:dyDescent="0.25">
      <c r="A1652" s="52" t="str">
        <f>Data!A1652</f>
        <v>TX501651</v>
      </c>
      <c r="B1652" s="52">
        <f>MONTH(Data!F1652)</f>
        <v>3</v>
      </c>
      <c r="C1652" s="52" t="str">
        <f>TEXT(Data!F1652,"mmm")</f>
        <v>Mar</v>
      </c>
      <c r="D1652" s="52" t="str">
        <f>Data!O1652</f>
        <v>Female</v>
      </c>
      <c r="E1652" s="52">
        <f>Data!G1652-Data!F1652</f>
        <v>2</v>
      </c>
      <c r="F1652" s="52">
        <f>IF(Data!J1652&lt;=5,Data!J1652,IF(Data!J1652&lt;=10,"6 TO 10","More than 10"))</f>
        <v>5</v>
      </c>
      <c r="G1652" s="52">
        <f t="shared" si="25"/>
        <v>2</v>
      </c>
      <c r="H1652" s="52">
        <f>ROUND(Data!C1652*Data!D1652-Data!E1652,2)</f>
        <v>0</v>
      </c>
      <c r="I1652" s="52">
        <f>IF(AND(OR(Sel_Mode="All",Data!I1652=Sel_Mode),OR(Sel_Gender="All",D1652=Sel_Gender),OR(Sel_Category="All",Data!B1652=Sel_Category),OR(Sel_Month="All",C1652=Sel_Month),OR(Sel_County="All",Data!L1652=Sel_County)),1,0)</f>
        <v>1</v>
      </c>
    </row>
    <row r="1653" spans="1:9" x14ac:dyDescent="0.25">
      <c r="A1653" s="52" t="str">
        <f>Data!A1653</f>
        <v>TX501652</v>
      </c>
      <c r="B1653" s="52">
        <f>MONTH(Data!F1653)</f>
        <v>3</v>
      </c>
      <c r="C1653" s="52" t="str">
        <f>TEXT(Data!F1653,"mmm")</f>
        <v>Mar</v>
      </c>
      <c r="D1653" s="52" t="str">
        <f>Data!O1653</f>
        <v>Female</v>
      </c>
      <c r="E1653" s="52">
        <f>Data!G1653-Data!F1653</f>
        <v>1</v>
      </c>
      <c r="F1653" s="52">
        <f>IF(Data!J1653&lt;=5,Data!J1653,IF(Data!J1653&lt;=10,"6 TO 10","More than 10"))</f>
        <v>5</v>
      </c>
      <c r="G1653" s="52">
        <f t="shared" si="25"/>
        <v>1</v>
      </c>
      <c r="H1653" s="52">
        <f>ROUND(Data!C1653*Data!D1653-Data!E1653,2)</f>
        <v>0</v>
      </c>
      <c r="I1653" s="52">
        <f>IF(AND(OR(Sel_Mode="All",Data!I1653=Sel_Mode),OR(Sel_Gender="All",D1653=Sel_Gender),OR(Sel_Category="All",Data!B1653=Sel_Category),OR(Sel_Month="All",C1653=Sel_Month),OR(Sel_County="All",Data!L1653=Sel_County)),1,0)</f>
        <v>1</v>
      </c>
    </row>
    <row r="1654" spans="1:9" x14ac:dyDescent="0.25">
      <c r="A1654" s="52" t="str">
        <f>Data!A1654</f>
        <v>TX501653</v>
      </c>
      <c r="B1654" s="52">
        <f>MONTH(Data!F1654)</f>
        <v>3</v>
      </c>
      <c r="C1654" s="52" t="str">
        <f>TEXT(Data!F1654,"mmm")</f>
        <v>Mar</v>
      </c>
      <c r="D1654" s="52" t="str">
        <f>Data!O1654</f>
        <v>Male</v>
      </c>
      <c r="E1654" s="52">
        <f>Data!G1654-Data!F1654</f>
        <v>3</v>
      </c>
      <c r="F1654" s="52">
        <f>IF(Data!J1654&lt;=5,Data!J1654,IF(Data!J1654&lt;=10,"6 TO 10","More than 10"))</f>
        <v>5</v>
      </c>
      <c r="G1654" s="52">
        <f t="shared" si="25"/>
        <v>3</v>
      </c>
      <c r="H1654" s="52">
        <f>ROUND(Data!C1654*Data!D1654-Data!E1654,2)</f>
        <v>0</v>
      </c>
      <c r="I1654" s="52">
        <f>IF(AND(OR(Sel_Mode="All",Data!I1654=Sel_Mode),OR(Sel_Gender="All",D1654=Sel_Gender),OR(Sel_Category="All",Data!B1654=Sel_Category),OR(Sel_Month="All",C1654=Sel_Month),OR(Sel_County="All",Data!L1654=Sel_County)),1,0)</f>
        <v>1</v>
      </c>
    </row>
    <row r="1655" spans="1:9" x14ac:dyDescent="0.25">
      <c r="A1655" s="52" t="str">
        <f>Data!A1655</f>
        <v>TX501654</v>
      </c>
      <c r="B1655" s="52">
        <f>MONTH(Data!F1655)</f>
        <v>3</v>
      </c>
      <c r="C1655" s="52" t="str">
        <f>TEXT(Data!F1655,"mmm")</f>
        <v>Mar</v>
      </c>
      <c r="D1655" s="52" t="str">
        <f>Data!O1655</f>
        <v>Female</v>
      </c>
      <c r="E1655" s="52">
        <f>Data!G1655-Data!F1655</f>
        <v>3</v>
      </c>
      <c r="F1655" s="52">
        <f>IF(Data!J1655&lt;=5,Data!J1655,IF(Data!J1655&lt;=10,"6 TO 10","More than 10"))</f>
        <v>4</v>
      </c>
      <c r="G1655" s="52">
        <f t="shared" si="25"/>
        <v>3</v>
      </c>
      <c r="H1655" s="52">
        <f>ROUND(Data!C1655*Data!D1655-Data!E1655,2)</f>
        <v>0</v>
      </c>
      <c r="I1655" s="52">
        <f>IF(AND(OR(Sel_Mode="All",Data!I1655=Sel_Mode),OR(Sel_Gender="All",D1655=Sel_Gender),OR(Sel_Category="All",Data!B1655=Sel_Category),OR(Sel_Month="All",C1655=Sel_Month),OR(Sel_County="All",Data!L1655=Sel_County)),1,0)</f>
        <v>1</v>
      </c>
    </row>
    <row r="1656" spans="1:9" x14ac:dyDescent="0.25">
      <c r="A1656" s="52" t="str">
        <f>Data!A1656</f>
        <v>TX501655</v>
      </c>
      <c r="B1656" s="52">
        <f>MONTH(Data!F1656)</f>
        <v>3</v>
      </c>
      <c r="C1656" s="52" t="str">
        <f>TEXT(Data!F1656,"mmm")</f>
        <v>Mar</v>
      </c>
      <c r="D1656" s="52" t="str">
        <f>Data!O1656</f>
        <v>Male</v>
      </c>
      <c r="E1656" s="52">
        <f>Data!G1656-Data!F1656</f>
        <v>3</v>
      </c>
      <c r="F1656" s="52">
        <f>IF(Data!J1656&lt;=5,Data!J1656,IF(Data!J1656&lt;=10,"6 TO 10","More than 10"))</f>
        <v>4</v>
      </c>
      <c r="G1656" s="52">
        <f t="shared" si="25"/>
        <v>3</v>
      </c>
      <c r="H1656" s="52">
        <f>ROUND(Data!C1656*Data!D1656-Data!E1656,2)</f>
        <v>0</v>
      </c>
      <c r="I1656" s="52">
        <f>IF(AND(OR(Sel_Mode="All",Data!I1656=Sel_Mode),OR(Sel_Gender="All",D1656=Sel_Gender),OR(Sel_Category="All",Data!B1656=Sel_Category),OR(Sel_Month="All",C1656=Sel_Month),OR(Sel_County="All",Data!L1656=Sel_County)),1,0)</f>
        <v>1</v>
      </c>
    </row>
    <row r="1657" spans="1:9" x14ac:dyDescent="0.25">
      <c r="A1657" s="52" t="str">
        <f>Data!A1657</f>
        <v>TX501656</v>
      </c>
      <c r="B1657" s="52">
        <f>MONTH(Data!F1657)</f>
        <v>3</v>
      </c>
      <c r="C1657" s="52" t="str">
        <f>TEXT(Data!F1657,"mmm")</f>
        <v>Mar</v>
      </c>
      <c r="D1657" s="52" t="str">
        <f>Data!O1657</f>
        <v>Female</v>
      </c>
      <c r="E1657" s="52">
        <f>Data!G1657-Data!F1657</f>
        <v>3</v>
      </c>
      <c r="F1657" s="52">
        <f>IF(Data!J1657&lt;=5,Data!J1657,IF(Data!J1657&lt;=10,"6 TO 10","More than 10"))</f>
        <v>4</v>
      </c>
      <c r="G1657" s="52">
        <f t="shared" si="25"/>
        <v>3</v>
      </c>
      <c r="H1657" s="52">
        <f>ROUND(Data!C1657*Data!D1657-Data!E1657,2)</f>
        <v>0</v>
      </c>
      <c r="I1657" s="52">
        <f>IF(AND(OR(Sel_Mode="All",Data!I1657=Sel_Mode),OR(Sel_Gender="All",D1657=Sel_Gender),OR(Sel_Category="All",Data!B1657=Sel_Category),OR(Sel_Month="All",C1657=Sel_Month),OR(Sel_County="All",Data!L1657=Sel_County)),1,0)</f>
        <v>1</v>
      </c>
    </row>
    <row r="1658" spans="1:9" x14ac:dyDescent="0.25">
      <c r="A1658" s="52" t="str">
        <f>Data!A1658</f>
        <v>TX501657</v>
      </c>
      <c r="B1658" s="52">
        <f>MONTH(Data!F1658)</f>
        <v>3</v>
      </c>
      <c r="C1658" s="52" t="str">
        <f>TEXT(Data!F1658,"mmm")</f>
        <v>Mar</v>
      </c>
      <c r="D1658" s="52" t="str">
        <f>Data!O1658</f>
        <v>Male</v>
      </c>
      <c r="E1658" s="52">
        <f>Data!G1658-Data!F1658</f>
        <v>3</v>
      </c>
      <c r="F1658" s="52">
        <f>IF(Data!J1658&lt;=5,Data!J1658,IF(Data!J1658&lt;=10,"6 TO 10","More than 10"))</f>
        <v>5</v>
      </c>
      <c r="G1658" s="52">
        <f t="shared" si="25"/>
        <v>3</v>
      </c>
      <c r="H1658" s="52">
        <f>ROUND(Data!C1658*Data!D1658-Data!E1658,2)</f>
        <v>0</v>
      </c>
      <c r="I1658" s="52">
        <f>IF(AND(OR(Sel_Mode="All",Data!I1658=Sel_Mode),OR(Sel_Gender="All",D1658=Sel_Gender),OR(Sel_Category="All",Data!B1658=Sel_Category),OR(Sel_Month="All",C1658=Sel_Month),OR(Sel_County="All",Data!L1658=Sel_County)),1,0)</f>
        <v>1</v>
      </c>
    </row>
    <row r="1659" spans="1:9" x14ac:dyDescent="0.25">
      <c r="A1659" s="52" t="str">
        <f>Data!A1659</f>
        <v>TX501658</v>
      </c>
      <c r="B1659" s="52">
        <f>MONTH(Data!F1659)</f>
        <v>3</v>
      </c>
      <c r="C1659" s="52" t="str">
        <f>TEXT(Data!F1659,"mmm")</f>
        <v>Mar</v>
      </c>
      <c r="D1659" s="52" t="str">
        <f>Data!O1659</f>
        <v>Female</v>
      </c>
      <c r="E1659" s="52">
        <f>Data!G1659-Data!F1659</f>
        <v>1</v>
      </c>
      <c r="F1659" s="52">
        <f>IF(Data!J1659&lt;=5,Data!J1659,IF(Data!J1659&lt;=10,"6 TO 10","More than 10"))</f>
        <v>4</v>
      </c>
      <c r="G1659" s="52">
        <f t="shared" si="25"/>
        <v>1</v>
      </c>
      <c r="H1659" s="52">
        <f>ROUND(Data!C1659*Data!D1659-Data!E1659,2)</f>
        <v>0</v>
      </c>
      <c r="I1659" s="52">
        <f>IF(AND(OR(Sel_Mode="All",Data!I1659=Sel_Mode),OR(Sel_Gender="All",D1659=Sel_Gender),OR(Sel_Category="All",Data!B1659=Sel_Category),OR(Sel_Month="All",C1659=Sel_Month),OR(Sel_County="All",Data!L1659=Sel_County)),1,0)</f>
        <v>1</v>
      </c>
    </row>
    <row r="1660" spans="1:9" x14ac:dyDescent="0.25">
      <c r="A1660" s="52" t="str">
        <f>Data!A1660</f>
        <v>TX501659</v>
      </c>
      <c r="B1660" s="52">
        <f>MONTH(Data!F1660)</f>
        <v>3</v>
      </c>
      <c r="C1660" s="52" t="str">
        <f>TEXT(Data!F1660,"mmm")</f>
        <v>Mar</v>
      </c>
      <c r="D1660" s="52" t="str">
        <f>Data!O1660</f>
        <v>Male</v>
      </c>
      <c r="E1660" s="52">
        <f>Data!G1660-Data!F1660</f>
        <v>3</v>
      </c>
      <c r="F1660" s="52">
        <f>IF(Data!J1660&lt;=5,Data!J1660,IF(Data!J1660&lt;=10,"6 TO 10","More than 10"))</f>
        <v>5</v>
      </c>
      <c r="G1660" s="52">
        <f t="shared" si="25"/>
        <v>3</v>
      </c>
      <c r="H1660" s="52">
        <f>ROUND(Data!C1660*Data!D1660-Data!E1660,2)</f>
        <v>0</v>
      </c>
      <c r="I1660" s="52">
        <f>IF(AND(OR(Sel_Mode="All",Data!I1660=Sel_Mode),OR(Sel_Gender="All",D1660=Sel_Gender),OR(Sel_Category="All",Data!B1660=Sel_Category),OR(Sel_Month="All",C1660=Sel_Month),OR(Sel_County="All",Data!L1660=Sel_County)),1,0)</f>
        <v>1</v>
      </c>
    </row>
    <row r="1661" spans="1:9" x14ac:dyDescent="0.25">
      <c r="A1661" s="52" t="str">
        <f>Data!A1661</f>
        <v>TX501660</v>
      </c>
      <c r="B1661" s="52">
        <f>MONTH(Data!F1661)</f>
        <v>3</v>
      </c>
      <c r="C1661" s="52" t="str">
        <f>TEXT(Data!F1661,"mmm")</f>
        <v>Mar</v>
      </c>
      <c r="D1661" s="52" t="str">
        <f>Data!O1661</f>
        <v>Female</v>
      </c>
      <c r="E1661" s="52">
        <f>Data!G1661-Data!F1661</f>
        <v>3</v>
      </c>
      <c r="F1661" s="52">
        <f>IF(Data!J1661&lt;=5,Data!J1661,IF(Data!J1661&lt;=10,"6 TO 10","More than 10"))</f>
        <v>5</v>
      </c>
      <c r="G1661" s="52">
        <f t="shared" si="25"/>
        <v>3</v>
      </c>
      <c r="H1661" s="52">
        <f>ROUND(Data!C1661*Data!D1661-Data!E1661,2)</f>
        <v>0</v>
      </c>
      <c r="I1661" s="52">
        <f>IF(AND(OR(Sel_Mode="All",Data!I1661=Sel_Mode),OR(Sel_Gender="All",D1661=Sel_Gender),OR(Sel_Category="All",Data!B1661=Sel_Category),OR(Sel_Month="All",C1661=Sel_Month),OR(Sel_County="All",Data!L1661=Sel_County)),1,0)</f>
        <v>1</v>
      </c>
    </row>
    <row r="1662" spans="1:9" x14ac:dyDescent="0.25">
      <c r="A1662" s="52" t="str">
        <f>Data!A1662</f>
        <v>TX501661</v>
      </c>
      <c r="B1662" s="52">
        <f>MONTH(Data!F1662)</f>
        <v>3</v>
      </c>
      <c r="C1662" s="52" t="str">
        <f>TEXT(Data!F1662,"mmm")</f>
        <v>Mar</v>
      </c>
      <c r="D1662" s="52" t="str">
        <f>Data!O1662</f>
        <v>Female</v>
      </c>
      <c r="E1662" s="52">
        <f>Data!G1662-Data!F1662</f>
        <v>5</v>
      </c>
      <c r="F1662" s="52">
        <f>IF(Data!J1662&lt;=5,Data!J1662,IF(Data!J1662&lt;=10,"6 TO 10","More than 10"))</f>
        <v>5</v>
      </c>
      <c r="G1662" s="52">
        <f t="shared" si="25"/>
        <v>5</v>
      </c>
      <c r="H1662" s="52">
        <f>ROUND(Data!C1662*Data!D1662-Data!E1662,2)</f>
        <v>0</v>
      </c>
      <c r="I1662" s="52">
        <f>IF(AND(OR(Sel_Mode="All",Data!I1662=Sel_Mode),OR(Sel_Gender="All",D1662=Sel_Gender),OR(Sel_Category="All",Data!B1662=Sel_Category),OR(Sel_Month="All",C1662=Sel_Month),OR(Sel_County="All",Data!L1662=Sel_County)),1,0)</f>
        <v>1</v>
      </c>
    </row>
    <row r="1663" spans="1:9" x14ac:dyDescent="0.25">
      <c r="A1663" s="52" t="str">
        <f>Data!A1663</f>
        <v>TX501662</v>
      </c>
      <c r="B1663" s="52">
        <f>MONTH(Data!F1663)</f>
        <v>3</v>
      </c>
      <c r="C1663" s="52" t="str">
        <f>TEXT(Data!F1663,"mmm")</f>
        <v>Mar</v>
      </c>
      <c r="D1663" s="52" t="str">
        <f>Data!O1663</f>
        <v>Male</v>
      </c>
      <c r="E1663" s="52">
        <f>Data!G1663-Data!F1663</f>
        <v>3</v>
      </c>
      <c r="F1663" s="52">
        <f>IF(Data!J1663&lt;=5,Data!J1663,IF(Data!J1663&lt;=10,"6 TO 10","More than 10"))</f>
        <v>4</v>
      </c>
      <c r="G1663" s="52">
        <f t="shared" si="25"/>
        <v>3</v>
      </c>
      <c r="H1663" s="52">
        <f>ROUND(Data!C1663*Data!D1663-Data!E1663,2)</f>
        <v>0</v>
      </c>
      <c r="I1663" s="52">
        <f>IF(AND(OR(Sel_Mode="All",Data!I1663=Sel_Mode),OR(Sel_Gender="All",D1663=Sel_Gender),OR(Sel_Category="All",Data!B1663=Sel_Category),OR(Sel_Month="All",C1663=Sel_Month),OR(Sel_County="All",Data!L1663=Sel_County)),1,0)</f>
        <v>1</v>
      </c>
    </row>
    <row r="1664" spans="1:9" x14ac:dyDescent="0.25">
      <c r="A1664" s="52" t="str">
        <f>Data!A1664</f>
        <v>TX501663</v>
      </c>
      <c r="B1664" s="52">
        <f>MONTH(Data!F1664)</f>
        <v>3</v>
      </c>
      <c r="C1664" s="52" t="str">
        <f>TEXT(Data!F1664,"mmm")</f>
        <v>Mar</v>
      </c>
      <c r="D1664" s="52" t="str">
        <f>Data!O1664</f>
        <v>Male</v>
      </c>
      <c r="E1664" s="52">
        <f>Data!G1664-Data!F1664</f>
        <v>8</v>
      </c>
      <c r="F1664" s="52">
        <f>IF(Data!J1664&lt;=5,Data!J1664,IF(Data!J1664&lt;=10,"6 TO 10","More than 10"))</f>
        <v>5</v>
      </c>
      <c r="G1664" s="52" t="str">
        <f t="shared" si="25"/>
        <v>8+</v>
      </c>
      <c r="H1664" s="52">
        <f>ROUND(Data!C1664*Data!D1664-Data!E1664,2)</f>
        <v>0</v>
      </c>
      <c r="I1664" s="52">
        <f>IF(AND(OR(Sel_Mode="All",Data!I1664=Sel_Mode),OR(Sel_Gender="All",D1664=Sel_Gender),OR(Sel_Category="All",Data!B1664=Sel_Category),OR(Sel_Month="All",C1664=Sel_Month),OR(Sel_County="All",Data!L1664=Sel_County)),1,0)</f>
        <v>1</v>
      </c>
    </row>
    <row r="1665" spans="1:9" x14ac:dyDescent="0.25">
      <c r="A1665" s="52" t="str">
        <f>Data!A1665</f>
        <v>TX501664</v>
      </c>
      <c r="B1665" s="52">
        <f>MONTH(Data!F1665)</f>
        <v>3</v>
      </c>
      <c r="C1665" s="52" t="str">
        <f>TEXT(Data!F1665,"mmm")</f>
        <v>Mar</v>
      </c>
      <c r="D1665" s="52" t="str">
        <f>Data!O1665</f>
        <v>Female</v>
      </c>
      <c r="E1665" s="52">
        <f>Data!G1665-Data!F1665</f>
        <v>1</v>
      </c>
      <c r="F1665" s="52">
        <f>IF(Data!J1665&lt;=5,Data!J1665,IF(Data!J1665&lt;=10,"6 TO 10","More than 10"))</f>
        <v>4</v>
      </c>
      <c r="G1665" s="52">
        <f t="shared" si="25"/>
        <v>1</v>
      </c>
      <c r="H1665" s="52">
        <f>ROUND(Data!C1665*Data!D1665-Data!E1665,2)</f>
        <v>0</v>
      </c>
      <c r="I1665" s="52">
        <f>IF(AND(OR(Sel_Mode="All",Data!I1665=Sel_Mode),OR(Sel_Gender="All",D1665=Sel_Gender),OR(Sel_Category="All",Data!B1665=Sel_Category),OR(Sel_Month="All",C1665=Sel_Month),OR(Sel_County="All",Data!L1665=Sel_County)),1,0)</f>
        <v>1</v>
      </c>
    </row>
    <row r="1666" spans="1:9" x14ac:dyDescent="0.25">
      <c r="A1666" s="52" t="str">
        <f>Data!A1666</f>
        <v>TX501665</v>
      </c>
      <c r="B1666" s="52">
        <f>MONTH(Data!F1666)</f>
        <v>3</v>
      </c>
      <c r="C1666" s="52" t="str">
        <f>TEXT(Data!F1666,"mmm")</f>
        <v>Mar</v>
      </c>
      <c r="D1666" s="52" t="str">
        <f>Data!O1666</f>
        <v>Female</v>
      </c>
      <c r="E1666" s="52">
        <f>Data!G1666-Data!F1666</f>
        <v>1</v>
      </c>
      <c r="F1666" s="52">
        <f>IF(Data!J1666&lt;=5,Data!J1666,IF(Data!J1666&lt;=10,"6 TO 10","More than 10"))</f>
        <v>2</v>
      </c>
      <c r="G1666" s="52">
        <f t="shared" ref="G1666:G1729" si="26">IF(E1666&gt;=8,"8+",E1666)</f>
        <v>1</v>
      </c>
      <c r="H1666" s="52">
        <f>ROUND(Data!C1666*Data!D1666-Data!E1666,2)</f>
        <v>0</v>
      </c>
      <c r="I1666" s="52">
        <f>IF(AND(OR(Sel_Mode="All",Data!I1666=Sel_Mode),OR(Sel_Gender="All",D1666=Sel_Gender),OR(Sel_Category="All",Data!B1666=Sel_Category),OR(Sel_Month="All",C1666=Sel_Month),OR(Sel_County="All",Data!L1666=Sel_County)),1,0)</f>
        <v>1</v>
      </c>
    </row>
    <row r="1667" spans="1:9" x14ac:dyDescent="0.25">
      <c r="A1667" s="52" t="str">
        <f>Data!A1667</f>
        <v>TX501666</v>
      </c>
      <c r="B1667" s="52">
        <f>MONTH(Data!F1667)</f>
        <v>3</v>
      </c>
      <c r="C1667" s="52" t="str">
        <f>TEXT(Data!F1667,"mmm")</f>
        <v>Mar</v>
      </c>
      <c r="D1667" s="52" t="str">
        <f>Data!O1667</f>
        <v>Female</v>
      </c>
      <c r="E1667" s="52">
        <f>Data!G1667-Data!F1667</f>
        <v>1</v>
      </c>
      <c r="F1667" s="52">
        <f>IF(Data!J1667&lt;=5,Data!J1667,IF(Data!J1667&lt;=10,"6 TO 10","More than 10"))</f>
        <v>4</v>
      </c>
      <c r="G1667" s="52">
        <f t="shared" si="26"/>
        <v>1</v>
      </c>
      <c r="H1667" s="52">
        <f>ROUND(Data!C1667*Data!D1667-Data!E1667,2)</f>
        <v>0</v>
      </c>
      <c r="I1667" s="52">
        <f>IF(AND(OR(Sel_Mode="All",Data!I1667=Sel_Mode),OR(Sel_Gender="All",D1667=Sel_Gender),OR(Sel_Category="All",Data!B1667=Sel_Category),OR(Sel_Month="All",C1667=Sel_Month),OR(Sel_County="All",Data!L1667=Sel_County)),1,0)</f>
        <v>1</v>
      </c>
    </row>
    <row r="1668" spans="1:9" x14ac:dyDescent="0.25">
      <c r="A1668" s="52" t="str">
        <f>Data!A1668</f>
        <v>TX501667</v>
      </c>
      <c r="B1668" s="52">
        <f>MONTH(Data!F1668)</f>
        <v>3</v>
      </c>
      <c r="C1668" s="52" t="str">
        <f>TEXT(Data!F1668,"mmm")</f>
        <v>Mar</v>
      </c>
      <c r="D1668" s="52" t="str">
        <f>Data!O1668</f>
        <v>Female</v>
      </c>
      <c r="E1668" s="52">
        <f>Data!G1668-Data!F1668</f>
        <v>1</v>
      </c>
      <c r="F1668" s="52">
        <f>IF(Data!J1668&lt;=5,Data!J1668,IF(Data!J1668&lt;=10,"6 TO 10","More than 10"))</f>
        <v>5</v>
      </c>
      <c r="G1668" s="52">
        <f t="shared" si="26"/>
        <v>1</v>
      </c>
      <c r="H1668" s="52">
        <f>ROUND(Data!C1668*Data!D1668-Data!E1668,2)</f>
        <v>0</v>
      </c>
      <c r="I1668" s="52">
        <f>IF(AND(OR(Sel_Mode="All",Data!I1668=Sel_Mode),OR(Sel_Gender="All",D1668=Sel_Gender),OR(Sel_Category="All",Data!B1668=Sel_Category),OR(Sel_Month="All",C1668=Sel_Month),OR(Sel_County="All",Data!L1668=Sel_County)),1,0)</f>
        <v>1</v>
      </c>
    </row>
    <row r="1669" spans="1:9" x14ac:dyDescent="0.25">
      <c r="A1669" s="52" t="str">
        <f>Data!A1669</f>
        <v>TX501668</v>
      </c>
      <c r="B1669" s="52">
        <f>MONTH(Data!F1669)</f>
        <v>3</v>
      </c>
      <c r="C1669" s="52" t="str">
        <f>TEXT(Data!F1669,"mmm")</f>
        <v>Mar</v>
      </c>
      <c r="D1669" s="52" t="str">
        <f>Data!O1669</f>
        <v>Female</v>
      </c>
      <c r="E1669" s="52">
        <f>Data!G1669-Data!F1669</f>
        <v>3</v>
      </c>
      <c r="F1669" s="52">
        <f>IF(Data!J1669&lt;=5,Data!J1669,IF(Data!J1669&lt;=10,"6 TO 10","More than 10"))</f>
        <v>5</v>
      </c>
      <c r="G1669" s="52">
        <f t="shared" si="26"/>
        <v>3</v>
      </c>
      <c r="H1669" s="52">
        <f>ROUND(Data!C1669*Data!D1669-Data!E1669,2)</f>
        <v>0</v>
      </c>
      <c r="I1669" s="52">
        <f>IF(AND(OR(Sel_Mode="All",Data!I1669=Sel_Mode),OR(Sel_Gender="All",D1669=Sel_Gender),OR(Sel_Category="All",Data!B1669=Sel_Category),OR(Sel_Month="All",C1669=Sel_Month),OR(Sel_County="All",Data!L1669=Sel_County)),1,0)</f>
        <v>1</v>
      </c>
    </row>
    <row r="1670" spans="1:9" x14ac:dyDescent="0.25">
      <c r="A1670" s="52" t="str">
        <f>Data!A1670</f>
        <v>TX501669</v>
      </c>
      <c r="B1670" s="52">
        <f>MONTH(Data!F1670)</f>
        <v>3</v>
      </c>
      <c r="C1670" s="52" t="str">
        <f>TEXT(Data!F1670,"mmm")</f>
        <v>Mar</v>
      </c>
      <c r="D1670" s="52" t="str">
        <f>Data!O1670</f>
        <v>Male</v>
      </c>
      <c r="E1670" s="52">
        <f>Data!G1670-Data!F1670</f>
        <v>3</v>
      </c>
      <c r="F1670" s="52">
        <f>IF(Data!J1670&lt;=5,Data!J1670,IF(Data!J1670&lt;=10,"6 TO 10","More than 10"))</f>
        <v>4</v>
      </c>
      <c r="G1670" s="52">
        <f t="shared" si="26"/>
        <v>3</v>
      </c>
      <c r="H1670" s="52">
        <f>ROUND(Data!C1670*Data!D1670-Data!E1670,2)</f>
        <v>0</v>
      </c>
      <c r="I1670" s="52">
        <f>IF(AND(OR(Sel_Mode="All",Data!I1670=Sel_Mode),OR(Sel_Gender="All",D1670=Sel_Gender),OR(Sel_Category="All",Data!B1670=Sel_Category),OR(Sel_Month="All",C1670=Sel_Month),OR(Sel_County="All",Data!L1670=Sel_County)),1,0)</f>
        <v>1</v>
      </c>
    </row>
    <row r="1671" spans="1:9" x14ac:dyDescent="0.25">
      <c r="A1671" s="52" t="str">
        <f>Data!A1671</f>
        <v>TX501670</v>
      </c>
      <c r="B1671" s="52">
        <f>MONTH(Data!F1671)</f>
        <v>3</v>
      </c>
      <c r="C1671" s="52" t="str">
        <f>TEXT(Data!F1671,"mmm")</f>
        <v>Mar</v>
      </c>
      <c r="D1671" s="52" t="str">
        <f>Data!O1671</f>
        <v>Male</v>
      </c>
      <c r="E1671" s="52">
        <f>Data!G1671-Data!F1671</f>
        <v>4</v>
      </c>
      <c r="F1671" s="52">
        <f>IF(Data!J1671&lt;=5,Data!J1671,IF(Data!J1671&lt;=10,"6 TO 10","More than 10"))</f>
        <v>3</v>
      </c>
      <c r="G1671" s="52">
        <f t="shared" si="26"/>
        <v>4</v>
      </c>
      <c r="H1671" s="52">
        <f>ROUND(Data!C1671*Data!D1671-Data!E1671,2)</f>
        <v>0</v>
      </c>
      <c r="I1671" s="52">
        <f>IF(AND(OR(Sel_Mode="All",Data!I1671=Sel_Mode),OR(Sel_Gender="All",D1671=Sel_Gender),OR(Sel_Category="All",Data!B1671=Sel_Category),OR(Sel_Month="All",C1671=Sel_Month),OR(Sel_County="All",Data!L1671=Sel_County)),1,0)</f>
        <v>1</v>
      </c>
    </row>
    <row r="1672" spans="1:9" x14ac:dyDescent="0.25">
      <c r="A1672" s="52" t="str">
        <f>Data!A1672</f>
        <v>TX501671</v>
      </c>
      <c r="B1672" s="52">
        <f>MONTH(Data!F1672)</f>
        <v>3</v>
      </c>
      <c r="C1672" s="52" t="str">
        <f>TEXT(Data!F1672,"mmm")</f>
        <v>Mar</v>
      </c>
      <c r="D1672" s="52" t="str">
        <f>Data!O1672</f>
        <v>Female</v>
      </c>
      <c r="E1672" s="52">
        <f>Data!G1672-Data!F1672</f>
        <v>1</v>
      </c>
      <c r="F1672" s="52">
        <f>IF(Data!J1672&lt;=5,Data!J1672,IF(Data!J1672&lt;=10,"6 TO 10","More than 10"))</f>
        <v>4</v>
      </c>
      <c r="G1672" s="52">
        <f t="shared" si="26"/>
        <v>1</v>
      </c>
      <c r="H1672" s="52">
        <f>ROUND(Data!C1672*Data!D1672-Data!E1672,2)</f>
        <v>0</v>
      </c>
      <c r="I1672" s="52">
        <f>IF(AND(OR(Sel_Mode="All",Data!I1672=Sel_Mode),OR(Sel_Gender="All",D1672=Sel_Gender),OR(Sel_Category="All",Data!B1672=Sel_Category),OR(Sel_Month="All",C1672=Sel_Month),OR(Sel_County="All",Data!L1672=Sel_County)),1,0)</f>
        <v>1</v>
      </c>
    </row>
    <row r="1673" spans="1:9" x14ac:dyDescent="0.25">
      <c r="A1673" s="52" t="str">
        <f>Data!A1673</f>
        <v>TX501672</v>
      </c>
      <c r="B1673" s="52">
        <f>MONTH(Data!F1673)</f>
        <v>3</v>
      </c>
      <c r="C1673" s="52" t="str">
        <f>TEXT(Data!F1673,"mmm")</f>
        <v>Mar</v>
      </c>
      <c r="D1673" s="52" t="str">
        <f>Data!O1673</f>
        <v>Male</v>
      </c>
      <c r="E1673" s="52">
        <f>Data!G1673-Data!F1673</f>
        <v>2</v>
      </c>
      <c r="F1673" s="52">
        <f>IF(Data!J1673&lt;=5,Data!J1673,IF(Data!J1673&lt;=10,"6 TO 10","More than 10"))</f>
        <v>4</v>
      </c>
      <c r="G1673" s="52">
        <f t="shared" si="26"/>
        <v>2</v>
      </c>
      <c r="H1673" s="52">
        <f>ROUND(Data!C1673*Data!D1673-Data!E1673,2)</f>
        <v>0</v>
      </c>
      <c r="I1673" s="52">
        <f>IF(AND(OR(Sel_Mode="All",Data!I1673=Sel_Mode),OR(Sel_Gender="All",D1673=Sel_Gender),OR(Sel_Category="All",Data!B1673=Sel_Category),OR(Sel_Month="All",C1673=Sel_Month),OR(Sel_County="All",Data!L1673=Sel_County)),1,0)</f>
        <v>1</v>
      </c>
    </row>
    <row r="1674" spans="1:9" x14ac:dyDescent="0.25">
      <c r="A1674" s="52" t="str">
        <f>Data!A1674</f>
        <v>TX501673</v>
      </c>
      <c r="B1674" s="52">
        <f>MONTH(Data!F1674)</f>
        <v>3</v>
      </c>
      <c r="C1674" s="52" t="str">
        <f>TEXT(Data!F1674,"mmm")</f>
        <v>Mar</v>
      </c>
      <c r="D1674" s="52" t="str">
        <f>Data!O1674</f>
        <v>Female</v>
      </c>
      <c r="E1674" s="52">
        <f>Data!G1674-Data!F1674</f>
        <v>0</v>
      </c>
      <c r="F1674" s="52">
        <f>IF(Data!J1674&lt;=5,Data!J1674,IF(Data!J1674&lt;=10,"6 TO 10","More than 10"))</f>
        <v>3</v>
      </c>
      <c r="G1674" s="52">
        <f t="shared" si="26"/>
        <v>0</v>
      </c>
      <c r="H1674" s="52">
        <f>ROUND(Data!C1674*Data!D1674-Data!E1674,2)</f>
        <v>0</v>
      </c>
      <c r="I1674" s="52">
        <f>IF(AND(OR(Sel_Mode="All",Data!I1674=Sel_Mode),OR(Sel_Gender="All",D1674=Sel_Gender),OR(Sel_Category="All",Data!B1674=Sel_Category),OR(Sel_Month="All",C1674=Sel_Month),OR(Sel_County="All",Data!L1674=Sel_County)),1,0)</f>
        <v>1</v>
      </c>
    </row>
    <row r="1675" spans="1:9" x14ac:dyDescent="0.25">
      <c r="A1675" s="52" t="str">
        <f>Data!A1675</f>
        <v>TX501674</v>
      </c>
      <c r="B1675" s="52">
        <f>MONTH(Data!F1675)</f>
        <v>3</v>
      </c>
      <c r="C1675" s="52" t="str">
        <f>TEXT(Data!F1675,"mmm")</f>
        <v>Mar</v>
      </c>
      <c r="D1675" s="52" t="str">
        <f>Data!O1675</f>
        <v>Female</v>
      </c>
      <c r="E1675" s="52">
        <f>Data!G1675-Data!F1675</f>
        <v>1</v>
      </c>
      <c r="F1675" s="52">
        <f>IF(Data!J1675&lt;=5,Data!J1675,IF(Data!J1675&lt;=10,"6 TO 10","More than 10"))</f>
        <v>4</v>
      </c>
      <c r="G1675" s="52">
        <f t="shared" si="26"/>
        <v>1</v>
      </c>
      <c r="H1675" s="52">
        <f>ROUND(Data!C1675*Data!D1675-Data!E1675,2)</f>
        <v>0</v>
      </c>
      <c r="I1675" s="52">
        <f>IF(AND(OR(Sel_Mode="All",Data!I1675=Sel_Mode),OR(Sel_Gender="All",D1675=Sel_Gender),OR(Sel_Category="All",Data!B1675=Sel_Category),OR(Sel_Month="All",C1675=Sel_Month),OR(Sel_County="All",Data!L1675=Sel_County)),1,0)</f>
        <v>1</v>
      </c>
    </row>
    <row r="1676" spans="1:9" x14ac:dyDescent="0.25">
      <c r="A1676" s="52" t="str">
        <f>Data!A1676</f>
        <v>TX501675</v>
      </c>
      <c r="B1676" s="52">
        <f>MONTH(Data!F1676)</f>
        <v>3</v>
      </c>
      <c r="C1676" s="52" t="str">
        <f>TEXT(Data!F1676,"mmm")</f>
        <v>Mar</v>
      </c>
      <c r="D1676" s="52" t="str">
        <f>Data!O1676</f>
        <v>Female</v>
      </c>
      <c r="E1676" s="52">
        <f>Data!G1676-Data!F1676</f>
        <v>3</v>
      </c>
      <c r="F1676" s="52">
        <f>IF(Data!J1676&lt;=5,Data!J1676,IF(Data!J1676&lt;=10,"6 TO 10","More than 10"))</f>
        <v>3</v>
      </c>
      <c r="G1676" s="52">
        <f t="shared" si="26"/>
        <v>3</v>
      </c>
      <c r="H1676" s="52">
        <f>ROUND(Data!C1676*Data!D1676-Data!E1676,2)</f>
        <v>0</v>
      </c>
      <c r="I1676" s="52">
        <f>IF(AND(OR(Sel_Mode="All",Data!I1676=Sel_Mode),OR(Sel_Gender="All",D1676=Sel_Gender),OR(Sel_Category="All",Data!B1676=Sel_Category),OR(Sel_Month="All",C1676=Sel_Month),OR(Sel_County="All",Data!L1676=Sel_County)),1,0)</f>
        <v>1</v>
      </c>
    </row>
    <row r="1677" spans="1:9" x14ac:dyDescent="0.25">
      <c r="A1677" s="52" t="str">
        <f>Data!A1677</f>
        <v>TX501676</v>
      </c>
      <c r="B1677" s="52">
        <f>MONTH(Data!F1677)</f>
        <v>3</v>
      </c>
      <c r="C1677" s="52" t="str">
        <f>TEXT(Data!F1677,"mmm")</f>
        <v>Mar</v>
      </c>
      <c r="D1677" s="52" t="str">
        <f>Data!O1677</f>
        <v>Female</v>
      </c>
      <c r="E1677" s="52">
        <f>Data!G1677-Data!F1677</f>
        <v>1</v>
      </c>
      <c r="F1677" s="52">
        <f>IF(Data!J1677&lt;=5,Data!J1677,IF(Data!J1677&lt;=10,"6 TO 10","More than 10"))</f>
        <v>4</v>
      </c>
      <c r="G1677" s="52">
        <f t="shared" si="26"/>
        <v>1</v>
      </c>
      <c r="H1677" s="52">
        <f>ROUND(Data!C1677*Data!D1677-Data!E1677,2)</f>
        <v>0</v>
      </c>
      <c r="I1677" s="52">
        <f>IF(AND(OR(Sel_Mode="All",Data!I1677=Sel_Mode),OR(Sel_Gender="All",D1677=Sel_Gender),OR(Sel_Category="All",Data!B1677=Sel_Category),OR(Sel_Month="All",C1677=Sel_Month),OR(Sel_County="All",Data!L1677=Sel_County)),1,0)</f>
        <v>1</v>
      </c>
    </row>
    <row r="1678" spans="1:9" x14ac:dyDescent="0.25">
      <c r="A1678" s="52" t="str">
        <f>Data!A1678</f>
        <v>TX501677</v>
      </c>
      <c r="B1678" s="52">
        <f>MONTH(Data!F1678)</f>
        <v>3</v>
      </c>
      <c r="C1678" s="52" t="str">
        <f>TEXT(Data!F1678,"mmm")</f>
        <v>Mar</v>
      </c>
      <c r="D1678" s="52" t="str">
        <f>Data!O1678</f>
        <v>Female</v>
      </c>
      <c r="E1678" s="52">
        <f>Data!G1678-Data!F1678</f>
        <v>11</v>
      </c>
      <c r="F1678" s="52">
        <f>IF(Data!J1678&lt;=5,Data!J1678,IF(Data!J1678&lt;=10,"6 TO 10","More than 10"))</f>
        <v>4</v>
      </c>
      <c r="G1678" s="52" t="str">
        <f t="shared" si="26"/>
        <v>8+</v>
      </c>
      <c r="H1678" s="52">
        <f>ROUND(Data!C1678*Data!D1678-Data!E1678,2)</f>
        <v>0</v>
      </c>
      <c r="I1678" s="52">
        <f>IF(AND(OR(Sel_Mode="All",Data!I1678=Sel_Mode),OR(Sel_Gender="All",D1678=Sel_Gender),OR(Sel_Category="All",Data!B1678=Sel_Category),OR(Sel_Month="All",C1678=Sel_Month),OR(Sel_County="All",Data!L1678=Sel_County)),1,0)</f>
        <v>1</v>
      </c>
    </row>
    <row r="1679" spans="1:9" x14ac:dyDescent="0.25">
      <c r="A1679" s="52" t="str">
        <f>Data!A1679</f>
        <v>TX501678</v>
      </c>
      <c r="B1679" s="52">
        <f>MONTH(Data!F1679)</f>
        <v>3</v>
      </c>
      <c r="C1679" s="52" t="str">
        <f>TEXT(Data!F1679,"mmm")</f>
        <v>Mar</v>
      </c>
      <c r="D1679" s="52" t="str">
        <f>Data!O1679</f>
        <v>Other</v>
      </c>
      <c r="E1679" s="52">
        <f>Data!G1679-Data!F1679</f>
        <v>3</v>
      </c>
      <c r="F1679" s="52">
        <f>IF(Data!J1679&lt;=5,Data!J1679,IF(Data!J1679&lt;=10,"6 TO 10","More than 10"))</f>
        <v>2</v>
      </c>
      <c r="G1679" s="52">
        <f t="shared" si="26"/>
        <v>3</v>
      </c>
      <c r="H1679" s="52">
        <f>ROUND(Data!C1679*Data!D1679-Data!E1679,2)</f>
        <v>0</v>
      </c>
      <c r="I1679" s="52">
        <f>IF(AND(OR(Sel_Mode="All",Data!I1679=Sel_Mode),OR(Sel_Gender="All",D1679=Sel_Gender),OR(Sel_Category="All",Data!B1679=Sel_Category),OR(Sel_Month="All",C1679=Sel_Month),OR(Sel_County="All",Data!L1679=Sel_County)),1,0)</f>
        <v>1</v>
      </c>
    </row>
    <row r="1680" spans="1:9" x14ac:dyDescent="0.25">
      <c r="A1680" s="52" t="str">
        <f>Data!A1680</f>
        <v>TX501679</v>
      </c>
      <c r="B1680" s="52">
        <f>MONTH(Data!F1680)</f>
        <v>3</v>
      </c>
      <c r="C1680" s="52" t="str">
        <f>TEXT(Data!F1680,"mmm")</f>
        <v>Mar</v>
      </c>
      <c r="D1680" s="52" t="str">
        <f>Data!O1680</f>
        <v>Female</v>
      </c>
      <c r="E1680" s="52">
        <f>Data!G1680-Data!F1680</f>
        <v>1</v>
      </c>
      <c r="F1680" s="52">
        <f>IF(Data!J1680&lt;=5,Data!J1680,IF(Data!J1680&lt;=10,"6 TO 10","More than 10"))</f>
        <v>3</v>
      </c>
      <c r="G1680" s="52">
        <f t="shared" si="26"/>
        <v>1</v>
      </c>
      <c r="H1680" s="52">
        <f>ROUND(Data!C1680*Data!D1680-Data!E1680,2)</f>
        <v>0</v>
      </c>
      <c r="I1680" s="52">
        <f>IF(AND(OR(Sel_Mode="All",Data!I1680=Sel_Mode),OR(Sel_Gender="All",D1680=Sel_Gender),OR(Sel_Category="All",Data!B1680=Sel_Category),OR(Sel_Month="All",C1680=Sel_Month),OR(Sel_County="All",Data!L1680=Sel_County)),1,0)</f>
        <v>1</v>
      </c>
    </row>
    <row r="1681" spans="1:9" x14ac:dyDescent="0.25">
      <c r="A1681" s="52" t="str">
        <f>Data!A1681</f>
        <v>TX501680</v>
      </c>
      <c r="B1681" s="52">
        <f>MONTH(Data!F1681)</f>
        <v>3</v>
      </c>
      <c r="C1681" s="52" t="str">
        <f>TEXT(Data!F1681,"mmm")</f>
        <v>Mar</v>
      </c>
      <c r="D1681" s="52" t="str">
        <f>Data!O1681</f>
        <v>Female</v>
      </c>
      <c r="E1681" s="52">
        <f>Data!G1681-Data!F1681</f>
        <v>2</v>
      </c>
      <c r="F1681" s="52">
        <f>IF(Data!J1681&lt;=5,Data!J1681,IF(Data!J1681&lt;=10,"6 TO 10","More than 10"))</f>
        <v>4</v>
      </c>
      <c r="G1681" s="52">
        <f t="shared" si="26"/>
        <v>2</v>
      </c>
      <c r="H1681" s="52">
        <f>ROUND(Data!C1681*Data!D1681-Data!E1681,2)</f>
        <v>0</v>
      </c>
      <c r="I1681" s="52">
        <f>IF(AND(OR(Sel_Mode="All",Data!I1681=Sel_Mode),OR(Sel_Gender="All",D1681=Sel_Gender),OR(Sel_Category="All",Data!B1681=Sel_Category),OR(Sel_Month="All",C1681=Sel_Month),OR(Sel_County="All",Data!L1681=Sel_County)),1,0)</f>
        <v>1</v>
      </c>
    </row>
    <row r="1682" spans="1:9" x14ac:dyDescent="0.25">
      <c r="A1682" s="52" t="str">
        <f>Data!A1682</f>
        <v>TX501681</v>
      </c>
      <c r="B1682" s="52">
        <f>MONTH(Data!F1682)</f>
        <v>3</v>
      </c>
      <c r="C1682" s="52" t="str">
        <f>TEXT(Data!F1682,"mmm")</f>
        <v>Mar</v>
      </c>
      <c r="D1682" s="52" t="str">
        <f>Data!O1682</f>
        <v>Male</v>
      </c>
      <c r="E1682" s="52">
        <f>Data!G1682-Data!F1682</f>
        <v>1</v>
      </c>
      <c r="F1682" s="52">
        <f>IF(Data!J1682&lt;=5,Data!J1682,IF(Data!J1682&lt;=10,"6 TO 10","More than 10"))</f>
        <v>2</v>
      </c>
      <c r="G1682" s="52">
        <f t="shared" si="26"/>
        <v>1</v>
      </c>
      <c r="H1682" s="52">
        <f>ROUND(Data!C1682*Data!D1682-Data!E1682,2)</f>
        <v>0</v>
      </c>
      <c r="I1682" s="52">
        <f>IF(AND(OR(Sel_Mode="All",Data!I1682=Sel_Mode),OR(Sel_Gender="All",D1682=Sel_Gender),OR(Sel_Category="All",Data!B1682=Sel_Category),OR(Sel_Month="All",C1682=Sel_Month),OR(Sel_County="All",Data!L1682=Sel_County)),1,0)</f>
        <v>1</v>
      </c>
    </row>
    <row r="1683" spans="1:9" x14ac:dyDescent="0.25">
      <c r="A1683" s="52" t="str">
        <f>Data!A1683</f>
        <v>TX501682</v>
      </c>
      <c r="B1683" s="52">
        <f>MONTH(Data!F1683)</f>
        <v>3</v>
      </c>
      <c r="C1683" s="52" t="str">
        <f>TEXT(Data!F1683,"mmm")</f>
        <v>Mar</v>
      </c>
      <c r="D1683" s="52" t="str">
        <f>Data!O1683</f>
        <v>Female</v>
      </c>
      <c r="E1683" s="52">
        <f>Data!G1683-Data!F1683</f>
        <v>2</v>
      </c>
      <c r="F1683" s="52">
        <f>IF(Data!J1683&lt;=5,Data!J1683,IF(Data!J1683&lt;=10,"6 TO 10","More than 10"))</f>
        <v>3</v>
      </c>
      <c r="G1683" s="52">
        <f t="shared" si="26"/>
        <v>2</v>
      </c>
      <c r="H1683" s="52">
        <f>ROUND(Data!C1683*Data!D1683-Data!E1683,2)</f>
        <v>0</v>
      </c>
      <c r="I1683" s="52">
        <f>IF(AND(OR(Sel_Mode="All",Data!I1683=Sel_Mode),OR(Sel_Gender="All",D1683=Sel_Gender),OR(Sel_Category="All",Data!B1683=Sel_Category),OR(Sel_Month="All",C1683=Sel_Month),OR(Sel_County="All",Data!L1683=Sel_County)),1,0)</f>
        <v>1</v>
      </c>
    </row>
    <row r="1684" spans="1:9" x14ac:dyDescent="0.25">
      <c r="A1684" s="52" t="str">
        <f>Data!A1684</f>
        <v>TX501683</v>
      </c>
      <c r="B1684" s="52">
        <f>MONTH(Data!F1684)</f>
        <v>3</v>
      </c>
      <c r="C1684" s="52" t="str">
        <f>TEXT(Data!F1684,"mmm")</f>
        <v>Mar</v>
      </c>
      <c r="D1684" s="52" t="str">
        <f>Data!O1684</f>
        <v>Male</v>
      </c>
      <c r="E1684" s="52">
        <f>Data!G1684-Data!F1684</f>
        <v>1</v>
      </c>
      <c r="F1684" s="52">
        <f>IF(Data!J1684&lt;=5,Data!J1684,IF(Data!J1684&lt;=10,"6 TO 10","More than 10"))</f>
        <v>3</v>
      </c>
      <c r="G1684" s="52">
        <f t="shared" si="26"/>
        <v>1</v>
      </c>
      <c r="H1684" s="52">
        <f>ROUND(Data!C1684*Data!D1684-Data!E1684,2)</f>
        <v>0</v>
      </c>
      <c r="I1684" s="52">
        <f>IF(AND(OR(Sel_Mode="All",Data!I1684=Sel_Mode),OR(Sel_Gender="All",D1684=Sel_Gender),OR(Sel_Category="All",Data!B1684=Sel_Category),OR(Sel_Month="All",C1684=Sel_Month),OR(Sel_County="All",Data!L1684=Sel_County)),1,0)</f>
        <v>1</v>
      </c>
    </row>
    <row r="1685" spans="1:9" x14ac:dyDescent="0.25">
      <c r="A1685" s="52" t="str">
        <f>Data!A1685</f>
        <v>TX501684</v>
      </c>
      <c r="B1685" s="52">
        <f>MONTH(Data!F1685)</f>
        <v>3</v>
      </c>
      <c r="C1685" s="52" t="str">
        <f>TEXT(Data!F1685,"mmm")</f>
        <v>Mar</v>
      </c>
      <c r="D1685" s="52" t="str">
        <f>Data!O1685</f>
        <v>Female</v>
      </c>
      <c r="E1685" s="52">
        <f>Data!G1685-Data!F1685</f>
        <v>14</v>
      </c>
      <c r="F1685" s="52">
        <f>IF(Data!J1685&lt;=5,Data!J1685,IF(Data!J1685&lt;=10,"6 TO 10","More than 10"))</f>
        <v>3</v>
      </c>
      <c r="G1685" s="52" t="str">
        <f t="shared" si="26"/>
        <v>8+</v>
      </c>
      <c r="H1685" s="52">
        <f>ROUND(Data!C1685*Data!D1685-Data!E1685,2)</f>
        <v>0</v>
      </c>
      <c r="I1685" s="52">
        <f>IF(AND(OR(Sel_Mode="All",Data!I1685=Sel_Mode),OR(Sel_Gender="All",D1685=Sel_Gender),OR(Sel_Category="All",Data!B1685=Sel_Category),OR(Sel_Month="All",C1685=Sel_Month),OR(Sel_County="All",Data!L1685=Sel_County)),1,0)</f>
        <v>1</v>
      </c>
    </row>
    <row r="1686" spans="1:9" x14ac:dyDescent="0.25">
      <c r="A1686" s="52" t="str">
        <f>Data!A1686</f>
        <v>TX501685</v>
      </c>
      <c r="B1686" s="52">
        <f>MONTH(Data!F1686)</f>
        <v>3</v>
      </c>
      <c r="C1686" s="52" t="str">
        <f>TEXT(Data!F1686,"mmm")</f>
        <v>Mar</v>
      </c>
      <c r="D1686" s="52" t="str">
        <f>Data!O1686</f>
        <v>Female</v>
      </c>
      <c r="E1686" s="52">
        <f>Data!G1686-Data!F1686</f>
        <v>1</v>
      </c>
      <c r="F1686" s="52">
        <f>IF(Data!J1686&lt;=5,Data!J1686,IF(Data!J1686&lt;=10,"6 TO 10","More than 10"))</f>
        <v>4</v>
      </c>
      <c r="G1686" s="52">
        <f t="shared" si="26"/>
        <v>1</v>
      </c>
      <c r="H1686" s="52">
        <f>ROUND(Data!C1686*Data!D1686-Data!E1686,2)</f>
        <v>0</v>
      </c>
      <c r="I1686" s="52">
        <f>IF(AND(OR(Sel_Mode="All",Data!I1686=Sel_Mode),OR(Sel_Gender="All",D1686=Sel_Gender),OR(Sel_Category="All",Data!B1686=Sel_Category),OR(Sel_Month="All",C1686=Sel_Month),OR(Sel_County="All",Data!L1686=Sel_County)),1,0)</f>
        <v>1</v>
      </c>
    </row>
    <row r="1687" spans="1:9" x14ac:dyDescent="0.25">
      <c r="A1687" s="52" t="str">
        <f>Data!A1687</f>
        <v>TX501686</v>
      </c>
      <c r="B1687" s="52">
        <f>MONTH(Data!F1687)</f>
        <v>3</v>
      </c>
      <c r="C1687" s="52" t="str">
        <f>TEXT(Data!F1687,"mmm")</f>
        <v>Mar</v>
      </c>
      <c r="D1687" s="52" t="str">
        <f>Data!O1687</f>
        <v>Unknown</v>
      </c>
      <c r="E1687" s="52">
        <f>Data!G1687-Data!F1687</f>
        <v>1</v>
      </c>
      <c r="F1687" s="52">
        <f>IF(Data!J1687&lt;=5,Data!J1687,IF(Data!J1687&lt;=10,"6 TO 10","More than 10"))</f>
        <v>4</v>
      </c>
      <c r="G1687" s="52">
        <f t="shared" si="26"/>
        <v>1</v>
      </c>
      <c r="H1687" s="52">
        <f>ROUND(Data!C1687*Data!D1687-Data!E1687,2)</f>
        <v>0</v>
      </c>
      <c r="I1687" s="52">
        <f>IF(AND(OR(Sel_Mode="All",Data!I1687=Sel_Mode),OR(Sel_Gender="All",D1687=Sel_Gender),OR(Sel_Category="All",Data!B1687=Sel_Category),OR(Sel_Month="All",C1687=Sel_Month),OR(Sel_County="All",Data!L1687=Sel_County)),1,0)</f>
        <v>1</v>
      </c>
    </row>
    <row r="1688" spans="1:9" x14ac:dyDescent="0.25">
      <c r="A1688" s="52" t="str">
        <f>Data!A1688</f>
        <v>TX501687</v>
      </c>
      <c r="B1688" s="52">
        <f>MONTH(Data!F1688)</f>
        <v>3</v>
      </c>
      <c r="C1688" s="52" t="str">
        <f>TEXT(Data!F1688,"mmm")</f>
        <v>Mar</v>
      </c>
      <c r="D1688" s="52" t="str">
        <f>Data!O1688</f>
        <v>Female</v>
      </c>
      <c r="E1688" s="52">
        <f>Data!G1688-Data!F1688</f>
        <v>1</v>
      </c>
      <c r="F1688" s="52">
        <f>IF(Data!J1688&lt;=5,Data!J1688,IF(Data!J1688&lt;=10,"6 TO 10","More than 10"))</f>
        <v>3</v>
      </c>
      <c r="G1688" s="52">
        <f t="shared" si="26"/>
        <v>1</v>
      </c>
      <c r="H1688" s="52">
        <f>ROUND(Data!C1688*Data!D1688-Data!E1688,2)</f>
        <v>0</v>
      </c>
      <c r="I1688" s="52">
        <f>IF(AND(OR(Sel_Mode="All",Data!I1688=Sel_Mode),OR(Sel_Gender="All",D1688=Sel_Gender),OR(Sel_Category="All",Data!B1688=Sel_Category),OR(Sel_Month="All",C1688=Sel_Month),OR(Sel_County="All",Data!L1688=Sel_County)),1,0)</f>
        <v>1</v>
      </c>
    </row>
    <row r="1689" spans="1:9" x14ac:dyDescent="0.25">
      <c r="A1689" s="52" t="str">
        <f>Data!A1689</f>
        <v>TX501688</v>
      </c>
      <c r="B1689" s="52">
        <f>MONTH(Data!F1689)</f>
        <v>3</v>
      </c>
      <c r="C1689" s="52" t="str">
        <f>TEXT(Data!F1689,"mmm")</f>
        <v>Mar</v>
      </c>
      <c r="D1689" s="52" t="str">
        <f>Data!O1689</f>
        <v>Female</v>
      </c>
      <c r="E1689" s="52">
        <f>Data!G1689-Data!F1689</f>
        <v>2</v>
      </c>
      <c r="F1689" s="52">
        <f>IF(Data!J1689&lt;=5,Data!J1689,IF(Data!J1689&lt;=10,"6 TO 10","More than 10"))</f>
        <v>3</v>
      </c>
      <c r="G1689" s="52">
        <f t="shared" si="26"/>
        <v>2</v>
      </c>
      <c r="H1689" s="52">
        <f>ROUND(Data!C1689*Data!D1689-Data!E1689,2)</f>
        <v>0</v>
      </c>
      <c r="I1689" s="52">
        <f>IF(AND(OR(Sel_Mode="All",Data!I1689=Sel_Mode),OR(Sel_Gender="All",D1689=Sel_Gender),OR(Sel_Category="All",Data!B1689=Sel_Category),OR(Sel_Month="All",C1689=Sel_Month),OR(Sel_County="All",Data!L1689=Sel_County)),1,0)</f>
        <v>1</v>
      </c>
    </row>
    <row r="1690" spans="1:9" x14ac:dyDescent="0.25">
      <c r="A1690" s="52" t="str">
        <f>Data!A1690</f>
        <v>TX501689</v>
      </c>
      <c r="B1690" s="52">
        <f>MONTH(Data!F1690)</f>
        <v>3</v>
      </c>
      <c r="C1690" s="52" t="str">
        <f>TEXT(Data!F1690,"mmm")</f>
        <v>Mar</v>
      </c>
      <c r="D1690" s="52" t="str">
        <f>Data!O1690</f>
        <v>Female</v>
      </c>
      <c r="E1690" s="52">
        <f>Data!G1690-Data!F1690</f>
        <v>1</v>
      </c>
      <c r="F1690" s="52">
        <f>IF(Data!J1690&lt;=5,Data!J1690,IF(Data!J1690&lt;=10,"6 TO 10","More than 10"))</f>
        <v>4</v>
      </c>
      <c r="G1690" s="52">
        <f t="shared" si="26"/>
        <v>1</v>
      </c>
      <c r="H1690" s="52">
        <f>ROUND(Data!C1690*Data!D1690-Data!E1690,2)</f>
        <v>0</v>
      </c>
      <c r="I1690" s="52">
        <f>IF(AND(OR(Sel_Mode="All",Data!I1690=Sel_Mode),OR(Sel_Gender="All",D1690=Sel_Gender),OR(Sel_Category="All",Data!B1690=Sel_Category),OR(Sel_Month="All",C1690=Sel_Month),OR(Sel_County="All",Data!L1690=Sel_County)),1,0)</f>
        <v>1</v>
      </c>
    </row>
    <row r="1691" spans="1:9" x14ac:dyDescent="0.25">
      <c r="A1691" s="52" t="str">
        <f>Data!A1691</f>
        <v>TX501690</v>
      </c>
      <c r="B1691" s="52">
        <f>MONTH(Data!F1691)</f>
        <v>3</v>
      </c>
      <c r="C1691" s="52" t="str">
        <f>TEXT(Data!F1691,"mmm")</f>
        <v>Mar</v>
      </c>
      <c r="D1691" s="52" t="str">
        <f>Data!O1691</f>
        <v>Female</v>
      </c>
      <c r="E1691" s="52">
        <f>Data!G1691-Data!F1691</f>
        <v>1</v>
      </c>
      <c r="F1691" s="52">
        <f>IF(Data!J1691&lt;=5,Data!J1691,IF(Data!J1691&lt;=10,"6 TO 10","More than 10"))</f>
        <v>5</v>
      </c>
      <c r="G1691" s="52">
        <f t="shared" si="26"/>
        <v>1</v>
      </c>
      <c r="H1691" s="52">
        <f>ROUND(Data!C1691*Data!D1691-Data!E1691,2)</f>
        <v>0</v>
      </c>
      <c r="I1691" s="52">
        <f>IF(AND(OR(Sel_Mode="All",Data!I1691=Sel_Mode),OR(Sel_Gender="All",D1691=Sel_Gender),OR(Sel_Category="All",Data!B1691=Sel_Category),OR(Sel_Month="All",C1691=Sel_Month),OR(Sel_County="All",Data!L1691=Sel_County)),1,0)</f>
        <v>1</v>
      </c>
    </row>
    <row r="1692" spans="1:9" x14ac:dyDescent="0.25">
      <c r="A1692" s="52" t="str">
        <f>Data!A1692</f>
        <v>TX501691</v>
      </c>
      <c r="B1692" s="52">
        <f>MONTH(Data!F1692)</f>
        <v>3</v>
      </c>
      <c r="C1692" s="52" t="str">
        <f>TEXT(Data!F1692,"mmm")</f>
        <v>Mar</v>
      </c>
      <c r="D1692" s="52" t="str">
        <f>Data!O1692</f>
        <v>Female</v>
      </c>
      <c r="E1692" s="52">
        <f>Data!G1692-Data!F1692</f>
        <v>3</v>
      </c>
      <c r="F1692" s="52">
        <f>IF(Data!J1692&lt;=5,Data!J1692,IF(Data!J1692&lt;=10,"6 TO 10","More than 10"))</f>
        <v>2</v>
      </c>
      <c r="G1692" s="52">
        <f t="shared" si="26"/>
        <v>3</v>
      </c>
      <c r="H1692" s="52">
        <f>ROUND(Data!C1692*Data!D1692-Data!E1692,2)</f>
        <v>0</v>
      </c>
      <c r="I1692" s="52">
        <f>IF(AND(OR(Sel_Mode="All",Data!I1692=Sel_Mode),OR(Sel_Gender="All",D1692=Sel_Gender),OR(Sel_Category="All",Data!B1692=Sel_Category),OR(Sel_Month="All",C1692=Sel_Month),OR(Sel_County="All",Data!L1692=Sel_County)),1,0)</f>
        <v>1</v>
      </c>
    </row>
    <row r="1693" spans="1:9" x14ac:dyDescent="0.25">
      <c r="A1693" s="52" t="str">
        <f>Data!A1693</f>
        <v>TX501692</v>
      </c>
      <c r="B1693" s="52">
        <f>MONTH(Data!F1693)</f>
        <v>3</v>
      </c>
      <c r="C1693" s="52" t="str">
        <f>TEXT(Data!F1693,"mmm")</f>
        <v>Mar</v>
      </c>
      <c r="D1693" s="52" t="str">
        <f>Data!O1693</f>
        <v>Female</v>
      </c>
      <c r="E1693" s="52">
        <f>Data!G1693-Data!F1693</f>
        <v>4</v>
      </c>
      <c r="F1693" s="52">
        <f>IF(Data!J1693&lt;=5,Data!J1693,IF(Data!J1693&lt;=10,"6 TO 10","More than 10"))</f>
        <v>4</v>
      </c>
      <c r="G1693" s="52">
        <f t="shared" si="26"/>
        <v>4</v>
      </c>
      <c r="H1693" s="52">
        <f>ROUND(Data!C1693*Data!D1693-Data!E1693,2)</f>
        <v>0</v>
      </c>
      <c r="I1693" s="52">
        <f>IF(AND(OR(Sel_Mode="All",Data!I1693=Sel_Mode),OR(Sel_Gender="All",D1693=Sel_Gender),OR(Sel_Category="All",Data!B1693=Sel_Category),OR(Sel_Month="All",C1693=Sel_Month),OR(Sel_County="All",Data!L1693=Sel_County)),1,0)</f>
        <v>1</v>
      </c>
    </row>
    <row r="1694" spans="1:9" x14ac:dyDescent="0.25">
      <c r="A1694" s="52" t="str">
        <f>Data!A1694</f>
        <v>TX501693</v>
      </c>
      <c r="B1694" s="52">
        <f>MONTH(Data!F1694)</f>
        <v>3</v>
      </c>
      <c r="C1694" s="52" t="str">
        <f>TEXT(Data!F1694,"mmm")</f>
        <v>Mar</v>
      </c>
      <c r="D1694" s="52" t="str">
        <f>Data!O1694</f>
        <v>Male</v>
      </c>
      <c r="E1694" s="52">
        <f>Data!G1694-Data!F1694</f>
        <v>2</v>
      </c>
      <c r="F1694" s="52">
        <f>IF(Data!J1694&lt;=5,Data!J1694,IF(Data!J1694&lt;=10,"6 TO 10","More than 10"))</f>
        <v>4</v>
      </c>
      <c r="G1694" s="52">
        <f t="shared" si="26"/>
        <v>2</v>
      </c>
      <c r="H1694" s="52">
        <f>ROUND(Data!C1694*Data!D1694-Data!E1694,2)</f>
        <v>0</v>
      </c>
      <c r="I1694" s="52">
        <f>IF(AND(OR(Sel_Mode="All",Data!I1694=Sel_Mode),OR(Sel_Gender="All",D1694=Sel_Gender),OR(Sel_Category="All",Data!B1694=Sel_Category),OR(Sel_Month="All",C1694=Sel_Month),OR(Sel_County="All",Data!L1694=Sel_County)),1,0)</f>
        <v>1</v>
      </c>
    </row>
    <row r="1695" spans="1:9" x14ac:dyDescent="0.25">
      <c r="A1695" s="52" t="str">
        <f>Data!A1695</f>
        <v>TX501694</v>
      </c>
      <c r="B1695" s="52">
        <f>MONTH(Data!F1695)</f>
        <v>3</v>
      </c>
      <c r="C1695" s="52" t="str">
        <f>TEXT(Data!F1695,"mmm")</f>
        <v>Mar</v>
      </c>
      <c r="D1695" s="52" t="str">
        <f>Data!O1695</f>
        <v>Female</v>
      </c>
      <c r="E1695" s="52">
        <f>Data!G1695-Data!F1695</f>
        <v>1</v>
      </c>
      <c r="F1695" s="52">
        <f>IF(Data!J1695&lt;=5,Data!J1695,IF(Data!J1695&lt;=10,"6 TO 10","More than 10"))</f>
        <v>4</v>
      </c>
      <c r="G1695" s="52">
        <f t="shared" si="26"/>
        <v>1</v>
      </c>
      <c r="H1695" s="52">
        <f>ROUND(Data!C1695*Data!D1695-Data!E1695,2)</f>
        <v>0</v>
      </c>
      <c r="I1695" s="52">
        <f>IF(AND(OR(Sel_Mode="All",Data!I1695=Sel_Mode),OR(Sel_Gender="All",D1695=Sel_Gender),OR(Sel_Category="All",Data!B1695=Sel_Category),OR(Sel_Month="All",C1695=Sel_Month),OR(Sel_County="All",Data!L1695=Sel_County)),1,0)</f>
        <v>1</v>
      </c>
    </row>
    <row r="1696" spans="1:9" x14ac:dyDescent="0.25">
      <c r="A1696" s="52" t="str">
        <f>Data!A1696</f>
        <v>TX501695</v>
      </c>
      <c r="B1696" s="52">
        <f>MONTH(Data!F1696)</f>
        <v>3</v>
      </c>
      <c r="C1696" s="52" t="str">
        <f>TEXT(Data!F1696,"mmm")</f>
        <v>Mar</v>
      </c>
      <c r="D1696" s="52" t="str">
        <f>Data!O1696</f>
        <v>Female</v>
      </c>
      <c r="E1696" s="52">
        <f>Data!G1696-Data!F1696</f>
        <v>3</v>
      </c>
      <c r="F1696" s="52">
        <f>IF(Data!J1696&lt;=5,Data!J1696,IF(Data!J1696&lt;=10,"6 TO 10","More than 10"))</f>
        <v>4</v>
      </c>
      <c r="G1696" s="52">
        <f t="shared" si="26"/>
        <v>3</v>
      </c>
      <c r="H1696" s="52">
        <f>ROUND(Data!C1696*Data!D1696-Data!E1696,2)</f>
        <v>0</v>
      </c>
      <c r="I1696" s="52">
        <f>IF(AND(OR(Sel_Mode="All",Data!I1696=Sel_Mode),OR(Sel_Gender="All",D1696=Sel_Gender),OR(Sel_Category="All",Data!B1696=Sel_Category),OR(Sel_Month="All",C1696=Sel_Month),OR(Sel_County="All",Data!L1696=Sel_County)),1,0)</f>
        <v>1</v>
      </c>
    </row>
    <row r="1697" spans="1:9" x14ac:dyDescent="0.25">
      <c r="A1697" s="52" t="str">
        <f>Data!A1697</f>
        <v>TX501696</v>
      </c>
      <c r="B1697" s="52">
        <f>MONTH(Data!F1697)</f>
        <v>3</v>
      </c>
      <c r="C1697" s="52" t="str">
        <f>TEXT(Data!F1697,"mmm")</f>
        <v>Mar</v>
      </c>
      <c r="D1697" s="52" t="str">
        <f>Data!O1697</f>
        <v>Male</v>
      </c>
      <c r="E1697" s="52">
        <f>Data!G1697-Data!F1697</f>
        <v>0</v>
      </c>
      <c r="F1697" s="52">
        <f>IF(Data!J1697&lt;=5,Data!J1697,IF(Data!J1697&lt;=10,"6 TO 10","More than 10"))</f>
        <v>4</v>
      </c>
      <c r="G1697" s="52">
        <f t="shared" si="26"/>
        <v>0</v>
      </c>
      <c r="H1697" s="52">
        <f>ROUND(Data!C1697*Data!D1697-Data!E1697,2)</f>
        <v>0</v>
      </c>
      <c r="I1697" s="52">
        <f>IF(AND(OR(Sel_Mode="All",Data!I1697=Sel_Mode),OR(Sel_Gender="All",D1697=Sel_Gender),OR(Sel_Category="All",Data!B1697=Sel_Category),OR(Sel_Month="All",C1697=Sel_Month),OR(Sel_County="All",Data!L1697=Sel_County)),1,0)</f>
        <v>1</v>
      </c>
    </row>
    <row r="1698" spans="1:9" x14ac:dyDescent="0.25">
      <c r="A1698" s="52" t="str">
        <f>Data!A1698</f>
        <v>TX501697</v>
      </c>
      <c r="B1698" s="52">
        <f>MONTH(Data!F1698)</f>
        <v>3</v>
      </c>
      <c r="C1698" s="52" t="str">
        <f>TEXT(Data!F1698,"mmm")</f>
        <v>Mar</v>
      </c>
      <c r="D1698" s="52" t="str">
        <f>Data!O1698</f>
        <v>Female</v>
      </c>
      <c r="E1698" s="52">
        <f>Data!G1698-Data!F1698</f>
        <v>2</v>
      </c>
      <c r="F1698" s="52">
        <f>IF(Data!J1698&lt;=5,Data!J1698,IF(Data!J1698&lt;=10,"6 TO 10","More than 10"))</f>
        <v>4</v>
      </c>
      <c r="G1698" s="52">
        <f t="shared" si="26"/>
        <v>2</v>
      </c>
      <c r="H1698" s="52">
        <f>ROUND(Data!C1698*Data!D1698-Data!E1698,2)</f>
        <v>0</v>
      </c>
      <c r="I1698" s="52">
        <f>IF(AND(OR(Sel_Mode="All",Data!I1698=Sel_Mode),OR(Sel_Gender="All",D1698=Sel_Gender),OR(Sel_Category="All",Data!B1698=Sel_Category),OR(Sel_Month="All",C1698=Sel_Month),OR(Sel_County="All",Data!L1698=Sel_County)),1,0)</f>
        <v>1</v>
      </c>
    </row>
    <row r="1699" spans="1:9" x14ac:dyDescent="0.25">
      <c r="A1699" s="52" t="str">
        <f>Data!A1699</f>
        <v>TX501698</v>
      </c>
      <c r="B1699" s="52">
        <f>MONTH(Data!F1699)</f>
        <v>3</v>
      </c>
      <c r="C1699" s="52" t="str">
        <f>TEXT(Data!F1699,"mmm")</f>
        <v>Mar</v>
      </c>
      <c r="D1699" s="52" t="str">
        <f>Data!O1699</f>
        <v>Male</v>
      </c>
      <c r="E1699" s="52">
        <f>Data!G1699-Data!F1699</f>
        <v>2</v>
      </c>
      <c r="F1699" s="52">
        <f>IF(Data!J1699&lt;=5,Data!J1699,IF(Data!J1699&lt;=10,"6 TO 10","More than 10"))</f>
        <v>5</v>
      </c>
      <c r="G1699" s="52">
        <f t="shared" si="26"/>
        <v>2</v>
      </c>
      <c r="H1699" s="52">
        <f>ROUND(Data!C1699*Data!D1699-Data!E1699,2)</f>
        <v>0</v>
      </c>
      <c r="I1699" s="52">
        <f>IF(AND(OR(Sel_Mode="All",Data!I1699=Sel_Mode),OR(Sel_Gender="All",D1699=Sel_Gender),OR(Sel_Category="All",Data!B1699=Sel_Category),OR(Sel_Month="All",C1699=Sel_Month),OR(Sel_County="All",Data!L1699=Sel_County)),1,0)</f>
        <v>1</v>
      </c>
    </row>
    <row r="1700" spans="1:9" x14ac:dyDescent="0.25">
      <c r="A1700" s="52" t="str">
        <f>Data!A1700</f>
        <v>TX501699</v>
      </c>
      <c r="B1700" s="52">
        <f>MONTH(Data!F1700)</f>
        <v>3</v>
      </c>
      <c r="C1700" s="52" t="str">
        <f>TEXT(Data!F1700,"mmm")</f>
        <v>Mar</v>
      </c>
      <c r="D1700" s="52" t="str">
        <f>Data!O1700</f>
        <v>Female</v>
      </c>
      <c r="E1700" s="52">
        <f>Data!G1700-Data!F1700</f>
        <v>6</v>
      </c>
      <c r="F1700" s="52">
        <f>IF(Data!J1700&lt;=5,Data!J1700,IF(Data!J1700&lt;=10,"6 TO 10","More than 10"))</f>
        <v>4</v>
      </c>
      <c r="G1700" s="52">
        <f t="shared" si="26"/>
        <v>6</v>
      </c>
      <c r="H1700" s="52">
        <f>ROUND(Data!C1700*Data!D1700-Data!E1700,2)</f>
        <v>0</v>
      </c>
      <c r="I1700" s="52">
        <f>IF(AND(OR(Sel_Mode="All",Data!I1700=Sel_Mode),OR(Sel_Gender="All",D1700=Sel_Gender),OR(Sel_Category="All",Data!B1700=Sel_Category),OR(Sel_Month="All",C1700=Sel_Month),OR(Sel_County="All",Data!L1700=Sel_County)),1,0)</f>
        <v>1</v>
      </c>
    </row>
    <row r="1701" spans="1:9" x14ac:dyDescent="0.25">
      <c r="A1701" s="52" t="str">
        <f>Data!A1701</f>
        <v>TX501700</v>
      </c>
      <c r="B1701" s="52">
        <f>MONTH(Data!F1701)</f>
        <v>3</v>
      </c>
      <c r="C1701" s="52" t="str">
        <f>TEXT(Data!F1701,"mmm")</f>
        <v>Mar</v>
      </c>
      <c r="D1701" s="52" t="str">
        <f>Data!O1701</f>
        <v>Female</v>
      </c>
      <c r="E1701" s="52">
        <f>Data!G1701-Data!F1701</f>
        <v>2</v>
      </c>
      <c r="F1701" s="52">
        <f>IF(Data!J1701&lt;=5,Data!J1701,IF(Data!J1701&lt;=10,"6 TO 10","More than 10"))</f>
        <v>5</v>
      </c>
      <c r="G1701" s="52">
        <f t="shared" si="26"/>
        <v>2</v>
      </c>
      <c r="H1701" s="52">
        <f>ROUND(Data!C1701*Data!D1701-Data!E1701,2)</f>
        <v>0</v>
      </c>
      <c r="I1701" s="52">
        <f>IF(AND(OR(Sel_Mode="All",Data!I1701=Sel_Mode),OR(Sel_Gender="All",D1701=Sel_Gender),OR(Sel_Category="All",Data!B1701=Sel_Category),OR(Sel_Month="All",C1701=Sel_Month),OR(Sel_County="All",Data!L1701=Sel_County)),1,0)</f>
        <v>1</v>
      </c>
    </row>
    <row r="1702" spans="1:9" x14ac:dyDescent="0.25">
      <c r="A1702" s="52" t="str">
        <f>Data!A1702</f>
        <v>TX501701</v>
      </c>
      <c r="B1702" s="52">
        <f>MONTH(Data!F1702)</f>
        <v>3</v>
      </c>
      <c r="C1702" s="52" t="str">
        <f>TEXT(Data!F1702,"mmm")</f>
        <v>Mar</v>
      </c>
      <c r="D1702" s="52" t="str">
        <f>Data!O1702</f>
        <v>Female</v>
      </c>
      <c r="E1702" s="52">
        <f>Data!G1702-Data!F1702</f>
        <v>1</v>
      </c>
      <c r="F1702" s="52">
        <f>IF(Data!J1702&lt;=5,Data!J1702,IF(Data!J1702&lt;=10,"6 TO 10","More than 10"))</f>
        <v>5</v>
      </c>
      <c r="G1702" s="52">
        <f t="shared" si="26"/>
        <v>1</v>
      </c>
      <c r="H1702" s="52">
        <f>ROUND(Data!C1702*Data!D1702-Data!E1702,2)</f>
        <v>0</v>
      </c>
      <c r="I1702" s="52">
        <f>IF(AND(OR(Sel_Mode="All",Data!I1702=Sel_Mode),OR(Sel_Gender="All",D1702=Sel_Gender),OR(Sel_Category="All",Data!B1702=Sel_Category),OR(Sel_Month="All",C1702=Sel_Month),OR(Sel_County="All",Data!L1702=Sel_County)),1,0)</f>
        <v>1</v>
      </c>
    </row>
    <row r="1703" spans="1:9" x14ac:dyDescent="0.25">
      <c r="A1703" s="52" t="str">
        <f>Data!A1703</f>
        <v>TX501702</v>
      </c>
      <c r="B1703" s="52">
        <f>MONTH(Data!F1703)</f>
        <v>3</v>
      </c>
      <c r="C1703" s="52" t="str">
        <f>TEXT(Data!F1703,"mmm")</f>
        <v>Mar</v>
      </c>
      <c r="D1703" s="52" t="str">
        <f>Data!O1703</f>
        <v>Male</v>
      </c>
      <c r="E1703" s="52">
        <f>Data!G1703-Data!F1703</f>
        <v>4</v>
      </c>
      <c r="F1703" s="52">
        <f>IF(Data!J1703&lt;=5,Data!J1703,IF(Data!J1703&lt;=10,"6 TO 10","More than 10"))</f>
        <v>4</v>
      </c>
      <c r="G1703" s="52">
        <f t="shared" si="26"/>
        <v>4</v>
      </c>
      <c r="H1703" s="52">
        <f>ROUND(Data!C1703*Data!D1703-Data!E1703,2)</f>
        <v>0</v>
      </c>
      <c r="I1703" s="52">
        <f>IF(AND(OR(Sel_Mode="All",Data!I1703=Sel_Mode),OR(Sel_Gender="All",D1703=Sel_Gender),OR(Sel_Category="All",Data!B1703=Sel_Category),OR(Sel_Month="All",C1703=Sel_Month),OR(Sel_County="All",Data!L1703=Sel_County)),1,0)</f>
        <v>1</v>
      </c>
    </row>
    <row r="1704" spans="1:9" x14ac:dyDescent="0.25">
      <c r="A1704" s="52" t="str">
        <f>Data!A1704</f>
        <v>TX501703</v>
      </c>
      <c r="B1704" s="52">
        <f>MONTH(Data!F1704)</f>
        <v>3</v>
      </c>
      <c r="C1704" s="52" t="str">
        <f>TEXT(Data!F1704,"mmm")</f>
        <v>Mar</v>
      </c>
      <c r="D1704" s="52" t="str">
        <f>Data!O1704</f>
        <v>Male</v>
      </c>
      <c r="E1704" s="52">
        <f>Data!G1704-Data!F1704</f>
        <v>1</v>
      </c>
      <c r="F1704" s="52">
        <f>IF(Data!J1704&lt;=5,Data!J1704,IF(Data!J1704&lt;=10,"6 TO 10","More than 10"))</f>
        <v>4</v>
      </c>
      <c r="G1704" s="52">
        <f t="shared" si="26"/>
        <v>1</v>
      </c>
      <c r="H1704" s="52">
        <f>ROUND(Data!C1704*Data!D1704-Data!E1704,2)</f>
        <v>0</v>
      </c>
      <c r="I1704" s="52">
        <f>IF(AND(OR(Sel_Mode="All",Data!I1704=Sel_Mode),OR(Sel_Gender="All",D1704=Sel_Gender),OR(Sel_Category="All",Data!B1704=Sel_Category),OR(Sel_Month="All",C1704=Sel_Month),OR(Sel_County="All",Data!L1704=Sel_County)),1,0)</f>
        <v>1</v>
      </c>
    </row>
    <row r="1705" spans="1:9" x14ac:dyDescent="0.25">
      <c r="A1705" s="52" t="str">
        <f>Data!A1705</f>
        <v>TX501704</v>
      </c>
      <c r="B1705" s="52">
        <f>MONTH(Data!F1705)</f>
        <v>3</v>
      </c>
      <c r="C1705" s="52" t="str">
        <f>TEXT(Data!F1705,"mmm")</f>
        <v>Mar</v>
      </c>
      <c r="D1705" s="52" t="str">
        <f>Data!O1705</f>
        <v>Female</v>
      </c>
      <c r="E1705" s="52">
        <f>Data!G1705-Data!F1705</f>
        <v>1</v>
      </c>
      <c r="F1705" s="52">
        <f>IF(Data!J1705&lt;=5,Data!J1705,IF(Data!J1705&lt;=10,"6 TO 10","More than 10"))</f>
        <v>4</v>
      </c>
      <c r="G1705" s="52">
        <f t="shared" si="26"/>
        <v>1</v>
      </c>
      <c r="H1705" s="52">
        <f>ROUND(Data!C1705*Data!D1705-Data!E1705,2)</f>
        <v>0</v>
      </c>
      <c r="I1705" s="52">
        <f>IF(AND(OR(Sel_Mode="All",Data!I1705=Sel_Mode),OR(Sel_Gender="All",D1705=Sel_Gender),OR(Sel_Category="All",Data!B1705=Sel_Category),OR(Sel_Month="All",C1705=Sel_Month),OR(Sel_County="All",Data!L1705=Sel_County)),1,0)</f>
        <v>1</v>
      </c>
    </row>
    <row r="1706" spans="1:9" x14ac:dyDescent="0.25">
      <c r="A1706" s="52" t="str">
        <f>Data!A1706</f>
        <v>TX501705</v>
      </c>
      <c r="B1706" s="52">
        <f>MONTH(Data!F1706)</f>
        <v>3</v>
      </c>
      <c r="C1706" s="52" t="str">
        <f>TEXT(Data!F1706,"mmm")</f>
        <v>Mar</v>
      </c>
      <c r="D1706" s="52" t="str">
        <f>Data!O1706</f>
        <v>Female</v>
      </c>
      <c r="E1706" s="52">
        <f>Data!G1706-Data!F1706</f>
        <v>1</v>
      </c>
      <c r="F1706" s="52">
        <f>IF(Data!J1706&lt;=5,Data!J1706,IF(Data!J1706&lt;=10,"6 TO 10","More than 10"))</f>
        <v>4</v>
      </c>
      <c r="G1706" s="52">
        <f t="shared" si="26"/>
        <v>1</v>
      </c>
      <c r="H1706" s="52">
        <f>ROUND(Data!C1706*Data!D1706-Data!E1706,2)</f>
        <v>0</v>
      </c>
      <c r="I1706" s="52">
        <f>IF(AND(OR(Sel_Mode="All",Data!I1706=Sel_Mode),OR(Sel_Gender="All",D1706=Sel_Gender),OR(Sel_Category="All",Data!B1706=Sel_Category),OR(Sel_Month="All",C1706=Sel_Month),OR(Sel_County="All",Data!L1706=Sel_County)),1,0)</f>
        <v>1</v>
      </c>
    </row>
    <row r="1707" spans="1:9" x14ac:dyDescent="0.25">
      <c r="A1707" s="52" t="str">
        <f>Data!A1707</f>
        <v>TX501706</v>
      </c>
      <c r="B1707" s="52">
        <f>MONTH(Data!F1707)</f>
        <v>3</v>
      </c>
      <c r="C1707" s="52" t="str">
        <f>TEXT(Data!F1707,"mmm")</f>
        <v>Mar</v>
      </c>
      <c r="D1707" s="52" t="str">
        <f>Data!O1707</f>
        <v>Female</v>
      </c>
      <c r="E1707" s="52">
        <f>Data!G1707-Data!F1707</f>
        <v>3</v>
      </c>
      <c r="F1707" s="52">
        <f>IF(Data!J1707&lt;=5,Data!J1707,IF(Data!J1707&lt;=10,"6 TO 10","More than 10"))</f>
        <v>4</v>
      </c>
      <c r="G1707" s="52">
        <f t="shared" si="26"/>
        <v>3</v>
      </c>
      <c r="H1707" s="52">
        <f>ROUND(Data!C1707*Data!D1707-Data!E1707,2)</f>
        <v>0</v>
      </c>
      <c r="I1707" s="52">
        <f>IF(AND(OR(Sel_Mode="All",Data!I1707=Sel_Mode),OR(Sel_Gender="All",D1707=Sel_Gender),OR(Sel_Category="All",Data!B1707=Sel_Category),OR(Sel_Month="All",C1707=Sel_Month),OR(Sel_County="All",Data!L1707=Sel_County)),1,0)</f>
        <v>1</v>
      </c>
    </row>
    <row r="1708" spans="1:9" x14ac:dyDescent="0.25">
      <c r="A1708" s="52" t="str">
        <f>Data!A1708</f>
        <v>TX501707</v>
      </c>
      <c r="B1708" s="52">
        <f>MONTH(Data!F1708)</f>
        <v>3</v>
      </c>
      <c r="C1708" s="52" t="str">
        <f>TEXT(Data!F1708,"mmm")</f>
        <v>Mar</v>
      </c>
      <c r="D1708" s="52" t="str">
        <f>Data!O1708</f>
        <v>Male</v>
      </c>
      <c r="E1708" s="52">
        <f>Data!G1708-Data!F1708</f>
        <v>1</v>
      </c>
      <c r="F1708" s="52">
        <f>IF(Data!J1708&lt;=5,Data!J1708,IF(Data!J1708&lt;=10,"6 TO 10","More than 10"))</f>
        <v>5</v>
      </c>
      <c r="G1708" s="52">
        <f t="shared" si="26"/>
        <v>1</v>
      </c>
      <c r="H1708" s="52">
        <f>ROUND(Data!C1708*Data!D1708-Data!E1708,2)</f>
        <v>0</v>
      </c>
      <c r="I1708" s="52">
        <f>IF(AND(OR(Sel_Mode="All",Data!I1708=Sel_Mode),OR(Sel_Gender="All",D1708=Sel_Gender),OR(Sel_Category="All",Data!B1708=Sel_Category),OR(Sel_Month="All",C1708=Sel_Month),OR(Sel_County="All",Data!L1708=Sel_County)),1,0)</f>
        <v>1</v>
      </c>
    </row>
    <row r="1709" spans="1:9" x14ac:dyDescent="0.25">
      <c r="A1709" s="52" t="str">
        <f>Data!A1709</f>
        <v>TX501708</v>
      </c>
      <c r="B1709" s="52">
        <f>MONTH(Data!F1709)</f>
        <v>3</v>
      </c>
      <c r="C1709" s="52" t="str">
        <f>TEXT(Data!F1709,"mmm")</f>
        <v>Mar</v>
      </c>
      <c r="D1709" s="52" t="str">
        <f>Data!O1709</f>
        <v>Female</v>
      </c>
      <c r="E1709" s="52">
        <f>Data!G1709-Data!F1709</f>
        <v>1</v>
      </c>
      <c r="F1709" s="52">
        <f>IF(Data!J1709&lt;=5,Data!J1709,IF(Data!J1709&lt;=10,"6 TO 10","More than 10"))</f>
        <v>3</v>
      </c>
      <c r="G1709" s="52">
        <f t="shared" si="26"/>
        <v>1</v>
      </c>
      <c r="H1709" s="52">
        <f>ROUND(Data!C1709*Data!D1709-Data!E1709,2)</f>
        <v>0</v>
      </c>
      <c r="I1709" s="52">
        <f>IF(AND(OR(Sel_Mode="All",Data!I1709=Sel_Mode),OR(Sel_Gender="All",D1709=Sel_Gender),OR(Sel_Category="All",Data!B1709=Sel_Category),OR(Sel_Month="All",C1709=Sel_Month),OR(Sel_County="All",Data!L1709=Sel_County)),1,0)</f>
        <v>1</v>
      </c>
    </row>
    <row r="1710" spans="1:9" x14ac:dyDescent="0.25">
      <c r="A1710" s="52" t="str">
        <f>Data!A1710</f>
        <v>TX501709</v>
      </c>
      <c r="B1710" s="52">
        <f>MONTH(Data!F1710)</f>
        <v>3</v>
      </c>
      <c r="C1710" s="52" t="str">
        <f>TEXT(Data!F1710,"mmm")</f>
        <v>Mar</v>
      </c>
      <c r="D1710" s="52" t="str">
        <f>Data!O1710</f>
        <v>Female</v>
      </c>
      <c r="E1710" s="52">
        <f>Data!G1710-Data!F1710</f>
        <v>4</v>
      </c>
      <c r="F1710" s="52">
        <f>IF(Data!J1710&lt;=5,Data!J1710,IF(Data!J1710&lt;=10,"6 TO 10","More than 10"))</f>
        <v>4</v>
      </c>
      <c r="G1710" s="52">
        <f t="shared" si="26"/>
        <v>4</v>
      </c>
      <c r="H1710" s="52">
        <f>ROUND(Data!C1710*Data!D1710-Data!E1710,2)</f>
        <v>0</v>
      </c>
      <c r="I1710" s="52">
        <f>IF(AND(OR(Sel_Mode="All",Data!I1710=Sel_Mode),OR(Sel_Gender="All",D1710=Sel_Gender),OR(Sel_Category="All",Data!B1710=Sel_Category),OR(Sel_Month="All",C1710=Sel_Month),OR(Sel_County="All",Data!L1710=Sel_County)),1,0)</f>
        <v>1</v>
      </c>
    </row>
    <row r="1711" spans="1:9" x14ac:dyDescent="0.25">
      <c r="A1711" s="52" t="str">
        <f>Data!A1711</f>
        <v>TX501710</v>
      </c>
      <c r="B1711" s="52">
        <f>MONTH(Data!F1711)</f>
        <v>3</v>
      </c>
      <c r="C1711" s="52" t="str">
        <f>TEXT(Data!F1711,"mmm")</f>
        <v>Mar</v>
      </c>
      <c r="D1711" s="52" t="str">
        <f>Data!O1711</f>
        <v>Female</v>
      </c>
      <c r="E1711" s="52">
        <f>Data!G1711-Data!F1711</f>
        <v>2</v>
      </c>
      <c r="F1711" s="52">
        <f>IF(Data!J1711&lt;=5,Data!J1711,IF(Data!J1711&lt;=10,"6 TO 10","More than 10"))</f>
        <v>4</v>
      </c>
      <c r="G1711" s="52">
        <f t="shared" si="26"/>
        <v>2</v>
      </c>
      <c r="H1711" s="52">
        <f>ROUND(Data!C1711*Data!D1711-Data!E1711,2)</f>
        <v>0</v>
      </c>
      <c r="I1711" s="52">
        <f>IF(AND(OR(Sel_Mode="All",Data!I1711=Sel_Mode),OR(Sel_Gender="All",D1711=Sel_Gender),OR(Sel_Category="All",Data!B1711=Sel_Category),OR(Sel_Month="All",C1711=Sel_Month),OR(Sel_County="All",Data!L1711=Sel_County)),1,0)</f>
        <v>1</v>
      </c>
    </row>
    <row r="1712" spans="1:9" x14ac:dyDescent="0.25">
      <c r="A1712" s="52" t="str">
        <f>Data!A1712</f>
        <v>TX501711</v>
      </c>
      <c r="B1712" s="52">
        <f>MONTH(Data!F1712)</f>
        <v>3</v>
      </c>
      <c r="C1712" s="52" t="str">
        <f>TEXT(Data!F1712,"mmm")</f>
        <v>Mar</v>
      </c>
      <c r="D1712" s="52" t="str">
        <f>Data!O1712</f>
        <v>Male</v>
      </c>
      <c r="E1712" s="52">
        <f>Data!G1712-Data!F1712</f>
        <v>1</v>
      </c>
      <c r="F1712" s="52">
        <f>IF(Data!J1712&lt;=5,Data!J1712,IF(Data!J1712&lt;=10,"6 TO 10","More than 10"))</f>
        <v>3</v>
      </c>
      <c r="G1712" s="52">
        <f t="shared" si="26"/>
        <v>1</v>
      </c>
      <c r="H1712" s="52">
        <f>ROUND(Data!C1712*Data!D1712-Data!E1712,2)</f>
        <v>0</v>
      </c>
      <c r="I1712" s="52">
        <f>IF(AND(OR(Sel_Mode="All",Data!I1712=Sel_Mode),OR(Sel_Gender="All",D1712=Sel_Gender),OR(Sel_Category="All",Data!B1712=Sel_Category),OR(Sel_Month="All",C1712=Sel_Month),OR(Sel_County="All",Data!L1712=Sel_County)),1,0)</f>
        <v>1</v>
      </c>
    </row>
    <row r="1713" spans="1:9" x14ac:dyDescent="0.25">
      <c r="A1713" s="52" t="str">
        <f>Data!A1713</f>
        <v>TX501712</v>
      </c>
      <c r="B1713" s="52">
        <f>MONTH(Data!F1713)</f>
        <v>3</v>
      </c>
      <c r="C1713" s="52" t="str">
        <f>TEXT(Data!F1713,"mmm")</f>
        <v>Mar</v>
      </c>
      <c r="D1713" s="52" t="str">
        <f>Data!O1713</f>
        <v>Male</v>
      </c>
      <c r="E1713" s="52">
        <f>Data!G1713-Data!F1713</f>
        <v>1</v>
      </c>
      <c r="F1713" s="52">
        <f>IF(Data!J1713&lt;=5,Data!J1713,IF(Data!J1713&lt;=10,"6 TO 10","More than 10"))</f>
        <v>4</v>
      </c>
      <c r="G1713" s="52">
        <f t="shared" si="26"/>
        <v>1</v>
      </c>
      <c r="H1713" s="52">
        <f>ROUND(Data!C1713*Data!D1713-Data!E1713,2)</f>
        <v>0</v>
      </c>
      <c r="I1713" s="52">
        <f>IF(AND(OR(Sel_Mode="All",Data!I1713=Sel_Mode),OR(Sel_Gender="All",D1713=Sel_Gender),OR(Sel_Category="All",Data!B1713=Sel_Category),OR(Sel_Month="All",C1713=Sel_Month),OR(Sel_County="All",Data!L1713=Sel_County)),1,0)</f>
        <v>1</v>
      </c>
    </row>
    <row r="1714" spans="1:9" x14ac:dyDescent="0.25">
      <c r="A1714" s="52" t="str">
        <f>Data!A1714</f>
        <v>TX501713</v>
      </c>
      <c r="B1714" s="52">
        <f>MONTH(Data!F1714)</f>
        <v>3</v>
      </c>
      <c r="C1714" s="52" t="str">
        <f>TEXT(Data!F1714,"mmm")</f>
        <v>Mar</v>
      </c>
      <c r="D1714" s="52" t="str">
        <f>Data!O1714</f>
        <v>Female</v>
      </c>
      <c r="E1714" s="52">
        <f>Data!G1714-Data!F1714</f>
        <v>1</v>
      </c>
      <c r="F1714" s="52">
        <f>IF(Data!J1714&lt;=5,Data!J1714,IF(Data!J1714&lt;=10,"6 TO 10","More than 10"))</f>
        <v>5</v>
      </c>
      <c r="G1714" s="52">
        <f t="shared" si="26"/>
        <v>1</v>
      </c>
      <c r="H1714" s="52">
        <f>ROUND(Data!C1714*Data!D1714-Data!E1714,2)</f>
        <v>0</v>
      </c>
      <c r="I1714" s="52">
        <f>IF(AND(OR(Sel_Mode="All",Data!I1714=Sel_Mode),OR(Sel_Gender="All",D1714=Sel_Gender),OR(Sel_Category="All",Data!B1714=Sel_Category),OR(Sel_Month="All",C1714=Sel_Month),OR(Sel_County="All",Data!L1714=Sel_County)),1,0)</f>
        <v>1</v>
      </c>
    </row>
    <row r="1715" spans="1:9" x14ac:dyDescent="0.25">
      <c r="A1715" s="52" t="str">
        <f>Data!A1715</f>
        <v>TX501714</v>
      </c>
      <c r="B1715" s="52">
        <f>MONTH(Data!F1715)</f>
        <v>3</v>
      </c>
      <c r="C1715" s="52" t="str">
        <f>TEXT(Data!F1715,"mmm")</f>
        <v>Mar</v>
      </c>
      <c r="D1715" s="52" t="str">
        <f>Data!O1715</f>
        <v>Male</v>
      </c>
      <c r="E1715" s="52">
        <f>Data!G1715-Data!F1715</f>
        <v>1</v>
      </c>
      <c r="F1715" s="52">
        <f>IF(Data!J1715&lt;=5,Data!J1715,IF(Data!J1715&lt;=10,"6 TO 10","More than 10"))</f>
        <v>4</v>
      </c>
      <c r="G1715" s="52">
        <f t="shared" si="26"/>
        <v>1</v>
      </c>
      <c r="H1715" s="52">
        <f>ROUND(Data!C1715*Data!D1715-Data!E1715,2)</f>
        <v>0</v>
      </c>
      <c r="I1715" s="52">
        <f>IF(AND(OR(Sel_Mode="All",Data!I1715=Sel_Mode),OR(Sel_Gender="All",D1715=Sel_Gender),OR(Sel_Category="All",Data!B1715=Sel_Category),OR(Sel_Month="All",C1715=Sel_Month),OR(Sel_County="All",Data!L1715=Sel_County)),1,0)</f>
        <v>1</v>
      </c>
    </row>
    <row r="1716" spans="1:9" x14ac:dyDescent="0.25">
      <c r="A1716" s="52" t="str">
        <f>Data!A1716</f>
        <v>TX501715</v>
      </c>
      <c r="B1716" s="52">
        <f>MONTH(Data!F1716)</f>
        <v>3</v>
      </c>
      <c r="C1716" s="52" t="str">
        <f>TEXT(Data!F1716,"mmm")</f>
        <v>Mar</v>
      </c>
      <c r="D1716" s="52" t="str">
        <f>Data!O1716</f>
        <v>Female</v>
      </c>
      <c r="E1716" s="52">
        <f>Data!G1716-Data!F1716</f>
        <v>7</v>
      </c>
      <c r="F1716" s="52">
        <f>IF(Data!J1716&lt;=5,Data!J1716,IF(Data!J1716&lt;=10,"6 TO 10","More than 10"))</f>
        <v>5</v>
      </c>
      <c r="G1716" s="52">
        <f t="shared" si="26"/>
        <v>7</v>
      </c>
      <c r="H1716" s="52">
        <f>ROUND(Data!C1716*Data!D1716-Data!E1716,2)</f>
        <v>0</v>
      </c>
      <c r="I1716" s="52">
        <f>IF(AND(OR(Sel_Mode="All",Data!I1716=Sel_Mode),OR(Sel_Gender="All",D1716=Sel_Gender),OR(Sel_Category="All",Data!B1716=Sel_Category),OR(Sel_Month="All",C1716=Sel_Month),OR(Sel_County="All",Data!L1716=Sel_County)),1,0)</f>
        <v>1</v>
      </c>
    </row>
    <row r="1717" spans="1:9" x14ac:dyDescent="0.25">
      <c r="A1717" s="52" t="str">
        <f>Data!A1717</f>
        <v>TX501716</v>
      </c>
      <c r="B1717" s="52">
        <f>MONTH(Data!F1717)</f>
        <v>3</v>
      </c>
      <c r="C1717" s="52" t="str">
        <f>TEXT(Data!F1717,"mmm")</f>
        <v>Mar</v>
      </c>
      <c r="D1717" s="52" t="str">
        <f>Data!O1717</f>
        <v>Male</v>
      </c>
      <c r="E1717" s="52">
        <f>Data!G1717-Data!F1717</f>
        <v>3</v>
      </c>
      <c r="F1717" s="52">
        <f>IF(Data!J1717&lt;=5,Data!J1717,IF(Data!J1717&lt;=10,"6 TO 10","More than 10"))</f>
        <v>5</v>
      </c>
      <c r="G1717" s="52">
        <f t="shared" si="26"/>
        <v>3</v>
      </c>
      <c r="H1717" s="52">
        <f>ROUND(Data!C1717*Data!D1717-Data!E1717,2)</f>
        <v>0</v>
      </c>
      <c r="I1717" s="52">
        <f>IF(AND(OR(Sel_Mode="All",Data!I1717=Sel_Mode),OR(Sel_Gender="All",D1717=Sel_Gender),OR(Sel_Category="All",Data!B1717=Sel_Category),OR(Sel_Month="All",C1717=Sel_Month),OR(Sel_County="All",Data!L1717=Sel_County)),1,0)</f>
        <v>1</v>
      </c>
    </row>
    <row r="1718" spans="1:9" x14ac:dyDescent="0.25">
      <c r="A1718" s="52" t="str">
        <f>Data!A1718</f>
        <v>TX501717</v>
      </c>
      <c r="B1718" s="52">
        <f>MONTH(Data!F1718)</f>
        <v>3</v>
      </c>
      <c r="C1718" s="52" t="str">
        <f>TEXT(Data!F1718,"mmm")</f>
        <v>Mar</v>
      </c>
      <c r="D1718" s="52" t="str">
        <f>Data!O1718</f>
        <v>Female</v>
      </c>
      <c r="E1718" s="52">
        <f>Data!G1718-Data!F1718</f>
        <v>1</v>
      </c>
      <c r="F1718" s="52">
        <f>IF(Data!J1718&lt;=5,Data!J1718,IF(Data!J1718&lt;=10,"6 TO 10","More than 10"))</f>
        <v>4</v>
      </c>
      <c r="G1718" s="52">
        <f t="shared" si="26"/>
        <v>1</v>
      </c>
      <c r="H1718" s="52">
        <f>ROUND(Data!C1718*Data!D1718-Data!E1718,2)</f>
        <v>0</v>
      </c>
      <c r="I1718" s="52">
        <f>IF(AND(OR(Sel_Mode="All",Data!I1718=Sel_Mode),OR(Sel_Gender="All",D1718=Sel_Gender),OR(Sel_Category="All",Data!B1718=Sel_Category),OR(Sel_Month="All",C1718=Sel_Month),OR(Sel_County="All",Data!L1718=Sel_County)),1,0)</f>
        <v>1</v>
      </c>
    </row>
    <row r="1719" spans="1:9" x14ac:dyDescent="0.25">
      <c r="A1719" s="52" t="str">
        <f>Data!A1719</f>
        <v>TX501718</v>
      </c>
      <c r="B1719" s="52">
        <f>MONTH(Data!F1719)</f>
        <v>3</v>
      </c>
      <c r="C1719" s="52" t="str">
        <f>TEXT(Data!F1719,"mmm")</f>
        <v>Mar</v>
      </c>
      <c r="D1719" s="52" t="str">
        <f>Data!O1719</f>
        <v>Female</v>
      </c>
      <c r="E1719" s="52">
        <f>Data!G1719-Data!F1719</f>
        <v>1</v>
      </c>
      <c r="F1719" s="52">
        <f>IF(Data!J1719&lt;=5,Data!J1719,IF(Data!J1719&lt;=10,"6 TO 10","More than 10"))</f>
        <v>3</v>
      </c>
      <c r="G1719" s="52">
        <f t="shared" si="26"/>
        <v>1</v>
      </c>
      <c r="H1719" s="52">
        <f>ROUND(Data!C1719*Data!D1719-Data!E1719,2)</f>
        <v>0</v>
      </c>
      <c r="I1719" s="52">
        <f>IF(AND(OR(Sel_Mode="All",Data!I1719=Sel_Mode),OR(Sel_Gender="All",D1719=Sel_Gender),OR(Sel_Category="All",Data!B1719=Sel_Category),OR(Sel_Month="All",C1719=Sel_Month),OR(Sel_County="All",Data!L1719=Sel_County)),1,0)</f>
        <v>1</v>
      </c>
    </row>
    <row r="1720" spans="1:9" x14ac:dyDescent="0.25">
      <c r="A1720" s="52" t="str">
        <f>Data!A1720</f>
        <v>TX501719</v>
      </c>
      <c r="B1720" s="52">
        <f>MONTH(Data!F1720)</f>
        <v>3</v>
      </c>
      <c r="C1720" s="52" t="str">
        <f>TEXT(Data!F1720,"mmm")</f>
        <v>Mar</v>
      </c>
      <c r="D1720" s="52" t="str">
        <f>Data!O1720</f>
        <v>Female</v>
      </c>
      <c r="E1720" s="52">
        <f>Data!G1720-Data!F1720</f>
        <v>5</v>
      </c>
      <c r="F1720" s="52">
        <f>IF(Data!J1720&lt;=5,Data!J1720,IF(Data!J1720&lt;=10,"6 TO 10","More than 10"))</f>
        <v>5</v>
      </c>
      <c r="G1720" s="52">
        <f t="shared" si="26"/>
        <v>5</v>
      </c>
      <c r="H1720" s="52">
        <f>ROUND(Data!C1720*Data!D1720-Data!E1720,2)</f>
        <v>0</v>
      </c>
      <c r="I1720" s="52">
        <f>IF(AND(OR(Sel_Mode="All",Data!I1720=Sel_Mode),OR(Sel_Gender="All",D1720=Sel_Gender),OR(Sel_Category="All",Data!B1720=Sel_Category),OR(Sel_Month="All",C1720=Sel_Month),OR(Sel_County="All",Data!L1720=Sel_County)),1,0)</f>
        <v>1</v>
      </c>
    </row>
    <row r="1721" spans="1:9" x14ac:dyDescent="0.25">
      <c r="A1721" s="52" t="str">
        <f>Data!A1721</f>
        <v>TX501720</v>
      </c>
      <c r="B1721" s="52">
        <f>MONTH(Data!F1721)</f>
        <v>3</v>
      </c>
      <c r="C1721" s="52" t="str">
        <f>TEXT(Data!F1721,"mmm")</f>
        <v>Mar</v>
      </c>
      <c r="D1721" s="52" t="str">
        <f>Data!O1721</f>
        <v>Female</v>
      </c>
      <c r="E1721" s="52">
        <f>Data!G1721-Data!F1721</f>
        <v>4</v>
      </c>
      <c r="F1721" s="52">
        <f>IF(Data!J1721&lt;=5,Data!J1721,IF(Data!J1721&lt;=10,"6 TO 10","More than 10"))</f>
        <v>4</v>
      </c>
      <c r="G1721" s="52">
        <f t="shared" si="26"/>
        <v>4</v>
      </c>
      <c r="H1721" s="52">
        <f>ROUND(Data!C1721*Data!D1721-Data!E1721,2)</f>
        <v>0</v>
      </c>
      <c r="I1721" s="52">
        <f>IF(AND(OR(Sel_Mode="All",Data!I1721=Sel_Mode),OR(Sel_Gender="All",D1721=Sel_Gender),OR(Sel_Category="All",Data!B1721=Sel_Category),OR(Sel_Month="All",C1721=Sel_Month),OR(Sel_County="All",Data!L1721=Sel_County)),1,0)</f>
        <v>1</v>
      </c>
    </row>
    <row r="1722" spans="1:9" x14ac:dyDescent="0.25">
      <c r="A1722" s="52" t="str">
        <f>Data!A1722</f>
        <v>TX501721</v>
      </c>
      <c r="B1722" s="52">
        <f>MONTH(Data!F1722)</f>
        <v>3</v>
      </c>
      <c r="C1722" s="52" t="str">
        <f>TEXT(Data!F1722,"mmm")</f>
        <v>Mar</v>
      </c>
      <c r="D1722" s="52" t="str">
        <f>Data!O1722</f>
        <v>Female</v>
      </c>
      <c r="E1722" s="52">
        <f>Data!G1722-Data!F1722</f>
        <v>3</v>
      </c>
      <c r="F1722" s="52">
        <f>IF(Data!J1722&lt;=5,Data!J1722,IF(Data!J1722&lt;=10,"6 TO 10","More than 10"))</f>
        <v>4</v>
      </c>
      <c r="G1722" s="52">
        <f t="shared" si="26"/>
        <v>3</v>
      </c>
      <c r="H1722" s="52">
        <f>ROUND(Data!C1722*Data!D1722-Data!E1722,2)</f>
        <v>0</v>
      </c>
      <c r="I1722" s="52">
        <f>IF(AND(OR(Sel_Mode="All",Data!I1722=Sel_Mode),OR(Sel_Gender="All",D1722=Sel_Gender),OR(Sel_Category="All",Data!B1722=Sel_Category),OR(Sel_Month="All",C1722=Sel_Month),OR(Sel_County="All",Data!L1722=Sel_County)),1,0)</f>
        <v>1</v>
      </c>
    </row>
    <row r="1723" spans="1:9" x14ac:dyDescent="0.25">
      <c r="A1723" s="52" t="str">
        <f>Data!A1723</f>
        <v>TX501722</v>
      </c>
      <c r="B1723" s="52">
        <f>MONTH(Data!F1723)</f>
        <v>3</v>
      </c>
      <c r="C1723" s="52" t="str">
        <f>TEXT(Data!F1723,"mmm")</f>
        <v>Mar</v>
      </c>
      <c r="D1723" s="52" t="str">
        <f>Data!O1723</f>
        <v>Male</v>
      </c>
      <c r="E1723" s="52">
        <f>Data!G1723-Data!F1723</f>
        <v>0</v>
      </c>
      <c r="F1723" s="52">
        <f>IF(Data!J1723&lt;=5,Data!J1723,IF(Data!J1723&lt;=10,"6 TO 10","More than 10"))</f>
        <v>4</v>
      </c>
      <c r="G1723" s="52">
        <f t="shared" si="26"/>
        <v>0</v>
      </c>
      <c r="H1723" s="52">
        <f>ROUND(Data!C1723*Data!D1723-Data!E1723,2)</f>
        <v>0</v>
      </c>
      <c r="I1723" s="52">
        <f>IF(AND(OR(Sel_Mode="All",Data!I1723=Sel_Mode),OR(Sel_Gender="All",D1723=Sel_Gender),OR(Sel_Category="All",Data!B1723=Sel_Category),OR(Sel_Month="All",C1723=Sel_Month),OR(Sel_County="All",Data!L1723=Sel_County)),1,0)</f>
        <v>1</v>
      </c>
    </row>
    <row r="1724" spans="1:9" x14ac:dyDescent="0.25">
      <c r="A1724" s="52" t="str">
        <f>Data!A1724</f>
        <v>TX501723</v>
      </c>
      <c r="B1724" s="52">
        <f>MONTH(Data!F1724)</f>
        <v>3</v>
      </c>
      <c r="C1724" s="52" t="str">
        <f>TEXT(Data!F1724,"mmm")</f>
        <v>Mar</v>
      </c>
      <c r="D1724" s="52" t="str">
        <f>Data!O1724</f>
        <v>Female</v>
      </c>
      <c r="E1724" s="52">
        <f>Data!G1724-Data!F1724</f>
        <v>3</v>
      </c>
      <c r="F1724" s="52">
        <f>IF(Data!J1724&lt;=5,Data!J1724,IF(Data!J1724&lt;=10,"6 TO 10","More than 10"))</f>
        <v>5</v>
      </c>
      <c r="G1724" s="52">
        <f t="shared" si="26"/>
        <v>3</v>
      </c>
      <c r="H1724" s="52">
        <f>ROUND(Data!C1724*Data!D1724-Data!E1724,2)</f>
        <v>0</v>
      </c>
      <c r="I1724" s="52">
        <f>IF(AND(OR(Sel_Mode="All",Data!I1724=Sel_Mode),OR(Sel_Gender="All",D1724=Sel_Gender),OR(Sel_Category="All",Data!B1724=Sel_Category),OR(Sel_Month="All",C1724=Sel_Month),OR(Sel_County="All",Data!L1724=Sel_County)),1,0)</f>
        <v>1</v>
      </c>
    </row>
    <row r="1725" spans="1:9" x14ac:dyDescent="0.25">
      <c r="A1725" s="52" t="str">
        <f>Data!A1725</f>
        <v>TX501724</v>
      </c>
      <c r="B1725" s="52">
        <f>MONTH(Data!F1725)</f>
        <v>3</v>
      </c>
      <c r="C1725" s="52" t="str">
        <f>TEXT(Data!F1725,"mmm")</f>
        <v>Mar</v>
      </c>
      <c r="D1725" s="52" t="str">
        <f>Data!O1725</f>
        <v>Male</v>
      </c>
      <c r="E1725" s="52">
        <f>Data!G1725-Data!F1725</f>
        <v>1</v>
      </c>
      <c r="F1725" s="52">
        <f>IF(Data!J1725&lt;=5,Data!J1725,IF(Data!J1725&lt;=10,"6 TO 10","More than 10"))</f>
        <v>4</v>
      </c>
      <c r="G1725" s="52">
        <f t="shared" si="26"/>
        <v>1</v>
      </c>
      <c r="H1725" s="52">
        <f>ROUND(Data!C1725*Data!D1725-Data!E1725,2)</f>
        <v>0</v>
      </c>
      <c r="I1725" s="52">
        <f>IF(AND(OR(Sel_Mode="All",Data!I1725=Sel_Mode),OR(Sel_Gender="All",D1725=Sel_Gender),OR(Sel_Category="All",Data!B1725=Sel_Category),OR(Sel_Month="All",C1725=Sel_Month),OR(Sel_County="All",Data!L1725=Sel_County)),1,0)</f>
        <v>1</v>
      </c>
    </row>
    <row r="1726" spans="1:9" x14ac:dyDescent="0.25">
      <c r="A1726" s="52" t="str">
        <f>Data!A1726</f>
        <v>TX501725</v>
      </c>
      <c r="B1726" s="52">
        <f>MONTH(Data!F1726)</f>
        <v>3</v>
      </c>
      <c r="C1726" s="52" t="str">
        <f>TEXT(Data!F1726,"mmm")</f>
        <v>Mar</v>
      </c>
      <c r="D1726" s="52" t="str">
        <f>Data!O1726</f>
        <v>Female</v>
      </c>
      <c r="E1726" s="52">
        <f>Data!G1726-Data!F1726</f>
        <v>2</v>
      </c>
      <c r="F1726" s="52">
        <f>IF(Data!J1726&lt;=5,Data!J1726,IF(Data!J1726&lt;=10,"6 TO 10","More than 10"))</f>
        <v>5</v>
      </c>
      <c r="G1726" s="52">
        <f t="shared" si="26"/>
        <v>2</v>
      </c>
      <c r="H1726" s="52">
        <f>ROUND(Data!C1726*Data!D1726-Data!E1726,2)</f>
        <v>0</v>
      </c>
      <c r="I1726" s="52">
        <f>IF(AND(OR(Sel_Mode="All",Data!I1726=Sel_Mode),OR(Sel_Gender="All",D1726=Sel_Gender),OR(Sel_Category="All",Data!B1726=Sel_Category),OR(Sel_Month="All",C1726=Sel_Month),OR(Sel_County="All",Data!L1726=Sel_County)),1,0)</f>
        <v>1</v>
      </c>
    </row>
    <row r="1727" spans="1:9" x14ac:dyDescent="0.25">
      <c r="A1727" s="52" t="str">
        <f>Data!A1727</f>
        <v>TX501726</v>
      </c>
      <c r="B1727" s="52">
        <f>MONTH(Data!F1727)</f>
        <v>3</v>
      </c>
      <c r="C1727" s="52" t="str">
        <f>TEXT(Data!F1727,"mmm")</f>
        <v>Mar</v>
      </c>
      <c r="D1727" s="52" t="str">
        <f>Data!O1727</f>
        <v>Other</v>
      </c>
      <c r="E1727" s="52">
        <f>Data!G1727-Data!F1727</f>
        <v>1</v>
      </c>
      <c r="F1727" s="52">
        <f>IF(Data!J1727&lt;=5,Data!J1727,IF(Data!J1727&lt;=10,"6 TO 10","More than 10"))</f>
        <v>5</v>
      </c>
      <c r="G1727" s="52">
        <f t="shared" si="26"/>
        <v>1</v>
      </c>
      <c r="H1727" s="52">
        <f>ROUND(Data!C1727*Data!D1727-Data!E1727,2)</f>
        <v>0</v>
      </c>
      <c r="I1727" s="52">
        <f>IF(AND(OR(Sel_Mode="All",Data!I1727=Sel_Mode),OR(Sel_Gender="All",D1727=Sel_Gender),OR(Sel_Category="All",Data!B1727=Sel_Category),OR(Sel_Month="All",C1727=Sel_Month),OR(Sel_County="All",Data!L1727=Sel_County)),1,0)</f>
        <v>1</v>
      </c>
    </row>
    <row r="1728" spans="1:9" x14ac:dyDescent="0.25">
      <c r="A1728" s="52" t="str">
        <f>Data!A1728</f>
        <v>TX501727</v>
      </c>
      <c r="B1728" s="52">
        <f>MONTH(Data!F1728)</f>
        <v>3</v>
      </c>
      <c r="C1728" s="52" t="str">
        <f>TEXT(Data!F1728,"mmm")</f>
        <v>Mar</v>
      </c>
      <c r="D1728" s="52" t="str">
        <f>Data!O1728</f>
        <v>Male</v>
      </c>
      <c r="E1728" s="52">
        <f>Data!G1728-Data!F1728</f>
        <v>4</v>
      </c>
      <c r="F1728" s="52">
        <f>IF(Data!J1728&lt;=5,Data!J1728,IF(Data!J1728&lt;=10,"6 TO 10","More than 10"))</f>
        <v>5</v>
      </c>
      <c r="G1728" s="52">
        <f t="shared" si="26"/>
        <v>4</v>
      </c>
      <c r="H1728" s="52">
        <f>ROUND(Data!C1728*Data!D1728-Data!E1728,2)</f>
        <v>0</v>
      </c>
      <c r="I1728" s="52">
        <f>IF(AND(OR(Sel_Mode="All",Data!I1728=Sel_Mode),OR(Sel_Gender="All",D1728=Sel_Gender),OR(Sel_Category="All",Data!B1728=Sel_Category),OR(Sel_Month="All",C1728=Sel_Month),OR(Sel_County="All",Data!L1728=Sel_County)),1,0)</f>
        <v>1</v>
      </c>
    </row>
    <row r="1729" spans="1:9" x14ac:dyDescent="0.25">
      <c r="A1729" s="52" t="str">
        <f>Data!A1729</f>
        <v>TX501728</v>
      </c>
      <c r="B1729" s="52">
        <f>MONTH(Data!F1729)</f>
        <v>3</v>
      </c>
      <c r="C1729" s="52" t="str">
        <f>TEXT(Data!F1729,"mmm")</f>
        <v>Mar</v>
      </c>
      <c r="D1729" s="52" t="str">
        <f>Data!O1729</f>
        <v>Female</v>
      </c>
      <c r="E1729" s="52">
        <f>Data!G1729-Data!F1729</f>
        <v>1</v>
      </c>
      <c r="F1729" s="52">
        <f>IF(Data!J1729&lt;=5,Data!J1729,IF(Data!J1729&lt;=10,"6 TO 10","More than 10"))</f>
        <v>4</v>
      </c>
      <c r="G1729" s="52">
        <f t="shared" si="26"/>
        <v>1</v>
      </c>
      <c r="H1729" s="52">
        <f>ROUND(Data!C1729*Data!D1729-Data!E1729,2)</f>
        <v>0</v>
      </c>
      <c r="I1729" s="52">
        <f>IF(AND(OR(Sel_Mode="All",Data!I1729=Sel_Mode),OR(Sel_Gender="All",D1729=Sel_Gender),OR(Sel_Category="All",Data!B1729=Sel_Category),OR(Sel_Month="All",C1729=Sel_Month),OR(Sel_County="All",Data!L1729=Sel_County)),1,0)</f>
        <v>1</v>
      </c>
    </row>
    <row r="1730" spans="1:9" x14ac:dyDescent="0.25">
      <c r="A1730" s="52" t="str">
        <f>Data!A1730</f>
        <v>TX501729</v>
      </c>
      <c r="B1730" s="52">
        <f>MONTH(Data!F1730)</f>
        <v>3</v>
      </c>
      <c r="C1730" s="52" t="str">
        <f>TEXT(Data!F1730,"mmm")</f>
        <v>Mar</v>
      </c>
      <c r="D1730" s="52" t="str">
        <f>Data!O1730</f>
        <v>Unknown</v>
      </c>
      <c r="E1730" s="52">
        <f>Data!G1730-Data!F1730</f>
        <v>1</v>
      </c>
      <c r="F1730" s="52">
        <f>IF(Data!J1730&lt;=5,Data!J1730,IF(Data!J1730&lt;=10,"6 TO 10","More than 10"))</f>
        <v>4</v>
      </c>
      <c r="G1730" s="52">
        <f t="shared" ref="G1730:G1793" si="27">IF(E1730&gt;=8,"8+",E1730)</f>
        <v>1</v>
      </c>
      <c r="H1730" s="52">
        <f>ROUND(Data!C1730*Data!D1730-Data!E1730,2)</f>
        <v>0</v>
      </c>
      <c r="I1730" s="52">
        <f>IF(AND(OR(Sel_Mode="All",Data!I1730=Sel_Mode),OR(Sel_Gender="All",D1730=Sel_Gender),OR(Sel_Category="All",Data!B1730=Sel_Category),OR(Sel_Month="All",C1730=Sel_Month),OR(Sel_County="All",Data!L1730=Sel_County)),1,0)</f>
        <v>1</v>
      </c>
    </row>
    <row r="1731" spans="1:9" x14ac:dyDescent="0.25">
      <c r="A1731" s="52" t="str">
        <f>Data!A1731</f>
        <v>TX501730</v>
      </c>
      <c r="B1731" s="52">
        <f>MONTH(Data!F1731)</f>
        <v>3</v>
      </c>
      <c r="C1731" s="52" t="str">
        <f>TEXT(Data!F1731,"mmm")</f>
        <v>Mar</v>
      </c>
      <c r="D1731" s="52" t="str">
        <f>Data!O1731</f>
        <v>Male</v>
      </c>
      <c r="E1731" s="52">
        <f>Data!G1731-Data!F1731</f>
        <v>3</v>
      </c>
      <c r="F1731" s="52">
        <f>IF(Data!J1731&lt;=5,Data!J1731,IF(Data!J1731&lt;=10,"6 TO 10","More than 10"))</f>
        <v>3</v>
      </c>
      <c r="G1731" s="52">
        <f t="shared" si="27"/>
        <v>3</v>
      </c>
      <c r="H1731" s="52">
        <f>ROUND(Data!C1731*Data!D1731-Data!E1731,2)</f>
        <v>0</v>
      </c>
      <c r="I1731" s="52">
        <f>IF(AND(OR(Sel_Mode="All",Data!I1731=Sel_Mode),OR(Sel_Gender="All",D1731=Sel_Gender),OR(Sel_Category="All",Data!B1731=Sel_Category),OR(Sel_Month="All",C1731=Sel_Month),OR(Sel_County="All",Data!L1731=Sel_County)),1,0)</f>
        <v>1</v>
      </c>
    </row>
    <row r="1732" spans="1:9" x14ac:dyDescent="0.25">
      <c r="A1732" s="52" t="str">
        <f>Data!A1732</f>
        <v>TX501731</v>
      </c>
      <c r="B1732" s="52">
        <f>MONTH(Data!F1732)</f>
        <v>3</v>
      </c>
      <c r="C1732" s="52" t="str">
        <f>TEXT(Data!F1732,"mmm")</f>
        <v>Mar</v>
      </c>
      <c r="D1732" s="52" t="str">
        <f>Data!O1732</f>
        <v>Female</v>
      </c>
      <c r="E1732" s="52">
        <f>Data!G1732-Data!F1732</f>
        <v>5</v>
      </c>
      <c r="F1732" s="52">
        <f>IF(Data!J1732&lt;=5,Data!J1732,IF(Data!J1732&lt;=10,"6 TO 10","More than 10"))</f>
        <v>4</v>
      </c>
      <c r="G1732" s="52">
        <f t="shared" si="27"/>
        <v>5</v>
      </c>
      <c r="H1732" s="52">
        <f>ROUND(Data!C1732*Data!D1732-Data!E1732,2)</f>
        <v>0</v>
      </c>
      <c r="I1732" s="52">
        <f>IF(AND(OR(Sel_Mode="All",Data!I1732=Sel_Mode),OR(Sel_Gender="All",D1732=Sel_Gender),OR(Sel_Category="All",Data!B1732=Sel_Category),OR(Sel_Month="All",C1732=Sel_Month),OR(Sel_County="All",Data!L1732=Sel_County)),1,0)</f>
        <v>1</v>
      </c>
    </row>
    <row r="1733" spans="1:9" x14ac:dyDescent="0.25">
      <c r="A1733" s="52" t="str">
        <f>Data!A1733</f>
        <v>TX501732</v>
      </c>
      <c r="B1733" s="52">
        <f>MONTH(Data!F1733)</f>
        <v>3</v>
      </c>
      <c r="C1733" s="52" t="str">
        <f>TEXT(Data!F1733,"mmm")</f>
        <v>Mar</v>
      </c>
      <c r="D1733" s="52" t="str">
        <f>Data!O1733</f>
        <v>Female</v>
      </c>
      <c r="E1733" s="52">
        <f>Data!G1733-Data!F1733</f>
        <v>4</v>
      </c>
      <c r="F1733" s="52">
        <f>IF(Data!J1733&lt;=5,Data!J1733,IF(Data!J1733&lt;=10,"6 TO 10","More than 10"))</f>
        <v>2</v>
      </c>
      <c r="G1733" s="52">
        <f t="shared" si="27"/>
        <v>4</v>
      </c>
      <c r="H1733" s="52">
        <f>ROUND(Data!C1733*Data!D1733-Data!E1733,2)</f>
        <v>0</v>
      </c>
      <c r="I1733" s="52">
        <f>IF(AND(OR(Sel_Mode="All",Data!I1733=Sel_Mode),OR(Sel_Gender="All",D1733=Sel_Gender),OR(Sel_Category="All",Data!B1733=Sel_Category),OR(Sel_Month="All",C1733=Sel_Month),OR(Sel_County="All",Data!L1733=Sel_County)),1,0)</f>
        <v>1</v>
      </c>
    </row>
    <row r="1734" spans="1:9" x14ac:dyDescent="0.25">
      <c r="A1734" s="52" t="str">
        <f>Data!A1734</f>
        <v>TX501733</v>
      </c>
      <c r="B1734" s="52">
        <f>MONTH(Data!F1734)</f>
        <v>3</v>
      </c>
      <c r="C1734" s="52" t="str">
        <f>TEXT(Data!F1734,"mmm")</f>
        <v>Mar</v>
      </c>
      <c r="D1734" s="52" t="str">
        <f>Data!O1734</f>
        <v>Female</v>
      </c>
      <c r="E1734" s="52">
        <f>Data!G1734-Data!F1734</f>
        <v>0</v>
      </c>
      <c r="F1734" s="52">
        <f>IF(Data!J1734&lt;=5,Data!J1734,IF(Data!J1734&lt;=10,"6 TO 10","More than 10"))</f>
        <v>3</v>
      </c>
      <c r="G1734" s="52">
        <f t="shared" si="27"/>
        <v>0</v>
      </c>
      <c r="H1734" s="52">
        <f>ROUND(Data!C1734*Data!D1734-Data!E1734,2)</f>
        <v>0</v>
      </c>
      <c r="I1734" s="52">
        <f>IF(AND(OR(Sel_Mode="All",Data!I1734=Sel_Mode),OR(Sel_Gender="All",D1734=Sel_Gender),OR(Sel_Category="All",Data!B1734=Sel_Category),OR(Sel_Month="All",C1734=Sel_Month),OR(Sel_County="All",Data!L1734=Sel_County)),1,0)</f>
        <v>1</v>
      </c>
    </row>
    <row r="1735" spans="1:9" x14ac:dyDescent="0.25">
      <c r="A1735" s="52" t="str">
        <f>Data!A1735</f>
        <v>TX501734</v>
      </c>
      <c r="B1735" s="52">
        <f>MONTH(Data!F1735)</f>
        <v>3</v>
      </c>
      <c r="C1735" s="52" t="str">
        <f>TEXT(Data!F1735,"mmm")</f>
        <v>Mar</v>
      </c>
      <c r="D1735" s="52" t="str">
        <f>Data!O1735</f>
        <v>Male</v>
      </c>
      <c r="E1735" s="52">
        <f>Data!G1735-Data!F1735</f>
        <v>4</v>
      </c>
      <c r="F1735" s="52">
        <f>IF(Data!J1735&lt;=5,Data!J1735,IF(Data!J1735&lt;=10,"6 TO 10","More than 10"))</f>
        <v>4</v>
      </c>
      <c r="G1735" s="52">
        <f t="shared" si="27"/>
        <v>4</v>
      </c>
      <c r="H1735" s="52">
        <f>ROUND(Data!C1735*Data!D1735-Data!E1735,2)</f>
        <v>0</v>
      </c>
      <c r="I1735" s="52">
        <f>IF(AND(OR(Sel_Mode="All",Data!I1735=Sel_Mode),OR(Sel_Gender="All",D1735=Sel_Gender),OR(Sel_Category="All",Data!B1735=Sel_Category),OR(Sel_Month="All",C1735=Sel_Month),OR(Sel_County="All",Data!L1735=Sel_County)),1,0)</f>
        <v>1</v>
      </c>
    </row>
    <row r="1736" spans="1:9" x14ac:dyDescent="0.25">
      <c r="A1736" s="52" t="str">
        <f>Data!A1736</f>
        <v>TX501735</v>
      </c>
      <c r="B1736" s="52">
        <f>MONTH(Data!F1736)</f>
        <v>3</v>
      </c>
      <c r="C1736" s="52" t="str">
        <f>TEXT(Data!F1736,"mmm")</f>
        <v>Mar</v>
      </c>
      <c r="D1736" s="52" t="str">
        <f>Data!O1736</f>
        <v>Male</v>
      </c>
      <c r="E1736" s="52">
        <f>Data!G1736-Data!F1736</f>
        <v>1</v>
      </c>
      <c r="F1736" s="52">
        <f>IF(Data!J1736&lt;=5,Data!J1736,IF(Data!J1736&lt;=10,"6 TO 10","More than 10"))</f>
        <v>5</v>
      </c>
      <c r="G1736" s="52">
        <f t="shared" si="27"/>
        <v>1</v>
      </c>
      <c r="H1736" s="52">
        <f>ROUND(Data!C1736*Data!D1736-Data!E1736,2)</f>
        <v>0</v>
      </c>
      <c r="I1736" s="52">
        <f>IF(AND(OR(Sel_Mode="All",Data!I1736=Sel_Mode),OR(Sel_Gender="All",D1736=Sel_Gender),OR(Sel_Category="All",Data!B1736=Sel_Category),OR(Sel_Month="All",C1736=Sel_Month),OR(Sel_County="All",Data!L1736=Sel_County)),1,0)</f>
        <v>1</v>
      </c>
    </row>
    <row r="1737" spans="1:9" x14ac:dyDescent="0.25">
      <c r="A1737" s="52" t="str">
        <f>Data!A1737</f>
        <v>TX501736</v>
      </c>
      <c r="B1737" s="52">
        <f>MONTH(Data!F1737)</f>
        <v>3</v>
      </c>
      <c r="C1737" s="52" t="str">
        <f>TEXT(Data!F1737,"mmm")</f>
        <v>Mar</v>
      </c>
      <c r="D1737" s="52" t="str">
        <f>Data!O1737</f>
        <v>Male</v>
      </c>
      <c r="E1737" s="52">
        <f>Data!G1737-Data!F1737</f>
        <v>0</v>
      </c>
      <c r="F1737" s="52">
        <f>IF(Data!J1737&lt;=5,Data!J1737,IF(Data!J1737&lt;=10,"6 TO 10","More than 10"))</f>
        <v>5</v>
      </c>
      <c r="G1737" s="52">
        <f t="shared" si="27"/>
        <v>0</v>
      </c>
      <c r="H1737" s="52">
        <f>ROUND(Data!C1737*Data!D1737-Data!E1737,2)</f>
        <v>0</v>
      </c>
      <c r="I1737" s="52">
        <f>IF(AND(OR(Sel_Mode="All",Data!I1737=Sel_Mode),OR(Sel_Gender="All",D1737=Sel_Gender),OR(Sel_Category="All",Data!B1737=Sel_Category),OR(Sel_Month="All",C1737=Sel_Month),OR(Sel_County="All",Data!L1737=Sel_County)),1,0)</f>
        <v>1</v>
      </c>
    </row>
    <row r="1738" spans="1:9" x14ac:dyDescent="0.25">
      <c r="A1738" s="52" t="str">
        <f>Data!A1738</f>
        <v>TX501737</v>
      </c>
      <c r="B1738" s="52">
        <f>MONTH(Data!F1738)</f>
        <v>3</v>
      </c>
      <c r="C1738" s="52" t="str">
        <f>TEXT(Data!F1738,"mmm")</f>
        <v>Mar</v>
      </c>
      <c r="D1738" s="52" t="str">
        <f>Data!O1738</f>
        <v>Female</v>
      </c>
      <c r="E1738" s="52">
        <f>Data!G1738-Data!F1738</f>
        <v>4</v>
      </c>
      <c r="F1738" s="52">
        <f>IF(Data!J1738&lt;=5,Data!J1738,IF(Data!J1738&lt;=10,"6 TO 10","More than 10"))</f>
        <v>4</v>
      </c>
      <c r="G1738" s="52">
        <f t="shared" si="27"/>
        <v>4</v>
      </c>
      <c r="H1738" s="52">
        <f>ROUND(Data!C1738*Data!D1738-Data!E1738,2)</f>
        <v>0</v>
      </c>
      <c r="I1738" s="52">
        <f>IF(AND(OR(Sel_Mode="All",Data!I1738=Sel_Mode),OR(Sel_Gender="All",D1738=Sel_Gender),OR(Sel_Category="All",Data!B1738=Sel_Category),OR(Sel_Month="All",C1738=Sel_Month),OR(Sel_County="All",Data!L1738=Sel_County)),1,0)</f>
        <v>1</v>
      </c>
    </row>
    <row r="1739" spans="1:9" x14ac:dyDescent="0.25">
      <c r="A1739" s="52" t="str">
        <f>Data!A1739</f>
        <v>TX501738</v>
      </c>
      <c r="B1739" s="52">
        <f>MONTH(Data!F1739)</f>
        <v>3</v>
      </c>
      <c r="C1739" s="52" t="str">
        <f>TEXT(Data!F1739,"mmm")</f>
        <v>Mar</v>
      </c>
      <c r="D1739" s="52" t="str">
        <f>Data!O1739</f>
        <v>Female</v>
      </c>
      <c r="E1739" s="52">
        <f>Data!G1739-Data!F1739</f>
        <v>1</v>
      </c>
      <c r="F1739" s="52">
        <f>IF(Data!J1739&lt;=5,Data!J1739,IF(Data!J1739&lt;=10,"6 TO 10","More than 10"))</f>
        <v>4</v>
      </c>
      <c r="G1739" s="52">
        <f t="shared" si="27"/>
        <v>1</v>
      </c>
      <c r="H1739" s="52">
        <f>ROUND(Data!C1739*Data!D1739-Data!E1739,2)</f>
        <v>0</v>
      </c>
      <c r="I1739" s="52">
        <f>IF(AND(OR(Sel_Mode="All",Data!I1739=Sel_Mode),OR(Sel_Gender="All",D1739=Sel_Gender),OR(Sel_Category="All",Data!B1739=Sel_Category),OR(Sel_Month="All",C1739=Sel_Month),OR(Sel_County="All",Data!L1739=Sel_County)),1,0)</f>
        <v>1</v>
      </c>
    </row>
    <row r="1740" spans="1:9" x14ac:dyDescent="0.25">
      <c r="A1740" s="52" t="str">
        <f>Data!A1740</f>
        <v>TX501739</v>
      </c>
      <c r="B1740" s="52">
        <f>MONTH(Data!F1740)</f>
        <v>3</v>
      </c>
      <c r="C1740" s="52" t="str">
        <f>TEXT(Data!F1740,"mmm")</f>
        <v>Mar</v>
      </c>
      <c r="D1740" s="52" t="str">
        <f>Data!O1740</f>
        <v>Other</v>
      </c>
      <c r="E1740" s="52">
        <f>Data!G1740-Data!F1740</f>
        <v>0</v>
      </c>
      <c r="F1740" s="52">
        <f>IF(Data!J1740&lt;=5,Data!J1740,IF(Data!J1740&lt;=10,"6 TO 10","More than 10"))</f>
        <v>4</v>
      </c>
      <c r="G1740" s="52">
        <f t="shared" si="27"/>
        <v>0</v>
      </c>
      <c r="H1740" s="52">
        <f>ROUND(Data!C1740*Data!D1740-Data!E1740,2)</f>
        <v>0</v>
      </c>
      <c r="I1740" s="52">
        <f>IF(AND(OR(Sel_Mode="All",Data!I1740=Sel_Mode),OR(Sel_Gender="All",D1740=Sel_Gender),OR(Sel_Category="All",Data!B1740=Sel_Category),OR(Sel_Month="All",C1740=Sel_Month),OR(Sel_County="All",Data!L1740=Sel_County)),1,0)</f>
        <v>1</v>
      </c>
    </row>
    <row r="1741" spans="1:9" x14ac:dyDescent="0.25">
      <c r="A1741" s="52" t="str">
        <f>Data!A1741</f>
        <v>TX501740</v>
      </c>
      <c r="B1741" s="52">
        <f>MONTH(Data!F1741)</f>
        <v>3</v>
      </c>
      <c r="C1741" s="52" t="str">
        <f>TEXT(Data!F1741,"mmm")</f>
        <v>Mar</v>
      </c>
      <c r="D1741" s="52" t="str">
        <f>Data!O1741</f>
        <v>Female</v>
      </c>
      <c r="E1741" s="52">
        <f>Data!G1741-Data!F1741</f>
        <v>3</v>
      </c>
      <c r="F1741" s="52">
        <f>IF(Data!J1741&lt;=5,Data!J1741,IF(Data!J1741&lt;=10,"6 TO 10","More than 10"))</f>
        <v>3</v>
      </c>
      <c r="G1741" s="52">
        <f t="shared" si="27"/>
        <v>3</v>
      </c>
      <c r="H1741" s="52">
        <f>ROUND(Data!C1741*Data!D1741-Data!E1741,2)</f>
        <v>0</v>
      </c>
      <c r="I1741" s="52">
        <f>IF(AND(OR(Sel_Mode="All",Data!I1741=Sel_Mode),OR(Sel_Gender="All",D1741=Sel_Gender),OR(Sel_Category="All",Data!B1741=Sel_Category),OR(Sel_Month="All",C1741=Sel_Month),OR(Sel_County="All",Data!L1741=Sel_County)),1,0)</f>
        <v>1</v>
      </c>
    </row>
    <row r="1742" spans="1:9" x14ac:dyDescent="0.25">
      <c r="A1742" s="52" t="str">
        <f>Data!A1742</f>
        <v>TX501741</v>
      </c>
      <c r="B1742" s="52">
        <f>MONTH(Data!F1742)</f>
        <v>3</v>
      </c>
      <c r="C1742" s="52" t="str">
        <f>TEXT(Data!F1742,"mmm")</f>
        <v>Mar</v>
      </c>
      <c r="D1742" s="52" t="str">
        <f>Data!O1742</f>
        <v>Male</v>
      </c>
      <c r="E1742" s="52">
        <f>Data!G1742-Data!F1742</f>
        <v>5</v>
      </c>
      <c r="F1742" s="52">
        <f>IF(Data!J1742&lt;=5,Data!J1742,IF(Data!J1742&lt;=10,"6 TO 10","More than 10"))</f>
        <v>5</v>
      </c>
      <c r="G1742" s="52">
        <f t="shared" si="27"/>
        <v>5</v>
      </c>
      <c r="H1742" s="52">
        <f>ROUND(Data!C1742*Data!D1742-Data!E1742,2)</f>
        <v>0</v>
      </c>
      <c r="I1742" s="52">
        <f>IF(AND(OR(Sel_Mode="All",Data!I1742=Sel_Mode),OR(Sel_Gender="All",D1742=Sel_Gender),OR(Sel_Category="All",Data!B1742=Sel_Category),OR(Sel_Month="All",C1742=Sel_Month),OR(Sel_County="All",Data!L1742=Sel_County)),1,0)</f>
        <v>1</v>
      </c>
    </row>
    <row r="1743" spans="1:9" x14ac:dyDescent="0.25">
      <c r="A1743" s="52" t="str">
        <f>Data!A1743</f>
        <v>TX501742</v>
      </c>
      <c r="B1743" s="52">
        <f>MONTH(Data!F1743)</f>
        <v>3</v>
      </c>
      <c r="C1743" s="52" t="str">
        <f>TEXT(Data!F1743,"mmm")</f>
        <v>Mar</v>
      </c>
      <c r="D1743" s="52" t="str">
        <f>Data!O1743</f>
        <v>Female</v>
      </c>
      <c r="E1743" s="52">
        <f>Data!G1743-Data!F1743</f>
        <v>3</v>
      </c>
      <c r="F1743" s="52">
        <f>IF(Data!J1743&lt;=5,Data!J1743,IF(Data!J1743&lt;=10,"6 TO 10","More than 10"))</f>
        <v>5</v>
      </c>
      <c r="G1743" s="52">
        <f t="shared" si="27"/>
        <v>3</v>
      </c>
      <c r="H1743" s="52">
        <f>ROUND(Data!C1743*Data!D1743-Data!E1743,2)</f>
        <v>0</v>
      </c>
      <c r="I1743" s="52">
        <f>IF(AND(OR(Sel_Mode="All",Data!I1743=Sel_Mode),OR(Sel_Gender="All",D1743=Sel_Gender),OR(Sel_Category="All",Data!B1743=Sel_Category),OR(Sel_Month="All",C1743=Sel_Month),OR(Sel_County="All",Data!L1743=Sel_County)),1,0)</f>
        <v>1</v>
      </c>
    </row>
    <row r="1744" spans="1:9" x14ac:dyDescent="0.25">
      <c r="A1744" s="52" t="str">
        <f>Data!A1744</f>
        <v>TX501743</v>
      </c>
      <c r="B1744" s="52">
        <f>MONTH(Data!F1744)</f>
        <v>3</v>
      </c>
      <c r="C1744" s="52" t="str">
        <f>TEXT(Data!F1744,"mmm")</f>
        <v>Mar</v>
      </c>
      <c r="D1744" s="52" t="str">
        <f>Data!O1744</f>
        <v>Male</v>
      </c>
      <c r="E1744" s="52">
        <f>Data!G1744-Data!F1744</f>
        <v>1</v>
      </c>
      <c r="F1744" s="52">
        <f>IF(Data!J1744&lt;=5,Data!J1744,IF(Data!J1744&lt;=10,"6 TO 10","More than 10"))</f>
        <v>5</v>
      </c>
      <c r="G1744" s="52">
        <f t="shared" si="27"/>
        <v>1</v>
      </c>
      <c r="H1744" s="52">
        <f>ROUND(Data!C1744*Data!D1744-Data!E1744,2)</f>
        <v>0</v>
      </c>
      <c r="I1744" s="52">
        <f>IF(AND(OR(Sel_Mode="All",Data!I1744=Sel_Mode),OR(Sel_Gender="All",D1744=Sel_Gender),OR(Sel_Category="All",Data!B1744=Sel_Category),OR(Sel_Month="All",C1744=Sel_Month),OR(Sel_County="All",Data!L1744=Sel_County)),1,0)</f>
        <v>1</v>
      </c>
    </row>
    <row r="1745" spans="1:9" x14ac:dyDescent="0.25">
      <c r="A1745" s="52" t="str">
        <f>Data!A1745</f>
        <v>TX501744</v>
      </c>
      <c r="B1745" s="52">
        <f>MONTH(Data!F1745)</f>
        <v>3</v>
      </c>
      <c r="C1745" s="52" t="str">
        <f>TEXT(Data!F1745,"mmm")</f>
        <v>Mar</v>
      </c>
      <c r="D1745" s="52" t="str">
        <f>Data!O1745</f>
        <v>Other</v>
      </c>
      <c r="E1745" s="52">
        <f>Data!G1745-Data!F1745</f>
        <v>3</v>
      </c>
      <c r="F1745" s="52">
        <f>IF(Data!J1745&lt;=5,Data!J1745,IF(Data!J1745&lt;=10,"6 TO 10","More than 10"))</f>
        <v>2</v>
      </c>
      <c r="G1745" s="52">
        <f t="shared" si="27"/>
        <v>3</v>
      </c>
      <c r="H1745" s="52">
        <f>ROUND(Data!C1745*Data!D1745-Data!E1745,2)</f>
        <v>0</v>
      </c>
      <c r="I1745" s="52">
        <f>IF(AND(OR(Sel_Mode="All",Data!I1745=Sel_Mode),OR(Sel_Gender="All",D1745=Sel_Gender),OR(Sel_Category="All",Data!B1745=Sel_Category),OR(Sel_Month="All",C1745=Sel_Month),OR(Sel_County="All",Data!L1745=Sel_County)),1,0)</f>
        <v>1</v>
      </c>
    </row>
    <row r="1746" spans="1:9" x14ac:dyDescent="0.25">
      <c r="A1746" s="52" t="str">
        <f>Data!A1746</f>
        <v>TX501745</v>
      </c>
      <c r="B1746" s="52">
        <f>MONTH(Data!F1746)</f>
        <v>3</v>
      </c>
      <c r="C1746" s="52" t="str">
        <f>TEXT(Data!F1746,"mmm")</f>
        <v>Mar</v>
      </c>
      <c r="D1746" s="52" t="str">
        <f>Data!O1746</f>
        <v>Male</v>
      </c>
      <c r="E1746" s="52">
        <f>Data!G1746-Data!F1746</f>
        <v>10</v>
      </c>
      <c r="F1746" s="52">
        <f>IF(Data!J1746&lt;=5,Data!J1746,IF(Data!J1746&lt;=10,"6 TO 10","More than 10"))</f>
        <v>4</v>
      </c>
      <c r="G1746" s="52" t="str">
        <f t="shared" si="27"/>
        <v>8+</v>
      </c>
      <c r="H1746" s="52">
        <f>ROUND(Data!C1746*Data!D1746-Data!E1746,2)</f>
        <v>0</v>
      </c>
      <c r="I1746" s="52">
        <f>IF(AND(OR(Sel_Mode="All",Data!I1746=Sel_Mode),OR(Sel_Gender="All",D1746=Sel_Gender),OR(Sel_Category="All",Data!B1746=Sel_Category),OR(Sel_Month="All",C1746=Sel_Month),OR(Sel_County="All",Data!L1746=Sel_County)),1,0)</f>
        <v>1</v>
      </c>
    </row>
    <row r="1747" spans="1:9" x14ac:dyDescent="0.25">
      <c r="A1747" s="52" t="str">
        <f>Data!A1747</f>
        <v>TX501746</v>
      </c>
      <c r="B1747" s="52">
        <f>MONTH(Data!F1747)</f>
        <v>3</v>
      </c>
      <c r="C1747" s="52" t="str">
        <f>TEXT(Data!F1747,"mmm")</f>
        <v>Mar</v>
      </c>
      <c r="D1747" s="52" t="str">
        <f>Data!O1747</f>
        <v>Female</v>
      </c>
      <c r="E1747" s="52">
        <f>Data!G1747-Data!F1747</f>
        <v>4</v>
      </c>
      <c r="F1747" s="52">
        <f>IF(Data!J1747&lt;=5,Data!J1747,IF(Data!J1747&lt;=10,"6 TO 10","More than 10"))</f>
        <v>5</v>
      </c>
      <c r="G1747" s="52">
        <f t="shared" si="27"/>
        <v>4</v>
      </c>
      <c r="H1747" s="52">
        <f>ROUND(Data!C1747*Data!D1747-Data!E1747,2)</f>
        <v>0</v>
      </c>
      <c r="I1747" s="52">
        <f>IF(AND(OR(Sel_Mode="All",Data!I1747=Sel_Mode),OR(Sel_Gender="All",D1747=Sel_Gender),OR(Sel_Category="All",Data!B1747=Sel_Category),OR(Sel_Month="All",C1747=Sel_Month),OR(Sel_County="All",Data!L1747=Sel_County)),1,0)</f>
        <v>1</v>
      </c>
    </row>
    <row r="1748" spans="1:9" x14ac:dyDescent="0.25">
      <c r="A1748" s="52" t="str">
        <f>Data!A1748</f>
        <v>TX501747</v>
      </c>
      <c r="B1748" s="52">
        <f>MONTH(Data!F1748)</f>
        <v>3</v>
      </c>
      <c r="C1748" s="52" t="str">
        <f>TEXT(Data!F1748,"mmm")</f>
        <v>Mar</v>
      </c>
      <c r="D1748" s="52" t="str">
        <f>Data!O1748</f>
        <v>Female</v>
      </c>
      <c r="E1748" s="52">
        <f>Data!G1748-Data!F1748</f>
        <v>1</v>
      </c>
      <c r="F1748" s="52">
        <f>IF(Data!J1748&lt;=5,Data!J1748,IF(Data!J1748&lt;=10,"6 TO 10","More than 10"))</f>
        <v>4</v>
      </c>
      <c r="G1748" s="52">
        <f t="shared" si="27"/>
        <v>1</v>
      </c>
      <c r="H1748" s="52">
        <f>ROUND(Data!C1748*Data!D1748-Data!E1748,2)</f>
        <v>0</v>
      </c>
      <c r="I1748" s="52">
        <f>IF(AND(OR(Sel_Mode="All",Data!I1748=Sel_Mode),OR(Sel_Gender="All",D1748=Sel_Gender),OR(Sel_Category="All",Data!B1748=Sel_Category),OR(Sel_Month="All",C1748=Sel_Month),OR(Sel_County="All",Data!L1748=Sel_County)),1,0)</f>
        <v>1</v>
      </c>
    </row>
    <row r="1749" spans="1:9" x14ac:dyDescent="0.25">
      <c r="A1749" s="52" t="str">
        <f>Data!A1749</f>
        <v>TX501748</v>
      </c>
      <c r="B1749" s="52">
        <f>MONTH(Data!F1749)</f>
        <v>3</v>
      </c>
      <c r="C1749" s="52" t="str">
        <f>TEXT(Data!F1749,"mmm")</f>
        <v>Mar</v>
      </c>
      <c r="D1749" s="52" t="str">
        <f>Data!O1749</f>
        <v>Female</v>
      </c>
      <c r="E1749" s="52">
        <f>Data!G1749-Data!F1749</f>
        <v>4</v>
      </c>
      <c r="F1749" s="52">
        <f>IF(Data!J1749&lt;=5,Data!J1749,IF(Data!J1749&lt;=10,"6 TO 10","More than 10"))</f>
        <v>4</v>
      </c>
      <c r="G1749" s="52">
        <f t="shared" si="27"/>
        <v>4</v>
      </c>
      <c r="H1749" s="52">
        <f>ROUND(Data!C1749*Data!D1749-Data!E1749,2)</f>
        <v>0</v>
      </c>
      <c r="I1749" s="52">
        <f>IF(AND(OR(Sel_Mode="All",Data!I1749=Sel_Mode),OR(Sel_Gender="All",D1749=Sel_Gender),OR(Sel_Category="All",Data!B1749=Sel_Category),OR(Sel_Month="All",C1749=Sel_Month),OR(Sel_County="All",Data!L1749=Sel_County)),1,0)</f>
        <v>1</v>
      </c>
    </row>
    <row r="1750" spans="1:9" x14ac:dyDescent="0.25">
      <c r="A1750" s="52" t="str">
        <f>Data!A1750</f>
        <v>TX501749</v>
      </c>
      <c r="B1750" s="52">
        <f>MONTH(Data!F1750)</f>
        <v>3</v>
      </c>
      <c r="C1750" s="52" t="str">
        <f>TEXT(Data!F1750,"mmm")</f>
        <v>Mar</v>
      </c>
      <c r="D1750" s="52" t="str">
        <f>Data!O1750</f>
        <v>Male</v>
      </c>
      <c r="E1750" s="52">
        <f>Data!G1750-Data!F1750</f>
        <v>2</v>
      </c>
      <c r="F1750" s="52">
        <f>IF(Data!J1750&lt;=5,Data!J1750,IF(Data!J1750&lt;=10,"6 TO 10","More than 10"))</f>
        <v>4</v>
      </c>
      <c r="G1750" s="52">
        <f t="shared" si="27"/>
        <v>2</v>
      </c>
      <c r="H1750" s="52">
        <f>ROUND(Data!C1750*Data!D1750-Data!E1750,2)</f>
        <v>0</v>
      </c>
      <c r="I1750" s="52">
        <f>IF(AND(OR(Sel_Mode="All",Data!I1750=Sel_Mode),OR(Sel_Gender="All",D1750=Sel_Gender),OR(Sel_Category="All",Data!B1750=Sel_Category),OR(Sel_Month="All",C1750=Sel_Month),OR(Sel_County="All",Data!L1750=Sel_County)),1,0)</f>
        <v>1</v>
      </c>
    </row>
    <row r="1751" spans="1:9" x14ac:dyDescent="0.25">
      <c r="A1751" s="52" t="str">
        <f>Data!A1751</f>
        <v>TX501750</v>
      </c>
      <c r="B1751" s="52">
        <f>MONTH(Data!F1751)</f>
        <v>3</v>
      </c>
      <c r="C1751" s="52" t="str">
        <f>TEXT(Data!F1751,"mmm")</f>
        <v>Mar</v>
      </c>
      <c r="D1751" s="52" t="str">
        <f>Data!O1751</f>
        <v>Male</v>
      </c>
      <c r="E1751" s="52">
        <f>Data!G1751-Data!F1751</f>
        <v>1</v>
      </c>
      <c r="F1751" s="52">
        <f>IF(Data!J1751&lt;=5,Data!J1751,IF(Data!J1751&lt;=10,"6 TO 10","More than 10"))</f>
        <v>4</v>
      </c>
      <c r="G1751" s="52">
        <f t="shared" si="27"/>
        <v>1</v>
      </c>
      <c r="H1751" s="52">
        <f>ROUND(Data!C1751*Data!D1751-Data!E1751,2)</f>
        <v>0</v>
      </c>
      <c r="I1751" s="52">
        <f>IF(AND(OR(Sel_Mode="All",Data!I1751=Sel_Mode),OR(Sel_Gender="All",D1751=Sel_Gender),OR(Sel_Category="All",Data!B1751=Sel_Category),OR(Sel_Month="All",C1751=Sel_Month),OR(Sel_County="All",Data!L1751=Sel_County)),1,0)</f>
        <v>1</v>
      </c>
    </row>
    <row r="1752" spans="1:9" x14ac:dyDescent="0.25">
      <c r="A1752" s="52" t="str">
        <f>Data!A1752</f>
        <v>TX501751</v>
      </c>
      <c r="B1752" s="52">
        <f>MONTH(Data!F1752)</f>
        <v>3</v>
      </c>
      <c r="C1752" s="52" t="str">
        <f>TEXT(Data!F1752,"mmm")</f>
        <v>Mar</v>
      </c>
      <c r="D1752" s="52" t="str">
        <f>Data!O1752</f>
        <v>Male</v>
      </c>
      <c r="E1752" s="52">
        <f>Data!G1752-Data!F1752</f>
        <v>3</v>
      </c>
      <c r="F1752" s="52">
        <f>IF(Data!J1752&lt;=5,Data!J1752,IF(Data!J1752&lt;=10,"6 TO 10","More than 10"))</f>
        <v>3</v>
      </c>
      <c r="G1752" s="52">
        <f t="shared" si="27"/>
        <v>3</v>
      </c>
      <c r="H1752" s="52">
        <f>ROUND(Data!C1752*Data!D1752-Data!E1752,2)</f>
        <v>0</v>
      </c>
      <c r="I1752" s="52">
        <f>IF(AND(OR(Sel_Mode="All",Data!I1752=Sel_Mode),OR(Sel_Gender="All",D1752=Sel_Gender),OR(Sel_Category="All",Data!B1752=Sel_Category),OR(Sel_Month="All",C1752=Sel_Month),OR(Sel_County="All",Data!L1752=Sel_County)),1,0)</f>
        <v>1</v>
      </c>
    </row>
    <row r="1753" spans="1:9" x14ac:dyDescent="0.25">
      <c r="A1753" s="52" t="str">
        <f>Data!A1753</f>
        <v>TX501752</v>
      </c>
      <c r="B1753" s="52">
        <f>MONTH(Data!F1753)</f>
        <v>3</v>
      </c>
      <c r="C1753" s="52" t="str">
        <f>TEXT(Data!F1753,"mmm")</f>
        <v>Mar</v>
      </c>
      <c r="D1753" s="52" t="str">
        <f>Data!O1753</f>
        <v>Female</v>
      </c>
      <c r="E1753" s="52">
        <f>Data!G1753-Data!F1753</f>
        <v>1</v>
      </c>
      <c r="F1753" s="52">
        <f>IF(Data!J1753&lt;=5,Data!J1753,IF(Data!J1753&lt;=10,"6 TO 10","More than 10"))</f>
        <v>5</v>
      </c>
      <c r="G1753" s="52">
        <f t="shared" si="27"/>
        <v>1</v>
      </c>
      <c r="H1753" s="52">
        <f>ROUND(Data!C1753*Data!D1753-Data!E1753,2)</f>
        <v>0</v>
      </c>
      <c r="I1753" s="52">
        <f>IF(AND(OR(Sel_Mode="All",Data!I1753=Sel_Mode),OR(Sel_Gender="All",D1753=Sel_Gender),OR(Sel_Category="All",Data!B1753=Sel_Category),OR(Sel_Month="All",C1753=Sel_Month),OR(Sel_County="All",Data!L1753=Sel_County)),1,0)</f>
        <v>1</v>
      </c>
    </row>
    <row r="1754" spans="1:9" x14ac:dyDescent="0.25">
      <c r="A1754" s="52" t="str">
        <f>Data!A1754</f>
        <v>TX501753</v>
      </c>
      <c r="B1754" s="52">
        <f>MONTH(Data!F1754)</f>
        <v>3</v>
      </c>
      <c r="C1754" s="52" t="str">
        <f>TEXT(Data!F1754,"mmm")</f>
        <v>Mar</v>
      </c>
      <c r="D1754" s="52" t="str">
        <f>Data!O1754</f>
        <v>Male</v>
      </c>
      <c r="E1754" s="52">
        <f>Data!G1754-Data!F1754</f>
        <v>1</v>
      </c>
      <c r="F1754" s="52">
        <f>IF(Data!J1754&lt;=5,Data!J1754,IF(Data!J1754&lt;=10,"6 TO 10","More than 10"))</f>
        <v>4</v>
      </c>
      <c r="G1754" s="52">
        <f t="shared" si="27"/>
        <v>1</v>
      </c>
      <c r="H1754" s="52">
        <f>ROUND(Data!C1754*Data!D1754-Data!E1754,2)</f>
        <v>0</v>
      </c>
      <c r="I1754" s="52">
        <f>IF(AND(OR(Sel_Mode="All",Data!I1754=Sel_Mode),OR(Sel_Gender="All",D1754=Sel_Gender),OR(Sel_Category="All",Data!B1754=Sel_Category),OR(Sel_Month="All",C1754=Sel_Month),OR(Sel_County="All",Data!L1754=Sel_County)),1,0)</f>
        <v>1</v>
      </c>
    </row>
    <row r="1755" spans="1:9" x14ac:dyDescent="0.25">
      <c r="A1755" s="52" t="str">
        <f>Data!A1755</f>
        <v>TX501754</v>
      </c>
      <c r="B1755" s="52">
        <f>MONTH(Data!F1755)</f>
        <v>3</v>
      </c>
      <c r="C1755" s="52" t="str">
        <f>TEXT(Data!F1755,"mmm")</f>
        <v>Mar</v>
      </c>
      <c r="D1755" s="52" t="str">
        <f>Data!O1755</f>
        <v>Female</v>
      </c>
      <c r="E1755" s="52">
        <f>Data!G1755-Data!F1755</f>
        <v>1</v>
      </c>
      <c r="F1755" s="52">
        <f>IF(Data!J1755&lt;=5,Data!J1755,IF(Data!J1755&lt;=10,"6 TO 10","More than 10"))</f>
        <v>5</v>
      </c>
      <c r="G1755" s="52">
        <f t="shared" si="27"/>
        <v>1</v>
      </c>
      <c r="H1755" s="52">
        <f>ROUND(Data!C1755*Data!D1755-Data!E1755,2)</f>
        <v>0</v>
      </c>
      <c r="I1755" s="52">
        <f>IF(AND(OR(Sel_Mode="All",Data!I1755=Sel_Mode),OR(Sel_Gender="All",D1755=Sel_Gender),OR(Sel_Category="All",Data!B1755=Sel_Category),OR(Sel_Month="All",C1755=Sel_Month),OR(Sel_County="All",Data!L1755=Sel_County)),1,0)</f>
        <v>1</v>
      </c>
    </row>
    <row r="1756" spans="1:9" x14ac:dyDescent="0.25">
      <c r="A1756" s="52" t="str">
        <f>Data!A1756</f>
        <v>TX501755</v>
      </c>
      <c r="B1756" s="52">
        <f>MONTH(Data!F1756)</f>
        <v>3</v>
      </c>
      <c r="C1756" s="52" t="str">
        <f>TEXT(Data!F1756,"mmm")</f>
        <v>Mar</v>
      </c>
      <c r="D1756" s="52" t="str">
        <f>Data!O1756</f>
        <v>Male</v>
      </c>
      <c r="E1756" s="52">
        <f>Data!G1756-Data!F1756</f>
        <v>3</v>
      </c>
      <c r="F1756" s="52">
        <f>IF(Data!J1756&lt;=5,Data!J1756,IF(Data!J1756&lt;=10,"6 TO 10","More than 10"))</f>
        <v>4</v>
      </c>
      <c r="G1756" s="52">
        <f t="shared" si="27"/>
        <v>3</v>
      </c>
      <c r="H1756" s="52">
        <f>ROUND(Data!C1756*Data!D1756-Data!E1756,2)</f>
        <v>0</v>
      </c>
      <c r="I1756" s="52">
        <f>IF(AND(OR(Sel_Mode="All",Data!I1756=Sel_Mode),OR(Sel_Gender="All",D1756=Sel_Gender),OR(Sel_Category="All",Data!B1756=Sel_Category),OR(Sel_Month="All",C1756=Sel_Month),OR(Sel_County="All",Data!L1756=Sel_County)),1,0)</f>
        <v>1</v>
      </c>
    </row>
    <row r="1757" spans="1:9" x14ac:dyDescent="0.25">
      <c r="A1757" s="52" t="str">
        <f>Data!A1757</f>
        <v>TX501756</v>
      </c>
      <c r="B1757" s="52">
        <f>MONTH(Data!F1757)</f>
        <v>3</v>
      </c>
      <c r="C1757" s="52" t="str">
        <f>TEXT(Data!F1757,"mmm")</f>
        <v>Mar</v>
      </c>
      <c r="D1757" s="52" t="str">
        <f>Data!O1757</f>
        <v>Female</v>
      </c>
      <c r="E1757" s="52">
        <f>Data!G1757-Data!F1757</f>
        <v>0</v>
      </c>
      <c r="F1757" s="52">
        <f>IF(Data!J1757&lt;=5,Data!J1757,IF(Data!J1757&lt;=10,"6 TO 10","More than 10"))</f>
        <v>4</v>
      </c>
      <c r="G1757" s="52">
        <f t="shared" si="27"/>
        <v>0</v>
      </c>
      <c r="H1757" s="52">
        <f>ROUND(Data!C1757*Data!D1757-Data!E1757,2)</f>
        <v>0</v>
      </c>
      <c r="I1757" s="52">
        <f>IF(AND(OR(Sel_Mode="All",Data!I1757=Sel_Mode),OR(Sel_Gender="All",D1757=Sel_Gender),OR(Sel_Category="All",Data!B1757=Sel_Category),OR(Sel_Month="All",C1757=Sel_Month),OR(Sel_County="All",Data!L1757=Sel_County)),1,0)</f>
        <v>1</v>
      </c>
    </row>
    <row r="1758" spans="1:9" x14ac:dyDescent="0.25">
      <c r="A1758" s="52" t="str">
        <f>Data!A1758</f>
        <v>TX501757</v>
      </c>
      <c r="B1758" s="52">
        <f>MONTH(Data!F1758)</f>
        <v>3</v>
      </c>
      <c r="C1758" s="52" t="str">
        <f>TEXT(Data!F1758,"mmm")</f>
        <v>Mar</v>
      </c>
      <c r="D1758" s="52" t="str">
        <f>Data!O1758</f>
        <v>Other</v>
      </c>
      <c r="E1758" s="52">
        <f>Data!G1758-Data!F1758</f>
        <v>4</v>
      </c>
      <c r="F1758" s="52">
        <f>IF(Data!J1758&lt;=5,Data!J1758,IF(Data!J1758&lt;=10,"6 TO 10","More than 10"))</f>
        <v>5</v>
      </c>
      <c r="G1758" s="52">
        <f t="shared" si="27"/>
        <v>4</v>
      </c>
      <c r="H1758" s="52">
        <f>ROUND(Data!C1758*Data!D1758-Data!E1758,2)</f>
        <v>0</v>
      </c>
      <c r="I1758" s="52">
        <f>IF(AND(OR(Sel_Mode="All",Data!I1758=Sel_Mode),OR(Sel_Gender="All",D1758=Sel_Gender),OR(Sel_Category="All",Data!B1758=Sel_Category),OR(Sel_Month="All",C1758=Sel_Month),OR(Sel_County="All",Data!L1758=Sel_County)),1,0)</f>
        <v>1</v>
      </c>
    </row>
    <row r="1759" spans="1:9" x14ac:dyDescent="0.25">
      <c r="A1759" s="52" t="str">
        <f>Data!A1759</f>
        <v>TX501758</v>
      </c>
      <c r="B1759" s="52">
        <f>MONTH(Data!F1759)</f>
        <v>3</v>
      </c>
      <c r="C1759" s="52" t="str">
        <f>TEXT(Data!F1759,"mmm")</f>
        <v>Mar</v>
      </c>
      <c r="D1759" s="52" t="str">
        <f>Data!O1759</f>
        <v>Male</v>
      </c>
      <c r="E1759" s="52">
        <f>Data!G1759-Data!F1759</f>
        <v>1</v>
      </c>
      <c r="F1759" s="52">
        <f>IF(Data!J1759&lt;=5,Data!J1759,IF(Data!J1759&lt;=10,"6 TO 10","More than 10"))</f>
        <v>5</v>
      </c>
      <c r="G1759" s="52">
        <f t="shared" si="27"/>
        <v>1</v>
      </c>
      <c r="H1759" s="52">
        <f>ROUND(Data!C1759*Data!D1759-Data!E1759,2)</f>
        <v>0</v>
      </c>
      <c r="I1759" s="52">
        <f>IF(AND(OR(Sel_Mode="All",Data!I1759=Sel_Mode),OR(Sel_Gender="All",D1759=Sel_Gender),OR(Sel_Category="All",Data!B1759=Sel_Category),OR(Sel_Month="All",C1759=Sel_Month),OR(Sel_County="All",Data!L1759=Sel_County)),1,0)</f>
        <v>1</v>
      </c>
    </row>
    <row r="1760" spans="1:9" x14ac:dyDescent="0.25">
      <c r="A1760" s="52" t="str">
        <f>Data!A1760</f>
        <v>TX501759</v>
      </c>
      <c r="B1760" s="52">
        <f>MONTH(Data!F1760)</f>
        <v>3</v>
      </c>
      <c r="C1760" s="52" t="str">
        <f>TEXT(Data!F1760,"mmm")</f>
        <v>Mar</v>
      </c>
      <c r="D1760" s="52" t="str">
        <f>Data!O1760</f>
        <v>Male</v>
      </c>
      <c r="E1760" s="52">
        <f>Data!G1760-Data!F1760</f>
        <v>7</v>
      </c>
      <c r="F1760" s="52">
        <f>IF(Data!J1760&lt;=5,Data!J1760,IF(Data!J1760&lt;=10,"6 TO 10","More than 10"))</f>
        <v>1</v>
      </c>
      <c r="G1760" s="52">
        <f t="shared" si="27"/>
        <v>7</v>
      </c>
      <c r="H1760" s="52">
        <f>ROUND(Data!C1760*Data!D1760-Data!E1760,2)</f>
        <v>0</v>
      </c>
      <c r="I1760" s="52">
        <f>IF(AND(OR(Sel_Mode="All",Data!I1760=Sel_Mode),OR(Sel_Gender="All",D1760=Sel_Gender),OR(Sel_Category="All",Data!B1760=Sel_Category),OR(Sel_Month="All",C1760=Sel_Month),OR(Sel_County="All",Data!L1760=Sel_County)),1,0)</f>
        <v>1</v>
      </c>
    </row>
    <row r="1761" spans="1:9" x14ac:dyDescent="0.25">
      <c r="A1761" s="52" t="str">
        <f>Data!A1761</f>
        <v>TX501760</v>
      </c>
      <c r="B1761" s="52">
        <f>MONTH(Data!F1761)</f>
        <v>3</v>
      </c>
      <c r="C1761" s="52" t="str">
        <f>TEXT(Data!F1761,"mmm")</f>
        <v>Mar</v>
      </c>
      <c r="D1761" s="52" t="str">
        <f>Data!O1761</f>
        <v>Female</v>
      </c>
      <c r="E1761" s="52">
        <f>Data!G1761-Data!F1761</f>
        <v>3</v>
      </c>
      <c r="F1761" s="52">
        <f>IF(Data!J1761&lt;=5,Data!J1761,IF(Data!J1761&lt;=10,"6 TO 10","More than 10"))</f>
        <v>4</v>
      </c>
      <c r="G1761" s="52">
        <f t="shared" si="27"/>
        <v>3</v>
      </c>
      <c r="H1761" s="52">
        <f>ROUND(Data!C1761*Data!D1761-Data!E1761,2)</f>
        <v>0</v>
      </c>
      <c r="I1761" s="52">
        <f>IF(AND(OR(Sel_Mode="All",Data!I1761=Sel_Mode),OR(Sel_Gender="All",D1761=Sel_Gender),OR(Sel_Category="All",Data!B1761=Sel_Category),OR(Sel_Month="All",C1761=Sel_Month),OR(Sel_County="All",Data!L1761=Sel_County)),1,0)</f>
        <v>1</v>
      </c>
    </row>
    <row r="1762" spans="1:9" x14ac:dyDescent="0.25">
      <c r="A1762" s="52" t="str">
        <f>Data!A1762</f>
        <v>TX501761</v>
      </c>
      <c r="B1762" s="52">
        <f>MONTH(Data!F1762)</f>
        <v>3</v>
      </c>
      <c r="C1762" s="52" t="str">
        <f>TEXT(Data!F1762,"mmm")</f>
        <v>Mar</v>
      </c>
      <c r="D1762" s="52" t="str">
        <f>Data!O1762</f>
        <v>Male</v>
      </c>
      <c r="E1762" s="52">
        <f>Data!G1762-Data!F1762</f>
        <v>3</v>
      </c>
      <c r="F1762" s="52">
        <f>IF(Data!J1762&lt;=5,Data!J1762,IF(Data!J1762&lt;=10,"6 TO 10","More than 10"))</f>
        <v>4</v>
      </c>
      <c r="G1762" s="52">
        <f t="shared" si="27"/>
        <v>3</v>
      </c>
      <c r="H1762" s="52">
        <f>ROUND(Data!C1762*Data!D1762-Data!E1762,2)</f>
        <v>0</v>
      </c>
      <c r="I1762" s="52">
        <f>IF(AND(OR(Sel_Mode="All",Data!I1762=Sel_Mode),OR(Sel_Gender="All",D1762=Sel_Gender),OR(Sel_Category="All",Data!B1762=Sel_Category),OR(Sel_Month="All",C1762=Sel_Month),OR(Sel_County="All",Data!L1762=Sel_County)),1,0)</f>
        <v>1</v>
      </c>
    </row>
    <row r="1763" spans="1:9" x14ac:dyDescent="0.25">
      <c r="A1763" s="52" t="str">
        <f>Data!A1763</f>
        <v>TX501762</v>
      </c>
      <c r="B1763" s="52">
        <f>MONTH(Data!F1763)</f>
        <v>3</v>
      </c>
      <c r="C1763" s="52" t="str">
        <f>TEXT(Data!F1763,"mmm")</f>
        <v>Mar</v>
      </c>
      <c r="D1763" s="52" t="str">
        <f>Data!O1763</f>
        <v>Male</v>
      </c>
      <c r="E1763" s="52">
        <f>Data!G1763-Data!F1763</f>
        <v>2</v>
      </c>
      <c r="F1763" s="52">
        <f>IF(Data!J1763&lt;=5,Data!J1763,IF(Data!J1763&lt;=10,"6 TO 10","More than 10"))</f>
        <v>5</v>
      </c>
      <c r="G1763" s="52">
        <f t="shared" si="27"/>
        <v>2</v>
      </c>
      <c r="H1763" s="52">
        <f>ROUND(Data!C1763*Data!D1763-Data!E1763,2)</f>
        <v>0</v>
      </c>
      <c r="I1763" s="52">
        <f>IF(AND(OR(Sel_Mode="All",Data!I1763=Sel_Mode),OR(Sel_Gender="All",D1763=Sel_Gender),OR(Sel_Category="All",Data!B1763=Sel_Category),OR(Sel_Month="All",C1763=Sel_Month),OR(Sel_County="All",Data!L1763=Sel_County)),1,0)</f>
        <v>1</v>
      </c>
    </row>
    <row r="1764" spans="1:9" x14ac:dyDescent="0.25">
      <c r="A1764" s="52" t="str">
        <f>Data!A1764</f>
        <v>TX501763</v>
      </c>
      <c r="B1764" s="52">
        <f>MONTH(Data!F1764)</f>
        <v>3</v>
      </c>
      <c r="C1764" s="52" t="str">
        <f>TEXT(Data!F1764,"mmm")</f>
        <v>Mar</v>
      </c>
      <c r="D1764" s="52" t="str">
        <f>Data!O1764</f>
        <v>Male</v>
      </c>
      <c r="E1764" s="52">
        <f>Data!G1764-Data!F1764</f>
        <v>2</v>
      </c>
      <c r="F1764" s="52">
        <f>IF(Data!J1764&lt;=5,Data!J1764,IF(Data!J1764&lt;=10,"6 TO 10","More than 10"))</f>
        <v>3</v>
      </c>
      <c r="G1764" s="52">
        <f t="shared" si="27"/>
        <v>2</v>
      </c>
      <c r="H1764" s="52">
        <f>ROUND(Data!C1764*Data!D1764-Data!E1764,2)</f>
        <v>0</v>
      </c>
      <c r="I1764" s="52">
        <f>IF(AND(OR(Sel_Mode="All",Data!I1764=Sel_Mode),OR(Sel_Gender="All",D1764=Sel_Gender),OR(Sel_Category="All",Data!B1764=Sel_Category),OR(Sel_Month="All",C1764=Sel_Month),OR(Sel_County="All",Data!L1764=Sel_County)),1,0)</f>
        <v>1</v>
      </c>
    </row>
    <row r="1765" spans="1:9" x14ac:dyDescent="0.25">
      <c r="A1765" s="52" t="str">
        <f>Data!A1765</f>
        <v>TX501764</v>
      </c>
      <c r="B1765" s="52">
        <f>MONTH(Data!F1765)</f>
        <v>3</v>
      </c>
      <c r="C1765" s="52" t="str">
        <f>TEXT(Data!F1765,"mmm")</f>
        <v>Mar</v>
      </c>
      <c r="D1765" s="52" t="str">
        <f>Data!O1765</f>
        <v>Male</v>
      </c>
      <c r="E1765" s="52">
        <f>Data!G1765-Data!F1765</f>
        <v>1</v>
      </c>
      <c r="F1765" s="52">
        <f>IF(Data!J1765&lt;=5,Data!J1765,IF(Data!J1765&lt;=10,"6 TO 10","More than 10"))</f>
        <v>4</v>
      </c>
      <c r="G1765" s="52">
        <f t="shared" si="27"/>
        <v>1</v>
      </c>
      <c r="H1765" s="52">
        <f>ROUND(Data!C1765*Data!D1765-Data!E1765,2)</f>
        <v>0</v>
      </c>
      <c r="I1765" s="52">
        <f>IF(AND(OR(Sel_Mode="All",Data!I1765=Sel_Mode),OR(Sel_Gender="All",D1765=Sel_Gender),OR(Sel_Category="All",Data!B1765=Sel_Category),OR(Sel_Month="All",C1765=Sel_Month),OR(Sel_County="All",Data!L1765=Sel_County)),1,0)</f>
        <v>1</v>
      </c>
    </row>
    <row r="1766" spans="1:9" x14ac:dyDescent="0.25">
      <c r="A1766" s="52" t="str">
        <f>Data!A1766</f>
        <v>TX501765</v>
      </c>
      <c r="B1766" s="52">
        <f>MONTH(Data!F1766)</f>
        <v>3</v>
      </c>
      <c r="C1766" s="52" t="str">
        <f>TEXT(Data!F1766,"mmm")</f>
        <v>Mar</v>
      </c>
      <c r="D1766" s="52" t="str">
        <f>Data!O1766</f>
        <v>Male</v>
      </c>
      <c r="E1766" s="52">
        <f>Data!G1766-Data!F1766</f>
        <v>2</v>
      </c>
      <c r="F1766" s="52">
        <f>IF(Data!J1766&lt;=5,Data!J1766,IF(Data!J1766&lt;=10,"6 TO 10","More than 10"))</f>
        <v>4</v>
      </c>
      <c r="G1766" s="52">
        <f t="shared" si="27"/>
        <v>2</v>
      </c>
      <c r="H1766" s="52">
        <f>ROUND(Data!C1766*Data!D1766-Data!E1766,2)</f>
        <v>0</v>
      </c>
      <c r="I1766" s="52">
        <f>IF(AND(OR(Sel_Mode="All",Data!I1766=Sel_Mode),OR(Sel_Gender="All",D1766=Sel_Gender),OR(Sel_Category="All",Data!B1766=Sel_Category),OR(Sel_Month="All",C1766=Sel_Month),OR(Sel_County="All",Data!L1766=Sel_County)),1,0)</f>
        <v>1</v>
      </c>
    </row>
    <row r="1767" spans="1:9" x14ac:dyDescent="0.25">
      <c r="A1767" s="52" t="str">
        <f>Data!A1767</f>
        <v>TX501766</v>
      </c>
      <c r="B1767" s="52">
        <f>MONTH(Data!F1767)</f>
        <v>3</v>
      </c>
      <c r="C1767" s="52" t="str">
        <f>TEXT(Data!F1767,"mmm")</f>
        <v>Mar</v>
      </c>
      <c r="D1767" s="52" t="str">
        <f>Data!O1767</f>
        <v>Male</v>
      </c>
      <c r="E1767" s="52">
        <f>Data!G1767-Data!F1767</f>
        <v>1</v>
      </c>
      <c r="F1767" s="52">
        <f>IF(Data!J1767&lt;=5,Data!J1767,IF(Data!J1767&lt;=10,"6 TO 10","More than 10"))</f>
        <v>5</v>
      </c>
      <c r="G1767" s="52">
        <f t="shared" si="27"/>
        <v>1</v>
      </c>
      <c r="H1767" s="52">
        <f>ROUND(Data!C1767*Data!D1767-Data!E1767,2)</f>
        <v>0</v>
      </c>
      <c r="I1767" s="52">
        <f>IF(AND(OR(Sel_Mode="All",Data!I1767=Sel_Mode),OR(Sel_Gender="All",D1767=Sel_Gender),OR(Sel_Category="All",Data!B1767=Sel_Category),OR(Sel_Month="All",C1767=Sel_Month),OR(Sel_County="All",Data!L1767=Sel_County)),1,0)</f>
        <v>1</v>
      </c>
    </row>
    <row r="1768" spans="1:9" x14ac:dyDescent="0.25">
      <c r="A1768" s="52" t="str">
        <f>Data!A1768</f>
        <v>TX501767</v>
      </c>
      <c r="B1768" s="52">
        <f>MONTH(Data!F1768)</f>
        <v>3</v>
      </c>
      <c r="C1768" s="52" t="str">
        <f>TEXT(Data!F1768,"mmm")</f>
        <v>Mar</v>
      </c>
      <c r="D1768" s="52" t="str">
        <f>Data!O1768</f>
        <v>Male</v>
      </c>
      <c r="E1768" s="52">
        <f>Data!G1768-Data!F1768</f>
        <v>1</v>
      </c>
      <c r="F1768" s="52">
        <f>IF(Data!J1768&lt;=5,Data!J1768,IF(Data!J1768&lt;=10,"6 TO 10","More than 10"))</f>
        <v>3</v>
      </c>
      <c r="G1768" s="52">
        <f t="shared" si="27"/>
        <v>1</v>
      </c>
      <c r="H1768" s="52">
        <f>ROUND(Data!C1768*Data!D1768-Data!E1768,2)</f>
        <v>0</v>
      </c>
      <c r="I1768" s="52">
        <f>IF(AND(OR(Sel_Mode="All",Data!I1768=Sel_Mode),OR(Sel_Gender="All",D1768=Sel_Gender),OR(Sel_Category="All",Data!B1768=Sel_Category),OR(Sel_Month="All",C1768=Sel_Month),OR(Sel_County="All",Data!L1768=Sel_County)),1,0)</f>
        <v>1</v>
      </c>
    </row>
    <row r="1769" spans="1:9" x14ac:dyDescent="0.25">
      <c r="A1769" s="52" t="str">
        <f>Data!A1769</f>
        <v>TX501768</v>
      </c>
      <c r="B1769" s="52">
        <f>MONTH(Data!F1769)</f>
        <v>3</v>
      </c>
      <c r="C1769" s="52" t="str">
        <f>TEXT(Data!F1769,"mmm")</f>
        <v>Mar</v>
      </c>
      <c r="D1769" s="52" t="str">
        <f>Data!O1769</f>
        <v>Male</v>
      </c>
      <c r="E1769" s="52">
        <f>Data!G1769-Data!F1769</f>
        <v>1</v>
      </c>
      <c r="F1769" s="52">
        <f>IF(Data!J1769&lt;=5,Data!J1769,IF(Data!J1769&lt;=10,"6 TO 10","More than 10"))</f>
        <v>4</v>
      </c>
      <c r="G1769" s="52">
        <f t="shared" si="27"/>
        <v>1</v>
      </c>
      <c r="H1769" s="52">
        <f>ROUND(Data!C1769*Data!D1769-Data!E1769,2)</f>
        <v>0</v>
      </c>
      <c r="I1769" s="52">
        <f>IF(AND(OR(Sel_Mode="All",Data!I1769=Sel_Mode),OR(Sel_Gender="All",D1769=Sel_Gender),OR(Sel_Category="All",Data!B1769=Sel_Category),OR(Sel_Month="All",C1769=Sel_Month),OR(Sel_County="All",Data!L1769=Sel_County)),1,0)</f>
        <v>1</v>
      </c>
    </row>
    <row r="1770" spans="1:9" x14ac:dyDescent="0.25">
      <c r="A1770" s="52" t="str">
        <f>Data!A1770</f>
        <v>TX501769</v>
      </c>
      <c r="B1770" s="52">
        <f>MONTH(Data!F1770)</f>
        <v>3</v>
      </c>
      <c r="C1770" s="52" t="str">
        <f>TEXT(Data!F1770,"mmm")</f>
        <v>Mar</v>
      </c>
      <c r="D1770" s="52" t="str">
        <f>Data!O1770</f>
        <v>Female</v>
      </c>
      <c r="E1770" s="52">
        <f>Data!G1770-Data!F1770</f>
        <v>2</v>
      </c>
      <c r="F1770" s="52">
        <f>IF(Data!J1770&lt;=5,Data!J1770,IF(Data!J1770&lt;=10,"6 TO 10","More than 10"))</f>
        <v>5</v>
      </c>
      <c r="G1770" s="52">
        <f t="shared" si="27"/>
        <v>2</v>
      </c>
      <c r="H1770" s="52">
        <f>ROUND(Data!C1770*Data!D1770-Data!E1770,2)</f>
        <v>0</v>
      </c>
      <c r="I1770" s="52">
        <f>IF(AND(OR(Sel_Mode="All",Data!I1770=Sel_Mode),OR(Sel_Gender="All",D1770=Sel_Gender),OR(Sel_Category="All",Data!B1770=Sel_Category),OR(Sel_Month="All",C1770=Sel_Month),OR(Sel_County="All",Data!L1770=Sel_County)),1,0)</f>
        <v>1</v>
      </c>
    </row>
    <row r="1771" spans="1:9" x14ac:dyDescent="0.25">
      <c r="A1771" s="52" t="str">
        <f>Data!A1771</f>
        <v>TX501770</v>
      </c>
      <c r="B1771" s="52">
        <f>MONTH(Data!F1771)</f>
        <v>3</v>
      </c>
      <c r="C1771" s="52" t="str">
        <f>TEXT(Data!F1771,"mmm")</f>
        <v>Mar</v>
      </c>
      <c r="D1771" s="52" t="str">
        <f>Data!O1771</f>
        <v>Female</v>
      </c>
      <c r="E1771" s="52">
        <f>Data!G1771-Data!F1771</f>
        <v>2</v>
      </c>
      <c r="F1771" s="52">
        <f>IF(Data!J1771&lt;=5,Data!J1771,IF(Data!J1771&lt;=10,"6 TO 10","More than 10"))</f>
        <v>5</v>
      </c>
      <c r="G1771" s="52">
        <f t="shared" si="27"/>
        <v>2</v>
      </c>
      <c r="H1771" s="52">
        <f>ROUND(Data!C1771*Data!D1771-Data!E1771,2)</f>
        <v>0</v>
      </c>
      <c r="I1771" s="52">
        <f>IF(AND(OR(Sel_Mode="All",Data!I1771=Sel_Mode),OR(Sel_Gender="All",D1771=Sel_Gender),OR(Sel_Category="All",Data!B1771=Sel_Category),OR(Sel_Month="All",C1771=Sel_Month),OR(Sel_County="All",Data!L1771=Sel_County)),1,0)</f>
        <v>1</v>
      </c>
    </row>
    <row r="1772" spans="1:9" x14ac:dyDescent="0.25">
      <c r="A1772" s="52" t="str">
        <f>Data!A1772</f>
        <v>TX501771</v>
      </c>
      <c r="B1772" s="52">
        <f>MONTH(Data!F1772)</f>
        <v>3</v>
      </c>
      <c r="C1772" s="52" t="str">
        <f>TEXT(Data!F1772,"mmm")</f>
        <v>Mar</v>
      </c>
      <c r="D1772" s="52" t="str">
        <f>Data!O1772</f>
        <v>Male</v>
      </c>
      <c r="E1772" s="52">
        <f>Data!G1772-Data!F1772</f>
        <v>0</v>
      </c>
      <c r="F1772" s="52">
        <f>IF(Data!J1772&lt;=5,Data!J1772,IF(Data!J1772&lt;=10,"6 TO 10","More than 10"))</f>
        <v>5</v>
      </c>
      <c r="G1772" s="52">
        <f t="shared" si="27"/>
        <v>0</v>
      </c>
      <c r="H1772" s="52">
        <f>ROUND(Data!C1772*Data!D1772-Data!E1772,2)</f>
        <v>0</v>
      </c>
      <c r="I1772" s="52">
        <f>IF(AND(OR(Sel_Mode="All",Data!I1772=Sel_Mode),OR(Sel_Gender="All",D1772=Sel_Gender),OR(Sel_Category="All",Data!B1772=Sel_Category),OR(Sel_Month="All",C1772=Sel_Month),OR(Sel_County="All",Data!L1772=Sel_County)),1,0)</f>
        <v>1</v>
      </c>
    </row>
    <row r="1773" spans="1:9" x14ac:dyDescent="0.25">
      <c r="A1773" s="52" t="str">
        <f>Data!A1773</f>
        <v>TX501772</v>
      </c>
      <c r="B1773" s="52">
        <f>MONTH(Data!F1773)</f>
        <v>3</v>
      </c>
      <c r="C1773" s="52" t="str">
        <f>TEXT(Data!F1773,"mmm")</f>
        <v>Mar</v>
      </c>
      <c r="D1773" s="52" t="str">
        <f>Data!O1773</f>
        <v>Male</v>
      </c>
      <c r="E1773" s="52">
        <f>Data!G1773-Data!F1773</f>
        <v>7</v>
      </c>
      <c r="F1773" s="52">
        <f>IF(Data!J1773&lt;=5,Data!J1773,IF(Data!J1773&lt;=10,"6 TO 10","More than 10"))</f>
        <v>5</v>
      </c>
      <c r="G1773" s="52">
        <f t="shared" si="27"/>
        <v>7</v>
      </c>
      <c r="H1773" s="52">
        <f>ROUND(Data!C1773*Data!D1773-Data!E1773,2)</f>
        <v>0</v>
      </c>
      <c r="I1773" s="52">
        <f>IF(AND(OR(Sel_Mode="All",Data!I1773=Sel_Mode),OR(Sel_Gender="All",D1773=Sel_Gender),OR(Sel_Category="All",Data!B1773=Sel_Category),OR(Sel_Month="All",C1773=Sel_Month),OR(Sel_County="All",Data!L1773=Sel_County)),1,0)</f>
        <v>1</v>
      </c>
    </row>
    <row r="1774" spans="1:9" x14ac:dyDescent="0.25">
      <c r="A1774" s="52" t="str">
        <f>Data!A1774</f>
        <v>TX501773</v>
      </c>
      <c r="B1774" s="52">
        <f>MONTH(Data!F1774)</f>
        <v>3</v>
      </c>
      <c r="C1774" s="52" t="str">
        <f>TEXT(Data!F1774,"mmm")</f>
        <v>Mar</v>
      </c>
      <c r="D1774" s="52" t="str">
        <f>Data!O1774</f>
        <v>Female</v>
      </c>
      <c r="E1774" s="52">
        <f>Data!G1774-Data!F1774</f>
        <v>4</v>
      </c>
      <c r="F1774" s="52">
        <f>IF(Data!J1774&lt;=5,Data!J1774,IF(Data!J1774&lt;=10,"6 TO 10","More than 10"))</f>
        <v>3</v>
      </c>
      <c r="G1774" s="52">
        <f t="shared" si="27"/>
        <v>4</v>
      </c>
      <c r="H1774" s="52">
        <f>ROUND(Data!C1774*Data!D1774-Data!E1774,2)</f>
        <v>0</v>
      </c>
      <c r="I1774" s="52">
        <f>IF(AND(OR(Sel_Mode="All",Data!I1774=Sel_Mode),OR(Sel_Gender="All",D1774=Sel_Gender),OR(Sel_Category="All",Data!B1774=Sel_Category),OR(Sel_Month="All",C1774=Sel_Month),OR(Sel_County="All",Data!L1774=Sel_County)),1,0)</f>
        <v>1</v>
      </c>
    </row>
    <row r="1775" spans="1:9" x14ac:dyDescent="0.25">
      <c r="A1775" s="52" t="str">
        <f>Data!A1775</f>
        <v>TX501774</v>
      </c>
      <c r="B1775" s="52">
        <f>MONTH(Data!F1775)</f>
        <v>3</v>
      </c>
      <c r="C1775" s="52" t="str">
        <f>TEXT(Data!F1775,"mmm")</f>
        <v>Mar</v>
      </c>
      <c r="D1775" s="52" t="str">
        <f>Data!O1775</f>
        <v>Female</v>
      </c>
      <c r="E1775" s="52">
        <f>Data!G1775-Data!F1775</f>
        <v>2</v>
      </c>
      <c r="F1775" s="52">
        <f>IF(Data!J1775&lt;=5,Data!J1775,IF(Data!J1775&lt;=10,"6 TO 10","More than 10"))</f>
        <v>4</v>
      </c>
      <c r="G1775" s="52">
        <f t="shared" si="27"/>
        <v>2</v>
      </c>
      <c r="H1775" s="52">
        <f>ROUND(Data!C1775*Data!D1775-Data!E1775,2)</f>
        <v>0</v>
      </c>
      <c r="I1775" s="52">
        <f>IF(AND(OR(Sel_Mode="All",Data!I1775=Sel_Mode),OR(Sel_Gender="All",D1775=Sel_Gender),OR(Sel_Category="All",Data!B1775=Sel_Category),OR(Sel_Month="All",C1775=Sel_Month),OR(Sel_County="All",Data!L1775=Sel_County)),1,0)</f>
        <v>1</v>
      </c>
    </row>
    <row r="1776" spans="1:9" x14ac:dyDescent="0.25">
      <c r="A1776" s="52" t="str">
        <f>Data!A1776</f>
        <v>TX501775</v>
      </c>
      <c r="B1776" s="52">
        <f>MONTH(Data!F1776)</f>
        <v>3</v>
      </c>
      <c r="C1776" s="52" t="str">
        <f>TEXT(Data!F1776,"mmm")</f>
        <v>Mar</v>
      </c>
      <c r="D1776" s="52" t="str">
        <f>Data!O1776</f>
        <v>Male</v>
      </c>
      <c r="E1776" s="52">
        <f>Data!G1776-Data!F1776</f>
        <v>1</v>
      </c>
      <c r="F1776" s="52">
        <f>IF(Data!J1776&lt;=5,Data!J1776,IF(Data!J1776&lt;=10,"6 TO 10","More than 10"))</f>
        <v>3</v>
      </c>
      <c r="G1776" s="52">
        <f t="shared" si="27"/>
        <v>1</v>
      </c>
      <c r="H1776" s="52">
        <f>ROUND(Data!C1776*Data!D1776-Data!E1776,2)</f>
        <v>0</v>
      </c>
      <c r="I1776" s="52">
        <f>IF(AND(OR(Sel_Mode="All",Data!I1776=Sel_Mode),OR(Sel_Gender="All",D1776=Sel_Gender),OR(Sel_Category="All",Data!B1776=Sel_Category),OR(Sel_Month="All",C1776=Sel_Month),OR(Sel_County="All",Data!L1776=Sel_County)),1,0)</f>
        <v>1</v>
      </c>
    </row>
    <row r="1777" spans="1:9" x14ac:dyDescent="0.25">
      <c r="A1777" s="52" t="str">
        <f>Data!A1777</f>
        <v>TX501776</v>
      </c>
      <c r="B1777" s="52">
        <f>MONTH(Data!F1777)</f>
        <v>3</v>
      </c>
      <c r="C1777" s="52" t="str">
        <f>TEXT(Data!F1777,"mmm")</f>
        <v>Mar</v>
      </c>
      <c r="D1777" s="52" t="str">
        <f>Data!O1777</f>
        <v>Male</v>
      </c>
      <c r="E1777" s="52">
        <f>Data!G1777-Data!F1777</f>
        <v>2</v>
      </c>
      <c r="F1777" s="52">
        <f>IF(Data!J1777&lt;=5,Data!J1777,IF(Data!J1777&lt;=10,"6 TO 10","More than 10"))</f>
        <v>3</v>
      </c>
      <c r="G1777" s="52">
        <f t="shared" si="27"/>
        <v>2</v>
      </c>
      <c r="H1777" s="52">
        <f>ROUND(Data!C1777*Data!D1777-Data!E1777,2)</f>
        <v>0</v>
      </c>
      <c r="I1777" s="52">
        <f>IF(AND(OR(Sel_Mode="All",Data!I1777=Sel_Mode),OR(Sel_Gender="All",D1777=Sel_Gender),OR(Sel_Category="All",Data!B1777=Sel_Category),OR(Sel_Month="All",C1777=Sel_Month),OR(Sel_County="All",Data!L1777=Sel_County)),1,0)</f>
        <v>1</v>
      </c>
    </row>
    <row r="1778" spans="1:9" x14ac:dyDescent="0.25">
      <c r="A1778" s="52" t="str">
        <f>Data!A1778</f>
        <v>TX501777</v>
      </c>
      <c r="B1778" s="52">
        <f>MONTH(Data!F1778)</f>
        <v>3</v>
      </c>
      <c r="C1778" s="52" t="str">
        <f>TEXT(Data!F1778,"mmm")</f>
        <v>Mar</v>
      </c>
      <c r="D1778" s="52" t="str">
        <f>Data!O1778</f>
        <v>Male</v>
      </c>
      <c r="E1778" s="52">
        <f>Data!G1778-Data!F1778</f>
        <v>2</v>
      </c>
      <c r="F1778" s="52">
        <f>IF(Data!J1778&lt;=5,Data!J1778,IF(Data!J1778&lt;=10,"6 TO 10","More than 10"))</f>
        <v>4</v>
      </c>
      <c r="G1778" s="52">
        <f t="shared" si="27"/>
        <v>2</v>
      </c>
      <c r="H1778" s="52">
        <f>ROUND(Data!C1778*Data!D1778-Data!E1778,2)</f>
        <v>0</v>
      </c>
      <c r="I1778" s="52">
        <f>IF(AND(OR(Sel_Mode="All",Data!I1778=Sel_Mode),OR(Sel_Gender="All",D1778=Sel_Gender),OR(Sel_Category="All",Data!B1778=Sel_Category),OR(Sel_Month="All",C1778=Sel_Month),OR(Sel_County="All",Data!L1778=Sel_County)),1,0)</f>
        <v>1</v>
      </c>
    </row>
    <row r="1779" spans="1:9" x14ac:dyDescent="0.25">
      <c r="A1779" s="52" t="str">
        <f>Data!A1779</f>
        <v>TX501778</v>
      </c>
      <c r="B1779" s="52">
        <f>MONTH(Data!F1779)</f>
        <v>3</v>
      </c>
      <c r="C1779" s="52" t="str">
        <f>TEXT(Data!F1779,"mmm")</f>
        <v>Mar</v>
      </c>
      <c r="D1779" s="52" t="str">
        <f>Data!O1779</f>
        <v>Male</v>
      </c>
      <c r="E1779" s="52">
        <f>Data!G1779-Data!F1779</f>
        <v>3</v>
      </c>
      <c r="F1779" s="52">
        <f>IF(Data!J1779&lt;=5,Data!J1779,IF(Data!J1779&lt;=10,"6 TO 10","More than 10"))</f>
        <v>4</v>
      </c>
      <c r="G1779" s="52">
        <f t="shared" si="27"/>
        <v>3</v>
      </c>
      <c r="H1779" s="52">
        <f>ROUND(Data!C1779*Data!D1779-Data!E1779,2)</f>
        <v>0</v>
      </c>
      <c r="I1779" s="52">
        <f>IF(AND(OR(Sel_Mode="All",Data!I1779=Sel_Mode),OR(Sel_Gender="All",D1779=Sel_Gender),OR(Sel_Category="All",Data!B1779=Sel_Category),OR(Sel_Month="All",C1779=Sel_Month),OR(Sel_County="All",Data!L1779=Sel_County)),1,0)</f>
        <v>1</v>
      </c>
    </row>
    <row r="1780" spans="1:9" x14ac:dyDescent="0.25">
      <c r="A1780" s="52" t="str">
        <f>Data!A1780</f>
        <v>TX501779</v>
      </c>
      <c r="B1780" s="52">
        <f>MONTH(Data!F1780)</f>
        <v>3</v>
      </c>
      <c r="C1780" s="52" t="str">
        <f>TEXT(Data!F1780,"mmm")</f>
        <v>Mar</v>
      </c>
      <c r="D1780" s="52" t="str">
        <f>Data!O1780</f>
        <v>Female</v>
      </c>
      <c r="E1780" s="52">
        <f>Data!G1780-Data!F1780</f>
        <v>2</v>
      </c>
      <c r="F1780" s="52">
        <f>IF(Data!J1780&lt;=5,Data!J1780,IF(Data!J1780&lt;=10,"6 TO 10","More than 10"))</f>
        <v>4</v>
      </c>
      <c r="G1780" s="52">
        <f t="shared" si="27"/>
        <v>2</v>
      </c>
      <c r="H1780" s="52">
        <f>ROUND(Data!C1780*Data!D1780-Data!E1780,2)</f>
        <v>0</v>
      </c>
      <c r="I1780" s="52">
        <f>IF(AND(OR(Sel_Mode="All",Data!I1780=Sel_Mode),OR(Sel_Gender="All",D1780=Sel_Gender),OR(Sel_Category="All",Data!B1780=Sel_Category),OR(Sel_Month="All",C1780=Sel_Month),OR(Sel_County="All",Data!L1780=Sel_County)),1,0)</f>
        <v>1</v>
      </c>
    </row>
    <row r="1781" spans="1:9" x14ac:dyDescent="0.25">
      <c r="A1781" s="52" t="str">
        <f>Data!A1781</f>
        <v>TX501780</v>
      </c>
      <c r="B1781" s="52">
        <f>MONTH(Data!F1781)</f>
        <v>3</v>
      </c>
      <c r="C1781" s="52" t="str">
        <f>TEXT(Data!F1781,"mmm")</f>
        <v>Mar</v>
      </c>
      <c r="D1781" s="52" t="str">
        <f>Data!O1781</f>
        <v>Female</v>
      </c>
      <c r="E1781" s="52">
        <f>Data!G1781-Data!F1781</f>
        <v>5</v>
      </c>
      <c r="F1781" s="52">
        <f>IF(Data!J1781&lt;=5,Data!J1781,IF(Data!J1781&lt;=10,"6 TO 10","More than 10"))</f>
        <v>5</v>
      </c>
      <c r="G1781" s="52">
        <f t="shared" si="27"/>
        <v>5</v>
      </c>
      <c r="H1781" s="52">
        <f>ROUND(Data!C1781*Data!D1781-Data!E1781,2)</f>
        <v>0</v>
      </c>
      <c r="I1781" s="52">
        <f>IF(AND(OR(Sel_Mode="All",Data!I1781=Sel_Mode),OR(Sel_Gender="All",D1781=Sel_Gender),OR(Sel_Category="All",Data!B1781=Sel_Category),OR(Sel_Month="All",C1781=Sel_Month),OR(Sel_County="All",Data!L1781=Sel_County)),1,0)</f>
        <v>1</v>
      </c>
    </row>
    <row r="1782" spans="1:9" x14ac:dyDescent="0.25">
      <c r="A1782" s="52" t="str">
        <f>Data!A1782</f>
        <v>TX501781</v>
      </c>
      <c r="B1782" s="52">
        <f>MONTH(Data!F1782)</f>
        <v>3</v>
      </c>
      <c r="C1782" s="52" t="str">
        <f>TEXT(Data!F1782,"mmm")</f>
        <v>Mar</v>
      </c>
      <c r="D1782" s="52" t="str">
        <f>Data!O1782</f>
        <v>Female</v>
      </c>
      <c r="E1782" s="52">
        <f>Data!G1782-Data!F1782</f>
        <v>1</v>
      </c>
      <c r="F1782" s="52">
        <f>IF(Data!J1782&lt;=5,Data!J1782,IF(Data!J1782&lt;=10,"6 TO 10","More than 10"))</f>
        <v>5</v>
      </c>
      <c r="G1782" s="52">
        <f t="shared" si="27"/>
        <v>1</v>
      </c>
      <c r="H1782" s="52">
        <f>ROUND(Data!C1782*Data!D1782-Data!E1782,2)</f>
        <v>0</v>
      </c>
      <c r="I1782" s="52">
        <f>IF(AND(OR(Sel_Mode="All",Data!I1782=Sel_Mode),OR(Sel_Gender="All",D1782=Sel_Gender),OR(Sel_Category="All",Data!B1782=Sel_Category),OR(Sel_Month="All",C1782=Sel_Month),OR(Sel_County="All",Data!L1782=Sel_County)),1,0)</f>
        <v>1</v>
      </c>
    </row>
    <row r="1783" spans="1:9" x14ac:dyDescent="0.25">
      <c r="A1783" s="52" t="str">
        <f>Data!A1783</f>
        <v>TX501782</v>
      </c>
      <c r="B1783" s="52">
        <f>MONTH(Data!F1783)</f>
        <v>3</v>
      </c>
      <c r="C1783" s="52" t="str">
        <f>TEXT(Data!F1783,"mmm")</f>
        <v>Mar</v>
      </c>
      <c r="D1783" s="52" t="str">
        <f>Data!O1783</f>
        <v>Female</v>
      </c>
      <c r="E1783" s="52">
        <f>Data!G1783-Data!F1783</f>
        <v>3</v>
      </c>
      <c r="F1783" s="52">
        <f>IF(Data!J1783&lt;=5,Data!J1783,IF(Data!J1783&lt;=10,"6 TO 10","More than 10"))</f>
        <v>3</v>
      </c>
      <c r="G1783" s="52">
        <f t="shared" si="27"/>
        <v>3</v>
      </c>
      <c r="H1783" s="52">
        <f>ROUND(Data!C1783*Data!D1783-Data!E1783,2)</f>
        <v>0</v>
      </c>
      <c r="I1783" s="52">
        <f>IF(AND(OR(Sel_Mode="All",Data!I1783=Sel_Mode),OR(Sel_Gender="All",D1783=Sel_Gender),OR(Sel_Category="All",Data!B1783=Sel_Category),OR(Sel_Month="All",C1783=Sel_Month),OR(Sel_County="All",Data!L1783=Sel_County)),1,0)</f>
        <v>1</v>
      </c>
    </row>
    <row r="1784" spans="1:9" x14ac:dyDescent="0.25">
      <c r="A1784" s="52" t="str">
        <f>Data!A1784</f>
        <v>TX501783</v>
      </c>
      <c r="B1784" s="52">
        <f>MONTH(Data!F1784)</f>
        <v>3</v>
      </c>
      <c r="C1784" s="52" t="str">
        <f>TEXT(Data!F1784,"mmm")</f>
        <v>Mar</v>
      </c>
      <c r="D1784" s="52" t="str">
        <f>Data!O1784</f>
        <v>Male</v>
      </c>
      <c r="E1784" s="52">
        <f>Data!G1784-Data!F1784</f>
        <v>10</v>
      </c>
      <c r="F1784" s="52">
        <f>IF(Data!J1784&lt;=5,Data!J1784,IF(Data!J1784&lt;=10,"6 TO 10","More than 10"))</f>
        <v>4</v>
      </c>
      <c r="G1784" s="52" t="str">
        <f t="shared" si="27"/>
        <v>8+</v>
      </c>
      <c r="H1784" s="52">
        <f>ROUND(Data!C1784*Data!D1784-Data!E1784,2)</f>
        <v>0</v>
      </c>
      <c r="I1784" s="52">
        <f>IF(AND(OR(Sel_Mode="All",Data!I1784=Sel_Mode),OR(Sel_Gender="All",D1784=Sel_Gender),OR(Sel_Category="All",Data!B1784=Sel_Category),OR(Sel_Month="All",C1784=Sel_Month),OR(Sel_County="All",Data!L1784=Sel_County)),1,0)</f>
        <v>1</v>
      </c>
    </row>
    <row r="1785" spans="1:9" x14ac:dyDescent="0.25">
      <c r="A1785" s="52" t="str">
        <f>Data!A1785</f>
        <v>TX501784</v>
      </c>
      <c r="B1785" s="52">
        <f>MONTH(Data!F1785)</f>
        <v>3</v>
      </c>
      <c r="C1785" s="52" t="str">
        <f>TEXT(Data!F1785,"mmm")</f>
        <v>Mar</v>
      </c>
      <c r="D1785" s="52" t="str">
        <f>Data!O1785</f>
        <v>Female</v>
      </c>
      <c r="E1785" s="52">
        <f>Data!G1785-Data!F1785</f>
        <v>1</v>
      </c>
      <c r="F1785" s="52">
        <f>IF(Data!J1785&lt;=5,Data!J1785,IF(Data!J1785&lt;=10,"6 TO 10","More than 10"))</f>
        <v>3</v>
      </c>
      <c r="G1785" s="52">
        <f t="shared" si="27"/>
        <v>1</v>
      </c>
      <c r="H1785" s="52">
        <f>ROUND(Data!C1785*Data!D1785-Data!E1785,2)</f>
        <v>0</v>
      </c>
      <c r="I1785" s="52">
        <f>IF(AND(OR(Sel_Mode="All",Data!I1785=Sel_Mode),OR(Sel_Gender="All",D1785=Sel_Gender),OR(Sel_Category="All",Data!B1785=Sel_Category),OR(Sel_Month="All",C1785=Sel_Month),OR(Sel_County="All",Data!L1785=Sel_County)),1,0)</f>
        <v>1</v>
      </c>
    </row>
    <row r="1786" spans="1:9" x14ac:dyDescent="0.25">
      <c r="A1786" s="52" t="str">
        <f>Data!A1786</f>
        <v>TX501785</v>
      </c>
      <c r="B1786" s="52">
        <f>MONTH(Data!F1786)</f>
        <v>3</v>
      </c>
      <c r="C1786" s="52" t="str">
        <f>TEXT(Data!F1786,"mmm")</f>
        <v>Mar</v>
      </c>
      <c r="D1786" s="52" t="str">
        <f>Data!O1786</f>
        <v>Female</v>
      </c>
      <c r="E1786" s="52">
        <f>Data!G1786-Data!F1786</f>
        <v>2</v>
      </c>
      <c r="F1786" s="52">
        <f>IF(Data!J1786&lt;=5,Data!J1786,IF(Data!J1786&lt;=10,"6 TO 10","More than 10"))</f>
        <v>4</v>
      </c>
      <c r="G1786" s="52">
        <f t="shared" si="27"/>
        <v>2</v>
      </c>
      <c r="H1786" s="52">
        <f>ROUND(Data!C1786*Data!D1786-Data!E1786,2)</f>
        <v>0</v>
      </c>
      <c r="I1786" s="52">
        <f>IF(AND(OR(Sel_Mode="All",Data!I1786=Sel_Mode),OR(Sel_Gender="All",D1786=Sel_Gender),OR(Sel_Category="All",Data!B1786=Sel_Category),OR(Sel_Month="All",C1786=Sel_Month),OR(Sel_County="All",Data!L1786=Sel_County)),1,0)</f>
        <v>1</v>
      </c>
    </row>
    <row r="1787" spans="1:9" x14ac:dyDescent="0.25">
      <c r="A1787" s="52" t="str">
        <f>Data!A1787</f>
        <v>TX501786</v>
      </c>
      <c r="B1787" s="52">
        <f>MONTH(Data!F1787)</f>
        <v>3</v>
      </c>
      <c r="C1787" s="52" t="str">
        <f>TEXT(Data!F1787,"mmm")</f>
        <v>Mar</v>
      </c>
      <c r="D1787" s="52" t="str">
        <f>Data!O1787</f>
        <v>Female</v>
      </c>
      <c r="E1787" s="52">
        <f>Data!G1787-Data!F1787</f>
        <v>2</v>
      </c>
      <c r="F1787" s="52">
        <f>IF(Data!J1787&lt;=5,Data!J1787,IF(Data!J1787&lt;=10,"6 TO 10","More than 10"))</f>
        <v>5</v>
      </c>
      <c r="G1787" s="52">
        <f t="shared" si="27"/>
        <v>2</v>
      </c>
      <c r="H1787" s="52">
        <f>ROUND(Data!C1787*Data!D1787-Data!E1787,2)</f>
        <v>0</v>
      </c>
      <c r="I1787" s="52">
        <f>IF(AND(OR(Sel_Mode="All",Data!I1787=Sel_Mode),OR(Sel_Gender="All",D1787=Sel_Gender),OR(Sel_Category="All",Data!B1787=Sel_Category),OR(Sel_Month="All",C1787=Sel_Month),OR(Sel_County="All",Data!L1787=Sel_County)),1,0)</f>
        <v>1</v>
      </c>
    </row>
    <row r="1788" spans="1:9" x14ac:dyDescent="0.25">
      <c r="A1788" s="52" t="str">
        <f>Data!A1788</f>
        <v>TX501787</v>
      </c>
      <c r="B1788" s="52">
        <f>MONTH(Data!F1788)</f>
        <v>3</v>
      </c>
      <c r="C1788" s="52" t="str">
        <f>TEXT(Data!F1788,"mmm")</f>
        <v>Mar</v>
      </c>
      <c r="D1788" s="52" t="str">
        <f>Data!O1788</f>
        <v>Female</v>
      </c>
      <c r="E1788" s="52">
        <f>Data!G1788-Data!F1788</f>
        <v>0</v>
      </c>
      <c r="F1788" s="52">
        <f>IF(Data!J1788&lt;=5,Data!J1788,IF(Data!J1788&lt;=10,"6 TO 10","More than 10"))</f>
        <v>5</v>
      </c>
      <c r="G1788" s="52">
        <f t="shared" si="27"/>
        <v>0</v>
      </c>
      <c r="H1788" s="52">
        <f>ROUND(Data!C1788*Data!D1788-Data!E1788,2)</f>
        <v>0</v>
      </c>
      <c r="I1788" s="52">
        <f>IF(AND(OR(Sel_Mode="All",Data!I1788=Sel_Mode),OR(Sel_Gender="All",D1788=Sel_Gender),OR(Sel_Category="All",Data!B1788=Sel_Category),OR(Sel_Month="All",C1788=Sel_Month),OR(Sel_County="All",Data!L1788=Sel_County)),1,0)</f>
        <v>1</v>
      </c>
    </row>
    <row r="1789" spans="1:9" x14ac:dyDescent="0.25">
      <c r="A1789" s="52" t="str">
        <f>Data!A1789</f>
        <v>TX501788</v>
      </c>
      <c r="B1789" s="52">
        <f>MONTH(Data!F1789)</f>
        <v>3</v>
      </c>
      <c r="C1789" s="52" t="str">
        <f>TEXT(Data!F1789,"mmm")</f>
        <v>Mar</v>
      </c>
      <c r="D1789" s="52" t="str">
        <f>Data!O1789</f>
        <v>Male</v>
      </c>
      <c r="E1789" s="52">
        <f>Data!G1789-Data!F1789</f>
        <v>1</v>
      </c>
      <c r="F1789" s="52">
        <f>IF(Data!J1789&lt;=5,Data!J1789,IF(Data!J1789&lt;=10,"6 TO 10","More than 10"))</f>
        <v>3</v>
      </c>
      <c r="G1789" s="52">
        <f t="shared" si="27"/>
        <v>1</v>
      </c>
      <c r="H1789" s="52">
        <f>ROUND(Data!C1789*Data!D1789-Data!E1789,2)</f>
        <v>0</v>
      </c>
      <c r="I1789" s="52">
        <f>IF(AND(OR(Sel_Mode="All",Data!I1789=Sel_Mode),OR(Sel_Gender="All",D1789=Sel_Gender),OR(Sel_Category="All",Data!B1789=Sel_Category),OR(Sel_Month="All",C1789=Sel_Month),OR(Sel_County="All",Data!L1789=Sel_County)),1,0)</f>
        <v>1</v>
      </c>
    </row>
    <row r="1790" spans="1:9" x14ac:dyDescent="0.25">
      <c r="A1790" s="52" t="str">
        <f>Data!A1790</f>
        <v>TX501789</v>
      </c>
      <c r="B1790" s="52">
        <f>MONTH(Data!F1790)</f>
        <v>3</v>
      </c>
      <c r="C1790" s="52" t="str">
        <f>TEXT(Data!F1790,"mmm")</f>
        <v>Mar</v>
      </c>
      <c r="D1790" s="52" t="str">
        <f>Data!O1790</f>
        <v>Female</v>
      </c>
      <c r="E1790" s="52">
        <f>Data!G1790-Data!F1790</f>
        <v>4</v>
      </c>
      <c r="F1790" s="52">
        <f>IF(Data!J1790&lt;=5,Data!J1790,IF(Data!J1790&lt;=10,"6 TO 10","More than 10"))</f>
        <v>4</v>
      </c>
      <c r="G1790" s="52">
        <f t="shared" si="27"/>
        <v>4</v>
      </c>
      <c r="H1790" s="52">
        <f>ROUND(Data!C1790*Data!D1790-Data!E1790,2)</f>
        <v>0</v>
      </c>
      <c r="I1790" s="52">
        <f>IF(AND(OR(Sel_Mode="All",Data!I1790=Sel_Mode),OR(Sel_Gender="All",D1790=Sel_Gender),OR(Sel_Category="All",Data!B1790=Sel_Category),OR(Sel_Month="All",C1790=Sel_Month),OR(Sel_County="All",Data!L1790=Sel_County)),1,0)</f>
        <v>1</v>
      </c>
    </row>
    <row r="1791" spans="1:9" x14ac:dyDescent="0.25">
      <c r="A1791" s="52" t="str">
        <f>Data!A1791</f>
        <v>TX501790</v>
      </c>
      <c r="B1791" s="52">
        <f>MONTH(Data!F1791)</f>
        <v>3</v>
      </c>
      <c r="C1791" s="52" t="str">
        <f>TEXT(Data!F1791,"mmm")</f>
        <v>Mar</v>
      </c>
      <c r="D1791" s="52" t="str">
        <f>Data!O1791</f>
        <v>Female</v>
      </c>
      <c r="E1791" s="52">
        <f>Data!G1791-Data!F1791</f>
        <v>4</v>
      </c>
      <c r="F1791" s="52">
        <f>IF(Data!J1791&lt;=5,Data!J1791,IF(Data!J1791&lt;=10,"6 TO 10","More than 10"))</f>
        <v>4</v>
      </c>
      <c r="G1791" s="52">
        <f t="shared" si="27"/>
        <v>4</v>
      </c>
      <c r="H1791" s="52">
        <f>ROUND(Data!C1791*Data!D1791-Data!E1791,2)</f>
        <v>0</v>
      </c>
      <c r="I1791" s="52">
        <f>IF(AND(OR(Sel_Mode="All",Data!I1791=Sel_Mode),OR(Sel_Gender="All",D1791=Sel_Gender),OR(Sel_Category="All",Data!B1791=Sel_Category),OR(Sel_Month="All",C1791=Sel_Month),OR(Sel_County="All",Data!L1791=Sel_County)),1,0)</f>
        <v>1</v>
      </c>
    </row>
    <row r="1792" spans="1:9" x14ac:dyDescent="0.25">
      <c r="A1792" s="52" t="str">
        <f>Data!A1792</f>
        <v>TX501791</v>
      </c>
      <c r="B1792" s="52">
        <f>MONTH(Data!F1792)</f>
        <v>3</v>
      </c>
      <c r="C1792" s="52" t="str">
        <f>TEXT(Data!F1792,"mmm")</f>
        <v>Mar</v>
      </c>
      <c r="D1792" s="52" t="str">
        <f>Data!O1792</f>
        <v>Male</v>
      </c>
      <c r="E1792" s="52">
        <f>Data!G1792-Data!F1792</f>
        <v>3</v>
      </c>
      <c r="F1792" s="52">
        <f>IF(Data!J1792&lt;=5,Data!J1792,IF(Data!J1792&lt;=10,"6 TO 10","More than 10"))</f>
        <v>3</v>
      </c>
      <c r="G1792" s="52">
        <f t="shared" si="27"/>
        <v>3</v>
      </c>
      <c r="H1792" s="52">
        <f>ROUND(Data!C1792*Data!D1792-Data!E1792,2)</f>
        <v>0</v>
      </c>
      <c r="I1792" s="52">
        <f>IF(AND(OR(Sel_Mode="All",Data!I1792=Sel_Mode),OR(Sel_Gender="All",D1792=Sel_Gender),OR(Sel_Category="All",Data!B1792=Sel_Category),OR(Sel_Month="All",C1792=Sel_Month),OR(Sel_County="All",Data!L1792=Sel_County)),1,0)</f>
        <v>1</v>
      </c>
    </row>
    <row r="1793" spans="1:9" x14ac:dyDescent="0.25">
      <c r="A1793" s="52" t="str">
        <f>Data!A1793</f>
        <v>TX501792</v>
      </c>
      <c r="B1793" s="52">
        <f>MONTH(Data!F1793)</f>
        <v>3</v>
      </c>
      <c r="C1793" s="52" t="str">
        <f>TEXT(Data!F1793,"mmm")</f>
        <v>Mar</v>
      </c>
      <c r="D1793" s="52" t="str">
        <f>Data!O1793</f>
        <v>Male</v>
      </c>
      <c r="E1793" s="52">
        <f>Data!G1793-Data!F1793</f>
        <v>1</v>
      </c>
      <c r="F1793" s="52">
        <f>IF(Data!J1793&lt;=5,Data!J1793,IF(Data!J1793&lt;=10,"6 TO 10","More than 10"))</f>
        <v>4</v>
      </c>
      <c r="G1793" s="52">
        <f t="shared" si="27"/>
        <v>1</v>
      </c>
      <c r="H1793" s="52">
        <f>ROUND(Data!C1793*Data!D1793-Data!E1793,2)</f>
        <v>0</v>
      </c>
      <c r="I1793" s="52">
        <f>IF(AND(OR(Sel_Mode="All",Data!I1793=Sel_Mode),OR(Sel_Gender="All",D1793=Sel_Gender),OR(Sel_Category="All",Data!B1793=Sel_Category),OR(Sel_Month="All",C1793=Sel_Month),OR(Sel_County="All",Data!L1793=Sel_County)),1,0)</f>
        <v>1</v>
      </c>
    </row>
    <row r="1794" spans="1:9" x14ac:dyDescent="0.25">
      <c r="A1794" s="52" t="str">
        <f>Data!A1794</f>
        <v>TX501793</v>
      </c>
      <c r="B1794" s="52">
        <f>MONTH(Data!F1794)</f>
        <v>3</v>
      </c>
      <c r="C1794" s="52" t="str">
        <f>TEXT(Data!F1794,"mmm")</f>
        <v>Mar</v>
      </c>
      <c r="D1794" s="52" t="str">
        <f>Data!O1794</f>
        <v>Female</v>
      </c>
      <c r="E1794" s="52">
        <f>Data!G1794-Data!F1794</f>
        <v>5</v>
      </c>
      <c r="F1794" s="52">
        <f>IF(Data!J1794&lt;=5,Data!J1794,IF(Data!J1794&lt;=10,"6 TO 10","More than 10"))</f>
        <v>4</v>
      </c>
      <c r="G1794" s="52">
        <f t="shared" ref="G1794:G1857" si="28">IF(E1794&gt;=8,"8+",E1794)</f>
        <v>5</v>
      </c>
      <c r="H1794" s="52">
        <f>ROUND(Data!C1794*Data!D1794-Data!E1794,2)</f>
        <v>0</v>
      </c>
      <c r="I1794" s="52">
        <f>IF(AND(OR(Sel_Mode="All",Data!I1794=Sel_Mode),OR(Sel_Gender="All",D1794=Sel_Gender),OR(Sel_Category="All",Data!B1794=Sel_Category),OR(Sel_Month="All",C1794=Sel_Month),OR(Sel_County="All",Data!L1794=Sel_County)),1,0)</f>
        <v>1</v>
      </c>
    </row>
    <row r="1795" spans="1:9" x14ac:dyDescent="0.25">
      <c r="A1795" s="52" t="str">
        <f>Data!A1795</f>
        <v>TX501794</v>
      </c>
      <c r="B1795" s="52">
        <f>MONTH(Data!F1795)</f>
        <v>3</v>
      </c>
      <c r="C1795" s="52" t="str">
        <f>TEXT(Data!F1795,"mmm")</f>
        <v>Mar</v>
      </c>
      <c r="D1795" s="52" t="str">
        <f>Data!O1795</f>
        <v>Male</v>
      </c>
      <c r="E1795" s="52">
        <f>Data!G1795-Data!F1795</f>
        <v>1</v>
      </c>
      <c r="F1795" s="52">
        <f>IF(Data!J1795&lt;=5,Data!J1795,IF(Data!J1795&lt;=10,"6 TO 10","More than 10"))</f>
        <v>5</v>
      </c>
      <c r="G1795" s="52">
        <f t="shared" si="28"/>
        <v>1</v>
      </c>
      <c r="H1795" s="52">
        <f>ROUND(Data!C1795*Data!D1795-Data!E1795,2)</f>
        <v>0</v>
      </c>
      <c r="I1795" s="52">
        <f>IF(AND(OR(Sel_Mode="All",Data!I1795=Sel_Mode),OR(Sel_Gender="All",D1795=Sel_Gender),OR(Sel_Category="All",Data!B1795=Sel_Category),OR(Sel_Month="All",C1795=Sel_Month),OR(Sel_County="All",Data!L1795=Sel_County)),1,0)</f>
        <v>1</v>
      </c>
    </row>
    <row r="1796" spans="1:9" x14ac:dyDescent="0.25">
      <c r="A1796" s="52" t="str">
        <f>Data!A1796</f>
        <v>TX501795</v>
      </c>
      <c r="B1796" s="52">
        <f>MONTH(Data!F1796)</f>
        <v>3</v>
      </c>
      <c r="C1796" s="52" t="str">
        <f>TEXT(Data!F1796,"mmm")</f>
        <v>Mar</v>
      </c>
      <c r="D1796" s="52" t="str">
        <f>Data!O1796</f>
        <v>Male</v>
      </c>
      <c r="E1796" s="52">
        <f>Data!G1796-Data!F1796</f>
        <v>1</v>
      </c>
      <c r="F1796" s="52">
        <f>IF(Data!J1796&lt;=5,Data!J1796,IF(Data!J1796&lt;=10,"6 TO 10","More than 10"))</f>
        <v>4</v>
      </c>
      <c r="G1796" s="52">
        <f t="shared" si="28"/>
        <v>1</v>
      </c>
      <c r="H1796" s="52">
        <f>ROUND(Data!C1796*Data!D1796-Data!E1796,2)</f>
        <v>0</v>
      </c>
      <c r="I1796" s="52">
        <f>IF(AND(OR(Sel_Mode="All",Data!I1796=Sel_Mode),OR(Sel_Gender="All",D1796=Sel_Gender),OR(Sel_Category="All",Data!B1796=Sel_Category),OR(Sel_Month="All",C1796=Sel_Month),OR(Sel_County="All",Data!L1796=Sel_County)),1,0)</f>
        <v>1</v>
      </c>
    </row>
    <row r="1797" spans="1:9" x14ac:dyDescent="0.25">
      <c r="A1797" s="52" t="str">
        <f>Data!A1797</f>
        <v>TX501796</v>
      </c>
      <c r="B1797" s="52">
        <f>MONTH(Data!F1797)</f>
        <v>3</v>
      </c>
      <c r="C1797" s="52" t="str">
        <f>TEXT(Data!F1797,"mmm")</f>
        <v>Mar</v>
      </c>
      <c r="D1797" s="52" t="str">
        <f>Data!O1797</f>
        <v>Male</v>
      </c>
      <c r="E1797" s="52">
        <f>Data!G1797-Data!F1797</f>
        <v>1</v>
      </c>
      <c r="F1797" s="52">
        <f>IF(Data!J1797&lt;=5,Data!J1797,IF(Data!J1797&lt;=10,"6 TO 10","More than 10"))</f>
        <v>5</v>
      </c>
      <c r="G1797" s="52">
        <f t="shared" si="28"/>
        <v>1</v>
      </c>
      <c r="H1797" s="52">
        <f>ROUND(Data!C1797*Data!D1797-Data!E1797,2)</f>
        <v>0</v>
      </c>
      <c r="I1797" s="52">
        <f>IF(AND(OR(Sel_Mode="All",Data!I1797=Sel_Mode),OR(Sel_Gender="All",D1797=Sel_Gender),OR(Sel_Category="All",Data!B1797=Sel_Category),OR(Sel_Month="All",C1797=Sel_Month),OR(Sel_County="All",Data!L1797=Sel_County)),1,0)</f>
        <v>1</v>
      </c>
    </row>
    <row r="1798" spans="1:9" x14ac:dyDescent="0.25">
      <c r="A1798" s="52" t="str">
        <f>Data!A1798</f>
        <v>TX501797</v>
      </c>
      <c r="B1798" s="52">
        <f>MONTH(Data!F1798)</f>
        <v>3</v>
      </c>
      <c r="C1798" s="52" t="str">
        <f>TEXT(Data!F1798,"mmm")</f>
        <v>Mar</v>
      </c>
      <c r="D1798" s="52" t="str">
        <f>Data!O1798</f>
        <v>Female</v>
      </c>
      <c r="E1798" s="52">
        <f>Data!G1798-Data!F1798</f>
        <v>1</v>
      </c>
      <c r="F1798" s="52">
        <f>IF(Data!J1798&lt;=5,Data!J1798,IF(Data!J1798&lt;=10,"6 TO 10","More than 10"))</f>
        <v>4</v>
      </c>
      <c r="G1798" s="52">
        <f t="shared" si="28"/>
        <v>1</v>
      </c>
      <c r="H1798" s="52">
        <f>ROUND(Data!C1798*Data!D1798-Data!E1798,2)</f>
        <v>0</v>
      </c>
      <c r="I1798" s="52">
        <f>IF(AND(OR(Sel_Mode="All",Data!I1798=Sel_Mode),OR(Sel_Gender="All",D1798=Sel_Gender),OR(Sel_Category="All",Data!B1798=Sel_Category),OR(Sel_Month="All",C1798=Sel_Month),OR(Sel_County="All",Data!L1798=Sel_County)),1,0)</f>
        <v>1</v>
      </c>
    </row>
    <row r="1799" spans="1:9" x14ac:dyDescent="0.25">
      <c r="A1799" s="52" t="str">
        <f>Data!A1799</f>
        <v>TX501798</v>
      </c>
      <c r="B1799" s="52">
        <f>MONTH(Data!F1799)</f>
        <v>3</v>
      </c>
      <c r="C1799" s="52" t="str">
        <f>TEXT(Data!F1799,"mmm")</f>
        <v>Mar</v>
      </c>
      <c r="D1799" s="52" t="str">
        <f>Data!O1799</f>
        <v>Male</v>
      </c>
      <c r="E1799" s="52">
        <f>Data!G1799-Data!F1799</f>
        <v>2</v>
      </c>
      <c r="F1799" s="52">
        <f>IF(Data!J1799&lt;=5,Data!J1799,IF(Data!J1799&lt;=10,"6 TO 10","More than 10"))</f>
        <v>5</v>
      </c>
      <c r="G1799" s="52">
        <f t="shared" si="28"/>
        <v>2</v>
      </c>
      <c r="H1799" s="52">
        <f>ROUND(Data!C1799*Data!D1799-Data!E1799,2)</f>
        <v>0</v>
      </c>
      <c r="I1799" s="52">
        <f>IF(AND(OR(Sel_Mode="All",Data!I1799=Sel_Mode),OR(Sel_Gender="All",D1799=Sel_Gender),OR(Sel_Category="All",Data!B1799=Sel_Category),OR(Sel_Month="All",C1799=Sel_Month),OR(Sel_County="All",Data!L1799=Sel_County)),1,0)</f>
        <v>1</v>
      </c>
    </row>
    <row r="1800" spans="1:9" x14ac:dyDescent="0.25">
      <c r="A1800" s="52" t="str">
        <f>Data!A1800</f>
        <v>TX501799</v>
      </c>
      <c r="B1800" s="52">
        <f>MONTH(Data!F1800)</f>
        <v>3</v>
      </c>
      <c r="C1800" s="52" t="str">
        <f>TEXT(Data!F1800,"mmm")</f>
        <v>Mar</v>
      </c>
      <c r="D1800" s="52" t="str">
        <f>Data!O1800</f>
        <v>Female</v>
      </c>
      <c r="E1800" s="52">
        <f>Data!G1800-Data!F1800</f>
        <v>5</v>
      </c>
      <c r="F1800" s="52">
        <f>IF(Data!J1800&lt;=5,Data!J1800,IF(Data!J1800&lt;=10,"6 TO 10","More than 10"))</f>
        <v>4</v>
      </c>
      <c r="G1800" s="52">
        <f t="shared" si="28"/>
        <v>5</v>
      </c>
      <c r="H1800" s="52">
        <f>ROUND(Data!C1800*Data!D1800-Data!E1800,2)</f>
        <v>0</v>
      </c>
      <c r="I1800" s="52">
        <f>IF(AND(OR(Sel_Mode="All",Data!I1800=Sel_Mode),OR(Sel_Gender="All",D1800=Sel_Gender),OR(Sel_Category="All",Data!B1800=Sel_Category),OR(Sel_Month="All",C1800=Sel_Month),OR(Sel_County="All",Data!L1800=Sel_County)),1,0)</f>
        <v>1</v>
      </c>
    </row>
    <row r="1801" spans="1:9" x14ac:dyDescent="0.25">
      <c r="A1801" s="52" t="str">
        <f>Data!A1801</f>
        <v>TX501800</v>
      </c>
      <c r="B1801" s="52">
        <f>MONTH(Data!F1801)</f>
        <v>3</v>
      </c>
      <c r="C1801" s="52" t="str">
        <f>TEXT(Data!F1801,"mmm")</f>
        <v>Mar</v>
      </c>
      <c r="D1801" s="52" t="str">
        <f>Data!O1801</f>
        <v>Female</v>
      </c>
      <c r="E1801" s="52">
        <f>Data!G1801-Data!F1801</f>
        <v>1</v>
      </c>
      <c r="F1801" s="52">
        <f>IF(Data!J1801&lt;=5,Data!J1801,IF(Data!J1801&lt;=10,"6 TO 10","More than 10"))</f>
        <v>2</v>
      </c>
      <c r="G1801" s="52">
        <f t="shared" si="28"/>
        <v>1</v>
      </c>
      <c r="H1801" s="52">
        <f>ROUND(Data!C1801*Data!D1801-Data!E1801,2)</f>
        <v>0</v>
      </c>
      <c r="I1801" s="52">
        <f>IF(AND(OR(Sel_Mode="All",Data!I1801=Sel_Mode),OR(Sel_Gender="All",D1801=Sel_Gender),OR(Sel_Category="All",Data!B1801=Sel_Category),OR(Sel_Month="All",C1801=Sel_Month),OR(Sel_County="All",Data!L1801=Sel_County)),1,0)</f>
        <v>1</v>
      </c>
    </row>
    <row r="1802" spans="1:9" x14ac:dyDescent="0.25">
      <c r="A1802" s="52" t="str">
        <f>Data!A1802</f>
        <v>TX501801</v>
      </c>
      <c r="B1802" s="52">
        <f>MONTH(Data!F1802)</f>
        <v>3</v>
      </c>
      <c r="C1802" s="52" t="str">
        <f>TEXT(Data!F1802,"mmm")</f>
        <v>Mar</v>
      </c>
      <c r="D1802" s="52" t="str">
        <f>Data!O1802</f>
        <v>Female</v>
      </c>
      <c r="E1802" s="52">
        <f>Data!G1802-Data!F1802</f>
        <v>0</v>
      </c>
      <c r="F1802" s="52">
        <f>IF(Data!J1802&lt;=5,Data!J1802,IF(Data!J1802&lt;=10,"6 TO 10","More than 10"))</f>
        <v>4</v>
      </c>
      <c r="G1802" s="52">
        <f t="shared" si="28"/>
        <v>0</v>
      </c>
      <c r="H1802" s="52">
        <f>ROUND(Data!C1802*Data!D1802-Data!E1802,2)</f>
        <v>0</v>
      </c>
      <c r="I1802" s="52">
        <f>IF(AND(OR(Sel_Mode="All",Data!I1802=Sel_Mode),OR(Sel_Gender="All",D1802=Sel_Gender),OR(Sel_Category="All",Data!B1802=Sel_Category),OR(Sel_Month="All",C1802=Sel_Month),OR(Sel_County="All",Data!L1802=Sel_County)),1,0)</f>
        <v>1</v>
      </c>
    </row>
    <row r="1803" spans="1:9" x14ac:dyDescent="0.25">
      <c r="A1803" s="52" t="str">
        <f>Data!A1803</f>
        <v>TX501802</v>
      </c>
      <c r="B1803" s="52">
        <f>MONTH(Data!F1803)</f>
        <v>3</v>
      </c>
      <c r="C1803" s="52" t="str">
        <f>TEXT(Data!F1803,"mmm")</f>
        <v>Mar</v>
      </c>
      <c r="D1803" s="52" t="str">
        <f>Data!O1803</f>
        <v>Female</v>
      </c>
      <c r="E1803" s="52">
        <f>Data!G1803-Data!F1803</f>
        <v>1</v>
      </c>
      <c r="F1803" s="52">
        <f>IF(Data!J1803&lt;=5,Data!J1803,IF(Data!J1803&lt;=10,"6 TO 10","More than 10"))</f>
        <v>5</v>
      </c>
      <c r="G1803" s="52">
        <f t="shared" si="28"/>
        <v>1</v>
      </c>
      <c r="H1803" s="52">
        <f>ROUND(Data!C1803*Data!D1803-Data!E1803,2)</f>
        <v>0</v>
      </c>
      <c r="I1803" s="52">
        <f>IF(AND(OR(Sel_Mode="All",Data!I1803=Sel_Mode),OR(Sel_Gender="All",D1803=Sel_Gender),OR(Sel_Category="All",Data!B1803=Sel_Category),OR(Sel_Month="All",C1803=Sel_Month),OR(Sel_County="All",Data!L1803=Sel_County)),1,0)</f>
        <v>1</v>
      </c>
    </row>
    <row r="1804" spans="1:9" x14ac:dyDescent="0.25">
      <c r="A1804" s="52" t="str">
        <f>Data!A1804</f>
        <v>TX501803</v>
      </c>
      <c r="B1804" s="52">
        <f>MONTH(Data!F1804)</f>
        <v>3</v>
      </c>
      <c r="C1804" s="52" t="str">
        <f>TEXT(Data!F1804,"mmm")</f>
        <v>Mar</v>
      </c>
      <c r="D1804" s="52" t="str">
        <f>Data!O1804</f>
        <v>Female</v>
      </c>
      <c r="E1804" s="52">
        <f>Data!G1804-Data!F1804</f>
        <v>1</v>
      </c>
      <c r="F1804" s="52">
        <f>IF(Data!J1804&lt;=5,Data!J1804,IF(Data!J1804&lt;=10,"6 TO 10","More than 10"))</f>
        <v>3</v>
      </c>
      <c r="G1804" s="52">
        <f t="shared" si="28"/>
        <v>1</v>
      </c>
      <c r="H1804" s="52">
        <f>ROUND(Data!C1804*Data!D1804-Data!E1804,2)</f>
        <v>0</v>
      </c>
      <c r="I1804" s="52">
        <f>IF(AND(OR(Sel_Mode="All",Data!I1804=Sel_Mode),OR(Sel_Gender="All",D1804=Sel_Gender),OR(Sel_Category="All",Data!B1804=Sel_Category),OR(Sel_Month="All",C1804=Sel_Month),OR(Sel_County="All",Data!L1804=Sel_County)),1,0)</f>
        <v>1</v>
      </c>
    </row>
    <row r="1805" spans="1:9" x14ac:dyDescent="0.25">
      <c r="A1805" s="52" t="str">
        <f>Data!A1805</f>
        <v>TX501804</v>
      </c>
      <c r="B1805" s="52">
        <f>MONTH(Data!F1805)</f>
        <v>3</v>
      </c>
      <c r="C1805" s="52" t="str">
        <f>TEXT(Data!F1805,"mmm")</f>
        <v>Mar</v>
      </c>
      <c r="D1805" s="52" t="str">
        <f>Data!O1805</f>
        <v>Male</v>
      </c>
      <c r="E1805" s="52">
        <f>Data!G1805-Data!F1805</f>
        <v>1</v>
      </c>
      <c r="F1805" s="52">
        <f>IF(Data!J1805&lt;=5,Data!J1805,IF(Data!J1805&lt;=10,"6 TO 10","More than 10"))</f>
        <v>5</v>
      </c>
      <c r="G1805" s="52">
        <f t="shared" si="28"/>
        <v>1</v>
      </c>
      <c r="H1805" s="52">
        <f>ROUND(Data!C1805*Data!D1805-Data!E1805,2)</f>
        <v>0</v>
      </c>
      <c r="I1805" s="52">
        <f>IF(AND(OR(Sel_Mode="All",Data!I1805=Sel_Mode),OR(Sel_Gender="All",D1805=Sel_Gender),OR(Sel_Category="All",Data!B1805=Sel_Category),OR(Sel_Month="All",C1805=Sel_Month),OR(Sel_County="All",Data!L1805=Sel_County)),1,0)</f>
        <v>1</v>
      </c>
    </row>
    <row r="1806" spans="1:9" x14ac:dyDescent="0.25">
      <c r="A1806" s="52" t="str">
        <f>Data!A1806</f>
        <v>TX501805</v>
      </c>
      <c r="B1806" s="52">
        <f>MONTH(Data!F1806)</f>
        <v>3</v>
      </c>
      <c r="C1806" s="52" t="str">
        <f>TEXT(Data!F1806,"mmm")</f>
        <v>Mar</v>
      </c>
      <c r="D1806" s="52" t="str">
        <f>Data!O1806</f>
        <v>Male</v>
      </c>
      <c r="E1806" s="52">
        <f>Data!G1806-Data!F1806</f>
        <v>6</v>
      </c>
      <c r="F1806" s="52">
        <f>IF(Data!J1806&lt;=5,Data!J1806,IF(Data!J1806&lt;=10,"6 TO 10","More than 10"))</f>
        <v>2</v>
      </c>
      <c r="G1806" s="52">
        <f t="shared" si="28"/>
        <v>6</v>
      </c>
      <c r="H1806" s="52">
        <f>ROUND(Data!C1806*Data!D1806-Data!E1806,2)</f>
        <v>0</v>
      </c>
      <c r="I1806" s="52">
        <f>IF(AND(OR(Sel_Mode="All",Data!I1806=Sel_Mode),OR(Sel_Gender="All",D1806=Sel_Gender),OR(Sel_Category="All",Data!B1806=Sel_Category),OR(Sel_Month="All",C1806=Sel_Month),OR(Sel_County="All",Data!L1806=Sel_County)),1,0)</f>
        <v>1</v>
      </c>
    </row>
    <row r="1807" spans="1:9" x14ac:dyDescent="0.25">
      <c r="A1807" s="52" t="str">
        <f>Data!A1807</f>
        <v>TX501806</v>
      </c>
      <c r="B1807" s="52">
        <f>MONTH(Data!F1807)</f>
        <v>3</v>
      </c>
      <c r="C1807" s="52" t="str">
        <f>TEXT(Data!F1807,"mmm")</f>
        <v>Mar</v>
      </c>
      <c r="D1807" s="52" t="str">
        <f>Data!O1807</f>
        <v>Female</v>
      </c>
      <c r="E1807" s="52">
        <f>Data!G1807-Data!F1807</f>
        <v>1</v>
      </c>
      <c r="F1807" s="52">
        <f>IF(Data!J1807&lt;=5,Data!J1807,IF(Data!J1807&lt;=10,"6 TO 10","More than 10"))</f>
        <v>5</v>
      </c>
      <c r="G1807" s="52">
        <f t="shared" si="28"/>
        <v>1</v>
      </c>
      <c r="H1807" s="52">
        <f>ROUND(Data!C1807*Data!D1807-Data!E1807,2)</f>
        <v>0</v>
      </c>
      <c r="I1807" s="52">
        <f>IF(AND(OR(Sel_Mode="All",Data!I1807=Sel_Mode),OR(Sel_Gender="All",D1807=Sel_Gender),OR(Sel_Category="All",Data!B1807=Sel_Category),OR(Sel_Month="All",C1807=Sel_Month),OR(Sel_County="All",Data!L1807=Sel_County)),1,0)</f>
        <v>1</v>
      </c>
    </row>
    <row r="1808" spans="1:9" x14ac:dyDescent="0.25">
      <c r="A1808" s="52" t="str">
        <f>Data!A1808</f>
        <v>TX501807</v>
      </c>
      <c r="B1808" s="52">
        <f>MONTH(Data!F1808)</f>
        <v>3</v>
      </c>
      <c r="C1808" s="52" t="str">
        <f>TEXT(Data!F1808,"mmm")</f>
        <v>Mar</v>
      </c>
      <c r="D1808" s="52" t="str">
        <f>Data!O1808</f>
        <v>Male</v>
      </c>
      <c r="E1808" s="52">
        <f>Data!G1808-Data!F1808</f>
        <v>4</v>
      </c>
      <c r="F1808" s="52">
        <f>IF(Data!J1808&lt;=5,Data!J1808,IF(Data!J1808&lt;=10,"6 TO 10","More than 10"))</f>
        <v>4</v>
      </c>
      <c r="G1808" s="52">
        <f t="shared" si="28"/>
        <v>4</v>
      </c>
      <c r="H1808" s="52">
        <f>ROUND(Data!C1808*Data!D1808-Data!E1808,2)</f>
        <v>0</v>
      </c>
      <c r="I1808" s="52">
        <f>IF(AND(OR(Sel_Mode="All",Data!I1808=Sel_Mode),OR(Sel_Gender="All",D1808=Sel_Gender),OR(Sel_Category="All",Data!B1808=Sel_Category),OR(Sel_Month="All",C1808=Sel_Month),OR(Sel_County="All",Data!L1808=Sel_County)),1,0)</f>
        <v>1</v>
      </c>
    </row>
    <row r="1809" spans="1:9" x14ac:dyDescent="0.25">
      <c r="A1809" s="52" t="str">
        <f>Data!A1809</f>
        <v>TX501808</v>
      </c>
      <c r="B1809" s="52">
        <f>MONTH(Data!F1809)</f>
        <v>3</v>
      </c>
      <c r="C1809" s="52" t="str">
        <f>TEXT(Data!F1809,"mmm")</f>
        <v>Mar</v>
      </c>
      <c r="D1809" s="52" t="str">
        <f>Data!O1809</f>
        <v>Female</v>
      </c>
      <c r="E1809" s="52">
        <f>Data!G1809-Data!F1809</f>
        <v>1</v>
      </c>
      <c r="F1809" s="52">
        <f>IF(Data!J1809&lt;=5,Data!J1809,IF(Data!J1809&lt;=10,"6 TO 10","More than 10"))</f>
        <v>5</v>
      </c>
      <c r="G1809" s="52">
        <f t="shared" si="28"/>
        <v>1</v>
      </c>
      <c r="H1809" s="52">
        <f>ROUND(Data!C1809*Data!D1809-Data!E1809,2)</f>
        <v>0</v>
      </c>
      <c r="I1809" s="52">
        <f>IF(AND(OR(Sel_Mode="All",Data!I1809=Sel_Mode),OR(Sel_Gender="All",D1809=Sel_Gender),OR(Sel_Category="All",Data!B1809=Sel_Category),OR(Sel_Month="All",C1809=Sel_Month),OR(Sel_County="All",Data!L1809=Sel_County)),1,0)</f>
        <v>1</v>
      </c>
    </row>
    <row r="1810" spans="1:9" x14ac:dyDescent="0.25">
      <c r="A1810" s="52" t="str">
        <f>Data!A1810</f>
        <v>TX501809</v>
      </c>
      <c r="B1810" s="52">
        <f>MONTH(Data!F1810)</f>
        <v>3</v>
      </c>
      <c r="C1810" s="52" t="str">
        <f>TEXT(Data!F1810,"mmm")</f>
        <v>Mar</v>
      </c>
      <c r="D1810" s="52" t="str">
        <f>Data!O1810</f>
        <v>Female</v>
      </c>
      <c r="E1810" s="52">
        <f>Data!G1810-Data!F1810</f>
        <v>2</v>
      </c>
      <c r="F1810" s="52">
        <f>IF(Data!J1810&lt;=5,Data!J1810,IF(Data!J1810&lt;=10,"6 TO 10","More than 10"))</f>
        <v>3</v>
      </c>
      <c r="G1810" s="52">
        <f t="shared" si="28"/>
        <v>2</v>
      </c>
      <c r="H1810" s="52">
        <f>ROUND(Data!C1810*Data!D1810-Data!E1810,2)</f>
        <v>0</v>
      </c>
      <c r="I1810" s="52">
        <f>IF(AND(OR(Sel_Mode="All",Data!I1810=Sel_Mode),OR(Sel_Gender="All",D1810=Sel_Gender),OR(Sel_Category="All",Data!B1810=Sel_Category),OR(Sel_Month="All",C1810=Sel_Month),OR(Sel_County="All",Data!L1810=Sel_County)),1,0)</f>
        <v>1</v>
      </c>
    </row>
    <row r="1811" spans="1:9" x14ac:dyDescent="0.25">
      <c r="A1811" s="52" t="str">
        <f>Data!A1811</f>
        <v>TX501810</v>
      </c>
      <c r="B1811" s="52">
        <f>MONTH(Data!F1811)</f>
        <v>3</v>
      </c>
      <c r="C1811" s="52" t="str">
        <f>TEXT(Data!F1811,"mmm")</f>
        <v>Mar</v>
      </c>
      <c r="D1811" s="52" t="str">
        <f>Data!O1811</f>
        <v>Female</v>
      </c>
      <c r="E1811" s="52">
        <f>Data!G1811-Data!F1811</f>
        <v>4</v>
      </c>
      <c r="F1811" s="52">
        <f>IF(Data!J1811&lt;=5,Data!J1811,IF(Data!J1811&lt;=10,"6 TO 10","More than 10"))</f>
        <v>5</v>
      </c>
      <c r="G1811" s="52">
        <f t="shared" si="28"/>
        <v>4</v>
      </c>
      <c r="H1811" s="52">
        <f>ROUND(Data!C1811*Data!D1811-Data!E1811,2)</f>
        <v>0</v>
      </c>
      <c r="I1811" s="52">
        <f>IF(AND(OR(Sel_Mode="All",Data!I1811=Sel_Mode),OR(Sel_Gender="All",D1811=Sel_Gender),OR(Sel_Category="All",Data!B1811=Sel_Category),OR(Sel_Month="All",C1811=Sel_Month),OR(Sel_County="All",Data!L1811=Sel_County)),1,0)</f>
        <v>1</v>
      </c>
    </row>
    <row r="1812" spans="1:9" x14ac:dyDescent="0.25">
      <c r="A1812" s="52" t="str">
        <f>Data!A1812</f>
        <v>TX501811</v>
      </c>
      <c r="B1812" s="52">
        <f>MONTH(Data!F1812)</f>
        <v>3</v>
      </c>
      <c r="C1812" s="52" t="str">
        <f>TEXT(Data!F1812,"mmm")</f>
        <v>Mar</v>
      </c>
      <c r="D1812" s="52" t="str">
        <f>Data!O1812</f>
        <v>Other</v>
      </c>
      <c r="E1812" s="52">
        <f>Data!G1812-Data!F1812</f>
        <v>4</v>
      </c>
      <c r="F1812" s="52">
        <f>IF(Data!J1812&lt;=5,Data!J1812,IF(Data!J1812&lt;=10,"6 TO 10","More than 10"))</f>
        <v>5</v>
      </c>
      <c r="G1812" s="52">
        <f t="shared" si="28"/>
        <v>4</v>
      </c>
      <c r="H1812" s="52">
        <f>ROUND(Data!C1812*Data!D1812-Data!E1812,2)</f>
        <v>0</v>
      </c>
      <c r="I1812" s="52">
        <f>IF(AND(OR(Sel_Mode="All",Data!I1812=Sel_Mode),OR(Sel_Gender="All",D1812=Sel_Gender),OR(Sel_Category="All",Data!B1812=Sel_Category),OR(Sel_Month="All",C1812=Sel_Month),OR(Sel_County="All",Data!L1812=Sel_County)),1,0)</f>
        <v>1</v>
      </c>
    </row>
    <row r="1813" spans="1:9" x14ac:dyDescent="0.25">
      <c r="A1813" s="52" t="str">
        <f>Data!A1813</f>
        <v>TX501812</v>
      </c>
      <c r="B1813" s="52">
        <f>MONTH(Data!F1813)</f>
        <v>3</v>
      </c>
      <c r="C1813" s="52" t="str">
        <f>TEXT(Data!F1813,"mmm")</f>
        <v>Mar</v>
      </c>
      <c r="D1813" s="52" t="str">
        <f>Data!O1813</f>
        <v>Female</v>
      </c>
      <c r="E1813" s="52">
        <f>Data!G1813-Data!F1813</f>
        <v>3</v>
      </c>
      <c r="F1813" s="52">
        <f>IF(Data!J1813&lt;=5,Data!J1813,IF(Data!J1813&lt;=10,"6 TO 10","More than 10"))</f>
        <v>4</v>
      </c>
      <c r="G1813" s="52">
        <f t="shared" si="28"/>
        <v>3</v>
      </c>
      <c r="H1813" s="52">
        <f>ROUND(Data!C1813*Data!D1813-Data!E1813,2)</f>
        <v>0</v>
      </c>
      <c r="I1813" s="52">
        <f>IF(AND(OR(Sel_Mode="All",Data!I1813=Sel_Mode),OR(Sel_Gender="All",D1813=Sel_Gender),OR(Sel_Category="All",Data!B1813=Sel_Category),OR(Sel_Month="All",C1813=Sel_Month),OR(Sel_County="All",Data!L1813=Sel_County)),1,0)</f>
        <v>1</v>
      </c>
    </row>
    <row r="1814" spans="1:9" x14ac:dyDescent="0.25">
      <c r="A1814" s="52" t="str">
        <f>Data!A1814</f>
        <v>TX501813</v>
      </c>
      <c r="B1814" s="52">
        <f>MONTH(Data!F1814)</f>
        <v>3</v>
      </c>
      <c r="C1814" s="52" t="str">
        <f>TEXT(Data!F1814,"mmm")</f>
        <v>Mar</v>
      </c>
      <c r="D1814" s="52" t="str">
        <f>Data!O1814</f>
        <v>Female</v>
      </c>
      <c r="E1814" s="52">
        <f>Data!G1814-Data!F1814</f>
        <v>1</v>
      </c>
      <c r="F1814" s="52">
        <f>IF(Data!J1814&lt;=5,Data!J1814,IF(Data!J1814&lt;=10,"6 TO 10","More than 10"))</f>
        <v>5</v>
      </c>
      <c r="G1814" s="52">
        <f t="shared" si="28"/>
        <v>1</v>
      </c>
      <c r="H1814" s="52">
        <f>ROUND(Data!C1814*Data!D1814-Data!E1814,2)</f>
        <v>0</v>
      </c>
      <c r="I1814" s="52">
        <f>IF(AND(OR(Sel_Mode="All",Data!I1814=Sel_Mode),OR(Sel_Gender="All",D1814=Sel_Gender),OR(Sel_Category="All",Data!B1814=Sel_Category),OR(Sel_Month="All",C1814=Sel_Month),OR(Sel_County="All",Data!L1814=Sel_County)),1,0)</f>
        <v>1</v>
      </c>
    </row>
    <row r="1815" spans="1:9" x14ac:dyDescent="0.25">
      <c r="A1815" s="52" t="str">
        <f>Data!A1815</f>
        <v>TX501814</v>
      </c>
      <c r="B1815" s="52">
        <f>MONTH(Data!F1815)</f>
        <v>3</v>
      </c>
      <c r="C1815" s="52" t="str">
        <f>TEXT(Data!F1815,"mmm")</f>
        <v>Mar</v>
      </c>
      <c r="D1815" s="52" t="str">
        <f>Data!O1815</f>
        <v>Male</v>
      </c>
      <c r="E1815" s="52">
        <f>Data!G1815-Data!F1815</f>
        <v>3</v>
      </c>
      <c r="F1815" s="52">
        <f>IF(Data!J1815&lt;=5,Data!J1815,IF(Data!J1815&lt;=10,"6 TO 10","More than 10"))</f>
        <v>5</v>
      </c>
      <c r="G1815" s="52">
        <f t="shared" si="28"/>
        <v>3</v>
      </c>
      <c r="H1815" s="52">
        <f>ROUND(Data!C1815*Data!D1815-Data!E1815,2)</f>
        <v>0</v>
      </c>
      <c r="I1815" s="52">
        <f>IF(AND(OR(Sel_Mode="All",Data!I1815=Sel_Mode),OR(Sel_Gender="All",D1815=Sel_Gender),OR(Sel_Category="All",Data!B1815=Sel_Category),OR(Sel_Month="All",C1815=Sel_Month),OR(Sel_County="All",Data!L1815=Sel_County)),1,0)</f>
        <v>1</v>
      </c>
    </row>
    <row r="1816" spans="1:9" x14ac:dyDescent="0.25">
      <c r="A1816" s="52" t="str">
        <f>Data!A1816</f>
        <v>TX501815</v>
      </c>
      <c r="B1816" s="52">
        <f>MONTH(Data!F1816)</f>
        <v>3</v>
      </c>
      <c r="C1816" s="52" t="str">
        <f>TEXT(Data!F1816,"mmm")</f>
        <v>Mar</v>
      </c>
      <c r="D1816" s="52" t="str">
        <f>Data!O1816</f>
        <v>Female</v>
      </c>
      <c r="E1816" s="52">
        <f>Data!G1816-Data!F1816</f>
        <v>2</v>
      </c>
      <c r="F1816" s="52">
        <f>IF(Data!J1816&lt;=5,Data!J1816,IF(Data!J1816&lt;=10,"6 TO 10","More than 10"))</f>
        <v>1</v>
      </c>
      <c r="G1816" s="52">
        <f t="shared" si="28"/>
        <v>2</v>
      </c>
      <c r="H1816" s="52">
        <f>ROUND(Data!C1816*Data!D1816-Data!E1816,2)</f>
        <v>0</v>
      </c>
      <c r="I1816" s="52">
        <f>IF(AND(OR(Sel_Mode="All",Data!I1816=Sel_Mode),OR(Sel_Gender="All",D1816=Sel_Gender),OR(Sel_Category="All",Data!B1816=Sel_Category),OR(Sel_Month="All",C1816=Sel_Month),OR(Sel_County="All",Data!L1816=Sel_County)),1,0)</f>
        <v>1</v>
      </c>
    </row>
    <row r="1817" spans="1:9" x14ac:dyDescent="0.25">
      <c r="A1817" s="52" t="str">
        <f>Data!A1817</f>
        <v>TX501816</v>
      </c>
      <c r="B1817" s="52">
        <f>MONTH(Data!F1817)</f>
        <v>3</v>
      </c>
      <c r="C1817" s="52" t="str">
        <f>TEXT(Data!F1817,"mmm")</f>
        <v>Mar</v>
      </c>
      <c r="D1817" s="52" t="str">
        <f>Data!O1817</f>
        <v>Male</v>
      </c>
      <c r="E1817" s="52">
        <f>Data!G1817-Data!F1817</f>
        <v>0</v>
      </c>
      <c r="F1817" s="52">
        <f>IF(Data!J1817&lt;=5,Data!J1817,IF(Data!J1817&lt;=10,"6 TO 10","More than 10"))</f>
        <v>4</v>
      </c>
      <c r="G1817" s="52">
        <f t="shared" si="28"/>
        <v>0</v>
      </c>
      <c r="H1817" s="52">
        <f>ROUND(Data!C1817*Data!D1817-Data!E1817,2)</f>
        <v>0</v>
      </c>
      <c r="I1817" s="52">
        <f>IF(AND(OR(Sel_Mode="All",Data!I1817=Sel_Mode),OR(Sel_Gender="All",D1817=Sel_Gender),OR(Sel_Category="All",Data!B1817=Sel_Category),OR(Sel_Month="All",C1817=Sel_Month),OR(Sel_County="All",Data!L1817=Sel_County)),1,0)</f>
        <v>1</v>
      </c>
    </row>
    <row r="1818" spans="1:9" x14ac:dyDescent="0.25">
      <c r="A1818" s="52" t="str">
        <f>Data!A1818</f>
        <v>TX501817</v>
      </c>
      <c r="B1818" s="52">
        <f>MONTH(Data!F1818)</f>
        <v>3</v>
      </c>
      <c r="C1818" s="52" t="str">
        <f>TEXT(Data!F1818,"mmm")</f>
        <v>Mar</v>
      </c>
      <c r="D1818" s="52" t="str">
        <f>Data!O1818</f>
        <v>Other</v>
      </c>
      <c r="E1818" s="52">
        <f>Data!G1818-Data!F1818</f>
        <v>2</v>
      </c>
      <c r="F1818" s="52">
        <f>IF(Data!J1818&lt;=5,Data!J1818,IF(Data!J1818&lt;=10,"6 TO 10","More than 10"))</f>
        <v>3</v>
      </c>
      <c r="G1818" s="52">
        <f t="shared" si="28"/>
        <v>2</v>
      </c>
      <c r="H1818" s="52">
        <f>ROUND(Data!C1818*Data!D1818-Data!E1818,2)</f>
        <v>0</v>
      </c>
      <c r="I1818" s="52">
        <f>IF(AND(OR(Sel_Mode="All",Data!I1818=Sel_Mode),OR(Sel_Gender="All",D1818=Sel_Gender),OR(Sel_Category="All",Data!B1818=Sel_Category),OR(Sel_Month="All",C1818=Sel_Month),OR(Sel_County="All",Data!L1818=Sel_County)),1,0)</f>
        <v>1</v>
      </c>
    </row>
    <row r="1819" spans="1:9" x14ac:dyDescent="0.25">
      <c r="A1819" s="52" t="str">
        <f>Data!A1819</f>
        <v>TX501818</v>
      </c>
      <c r="B1819" s="52">
        <f>MONTH(Data!F1819)</f>
        <v>3</v>
      </c>
      <c r="C1819" s="52" t="str">
        <f>TEXT(Data!F1819,"mmm")</f>
        <v>Mar</v>
      </c>
      <c r="D1819" s="52" t="str">
        <f>Data!O1819</f>
        <v>Female</v>
      </c>
      <c r="E1819" s="52">
        <f>Data!G1819-Data!F1819</f>
        <v>0</v>
      </c>
      <c r="F1819" s="52">
        <f>IF(Data!J1819&lt;=5,Data!J1819,IF(Data!J1819&lt;=10,"6 TO 10","More than 10"))</f>
        <v>4</v>
      </c>
      <c r="G1819" s="52">
        <f t="shared" si="28"/>
        <v>0</v>
      </c>
      <c r="H1819" s="52">
        <f>ROUND(Data!C1819*Data!D1819-Data!E1819,2)</f>
        <v>0</v>
      </c>
      <c r="I1819" s="52">
        <f>IF(AND(OR(Sel_Mode="All",Data!I1819=Sel_Mode),OR(Sel_Gender="All",D1819=Sel_Gender),OR(Sel_Category="All",Data!B1819=Sel_Category),OR(Sel_Month="All",C1819=Sel_Month),OR(Sel_County="All",Data!L1819=Sel_County)),1,0)</f>
        <v>1</v>
      </c>
    </row>
    <row r="1820" spans="1:9" x14ac:dyDescent="0.25">
      <c r="A1820" s="52" t="str">
        <f>Data!A1820</f>
        <v>TX501819</v>
      </c>
      <c r="B1820" s="52">
        <f>MONTH(Data!F1820)</f>
        <v>3</v>
      </c>
      <c r="C1820" s="52" t="str">
        <f>TEXT(Data!F1820,"mmm")</f>
        <v>Mar</v>
      </c>
      <c r="D1820" s="52" t="str">
        <f>Data!O1820</f>
        <v>Unknown</v>
      </c>
      <c r="E1820" s="52">
        <f>Data!G1820-Data!F1820</f>
        <v>4</v>
      </c>
      <c r="F1820" s="52">
        <f>IF(Data!J1820&lt;=5,Data!J1820,IF(Data!J1820&lt;=10,"6 TO 10","More than 10"))</f>
        <v>4</v>
      </c>
      <c r="G1820" s="52">
        <f t="shared" si="28"/>
        <v>4</v>
      </c>
      <c r="H1820" s="52">
        <f>ROUND(Data!C1820*Data!D1820-Data!E1820,2)</f>
        <v>0</v>
      </c>
      <c r="I1820" s="52">
        <f>IF(AND(OR(Sel_Mode="All",Data!I1820=Sel_Mode),OR(Sel_Gender="All",D1820=Sel_Gender),OR(Sel_Category="All",Data!B1820=Sel_Category),OR(Sel_Month="All",C1820=Sel_Month),OR(Sel_County="All",Data!L1820=Sel_County)),1,0)</f>
        <v>1</v>
      </c>
    </row>
    <row r="1821" spans="1:9" x14ac:dyDescent="0.25">
      <c r="A1821" s="52" t="str">
        <f>Data!A1821</f>
        <v>TX501820</v>
      </c>
      <c r="B1821" s="52">
        <f>MONTH(Data!F1821)</f>
        <v>3</v>
      </c>
      <c r="C1821" s="52" t="str">
        <f>TEXT(Data!F1821,"mmm")</f>
        <v>Mar</v>
      </c>
      <c r="D1821" s="52" t="str">
        <f>Data!O1821</f>
        <v>Female</v>
      </c>
      <c r="E1821" s="52">
        <f>Data!G1821-Data!F1821</f>
        <v>2</v>
      </c>
      <c r="F1821" s="52">
        <f>IF(Data!J1821&lt;=5,Data!J1821,IF(Data!J1821&lt;=10,"6 TO 10","More than 10"))</f>
        <v>4</v>
      </c>
      <c r="G1821" s="52">
        <f t="shared" si="28"/>
        <v>2</v>
      </c>
      <c r="H1821" s="52">
        <f>ROUND(Data!C1821*Data!D1821-Data!E1821,2)</f>
        <v>0</v>
      </c>
      <c r="I1821" s="52">
        <f>IF(AND(OR(Sel_Mode="All",Data!I1821=Sel_Mode),OR(Sel_Gender="All",D1821=Sel_Gender),OR(Sel_Category="All",Data!B1821=Sel_Category),OR(Sel_Month="All",C1821=Sel_Month),OR(Sel_County="All",Data!L1821=Sel_County)),1,0)</f>
        <v>1</v>
      </c>
    </row>
    <row r="1822" spans="1:9" x14ac:dyDescent="0.25">
      <c r="A1822" s="52" t="str">
        <f>Data!A1822</f>
        <v>TX501821</v>
      </c>
      <c r="B1822" s="52">
        <f>MONTH(Data!F1822)</f>
        <v>3</v>
      </c>
      <c r="C1822" s="52" t="str">
        <f>TEXT(Data!F1822,"mmm")</f>
        <v>Mar</v>
      </c>
      <c r="D1822" s="52" t="str">
        <f>Data!O1822</f>
        <v>Female</v>
      </c>
      <c r="E1822" s="52">
        <f>Data!G1822-Data!F1822</f>
        <v>1</v>
      </c>
      <c r="F1822" s="52">
        <f>IF(Data!J1822&lt;=5,Data!J1822,IF(Data!J1822&lt;=10,"6 TO 10","More than 10"))</f>
        <v>4</v>
      </c>
      <c r="G1822" s="52">
        <f t="shared" si="28"/>
        <v>1</v>
      </c>
      <c r="H1822" s="52">
        <f>ROUND(Data!C1822*Data!D1822-Data!E1822,2)</f>
        <v>0</v>
      </c>
      <c r="I1822" s="52">
        <f>IF(AND(OR(Sel_Mode="All",Data!I1822=Sel_Mode),OR(Sel_Gender="All",D1822=Sel_Gender),OR(Sel_Category="All",Data!B1822=Sel_Category),OR(Sel_Month="All",C1822=Sel_Month),OR(Sel_County="All",Data!L1822=Sel_County)),1,0)</f>
        <v>1</v>
      </c>
    </row>
    <row r="1823" spans="1:9" x14ac:dyDescent="0.25">
      <c r="A1823" s="52" t="str">
        <f>Data!A1823</f>
        <v>TX501822</v>
      </c>
      <c r="B1823" s="52">
        <f>MONTH(Data!F1823)</f>
        <v>3</v>
      </c>
      <c r="C1823" s="52" t="str">
        <f>TEXT(Data!F1823,"mmm")</f>
        <v>Mar</v>
      </c>
      <c r="D1823" s="52" t="str">
        <f>Data!O1823</f>
        <v>Unknown</v>
      </c>
      <c r="E1823" s="52">
        <f>Data!G1823-Data!F1823</f>
        <v>2</v>
      </c>
      <c r="F1823" s="52">
        <f>IF(Data!J1823&lt;=5,Data!J1823,IF(Data!J1823&lt;=10,"6 TO 10","More than 10"))</f>
        <v>4</v>
      </c>
      <c r="G1823" s="52">
        <f t="shared" si="28"/>
        <v>2</v>
      </c>
      <c r="H1823" s="52">
        <f>ROUND(Data!C1823*Data!D1823-Data!E1823,2)</f>
        <v>0</v>
      </c>
      <c r="I1823" s="52">
        <f>IF(AND(OR(Sel_Mode="All",Data!I1823=Sel_Mode),OR(Sel_Gender="All",D1823=Sel_Gender),OR(Sel_Category="All",Data!B1823=Sel_Category),OR(Sel_Month="All",C1823=Sel_Month),OR(Sel_County="All",Data!L1823=Sel_County)),1,0)</f>
        <v>1</v>
      </c>
    </row>
    <row r="1824" spans="1:9" x14ac:dyDescent="0.25">
      <c r="A1824" s="52" t="str">
        <f>Data!A1824</f>
        <v>TX501823</v>
      </c>
      <c r="B1824" s="52">
        <f>MONTH(Data!F1824)</f>
        <v>3</v>
      </c>
      <c r="C1824" s="52" t="str">
        <f>TEXT(Data!F1824,"mmm")</f>
        <v>Mar</v>
      </c>
      <c r="D1824" s="52" t="str">
        <f>Data!O1824</f>
        <v>Male</v>
      </c>
      <c r="E1824" s="52">
        <f>Data!G1824-Data!F1824</f>
        <v>0</v>
      </c>
      <c r="F1824" s="52">
        <f>IF(Data!J1824&lt;=5,Data!J1824,IF(Data!J1824&lt;=10,"6 TO 10","More than 10"))</f>
        <v>4</v>
      </c>
      <c r="G1824" s="52">
        <f t="shared" si="28"/>
        <v>0</v>
      </c>
      <c r="H1824" s="52">
        <f>ROUND(Data!C1824*Data!D1824-Data!E1824,2)</f>
        <v>0</v>
      </c>
      <c r="I1824" s="52">
        <f>IF(AND(OR(Sel_Mode="All",Data!I1824=Sel_Mode),OR(Sel_Gender="All",D1824=Sel_Gender),OR(Sel_Category="All",Data!B1824=Sel_Category),OR(Sel_Month="All",C1824=Sel_Month),OR(Sel_County="All",Data!L1824=Sel_County)),1,0)</f>
        <v>1</v>
      </c>
    </row>
    <row r="1825" spans="1:9" x14ac:dyDescent="0.25">
      <c r="A1825" s="52" t="str">
        <f>Data!A1825</f>
        <v>TX501824</v>
      </c>
      <c r="B1825" s="52">
        <f>MONTH(Data!F1825)</f>
        <v>3</v>
      </c>
      <c r="C1825" s="52" t="str">
        <f>TEXT(Data!F1825,"mmm")</f>
        <v>Mar</v>
      </c>
      <c r="D1825" s="52" t="str">
        <f>Data!O1825</f>
        <v>Other</v>
      </c>
      <c r="E1825" s="52">
        <f>Data!G1825-Data!F1825</f>
        <v>1</v>
      </c>
      <c r="F1825" s="52">
        <f>IF(Data!J1825&lt;=5,Data!J1825,IF(Data!J1825&lt;=10,"6 TO 10","More than 10"))</f>
        <v>4</v>
      </c>
      <c r="G1825" s="52">
        <f t="shared" si="28"/>
        <v>1</v>
      </c>
      <c r="H1825" s="52">
        <f>ROUND(Data!C1825*Data!D1825-Data!E1825,2)</f>
        <v>0</v>
      </c>
      <c r="I1825" s="52">
        <f>IF(AND(OR(Sel_Mode="All",Data!I1825=Sel_Mode),OR(Sel_Gender="All",D1825=Sel_Gender),OR(Sel_Category="All",Data!B1825=Sel_Category),OR(Sel_Month="All",C1825=Sel_Month),OR(Sel_County="All",Data!L1825=Sel_County)),1,0)</f>
        <v>1</v>
      </c>
    </row>
    <row r="1826" spans="1:9" x14ac:dyDescent="0.25">
      <c r="A1826" s="52" t="str">
        <f>Data!A1826</f>
        <v>TX501825</v>
      </c>
      <c r="B1826" s="52">
        <f>MONTH(Data!F1826)</f>
        <v>3</v>
      </c>
      <c r="C1826" s="52" t="str">
        <f>TEXT(Data!F1826,"mmm")</f>
        <v>Mar</v>
      </c>
      <c r="D1826" s="52" t="str">
        <f>Data!O1826</f>
        <v>Male</v>
      </c>
      <c r="E1826" s="52">
        <f>Data!G1826-Data!F1826</f>
        <v>2</v>
      </c>
      <c r="F1826" s="52">
        <f>IF(Data!J1826&lt;=5,Data!J1826,IF(Data!J1826&lt;=10,"6 TO 10","More than 10"))</f>
        <v>4</v>
      </c>
      <c r="G1826" s="52">
        <f t="shared" si="28"/>
        <v>2</v>
      </c>
      <c r="H1826" s="52">
        <f>ROUND(Data!C1826*Data!D1826-Data!E1826,2)</f>
        <v>0</v>
      </c>
      <c r="I1826" s="52">
        <f>IF(AND(OR(Sel_Mode="All",Data!I1826=Sel_Mode),OR(Sel_Gender="All",D1826=Sel_Gender),OR(Sel_Category="All",Data!B1826=Sel_Category),OR(Sel_Month="All",C1826=Sel_Month),OR(Sel_County="All",Data!L1826=Sel_County)),1,0)</f>
        <v>1</v>
      </c>
    </row>
    <row r="1827" spans="1:9" x14ac:dyDescent="0.25">
      <c r="A1827" s="52" t="str">
        <f>Data!A1827</f>
        <v>TX501826</v>
      </c>
      <c r="B1827" s="52">
        <f>MONTH(Data!F1827)</f>
        <v>3</v>
      </c>
      <c r="C1827" s="52" t="str">
        <f>TEXT(Data!F1827,"mmm")</f>
        <v>Mar</v>
      </c>
      <c r="D1827" s="52" t="str">
        <f>Data!O1827</f>
        <v>Female</v>
      </c>
      <c r="E1827" s="52">
        <f>Data!G1827-Data!F1827</f>
        <v>1</v>
      </c>
      <c r="F1827" s="52">
        <f>IF(Data!J1827&lt;=5,Data!J1827,IF(Data!J1827&lt;=10,"6 TO 10","More than 10"))</f>
        <v>5</v>
      </c>
      <c r="G1827" s="52">
        <f t="shared" si="28"/>
        <v>1</v>
      </c>
      <c r="H1827" s="52">
        <f>ROUND(Data!C1827*Data!D1827-Data!E1827,2)</f>
        <v>0</v>
      </c>
      <c r="I1827" s="52">
        <f>IF(AND(OR(Sel_Mode="All",Data!I1827=Sel_Mode),OR(Sel_Gender="All",D1827=Sel_Gender),OR(Sel_Category="All",Data!B1827=Sel_Category),OR(Sel_Month="All",C1827=Sel_Month),OR(Sel_County="All",Data!L1827=Sel_County)),1,0)</f>
        <v>1</v>
      </c>
    </row>
    <row r="1828" spans="1:9" x14ac:dyDescent="0.25">
      <c r="A1828" s="52" t="str">
        <f>Data!A1828</f>
        <v>TX501827</v>
      </c>
      <c r="B1828" s="52">
        <f>MONTH(Data!F1828)</f>
        <v>3</v>
      </c>
      <c r="C1828" s="52" t="str">
        <f>TEXT(Data!F1828,"mmm")</f>
        <v>Mar</v>
      </c>
      <c r="D1828" s="52" t="str">
        <f>Data!O1828</f>
        <v>Unknown</v>
      </c>
      <c r="E1828" s="52">
        <f>Data!G1828-Data!F1828</f>
        <v>1</v>
      </c>
      <c r="F1828" s="52">
        <f>IF(Data!J1828&lt;=5,Data!J1828,IF(Data!J1828&lt;=10,"6 TO 10","More than 10"))</f>
        <v>3</v>
      </c>
      <c r="G1828" s="52">
        <f t="shared" si="28"/>
        <v>1</v>
      </c>
      <c r="H1828" s="52">
        <f>ROUND(Data!C1828*Data!D1828-Data!E1828,2)</f>
        <v>0</v>
      </c>
      <c r="I1828" s="52">
        <f>IF(AND(OR(Sel_Mode="All",Data!I1828=Sel_Mode),OR(Sel_Gender="All",D1828=Sel_Gender),OR(Sel_Category="All",Data!B1828=Sel_Category),OR(Sel_Month="All",C1828=Sel_Month),OR(Sel_County="All",Data!L1828=Sel_County)),1,0)</f>
        <v>1</v>
      </c>
    </row>
    <row r="1829" spans="1:9" x14ac:dyDescent="0.25">
      <c r="A1829" s="52" t="str">
        <f>Data!A1829</f>
        <v>TX501828</v>
      </c>
      <c r="B1829" s="52">
        <f>MONTH(Data!F1829)</f>
        <v>3</v>
      </c>
      <c r="C1829" s="52" t="str">
        <f>TEXT(Data!F1829,"mmm")</f>
        <v>Mar</v>
      </c>
      <c r="D1829" s="52" t="str">
        <f>Data!O1829</f>
        <v>Male</v>
      </c>
      <c r="E1829" s="52">
        <f>Data!G1829-Data!F1829</f>
        <v>1</v>
      </c>
      <c r="F1829" s="52">
        <f>IF(Data!J1829&lt;=5,Data!J1829,IF(Data!J1829&lt;=10,"6 TO 10","More than 10"))</f>
        <v>3</v>
      </c>
      <c r="G1829" s="52">
        <f t="shared" si="28"/>
        <v>1</v>
      </c>
      <c r="H1829" s="52">
        <f>ROUND(Data!C1829*Data!D1829-Data!E1829,2)</f>
        <v>0</v>
      </c>
      <c r="I1829" s="52">
        <f>IF(AND(OR(Sel_Mode="All",Data!I1829=Sel_Mode),OR(Sel_Gender="All",D1829=Sel_Gender),OR(Sel_Category="All",Data!B1829=Sel_Category),OR(Sel_Month="All",C1829=Sel_Month),OR(Sel_County="All",Data!L1829=Sel_County)),1,0)</f>
        <v>1</v>
      </c>
    </row>
    <row r="1830" spans="1:9" x14ac:dyDescent="0.25">
      <c r="A1830" s="52" t="str">
        <f>Data!A1830</f>
        <v>TX501829</v>
      </c>
      <c r="B1830" s="52">
        <f>MONTH(Data!F1830)</f>
        <v>3</v>
      </c>
      <c r="C1830" s="52" t="str">
        <f>TEXT(Data!F1830,"mmm")</f>
        <v>Mar</v>
      </c>
      <c r="D1830" s="52" t="str">
        <f>Data!O1830</f>
        <v>Female</v>
      </c>
      <c r="E1830" s="52">
        <f>Data!G1830-Data!F1830</f>
        <v>6</v>
      </c>
      <c r="F1830" s="52">
        <f>IF(Data!J1830&lt;=5,Data!J1830,IF(Data!J1830&lt;=10,"6 TO 10","More than 10"))</f>
        <v>4</v>
      </c>
      <c r="G1830" s="52">
        <f t="shared" si="28"/>
        <v>6</v>
      </c>
      <c r="H1830" s="52">
        <f>ROUND(Data!C1830*Data!D1830-Data!E1830,2)</f>
        <v>0</v>
      </c>
      <c r="I1830" s="52">
        <f>IF(AND(OR(Sel_Mode="All",Data!I1830=Sel_Mode),OR(Sel_Gender="All",D1830=Sel_Gender),OR(Sel_Category="All",Data!B1830=Sel_Category),OR(Sel_Month="All",C1830=Sel_Month),OR(Sel_County="All",Data!L1830=Sel_County)),1,0)</f>
        <v>1</v>
      </c>
    </row>
    <row r="1831" spans="1:9" x14ac:dyDescent="0.25">
      <c r="A1831" s="52" t="str">
        <f>Data!A1831</f>
        <v>TX501830</v>
      </c>
      <c r="B1831" s="52">
        <f>MONTH(Data!F1831)</f>
        <v>3</v>
      </c>
      <c r="C1831" s="52" t="str">
        <f>TEXT(Data!F1831,"mmm")</f>
        <v>Mar</v>
      </c>
      <c r="D1831" s="52" t="str">
        <f>Data!O1831</f>
        <v>Male</v>
      </c>
      <c r="E1831" s="52">
        <f>Data!G1831-Data!F1831</f>
        <v>1</v>
      </c>
      <c r="F1831" s="52">
        <f>IF(Data!J1831&lt;=5,Data!J1831,IF(Data!J1831&lt;=10,"6 TO 10","More than 10"))</f>
        <v>5</v>
      </c>
      <c r="G1831" s="52">
        <f t="shared" si="28"/>
        <v>1</v>
      </c>
      <c r="H1831" s="52">
        <f>ROUND(Data!C1831*Data!D1831-Data!E1831,2)</f>
        <v>0</v>
      </c>
      <c r="I1831" s="52">
        <f>IF(AND(OR(Sel_Mode="All",Data!I1831=Sel_Mode),OR(Sel_Gender="All",D1831=Sel_Gender),OR(Sel_Category="All",Data!B1831=Sel_Category),OR(Sel_Month="All",C1831=Sel_Month),OR(Sel_County="All",Data!L1831=Sel_County)),1,0)</f>
        <v>1</v>
      </c>
    </row>
    <row r="1832" spans="1:9" x14ac:dyDescent="0.25">
      <c r="A1832" s="52" t="str">
        <f>Data!A1832</f>
        <v>TX501831</v>
      </c>
      <c r="B1832" s="52">
        <f>MONTH(Data!F1832)</f>
        <v>3</v>
      </c>
      <c r="C1832" s="52" t="str">
        <f>TEXT(Data!F1832,"mmm")</f>
        <v>Mar</v>
      </c>
      <c r="D1832" s="52" t="str">
        <f>Data!O1832</f>
        <v>Female</v>
      </c>
      <c r="E1832" s="52">
        <f>Data!G1832-Data!F1832</f>
        <v>1</v>
      </c>
      <c r="F1832" s="52">
        <f>IF(Data!J1832&lt;=5,Data!J1832,IF(Data!J1832&lt;=10,"6 TO 10","More than 10"))</f>
        <v>5</v>
      </c>
      <c r="G1832" s="52">
        <f t="shared" si="28"/>
        <v>1</v>
      </c>
      <c r="H1832" s="52">
        <f>ROUND(Data!C1832*Data!D1832-Data!E1832,2)</f>
        <v>0</v>
      </c>
      <c r="I1832" s="52">
        <f>IF(AND(OR(Sel_Mode="All",Data!I1832=Sel_Mode),OR(Sel_Gender="All",D1832=Sel_Gender),OR(Sel_Category="All",Data!B1832=Sel_Category),OR(Sel_Month="All",C1832=Sel_Month),OR(Sel_County="All",Data!L1832=Sel_County)),1,0)</f>
        <v>1</v>
      </c>
    </row>
    <row r="1833" spans="1:9" x14ac:dyDescent="0.25">
      <c r="A1833" s="52" t="str">
        <f>Data!A1833</f>
        <v>TX501832</v>
      </c>
      <c r="B1833" s="52">
        <f>MONTH(Data!F1833)</f>
        <v>3</v>
      </c>
      <c r="C1833" s="52" t="str">
        <f>TEXT(Data!F1833,"mmm")</f>
        <v>Mar</v>
      </c>
      <c r="D1833" s="52" t="str">
        <f>Data!O1833</f>
        <v>Unknown</v>
      </c>
      <c r="E1833" s="52">
        <f>Data!G1833-Data!F1833</f>
        <v>2</v>
      </c>
      <c r="F1833" s="52">
        <f>IF(Data!J1833&lt;=5,Data!J1833,IF(Data!J1833&lt;=10,"6 TO 10","More than 10"))</f>
        <v>4</v>
      </c>
      <c r="G1833" s="52">
        <f t="shared" si="28"/>
        <v>2</v>
      </c>
      <c r="H1833" s="52">
        <f>ROUND(Data!C1833*Data!D1833-Data!E1833,2)</f>
        <v>0</v>
      </c>
      <c r="I1833" s="52">
        <f>IF(AND(OR(Sel_Mode="All",Data!I1833=Sel_Mode),OR(Sel_Gender="All",D1833=Sel_Gender),OR(Sel_Category="All",Data!B1833=Sel_Category),OR(Sel_Month="All",C1833=Sel_Month),OR(Sel_County="All",Data!L1833=Sel_County)),1,0)</f>
        <v>1</v>
      </c>
    </row>
    <row r="1834" spans="1:9" x14ac:dyDescent="0.25">
      <c r="A1834" s="52" t="str">
        <f>Data!A1834</f>
        <v>TX501833</v>
      </c>
      <c r="B1834" s="52">
        <f>MONTH(Data!F1834)</f>
        <v>3</v>
      </c>
      <c r="C1834" s="52" t="str">
        <f>TEXT(Data!F1834,"mmm")</f>
        <v>Mar</v>
      </c>
      <c r="D1834" s="52" t="str">
        <f>Data!O1834</f>
        <v>Female</v>
      </c>
      <c r="E1834" s="52">
        <f>Data!G1834-Data!F1834</f>
        <v>12</v>
      </c>
      <c r="F1834" s="52">
        <f>IF(Data!J1834&lt;=5,Data!J1834,IF(Data!J1834&lt;=10,"6 TO 10","More than 10"))</f>
        <v>5</v>
      </c>
      <c r="G1834" s="52" t="str">
        <f t="shared" si="28"/>
        <v>8+</v>
      </c>
      <c r="H1834" s="52">
        <f>ROUND(Data!C1834*Data!D1834-Data!E1834,2)</f>
        <v>0</v>
      </c>
      <c r="I1834" s="52">
        <f>IF(AND(OR(Sel_Mode="All",Data!I1834=Sel_Mode),OR(Sel_Gender="All",D1834=Sel_Gender),OR(Sel_Category="All",Data!B1834=Sel_Category),OR(Sel_Month="All",C1834=Sel_Month),OR(Sel_County="All",Data!L1834=Sel_County)),1,0)</f>
        <v>1</v>
      </c>
    </row>
    <row r="1835" spans="1:9" x14ac:dyDescent="0.25">
      <c r="A1835" s="52" t="str">
        <f>Data!A1835</f>
        <v>TX501834</v>
      </c>
      <c r="B1835" s="52">
        <f>MONTH(Data!F1835)</f>
        <v>3</v>
      </c>
      <c r="C1835" s="52" t="str">
        <f>TEXT(Data!F1835,"mmm")</f>
        <v>Mar</v>
      </c>
      <c r="D1835" s="52" t="str">
        <f>Data!O1835</f>
        <v>Male</v>
      </c>
      <c r="E1835" s="52">
        <f>Data!G1835-Data!F1835</f>
        <v>6</v>
      </c>
      <c r="F1835" s="52">
        <f>IF(Data!J1835&lt;=5,Data!J1835,IF(Data!J1835&lt;=10,"6 TO 10","More than 10"))</f>
        <v>4</v>
      </c>
      <c r="G1835" s="52">
        <f t="shared" si="28"/>
        <v>6</v>
      </c>
      <c r="H1835" s="52">
        <f>ROUND(Data!C1835*Data!D1835-Data!E1835,2)</f>
        <v>0</v>
      </c>
      <c r="I1835" s="52">
        <f>IF(AND(OR(Sel_Mode="All",Data!I1835=Sel_Mode),OR(Sel_Gender="All",D1835=Sel_Gender),OR(Sel_Category="All",Data!B1835=Sel_Category),OR(Sel_Month="All",C1835=Sel_Month),OR(Sel_County="All",Data!L1835=Sel_County)),1,0)</f>
        <v>1</v>
      </c>
    </row>
    <row r="1836" spans="1:9" x14ac:dyDescent="0.25">
      <c r="A1836" s="52" t="str">
        <f>Data!A1836</f>
        <v>TX501835</v>
      </c>
      <c r="B1836" s="52">
        <f>MONTH(Data!F1836)</f>
        <v>3</v>
      </c>
      <c r="C1836" s="52" t="str">
        <f>TEXT(Data!F1836,"mmm")</f>
        <v>Mar</v>
      </c>
      <c r="D1836" s="52" t="str">
        <f>Data!O1836</f>
        <v>Male</v>
      </c>
      <c r="E1836" s="52">
        <f>Data!G1836-Data!F1836</f>
        <v>4</v>
      </c>
      <c r="F1836" s="52">
        <f>IF(Data!J1836&lt;=5,Data!J1836,IF(Data!J1836&lt;=10,"6 TO 10","More than 10"))</f>
        <v>3</v>
      </c>
      <c r="G1836" s="52">
        <f t="shared" si="28"/>
        <v>4</v>
      </c>
      <c r="H1836" s="52">
        <f>ROUND(Data!C1836*Data!D1836-Data!E1836,2)</f>
        <v>0</v>
      </c>
      <c r="I1836" s="52">
        <f>IF(AND(OR(Sel_Mode="All",Data!I1836=Sel_Mode),OR(Sel_Gender="All",D1836=Sel_Gender),OR(Sel_Category="All",Data!B1836=Sel_Category),OR(Sel_Month="All",C1836=Sel_Month),OR(Sel_County="All",Data!L1836=Sel_County)),1,0)</f>
        <v>1</v>
      </c>
    </row>
    <row r="1837" spans="1:9" x14ac:dyDescent="0.25">
      <c r="A1837" s="52" t="str">
        <f>Data!A1837</f>
        <v>TX501836</v>
      </c>
      <c r="B1837" s="52">
        <f>MONTH(Data!F1837)</f>
        <v>3</v>
      </c>
      <c r="C1837" s="52" t="str">
        <f>TEXT(Data!F1837,"mmm")</f>
        <v>Mar</v>
      </c>
      <c r="D1837" s="52" t="str">
        <f>Data!O1837</f>
        <v>Female</v>
      </c>
      <c r="E1837" s="52">
        <f>Data!G1837-Data!F1837</f>
        <v>1</v>
      </c>
      <c r="F1837" s="52">
        <f>IF(Data!J1837&lt;=5,Data!J1837,IF(Data!J1837&lt;=10,"6 TO 10","More than 10"))</f>
        <v>5</v>
      </c>
      <c r="G1837" s="52">
        <f t="shared" si="28"/>
        <v>1</v>
      </c>
      <c r="H1837" s="52">
        <f>ROUND(Data!C1837*Data!D1837-Data!E1837,2)</f>
        <v>0</v>
      </c>
      <c r="I1837" s="52">
        <f>IF(AND(OR(Sel_Mode="All",Data!I1837=Sel_Mode),OR(Sel_Gender="All",D1837=Sel_Gender),OR(Sel_Category="All",Data!B1837=Sel_Category),OR(Sel_Month="All",C1837=Sel_Month),OR(Sel_County="All",Data!L1837=Sel_County)),1,0)</f>
        <v>1</v>
      </c>
    </row>
    <row r="1838" spans="1:9" x14ac:dyDescent="0.25">
      <c r="A1838" s="52" t="str">
        <f>Data!A1838</f>
        <v>TX501837</v>
      </c>
      <c r="B1838" s="52">
        <f>MONTH(Data!F1838)</f>
        <v>3</v>
      </c>
      <c r="C1838" s="52" t="str">
        <f>TEXT(Data!F1838,"mmm")</f>
        <v>Mar</v>
      </c>
      <c r="D1838" s="52" t="str">
        <f>Data!O1838</f>
        <v>Female</v>
      </c>
      <c r="E1838" s="52">
        <f>Data!G1838-Data!F1838</f>
        <v>1</v>
      </c>
      <c r="F1838" s="52">
        <f>IF(Data!J1838&lt;=5,Data!J1838,IF(Data!J1838&lt;=10,"6 TO 10","More than 10"))</f>
        <v>3</v>
      </c>
      <c r="G1838" s="52">
        <f t="shared" si="28"/>
        <v>1</v>
      </c>
      <c r="H1838" s="52">
        <f>ROUND(Data!C1838*Data!D1838-Data!E1838,2)</f>
        <v>0</v>
      </c>
      <c r="I1838" s="52">
        <f>IF(AND(OR(Sel_Mode="All",Data!I1838=Sel_Mode),OR(Sel_Gender="All",D1838=Sel_Gender),OR(Sel_Category="All",Data!B1838=Sel_Category),OR(Sel_Month="All",C1838=Sel_Month),OR(Sel_County="All",Data!L1838=Sel_County)),1,0)</f>
        <v>1</v>
      </c>
    </row>
    <row r="1839" spans="1:9" x14ac:dyDescent="0.25">
      <c r="A1839" s="52" t="str">
        <f>Data!A1839</f>
        <v>TX501838</v>
      </c>
      <c r="B1839" s="52">
        <f>MONTH(Data!F1839)</f>
        <v>3</v>
      </c>
      <c r="C1839" s="52" t="str">
        <f>TEXT(Data!F1839,"mmm")</f>
        <v>Mar</v>
      </c>
      <c r="D1839" s="52" t="str">
        <f>Data!O1839</f>
        <v>Female</v>
      </c>
      <c r="E1839" s="52">
        <f>Data!G1839-Data!F1839</f>
        <v>5</v>
      </c>
      <c r="F1839" s="52">
        <f>IF(Data!J1839&lt;=5,Data!J1839,IF(Data!J1839&lt;=10,"6 TO 10","More than 10"))</f>
        <v>3</v>
      </c>
      <c r="G1839" s="52">
        <f t="shared" si="28"/>
        <v>5</v>
      </c>
      <c r="H1839" s="52">
        <f>ROUND(Data!C1839*Data!D1839-Data!E1839,2)</f>
        <v>0</v>
      </c>
      <c r="I1839" s="52">
        <f>IF(AND(OR(Sel_Mode="All",Data!I1839=Sel_Mode),OR(Sel_Gender="All",D1839=Sel_Gender),OR(Sel_Category="All",Data!B1839=Sel_Category),OR(Sel_Month="All",C1839=Sel_Month),OR(Sel_County="All",Data!L1839=Sel_County)),1,0)</f>
        <v>1</v>
      </c>
    </row>
    <row r="1840" spans="1:9" x14ac:dyDescent="0.25">
      <c r="A1840" s="52" t="str">
        <f>Data!A1840</f>
        <v>TX501839</v>
      </c>
      <c r="B1840" s="52">
        <f>MONTH(Data!F1840)</f>
        <v>3</v>
      </c>
      <c r="C1840" s="52" t="str">
        <f>TEXT(Data!F1840,"mmm")</f>
        <v>Mar</v>
      </c>
      <c r="D1840" s="52" t="str">
        <f>Data!O1840</f>
        <v>Male</v>
      </c>
      <c r="E1840" s="52">
        <f>Data!G1840-Data!F1840</f>
        <v>6</v>
      </c>
      <c r="F1840" s="52">
        <f>IF(Data!J1840&lt;=5,Data!J1840,IF(Data!J1840&lt;=10,"6 TO 10","More than 10"))</f>
        <v>3</v>
      </c>
      <c r="G1840" s="52">
        <f t="shared" si="28"/>
        <v>6</v>
      </c>
      <c r="H1840" s="52">
        <f>ROUND(Data!C1840*Data!D1840-Data!E1840,2)</f>
        <v>0</v>
      </c>
      <c r="I1840" s="52">
        <f>IF(AND(OR(Sel_Mode="All",Data!I1840=Sel_Mode),OR(Sel_Gender="All",D1840=Sel_Gender),OR(Sel_Category="All",Data!B1840=Sel_Category),OR(Sel_Month="All",C1840=Sel_Month),OR(Sel_County="All",Data!L1840=Sel_County)),1,0)</f>
        <v>1</v>
      </c>
    </row>
    <row r="1841" spans="1:9" x14ac:dyDescent="0.25">
      <c r="A1841" s="52" t="str">
        <f>Data!A1841</f>
        <v>TX501840</v>
      </c>
      <c r="B1841" s="52">
        <f>MONTH(Data!F1841)</f>
        <v>3</v>
      </c>
      <c r="C1841" s="52" t="str">
        <f>TEXT(Data!F1841,"mmm")</f>
        <v>Mar</v>
      </c>
      <c r="D1841" s="52" t="str">
        <f>Data!O1841</f>
        <v>Female</v>
      </c>
      <c r="E1841" s="52">
        <f>Data!G1841-Data!F1841</f>
        <v>8</v>
      </c>
      <c r="F1841" s="52">
        <f>IF(Data!J1841&lt;=5,Data!J1841,IF(Data!J1841&lt;=10,"6 TO 10","More than 10"))</f>
        <v>2</v>
      </c>
      <c r="G1841" s="52" t="str">
        <f t="shared" si="28"/>
        <v>8+</v>
      </c>
      <c r="H1841" s="52">
        <f>ROUND(Data!C1841*Data!D1841-Data!E1841,2)</f>
        <v>0</v>
      </c>
      <c r="I1841" s="52">
        <f>IF(AND(OR(Sel_Mode="All",Data!I1841=Sel_Mode),OR(Sel_Gender="All",D1841=Sel_Gender),OR(Sel_Category="All",Data!B1841=Sel_Category),OR(Sel_Month="All",C1841=Sel_Month),OR(Sel_County="All",Data!L1841=Sel_County)),1,0)</f>
        <v>1</v>
      </c>
    </row>
    <row r="1842" spans="1:9" x14ac:dyDescent="0.25">
      <c r="A1842" s="52" t="str">
        <f>Data!A1842</f>
        <v>TX501841</v>
      </c>
      <c r="B1842" s="52">
        <f>MONTH(Data!F1842)</f>
        <v>3</v>
      </c>
      <c r="C1842" s="52" t="str">
        <f>TEXT(Data!F1842,"mmm")</f>
        <v>Mar</v>
      </c>
      <c r="D1842" s="52" t="str">
        <f>Data!O1842</f>
        <v>Male</v>
      </c>
      <c r="E1842" s="52">
        <f>Data!G1842-Data!F1842</f>
        <v>1</v>
      </c>
      <c r="F1842" s="52">
        <f>IF(Data!J1842&lt;=5,Data!J1842,IF(Data!J1842&lt;=10,"6 TO 10","More than 10"))</f>
        <v>5</v>
      </c>
      <c r="G1842" s="52">
        <f t="shared" si="28"/>
        <v>1</v>
      </c>
      <c r="H1842" s="52">
        <f>ROUND(Data!C1842*Data!D1842-Data!E1842,2)</f>
        <v>0</v>
      </c>
      <c r="I1842" s="52">
        <f>IF(AND(OR(Sel_Mode="All",Data!I1842=Sel_Mode),OR(Sel_Gender="All",D1842=Sel_Gender),OR(Sel_Category="All",Data!B1842=Sel_Category),OR(Sel_Month="All",C1842=Sel_Month),OR(Sel_County="All",Data!L1842=Sel_County)),1,0)</f>
        <v>1</v>
      </c>
    </row>
    <row r="1843" spans="1:9" x14ac:dyDescent="0.25">
      <c r="A1843" s="52" t="str">
        <f>Data!A1843</f>
        <v>TX501842</v>
      </c>
      <c r="B1843" s="52">
        <f>MONTH(Data!F1843)</f>
        <v>3</v>
      </c>
      <c r="C1843" s="52" t="str">
        <f>TEXT(Data!F1843,"mmm")</f>
        <v>Mar</v>
      </c>
      <c r="D1843" s="52" t="str">
        <f>Data!O1843</f>
        <v>Female</v>
      </c>
      <c r="E1843" s="52">
        <f>Data!G1843-Data!F1843</f>
        <v>1</v>
      </c>
      <c r="F1843" s="52">
        <f>IF(Data!J1843&lt;=5,Data!J1843,IF(Data!J1843&lt;=10,"6 TO 10","More than 10"))</f>
        <v>2</v>
      </c>
      <c r="G1843" s="52">
        <f t="shared" si="28"/>
        <v>1</v>
      </c>
      <c r="H1843" s="52">
        <f>ROUND(Data!C1843*Data!D1843-Data!E1843,2)</f>
        <v>0</v>
      </c>
      <c r="I1843" s="52">
        <f>IF(AND(OR(Sel_Mode="All",Data!I1843=Sel_Mode),OR(Sel_Gender="All",D1843=Sel_Gender),OR(Sel_Category="All",Data!B1843=Sel_Category),OR(Sel_Month="All",C1843=Sel_Month),OR(Sel_County="All",Data!L1843=Sel_County)),1,0)</f>
        <v>1</v>
      </c>
    </row>
    <row r="1844" spans="1:9" x14ac:dyDescent="0.25">
      <c r="A1844" s="52" t="str">
        <f>Data!A1844</f>
        <v>TX501843</v>
      </c>
      <c r="B1844" s="52">
        <f>MONTH(Data!F1844)</f>
        <v>3</v>
      </c>
      <c r="C1844" s="52" t="str">
        <f>TEXT(Data!F1844,"mmm")</f>
        <v>Mar</v>
      </c>
      <c r="D1844" s="52" t="str">
        <f>Data!O1844</f>
        <v>Unknown</v>
      </c>
      <c r="E1844" s="52">
        <f>Data!G1844-Data!F1844</f>
        <v>3</v>
      </c>
      <c r="F1844" s="52">
        <f>IF(Data!J1844&lt;=5,Data!J1844,IF(Data!J1844&lt;=10,"6 TO 10","More than 10"))</f>
        <v>5</v>
      </c>
      <c r="G1844" s="52">
        <f t="shared" si="28"/>
        <v>3</v>
      </c>
      <c r="H1844" s="52">
        <f>ROUND(Data!C1844*Data!D1844-Data!E1844,2)</f>
        <v>0</v>
      </c>
      <c r="I1844" s="52">
        <f>IF(AND(OR(Sel_Mode="All",Data!I1844=Sel_Mode),OR(Sel_Gender="All",D1844=Sel_Gender),OR(Sel_Category="All",Data!B1844=Sel_Category),OR(Sel_Month="All",C1844=Sel_Month),OR(Sel_County="All",Data!L1844=Sel_County)),1,0)</f>
        <v>1</v>
      </c>
    </row>
    <row r="1845" spans="1:9" x14ac:dyDescent="0.25">
      <c r="A1845" s="52" t="str">
        <f>Data!A1845</f>
        <v>TX501844</v>
      </c>
      <c r="B1845" s="52">
        <f>MONTH(Data!F1845)</f>
        <v>3</v>
      </c>
      <c r="C1845" s="52" t="str">
        <f>TEXT(Data!F1845,"mmm")</f>
        <v>Mar</v>
      </c>
      <c r="D1845" s="52" t="str">
        <f>Data!O1845</f>
        <v>Female</v>
      </c>
      <c r="E1845" s="52">
        <f>Data!G1845-Data!F1845</f>
        <v>4</v>
      </c>
      <c r="F1845" s="52">
        <f>IF(Data!J1845&lt;=5,Data!J1845,IF(Data!J1845&lt;=10,"6 TO 10","More than 10"))</f>
        <v>4</v>
      </c>
      <c r="G1845" s="52">
        <f t="shared" si="28"/>
        <v>4</v>
      </c>
      <c r="H1845" s="52">
        <f>ROUND(Data!C1845*Data!D1845-Data!E1845,2)</f>
        <v>0</v>
      </c>
      <c r="I1845" s="52">
        <f>IF(AND(OR(Sel_Mode="All",Data!I1845=Sel_Mode),OR(Sel_Gender="All",D1845=Sel_Gender),OR(Sel_Category="All",Data!B1845=Sel_Category),OR(Sel_Month="All",C1845=Sel_Month),OR(Sel_County="All",Data!L1845=Sel_County)),1,0)</f>
        <v>1</v>
      </c>
    </row>
    <row r="1846" spans="1:9" x14ac:dyDescent="0.25">
      <c r="A1846" s="52" t="str">
        <f>Data!A1846</f>
        <v>TX501845</v>
      </c>
      <c r="B1846" s="52">
        <f>MONTH(Data!F1846)</f>
        <v>3</v>
      </c>
      <c r="C1846" s="52" t="str">
        <f>TEXT(Data!F1846,"mmm")</f>
        <v>Mar</v>
      </c>
      <c r="D1846" s="52" t="str">
        <f>Data!O1846</f>
        <v>Male</v>
      </c>
      <c r="E1846" s="52">
        <f>Data!G1846-Data!F1846</f>
        <v>1</v>
      </c>
      <c r="F1846" s="52">
        <f>IF(Data!J1846&lt;=5,Data!J1846,IF(Data!J1846&lt;=10,"6 TO 10","More than 10"))</f>
        <v>3</v>
      </c>
      <c r="G1846" s="52">
        <f t="shared" si="28"/>
        <v>1</v>
      </c>
      <c r="H1846" s="52">
        <f>ROUND(Data!C1846*Data!D1846-Data!E1846,2)</f>
        <v>0</v>
      </c>
      <c r="I1846" s="52">
        <f>IF(AND(OR(Sel_Mode="All",Data!I1846=Sel_Mode),OR(Sel_Gender="All",D1846=Sel_Gender),OR(Sel_Category="All",Data!B1846=Sel_Category),OR(Sel_Month="All",C1846=Sel_Month),OR(Sel_County="All",Data!L1846=Sel_County)),1,0)</f>
        <v>1</v>
      </c>
    </row>
    <row r="1847" spans="1:9" x14ac:dyDescent="0.25">
      <c r="A1847" s="52" t="str">
        <f>Data!A1847</f>
        <v>TX501846</v>
      </c>
      <c r="B1847" s="52">
        <f>MONTH(Data!F1847)</f>
        <v>3</v>
      </c>
      <c r="C1847" s="52" t="str">
        <f>TEXT(Data!F1847,"mmm")</f>
        <v>Mar</v>
      </c>
      <c r="D1847" s="52" t="str">
        <f>Data!O1847</f>
        <v>Other</v>
      </c>
      <c r="E1847" s="52">
        <f>Data!G1847-Data!F1847</f>
        <v>1</v>
      </c>
      <c r="F1847" s="52">
        <f>IF(Data!J1847&lt;=5,Data!J1847,IF(Data!J1847&lt;=10,"6 TO 10","More than 10"))</f>
        <v>4</v>
      </c>
      <c r="G1847" s="52">
        <f t="shared" si="28"/>
        <v>1</v>
      </c>
      <c r="H1847" s="52">
        <f>ROUND(Data!C1847*Data!D1847-Data!E1847,2)</f>
        <v>0</v>
      </c>
      <c r="I1847" s="52">
        <f>IF(AND(OR(Sel_Mode="All",Data!I1847=Sel_Mode),OR(Sel_Gender="All",D1847=Sel_Gender),OR(Sel_Category="All",Data!B1847=Sel_Category),OR(Sel_Month="All",C1847=Sel_Month),OR(Sel_County="All",Data!L1847=Sel_County)),1,0)</f>
        <v>1</v>
      </c>
    </row>
    <row r="1848" spans="1:9" x14ac:dyDescent="0.25">
      <c r="A1848" s="52" t="str">
        <f>Data!A1848</f>
        <v>TX501847</v>
      </c>
      <c r="B1848" s="52">
        <f>MONTH(Data!F1848)</f>
        <v>3</v>
      </c>
      <c r="C1848" s="52" t="str">
        <f>TEXT(Data!F1848,"mmm")</f>
        <v>Mar</v>
      </c>
      <c r="D1848" s="52" t="str">
        <f>Data!O1848</f>
        <v>Female</v>
      </c>
      <c r="E1848" s="52">
        <f>Data!G1848-Data!F1848</f>
        <v>5</v>
      </c>
      <c r="F1848" s="52">
        <f>IF(Data!J1848&lt;=5,Data!J1848,IF(Data!J1848&lt;=10,"6 TO 10","More than 10"))</f>
        <v>4</v>
      </c>
      <c r="G1848" s="52">
        <f t="shared" si="28"/>
        <v>5</v>
      </c>
      <c r="H1848" s="52">
        <f>ROUND(Data!C1848*Data!D1848-Data!E1848,2)</f>
        <v>0</v>
      </c>
      <c r="I1848" s="52">
        <f>IF(AND(OR(Sel_Mode="All",Data!I1848=Sel_Mode),OR(Sel_Gender="All",D1848=Sel_Gender),OR(Sel_Category="All",Data!B1848=Sel_Category),OR(Sel_Month="All",C1848=Sel_Month),OR(Sel_County="All",Data!L1848=Sel_County)),1,0)</f>
        <v>1</v>
      </c>
    </row>
    <row r="1849" spans="1:9" x14ac:dyDescent="0.25">
      <c r="A1849" s="52" t="str">
        <f>Data!A1849</f>
        <v>TX501848</v>
      </c>
      <c r="B1849" s="52">
        <f>MONTH(Data!F1849)</f>
        <v>3</v>
      </c>
      <c r="C1849" s="52" t="str">
        <f>TEXT(Data!F1849,"mmm")</f>
        <v>Mar</v>
      </c>
      <c r="D1849" s="52" t="str">
        <f>Data!O1849</f>
        <v>Female</v>
      </c>
      <c r="E1849" s="52">
        <f>Data!G1849-Data!F1849</f>
        <v>2</v>
      </c>
      <c r="F1849" s="52">
        <f>IF(Data!J1849&lt;=5,Data!J1849,IF(Data!J1849&lt;=10,"6 TO 10","More than 10"))</f>
        <v>4</v>
      </c>
      <c r="G1849" s="52">
        <f t="shared" si="28"/>
        <v>2</v>
      </c>
      <c r="H1849" s="52">
        <f>ROUND(Data!C1849*Data!D1849-Data!E1849,2)</f>
        <v>0</v>
      </c>
      <c r="I1849" s="52">
        <f>IF(AND(OR(Sel_Mode="All",Data!I1849=Sel_Mode),OR(Sel_Gender="All",D1849=Sel_Gender),OR(Sel_Category="All",Data!B1849=Sel_Category),OR(Sel_Month="All",C1849=Sel_Month),OR(Sel_County="All",Data!L1849=Sel_County)),1,0)</f>
        <v>1</v>
      </c>
    </row>
    <row r="1850" spans="1:9" x14ac:dyDescent="0.25">
      <c r="A1850" s="52" t="str">
        <f>Data!A1850</f>
        <v>TX501849</v>
      </c>
      <c r="B1850" s="52">
        <f>MONTH(Data!F1850)</f>
        <v>3</v>
      </c>
      <c r="C1850" s="52" t="str">
        <f>TEXT(Data!F1850,"mmm")</f>
        <v>Mar</v>
      </c>
      <c r="D1850" s="52" t="str">
        <f>Data!O1850</f>
        <v>Female</v>
      </c>
      <c r="E1850" s="52">
        <f>Data!G1850-Data!F1850</f>
        <v>1</v>
      </c>
      <c r="F1850" s="52">
        <f>IF(Data!J1850&lt;=5,Data!J1850,IF(Data!J1850&lt;=10,"6 TO 10","More than 10"))</f>
        <v>1</v>
      </c>
      <c r="G1850" s="52">
        <f t="shared" si="28"/>
        <v>1</v>
      </c>
      <c r="H1850" s="52">
        <f>ROUND(Data!C1850*Data!D1850-Data!E1850,2)</f>
        <v>0</v>
      </c>
      <c r="I1850" s="52">
        <f>IF(AND(OR(Sel_Mode="All",Data!I1850=Sel_Mode),OR(Sel_Gender="All",D1850=Sel_Gender),OR(Sel_Category="All",Data!B1850=Sel_Category),OR(Sel_Month="All",C1850=Sel_Month),OR(Sel_County="All",Data!L1850=Sel_County)),1,0)</f>
        <v>1</v>
      </c>
    </row>
    <row r="1851" spans="1:9" x14ac:dyDescent="0.25">
      <c r="A1851" s="52" t="str">
        <f>Data!A1851</f>
        <v>TX501850</v>
      </c>
      <c r="B1851" s="52">
        <f>MONTH(Data!F1851)</f>
        <v>3</v>
      </c>
      <c r="C1851" s="52" t="str">
        <f>TEXT(Data!F1851,"mmm")</f>
        <v>Mar</v>
      </c>
      <c r="D1851" s="52" t="str">
        <f>Data!O1851</f>
        <v>Male</v>
      </c>
      <c r="E1851" s="52">
        <f>Data!G1851-Data!F1851</f>
        <v>6</v>
      </c>
      <c r="F1851" s="52">
        <f>IF(Data!J1851&lt;=5,Data!J1851,IF(Data!J1851&lt;=10,"6 TO 10","More than 10"))</f>
        <v>5</v>
      </c>
      <c r="G1851" s="52">
        <f t="shared" si="28"/>
        <v>6</v>
      </c>
      <c r="H1851" s="52">
        <f>ROUND(Data!C1851*Data!D1851-Data!E1851,2)</f>
        <v>0</v>
      </c>
      <c r="I1851" s="52">
        <f>IF(AND(OR(Sel_Mode="All",Data!I1851=Sel_Mode),OR(Sel_Gender="All",D1851=Sel_Gender),OR(Sel_Category="All",Data!B1851=Sel_Category),OR(Sel_Month="All",C1851=Sel_Month),OR(Sel_County="All",Data!L1851=Sel_County)),1,0)</f>
        <v>1</v>
      </c>
    </row>
    <row r="1852" spans="1:9" x14ac:dyDescent="0.25">
      <c r="A1852" s="52" t="str">
        <f>Data!A1852</f>
        <v>TX501851</v>
      </c>
      <c r="B1852" s="52">
        <f>MONTH(Data!F1852)</f>
        <v>3</v>
      </c>
      <c r="C1852" s="52" t="str">
        <f>TEXT(Data!F1852,"mmm")</f>
        <v>Mar</v>
      </c>
      <c r="D1852" s="52" t="str">
        <f>Data!O1852</f>
        <v>Female</v>
      </c>
      <c r="E1852" s="52">
        <f>Data!G1852-Data!F1852</f>
        <v>1</v>
      </c>
      <c r="F1852" s="52">
        <f>IF(Data!J1852&lt;=5,Data!J1852,IF(Data!J1852&lt;=10,"6 TO 10","More than 10"))</f>
        <v>4</v>
      </c>
      <c r="G1852" s="52">
        <f t="shared" si="28"/>
        <v>1</v>
      </c>
      <c r="H1852" s="52">
        <f>ROUND(Data!C1852*Data!D1852-Data!E1852,2)</f>
        <v>0</v>
      </c>
      <c r="I1852" s="52">
        <f>IF(AND(OR(Sel_Mode="All",Data!I1852=Sel_Mode),OR(Sel_Gender="All",D1852=Sel_Gender),OR(Sel_Category="All",Data!B1852=Sel_Category),OR(Sel_Month="All",C1852=Sel_Month),OR(Sel_County="All",Data!L1852=Sel_County)),1,0)</f>
        <v>1</v>
      </c>
    </row>
    <row r="1853" spans="1:9" x14ac:dyDescent="0.25">
      <c r="A1853" s="52" t="str">
        <f>Data!A1853</f>
        <v>TX501852</v>
      </c>
      <c r="B1853" s="52">
        <f>MONTH(Data!F1853)</f>
        <v>3</v>
      </c>
      <c r="C1853" s="52" t="str">
        <f>TEXT(Data!F1853,"mmm")</f>
        <v>Mar</v>
      </c>
      <c r="D1853" s="52" t="str">
        <f>Data!O1853</f>
        <v>Female</v>
      </c>
      <c r="E1853" s="52">
        <f>Data!G1853-Data!F1853</f>
        <v>1</v>
      </c>
      <c r="F1853" s="52">
        <f>IF(Data!J1853&lt;=5,Data!J1853,IF(Data!J1853&lt;=10,"6 TO 10","More than 10"))</f>
        <v>5</v>
      </c>
      <c r="G1853" s="52">
        <f t="shared" si="28"/>
        <v>1</v>
      </c>
      <c r="H1853" s="52">
        <f>ROUND(Data!C1853*Data!D1853-Data!E1853,2)</f>
        <v>0</v>
      </c>
      <c r="I1853" s="52">
        <f>IF(AND(OR(Sel_Mode="All",Data!I1853=Sel_Mode),OR(Sel_Gender="All",D1853=Sel_Gender),OR(Sel_Category="All",Data!B1853=Sel_Category),OR(Sel_Month="All",C1853=Sel_Month),OR(Sel_County="All",Data!L1853=Sel_County)),1,0)</f>
        <v>1</v>
      </c>
    </row>
    <row r="1854" spans="1:9" x14ac:dyDescent="0.25">
      <c r="A1854" s="52" t="str">
        <f>Data!A1854</f>
        <v>TX501853</v>
      </c>
      <c r="B1854" s="52">
        <f>MONTH(Data!F1854)</f>
        <v>3</v>
      </c>
      <c r="C1854" s="52" t="str">
        <f>TEXT(Data!F1854,"mmm")</f>
        <v>Mar</v>
      </c>
      <c r="D1854" s="52" t="str">
        <f>Data!O1854</f>
        <v>Female</v>
      </c>
      <c r="E1854" s="52">
        <f>Data!G1854-Data!F1854</f>
        <v>2</v>
      </c>
      <c r="F1854" s="52">
        <f>IF(Data!J1854&lt;=5,Data!J1854,IF(Data!J1854&lt;=10,"6 TO 10","More than 10"))</f>
        <v>5</v>
      </c>
      <c r="G1854" s="52">
        <f t="shared" si="28"/>
        <v>2</v>
      </c>
      <c r="H1854" s="52">
        <f>ROUND(Data!C1854*Data!D1854-Data!E1854,2)</f>
        <v>0</v>
      </c>
      <c r="I1854" s="52">
        <f>IF(AND(OR(Sel_Mode="All",Data!I1854=Sel_Mode),OR(Sel_Gender="All",D1854=Sel_Gender),OR(Sel_Category="All",Data!B1854=Sel_Category),OR(Sel_Month="All",C1854=Sel_Month),OR(Sel_County="All",Data!L1854=Sel_County)),1,0)</f>
        <v>1</v>
      </c>
    </row>
    <row r="1855" spans="1:9" x14ac:dyDescent="0.25">
      <c r="A1855" s="52" t="str">
        <f>Data!A1855</f>
        <v>TX501854</v>
      </c>
      <c r="B1855" s="52">
        <f>MONTH(Data!F1855)</f>
        <v>3</v>
      </c>
      <c r="C1855" s="52" t="str">
        <f>TEXT(Data!F1855,"mmm")</f>
        <v>Mar</v>
      </c>
      <c r="D1855" s="52" t="str">
        <f>Data!O1855</f>
        <v>Male</v>
      </c>
      <c r="E1855" s="52">
        <f>Data!G1855-Data!F1855</f>
        <v>3</v>
      </c>
      <c r="F1855" s="52">
        <f>IF(Data!J1855&lt;=5,Data!J1855,IF(Data!J1855&lt;=10,"6 TO 10","More than 10"))</f>
        <v>4</v>
      </c>
      <c r="G1855" s="52">
        <f t="shared" si="28"/>
        <v>3</v>
      </c>
      <c r="H1855" s="52">
        <f>ROUND(Data!C1855*Data!D1855-Data!E1855,2)</f>
        <v>0</v>
      </c>
      <c r="I1855" s="52">
        <f>IF(AND(OR(Sel_Mode="All",Data!I1855=Sel_Mode),OR(Sel_Gender="All",D1855=Sel_Gender),OR(Sel_Category="All",Data!B1855=Sel_Category),OR(Sel_Month="All",C1855=Sel_Month),OR(Sel_County="All",Data!L1855=Sel_County)),1,0)</f>
        <v>1</v>
      </c>
    </row>
    <row r="1856" spans="1:9" x14ac:dyDescent="0.25">
      <c r="A1856" s="52" t="str">
        <f>Data!A1856</f>
        <v>TX501855</v>
      </c>
      <c r="B1856" s="52">
        <f>MONTH(Data!F1856)</f>
        <v>3</v>
      </c>
      <c r="C1856" s="52" t="str">
        <f>TEXT(Data!F1856,"mmm")</f>
        <v>Mar</v>
      </c>
      <c r="D1856" s="52" t="str">
        <f>Data!O1856</f>
        <v>Female</v>
      </c>
      <c r="E1856" s="52">
        <f>Data!G1856-Data!F1856</f>
        <v>2</v>
      </c>
      <c r="F1856" s="52">
        <f>IF(Data!J1856&lt;=5,Data!J1856,IF(Data!J1856&lt;=10,"6 TO 10","More than 10"))</f>
        <v>4</v>
      </c>
      <c r="G1856" s="52">
        <f t="shared" si="28"/>
        <v>2</v>
      </c>
      <c r="H1856" s="52">
        <f>ROUND(Data!C1856*Data!D1856-Data!E1856,2)</f>
        <v>0</v>
      </c>
      <c r="I1856" s="52">
        <f>IF(AND(OR(Sel_Mode="All",Data!I1856=Sel_Mode),OR(Sel_Gender="All",D1856=Sel_Gender),OR(Sel_Category="All",Data!B1856=Sel_Category),OR(Sel_Month="All",C1856=Sel_Month),OR(Sel_County="All",Data!L1856=Sel_County)),1,0)</f>
        <v>1</v>
      </c>
    </row>
    <row r="1857" spans="1:9" x14ac:dyDescent="0.25">
      <c r="A1857" s="52" t="str">
        <f>Data!A1857</f>
        <v>TX501856</v>
      </c>
      <c r="B1857" s="52">
        <f>MONTH(Data!F1857)</f>
        <v>3</v>
      </c>
      <c r="C1857" s="52" t="str">
        <f>TEXT(Data!F1857,"mmm")</f>
        <v>Mar</v>
      </c>
      <c r="D1857" s="52" t="str">
        <f>Data!O1857</f>
        <v>Male</v>
      </c>
      <c r="E1857" s="52">
        <f>Data!G1857-Data!F1857</f>
        <v>1</v>
      </c>
      <c r="F1857" s="52">
        <f>IF(Data!J1857&lt;=5,Data!J1857,IF(Data!J1857&lt;=10,"6 TO 10","More than 10"))</f>
        <v>3</v>
      </c>
      <c r="G1857" s="52">
        <f t="shared" si="28"/>
        <v>1</v>
      </c>
      <c r="H1857" s="52">
        <f>ROUND(Data!C1857*Data!D1857-Data!E1857,2)</f>
        <v>0</v>
      </c>
      <c r="I1857" s="52">
        <f>IF(AND(OR(Sel_Mode="All",Data!I1857=Sel_Mode),OR(Sel_Gender="All",D1857=Sel_Gender),OR(Sel_Category="All",Data!B1857=Sel_Category),OR(Sel_Month="All",C1857=Sel_Month),OR(Sel_County="All",Data!L1857=Sel_County)),1,0)</f>
        <v>1</v>
      </c>
    </row>
    <row r="1858" spans="1:9" x14ac:dyDescent="0.25">
      <c r="A1858" s="52" t="str">
        <f>Data!A1858</f>
        <v>TX501857</v>
      </c>
      <c r="B1858" s="52">
        <f>MONTH(Data!F1858)</f>
        <v>3</v>
      </c>
      <c r="C1858" s="52" t="str">
        <f>TEXT(Data!F1858,"mmm")</f>
        <v>Mar</v>
      </c>
      <c r="D1858" s="52" t="str">
        <f>Data!O1858</f>
        <v>Female</v>
      </c>
      <c r="E1858" s="52">
        <f>Data!G1858-Data!F1858</f>
        <v>6</v>
      </c>
      <c r="F1858" s="52">
        <f>IF(Data!J1858&lt;=5,Data!J1858,IF(Data!J1858&lt;=10,"6 TO 10","More than 10"))</f>
        <v>4</v>
      </c>
      <c r="G1858" s="52">
        <f t="shared" ref="G1858:G1921" si="29">IF(E1858&gt;=8,"8+",E1858)</f>
        <v>6</v>
      </c>
      <c r="H1858" s="52">
        <f>ROUND(Data!C1858*Data!D1858-Data!E1858,2)</f>
        <v>0</v>
      </c>
      <c r="I1858" s="52">
        <f>IF(AND(OR(Sel_Mode="All",Data!I1858=Sel_Mode),OR(Sel_Gender="All",D1858=Sel_Gender),OR(Sel_Category="All",Data!B1858=Sel_Category),OR(Sel_Month="All",C1858=Sel_Month),OR(Sel_County="All",Data!L1858=Sel_County)),1,0)</f>
        <v>1</v>
      </c>
    </row>
    <row r="1859" spans="1:9" x14ac:dyDescent="0.25">
      <c r="A1859" s="52" t="str">
        <f>Data!A1859</f>
        <v>TX501858</v>
      </c>
      <c r="B1859" s="52">
        <f>MONTH(Data!F1859)</f>
        <v>3</v>
      </c>
      <c r="C1859" s="52" t="str">
        <f>TEXT(Data!F1859,"mmm")</f>
        <v>Mar</v>
      </c>
      <c r="D1859" s="52" t="str">
        <f>Data!O1859</f>
        <v>Female</v>
      </c>
      <c r="E1859" s="52">
        <f>Data!G1859-Data!F1859</f>
        <v>5</v>
      </c>
      <c r="F1859" s="52">
        <f>IF(Data!J1859&lt;=5,Data!J1859,IF(Data!J1859&lt;=10,"6 TO 10","More than 10"))</f>
        <v>5</v>
      </c>
      <c r="G1859" s="52">
        <f t="shared" si="29"/>
        <v>5</v>
      </c>
      <c r="H1859" s="52">
        <f>ROUND(Data!C1859*Data!D1859-Data!E1859,2)</f>
        <v>0</v>
      </c>
      <c r="I1859" s="52">
        <f>IF(AND(OR(Sel_Mode="All",Data!I1859=Sel_Mode),OR(Sel_Gender="All",D1859=Sel_Gender),OR(Sel_Category="All",Data!B1859=Sel_Category),OR(Sel_Month="All",C1859=Sel_Month),OR(Sel_County="All",Data!L1859=Sel_County)),1,0)</f>
        <v>1</v>
      </c>
    </row>
    <row r="1860" spans="1:9" x14ac:dyDescent="0.25">
      <c r="A1860" s="52" t="str">
        <f>Data!A1860</f>
        <v>TX501859</v>
      </c>
      <c r="B1860" s="52">
        <f>MONTH(Data!F1860)</f>
        <v>3</v>
      </c>
      <c r="C1860" s="52" t="str">
        <f>TEXT(Data!F1860,"mmm")</f>
        <v>Mar</v>
      </c>
      <c r="D1860" s="52" t="str">
        <f>Data!O1860</f>
        <v>Female</v>
      </c>
      <c r="E1860" s="52">
        <f>Data!G1860-Data!F1860</f>
        <v>3</v>
      </c>
      <c r="F1860" s="52">
        <f>IF(Data!J1860&lt;=5,Data!J1860,IF(Data!J1860&lt;=10,"6 TO 10","More than 10"))</f>
        <v>4</v>
      </c>
      <c r="G1860" s="52">
        <f t="shared" si="29"/>
        <v>3</v>
      </c>
      <c r="H1860" s="52">
        <f>ROUND(Data!C1860*Data!D1860-Data!E1860,2)</f>
        <v>0</v>
      </c>
      <c r="I1860" s="52">
        <f>IF(AND(OR(Sel_Mode="All",Data!I1860=Sel_Mode),OR(Sel_Gender="All",D1860=Sel_Gender),OR(Sel_Category="All",Data!B1860=Sel_Category),OR(Sel_Month="All",C1860=Sel_Month),OR(Sel_County="All",Data!L1860=Sel_County)),1,0)</f>
        <v>1</v>
      </c>
    </row>
    <row r="1861" spans="1:9" x14ac:dyDescent="0.25">
      <c r="A1861" s="52" t="str">
        <f>Data!A1861</f>
        <v>TX501860</v>
      </c>
      <c r="B1861" s="52">
        <f>MONTH(Data!F1861)</f>
        <v>3</v>
      </c>
      <c r="C1861" s="52" t="str">
        <f>TEXT(Data!F1861,"mmm")</f>
        <v>Mar</v>
      </c>
      <c r="D1861" s="52" t="str">
        <f>Data!O1861</f>
        <v>Male</v>
      </c>
      <c r="E1861" s="52">
        <f>Data!G1861-Data!F1861</f>
        <v>0</v>
      </c>
      <c r="F1861" s="52">
        <f>IF(Data!J1861&lt;=5,Data!J1861,IF(Data!J1861&lt;=10,"6 TO 10","More than 10"))</f>
        <v>5</v>
      </c>
      <c r="G1861" s="52">
        <f t="shared" si="29"/>
        <v>0</v>
      </c>
      <c r="H1861" s="52">
        <f>ROUND(Data!C1861*Data!D1861-Data!E1861,2)</f>
        <v>0</v>
      </c>
      <c r="I1861" s="52">
        <f>IF(AND(OR(Sel_Mode="All",Data!I1861=Sel_Mode),OR(Sel_Gender="All",D1861=Sel_Gender),OR(Sel_Category="All",Data!B1861=Sel_Category),OR(Sel_Month="All",C1861=Sel_Month),OR(Sel_County="All",Data!L1861=Sel_County)),1,0)</f>
        <v>1</v>
      </c>
    </row>
    <row r="1862" spans="1:9" x14ac:dyDescent="0.25">
      <c r="A1862" s="52" t="str">
        <f>Data!A1862</f>
        <v>TX501861</v>
      </c>
      <c r="B1862" s="52">
        <f>MONTH(Data!F1862)</f>
        <v>3</v>
      </c>
      <c r="C1862" s="52" t="str">
        <f>TEXT(Data!F1862,"mmm")</f>
        <v>Mar</v>
      </c>
      <c r="D1862" s="52" t="str">
        <f>Data!O1862</f>
        <v>Male</v>
      </c>
      <c r="E1862" s="52">
        <f>Data!G1862-Data!F1862</f>
        <v>1</v>
      </c>
      <c r="F1862" s="52">
        <f>IF(Data!J1862&lt;=5,Data!J1862,IF(Data!J1862&lt;=10,"6 TO 10","More than 10"))</f>
        <v>5</v>
      </c>
      <c r="G1862" s="52">
        <f t="shared" si="29"/>
        <v>1</v>
      </c>
      <c r="H1862" s="52">
        <f>ROUND(Data!C1862*Data!D1862-Data!E1862,2)</f>
        <v>0</v>
      </c>
      <c r="I1862" s="52">
        <f>IF(AND(OR(Sel_Mode="All",Data!I1862=Sel_Mode),OR(Sel_Gender="All",D1862=Sel_Gender),OR(Sel_Category="All",Data!B1862=Sel_Category),OR(Sel_Month="All",C1862=Sel_Month),OR(Sel_County="All",Data!L1862=Sel_County)),1,0)</f>
        <v>1</v>
      </c>
    </row>
    <row r="1863" spans="1:9" x14ac:dyDescent="0.25">
      <c r="A1863" s="52" t="str">
        <f>Data!A1863</f>
        <v>TX501862</v>
      </c>
      <c r="B1863" s="52">
        <f>MONTH(Data!F1863)</f>
        <v>3</v>
      </c>
      <c r="C1863" s="52" t="str">
        <f>TEXT(Data!F1863,"mmm")</f>
        <v>Mar</v>
      </c>
      <c r="D1863" s="52" t="str">
        <f>Data!O1863</f>
        <v>Other</v>
      </c>
      <c r="E1863" s="52">
        <f>Data!G1863-Data!F1863</f>
        <v>2</v>
      </c>
      <c r="F1863" s="52">
        <f>IF(Data!J1863&lt;=5,Data!J1863,IF(Data!J1863&lt;=10,"6 TO 10","More than 10"))</f>
        <v>5</v>
      </c>
      <c r="G1863" s="52">
        <f t="shared" si="29"/>
        <v>2</v>
      </c>
      <c r="H1863" s="52">
        <f>ROUND(Data!C1863*Data!D1863-Data!E1863,2)</f>
        <v>0</v>
      </c>
      <c r="I1863" s="52">
        <f>IF(AND(OR(Sel_Mode="All",Data!I1863=Sel_Mode),OR(Sel_Gender="All",D1863=Sel_Gender),OR(Sel_Category="All",Data!B1863=Sel_Category),OR(Sel_Month="All",C1863=Sel_Month),OR(Sel_County="All",Data!L1863=Sel_County)),1,0)</f>
        <v>1</v>
      </c>
    </row>
    <row r="1864" spans="1:9" x14ac:dyDescent="0.25">
      <c r="A1864" s="52" t="str">
        <f>Data!A1864</f>
        <v>TX501863</v>
      </c>
      <c r="B1864" s="52">
        <f>MONTH(Data!F1864)</f>
        <v>3</v>
      </c>
      <c r="C1864" s="52" t="str">
        <f>TEXT(Data!F1864,"mmm")</f>
        <v>Mar</v>
      </c>
      <c r="D1864" s="52" t="str">
        <f>Data!O1864</f>
        <v>Male</v>
      </c>
      <c r="E1864" s="52">
        <f>Data!G1864-Data!F1864</f>
        <v>1</v>
      </c>
      <c r="F1864" s="52">
        <f>IF(Data!J1864&lt;=5,Data!J1864,IF(Data!J1864&lt;=10,"6 TO 10","More than 10"))</f>
        <v>5</v>
      </c>
      <c r="G1864" s="52">
        <f t="shared" si="29"/>
        <v>1</v>
      </c>
      <c r="H1864" s="52">
        <f>ROUND(Data!C1864*Data!D1864-Data!E1864,2)</f>
        <v>0</v>
      </c>
      <c r="I1864" s="52">
        <f>IF(AND(OR(Sel_Mode="All",Data!I1864=Sel_Mode),OR(Sel_Gender="All",D1864=Sel_Gender),OR(Sel_Category="All",Data!B1864=Sel_Category),OR(Sel_Month="All",C1864=Sel_Month),OR(Sel_County="All",Data!L1864=Sel_County)),1,0)</f>
        <v>1</v>
      </c>
    </row>
    <row r="1865" spans="1:9" x14ac:dyDescent="0.25">
      <c r="A1865" s="52" t="str">
        <f>Data!A1865</f>
        <v>TX501864</v>
      </c>
      <c r="B1865" s="52">
        <f>MONTH(Data!F1865)</f>
        <v>3</v>
      </c>
      <c r="C1865" s="52" t="str">
        <f>TEXT(Data!F1865,"mmm")</f>
        <v>Mar</v>
      </c>
      <c r="D1865" s="52" t="str">
        <f>Data!O1865</f>
        <v>Female</v>
      </c>
      <c r="E1865" s="52">
        <f>Data!G1865-Data!F1865</f>
        <v>2</v>
      </c>
      <c r="F1865" s="52">
        <f>IF(Data!J1865&lt;=5,Data!J1865,IF(Data!J1865&lt;=10,"6 TO 10","More than 10"))</f>
        <v>2</v>
      </c>
      <c r="G1865" s="52">
        <f t="shared" si="29"/>
        <v>2</v>
      </c>
      <c r="H1865" s="52">
        <f>ROUND(Data!C1865*Data!D1865-Data!E1865,2)</f>
        <v>0</v>
      </c>
      <c r="I1865" s="52">
        <f>IF(AND(OR(Sel_Mode="All",Data!I1865=Sel_Mode),OR(Sel_Gender="All",D1865=Sel_Gender),OR(Sel_Category="All",Data!B1865=Sel_Category),OR(Sel_Month="All",C1865=Sel_Month),OR(Sel_County="All",Data!L1865=Sel_County)),1,0)</f>
        <v>1</v>
      </c>
    </row>
    <row r="1866" spans="1:9" x14ac:dyDescent="0.25">
      <c r="A1866" s="52" t="str">
        <f>Data!A1866</f>
        <v>TX501865</v>
      </c>
      <c r="B1866" s="52">
        <f>MONTH(Data!F1866)</f>
        <v>3</v>
      </c>
      <c r="C1866" s="52" t="str">
        <f>TEXT(Data!F1866,"mmm")</f>
        <v>Mar</v>
      </c>
      <c r="D1866" s="52" t="str">
        <f>Data!O1866</f>
        <v>Female</v>
      </c>
      <c r="E1866" s="52">
        <f>Data!G1866-Data!F1866</f>
        <v>2</v>
      </c>
      <c r="F1866" s="52">
        <f>IF(Data!J1866&lt;=5,Data!J1866,IF(Data!J1866&lt;=10,"6 TO 10","More than 10"))</f>
        <v>4</v>
      </c>
      <c r="G1866" s="52">
        <f t="shared" si="29"/>
        <v>2</v>
      </c>
      <c r="H1866" s="52">
        <f>ROUND(Data!C1866*Data!D1866-Data!E1866,2)</f>
        <v>0</v>
      </c>
      <c r="I1866" s="52">
        <f>IF(AND(OR(Sel_Mode="All",Data!I1866=Sel_Mode),OR(Sel_Gender="All",D1866=Sel_Gender),OR(Sel_Category="All",Data!B1866=Sel_Category),OR(Sel_Month="All",C1866=Sel_Month),OR(Sel_County="All",Data!L1866=Sel_County)),1,0)</f>
        <v>1</v>
      </c>
    </row>
    <row r="1867" spans="1:9" x14ac:dyDescent="0.25">
      <c r="A1867" s="52" t="str">
        <f>Data!A1867</f>
        <v>TX501866</v>
      </c>
      <c r="B1867" s="52">
        <f>MONTH(Data!F1867)</f>
        <v>3</v>
      </c>
      <c r="C1867" s="52" t="str">
        <f>TEXT(Data!F1867,"mmm")</f>
        <v>Mar</v>
      </c>
      <c r="D1867" s="52" t="str">
        <f>Data!O1867</f>
        <v>Male</v>
      </c>
      <c r="E1867" s="52">
        <f>Data!G1867-Data!F1867</f>
        <v>2</v>
      </c>
      <c r="F1867" s="52">
        <f>IF(Data!J1867&lt;=5,Data!J1867,IF(Data!J1867&lt;=10,"6 TO 10","More than 10"))</f>
        <v>5</v>
      </c>
      <c r="G1867" s="52">
        <f t="shared" si="29"/>
        <v>2</v>
      </c>
      <c r="H1867" s="52">
        <f>ROUND(Data!C1867*Data!D1867-Data!E1867,2)</f>
        <v>0</v>
      </c>
      <c r="I1867" s="52">
        <f>IF(AND(OR(Sel_Mode="All",Data!I1867=Sel_Mode),OR(Sel_Gender="All",D1867=Sel_Gender),OR(Sel_Category="All",Data!B1867=Sel_Category),OR(Sel_Month="All",C1867=Sel_Month),OR(Sel_County="All",Data!L1867=Sel_County)),1,0)</f>
        <v>1</v>
      </c>
    </row>
    <row r="1868" spans="1:9" x14ac:dyDescent="0.25">
      <c r="A1868" s="52" t="str">
        <f>Data!A1868</f>
        <v>TX501867</v>
      </c>
      <c r="B1868" s="52">
        <f>MONTH(Data!F1868)</f>
        <v>3</v>
      </c>
      <c r="C1868" s="52" t="str">
        <f>TEXT(Data!F1868,"mmm")</f>
        <v>Mar</v>
      </c>
      <c r="D1868" s="52" t="str">
        <f>Data!O1868</f>
        <v>Other</v>
      </c>
      <c r="E1868" s="52">
        <f>Data!G1868-Data!F1868</f>
        <v>0</v>
      </c>
      <c r="F1868" s="52">
        <f>IF(Data!J1868&lt;=5,Data!J1868,IF(Data!J1868&lt;=10,"6 TO 10","More than 10"))</f>
        <v>5</v>
      </c>
      <c r="G1868" s="52">
        <f t="shared" si="29"/>
        <v>0</v>
      </c>
      <c r="H1868" s="52">
        <f>ROUND(Data!C1868*Data!D1868-Data!E1868,2)</f>
        <v>0</v>
      </c>
      <c r="I1868" s="52">
        <f>IF(AND(OR(Sel_Mode="All",Data!I1868=Sel_Mode),OR(Sel_Gender="All",D1868=Sel_Gender),OR(Sel_Category="All",Data!B1868=Sel_Category),OR(Sel_Month="All",C1868=Sel_Month),OR(Sel_County="All",Data!L1868=Sel_County)),1,0)</f>
        <v>1</v>
      </c>
    </row>
    <row r="1869" spans="1:9" x14ac:dyDescent="0.25">
      <c r="A1869" s="52" t="str">
        <f>Data!A1869</f>
        <v>TX501868</v>
      </c>
      <c r="B1869" s="52">
        <f>MONTH(Data!F1869)</f>
        <v>3</v>
      </c>
      <c r="C1869" s="52" t="str">
        <f>TEXT(Data!F1869,"mmm")</f>
        <v>Mar</v>
      </c>
      <c r="D1869" s="52" t="str">
        <f>Data!O1869</f>
        <v>Female</v>
      </c>
      <c r="E1869" s="52">
        <f>Data!G1869-Data!F1869</f>
        <v>1</v>
      </c>
      <c r="F1869" s="52">
        <f>IF(Data!J1869&lt;=5,Data!J1869,IF(Data!J1869&lt;=10,"6 TO 10","More than 10"))</f>
        <v>5</v>
      </c>
      <c r="G1869" s="52">
        <f t="shared" si="29"/>
        <v>1</v>
      </c>
      <c r="H1869" s="52">
        <f>ROUND(Data!C1869*Data!D1869-Data!E1869,2)</f>
        <v>0</v>
      </c>
      <c r="I1869" s="52">
        <f>IF(AND(OR(Sel_Mode="All",Data!I1869=Sel_Mode),OR(Sel_Gender="All",D1869=Sel_Gender),OR(Sel_Category="All",Data!B1869=Sel_Category),OR(Sel_Month="All",C1869=Sel_Month),OR(Sel_County="All",Data!L1869=Sel_County)),1,0)</f>
        <v>1</v>
      </c>
    </row>
    <row r="1870" spans="1:9" x14ac:dyDescent="0.25">
      <c r="A1870" s="52" t="str">
        <f>Data!A1870</f>
        <v>TX501869</v>
      </c>
      <c r="B1870" s="52">
        <f>MONTH(Data!F1870)</f>
        <v>3</v>
      </c>
      <c r="C1870" s="52" t="str">
        <f>TEXT(Data!F1870,"mmm")</f>
        <v>Mar</v>
      </c>
      <c r="D1870" s="52" t="str">
        <f>Data!O1870</f>
        <v>Other</v>
      </c>
      <c r="E1870" s="52">
        <f>Data!G1870-Data!F1870</f>
        <v>1</v>
      </c>
      <c r="F1870" s="52">
        <f>IF(Data!J1870&lt;=5,Data!J1870,IF(Data!J1870&lt;=10,"6 TO 10","More than 10"))</f>
        <v>4</v>
      </c>
      <c r="G1870" s="52">
        <f t="shared" si="29"/>
        <v>1</v>
      </c>
      <c r="H1870" s="52">
        <f>ROUND(Data!C1870*Data!D1870-Data!E1870,2)</f>
        <v>0</v>
      </c>
      <c r="I1870" s="52">
        <f>IF(AND(OR(Sel_Mode="All",Data!I1870=Sel_Mode),OR(Sel_Gender="All",D1870=Sel_Gender),OR(Sel_Category="All",Data!B1870=Sel_Category),OR(Sel_Month="All",C1870=Sel_Month),OR(Sel_County="All",Data!L1870=Sel_County)),1,0)</f>
        <v>1</v>
      </c>
    </row>
    <row r="1871" spans="1:9" x14ac:dyDescent="0.25">
      <c r="A1871" s="52" t="str">
        <f>Data!A1871</f>
        <v>TX501870</v>
      </c>
      <c r="B1871" s="52">
        <f>MONTH(Data!F1871)</f>
        <v>3</v>
      </c>
      <c r="C1871" s="52" t="str">
        <f>TEXT(Data!F1871,"mmm")</f>
        <v>Mar</v>
      </c>
      <c r="D1871" s="52" t="str">
        <f>Data!O1871</f>
        <v>Female</v>
      </c>
      <c r="E1871" s="52">
        <f>Data!G1871-Data!F1871</f>
        <v>0</v>
      </c>
      <c r="F1871" s="52">
        <f>IF(Data!J1871&lt;=5,Data!J1871,IF(Data!J1871&lt;=10,"6 TO 10","More than 10"))</f>
        <v>4</v>
      </c>
      <c r="G1871" s="52">
        <f t="shared" si="29"/>
        <v>0</v>
      </c>
      <c r="H1871" s="52">
        <f>ROUND(Data!C1871*Data!D1871-Data!E1871,2)</f>
        <v>0</v>
      </c>
      <c r="I1871" s="52">
        <f>IF(AND(OR(Sel_Mode="All",Data!I1871=Sel_Mode),OR(Sel_Gender="All",D1871=Sel_Gender),OR(Sel_Category="All",Data!B1871=Sel_Category),OR(Sel_Month="All",C1871=Sel_Month),OR(Sel_County="All",Data!L1871=Sel_County)),1,0)</f>
        <v>1</v>
      </c>
    </row>
    <row r="1872" spans="1:9" x14ac:dyDescent="0.25">
      <c r="A1872" s="52" t="str">
        <f>Data!A1872</f>
        <v>TX501871</v>
      </c>
      <c r="B1872" s="52">
        <f>MONTH(Data!F1872)</f>
        <v>3</v>
      </c>
      <c r="C1872" s="52" t="str">
        <f>TEXT(Data!F1872,"mmm")</f>
        <v>Mar</v>
      </c>
      <c r="D1872" s="52" t="str">
        <f>Data!O1872</f>
        <v>Female</v>
      </c>
      <c r="E1872" s="52">
        <f>Data!G1872-Data!F1872</f>
        <v>3</v>
      </c>
      <c r="F1872" s="52">
        <f>IF(Data!J1872&lt;=5,Data!J1872,IF(Data!J1872&lt;=10,"6 TO 10","More than 10"))</f>
        <v>5</v>
      </c>
      <c r="G1872" s="52">
        <f t="shared" si="29"/>
        <v>3</v>
      </c>
      <c r="H1872" s="52">
        <f>ROUND(Data!C1872*Data!D1872-Data!E1872,2)</f>
        <v>0</v>
      </c>
      <c r="I1872" s="52">
        <f>IF(AND(OR(Sel_Mode="All",Data!I1872=Sel_Mode),OR(Sel_Gender="All",D1872=Sel_Gender),OR(Sel_Category="All",Data!B1872=Sel_Category),OR(Sel_Month="All",C1872=Sel_Month),OR(Sel_County="All",Data!L1872=Sel_County)),1,0)</f>
        <v>1</v>
      </c>
    </row>
    <row r="1873" spans="1:9" x14ac:dyDescent="0.25">
      <c r="A1873" s="52" t="str">
        <f>Data!A1873</f>
        <v>TX501872</v>
      </c>
      <c r="B1873" s="52">
        <f>MONTH(Data!F1873)</f>
        <v>3</v>
      </c>
      <c r="C1873" s="52" t="str">
        <f>TEXT(Data!F1873,"mmm")</f>
        <v>Mar</v>
      </c>
      <c r="D1873" s="52" t="str">
        <f>Data!O1873</f>
        <v>Male</v>
      </c>
      <c r="E1873" s="52">
        <f>Data!G1873-Data!F1873</f>
        <v>2</v>
      </c>
      <c r="F1873" s="52">
        <f>IF(Data!J1873&lt;=5,Data!J1873,IF(Data!J1873&lt;=10,"6 TO 10","More than 10"))</f>
        <v>5</v>
      </c>
      <c r="G1873" s="52">
        <f t="shared" si="29"/>
        <v>2</v>
      </c>
      <c r="H1873" s="52">
        <f>ROUND(Data!C1873*Data!D1873-Data!E1873,2)</f>
        <v>0</v>
      </c>
      <c r="I1873" s="52">
        <f>IF(AND(OR(Sel_Mode="All",Data!I1873=Sel_Mode),OR(Sel_Gender="All",D1873=Sel_Gender),OR(Sel_Category="All",Data!B1873=Sel_Category),OR(Sel_Month="All",C1873=Sel_Month),OR(Sel_County="All",Data!L1873=Sel_County)),1,0)</f>
        <v>1</v>
      </c>
    </row>
    <row r="1874" spans="1:9" x14ac:dyDescent="0.25">
      <c r="A1874" s="52" t="str">
        <f>Data!A1874</f>
        <v>TX501873</v>
      </c>
      <c r="B1874" s="52">
        <f>MONTH(Data!F1874)</f>
        <v>3</v>
      </c>
      <c r="C1874" s="52" t="str">
        <f>TEXT(Data!F1874,"mmm")</f>
        <v>Mar</v>
      </c>
      <c r="D1874" s="52" t="str">
        <f>Data!O1874</f>
        <v>Female</v>
      </c>
      <c r="E1874" s="52">
        <f>Data!G1874-Data!F1874</f>
        <v>1</v>
      </c>
      <c r="F1874" s="52">
        <f>IF(Data!J1874&lt;=5,Data!J1874,IF(Data!J1874&lt;=10,"6 TO 10","More than 10"))</f>
        <v>4</v>
      </c>
      <c r="G1874" s="52">
        <f t="shared" si="29"/>
        <v>1</v>
      </c>
      <c r="H1874" s="52">
        <f>ROUND(Data!C1874*Data!D1874-Data!E1874,2)</f>
        <v>0</v>
      </c>
      <c r="I1874" s="52">
        <f>IF(AND(OR(Sel_Mode="All",Data!I1874=Sel_Mode),OR(Sel_Gender="All",D1874=Sel_Gender),OR(Sel_Category="All",Data!B1874=Sel_Category),OR(Sel_Month="All",C1874=Sel_Month),OR(Sel_County="All",Data!L1874=Sel_County)),1,0)</f>
        <v>1</v>
      </c>
    </row>
    <row r="1875" spans="1:9" x14ac:dyDescent="0.25">
      <c r="A1875" s="52" t="str">
        <f>Data!A1875</f>
        <v>TX501874</v>
      </c>
      <c r="B1875" s="52">
        <f>MONTH(Data!F1875)</f>
        <v>3</v>
      </c>
      <c r="C1875" s="52" t="str">
        <f>TEXT(Data!F1875,"mmm")</f>
        <v>Mar</v>
      </c>
      <c r="D1875" s="52" t="str">
        <f>Data!O1875</f>
        <v>Other</v>
      </c>
      <c r="E1875" s="52">
        <f>Data!G1875-Data!F1875</f>
        <v>2</v>
      </c>
      <c r="F1875" s="52">
        <f>IF(Data!J1875&lt;=5,Data!J1875,IF(Data!J1875&lt;=10,"6 TO 10","More than 10"))</f>
        <v>4</v>
      </c>
      <c r="G1875" s="52">
        <f t="shared" si="29"/>
        <v>2</v>
      </c>
      <c r="H1875" s="52">
        <f>ROUND(Data!C1875*Data!D1875-Data!E1875,2)</f>
        <v>0</v>
      </c>
      <c r="I1875" s="52">
        <f>IF(AND(OR(Sel_Mode="All",Data!I1875=Sel_Mode),OR(Sel_Gender="All",D1875=Sel_Gender),OR(Sel_Category="All",Data!B1875=Sel_Category),OR(Sel_Month="All",C1875=Sel_Month),OR(Sel_County="All",Data!L1875=Sel_County)),1,0)</f>
        <v>1</v>
      </c>
    </row>
    <row r="1876" spans="1:9" x14ac:dyDescent="0.25">
      <c r="A1876" s="52" t="str">
        <f>Data!A1876</f>
        <v>TX501875</v>
      </c>
      <c r="B1876" s="52">
        <f>MONTH(Data!F1876)</f>
        <v>3</v>
      </c>
      <c r="C1876" s="52" t="str">
        <f>TEXT(Data!F1876,"mmm")</f>
        <v>Mar</v>
      </c>
      <c r="D1876" s="52" t="str">
        <f>Data!O1876</f>
        <v>Female</v>
      </c>
      <c r="E1876" s="52">
        <f>Data!G1876-Data!F1876</f>
        <v>2</v>
      </c>
      <c r="F1876" s="52">
        <f>IF(Data!J1876&lt;=5,Data!J1876,IF(Data!J1876&lt;=10,"6 TO 10","More than 10"))</f>
        <v>4</v>
      </c>
      <c r="G1876" s="52">
        <f t="shared" si="29"/>
        <v>2</v>
      </c>
      <c r="H1876" s="52">
        <f>ROUND(Data!C1876*Data!D1876-Data!E1876,2)</f>
        <v>0</v>
      </c>
      <c r="I1876" s="52">
        <f>IF(AND(OR(Sel_Mode="All",Data!I1876=Sel_Mode),OR(Sel_Gender="All",D1876=Sel_Gender),OR(Sel_Category="All",Data!B1876=Sel_Category),OR(Sel_Month="All",C1876=Sel_Month),OR(Sel_County="All",Data!L1876=Sel_County)),1,0)</f>
        <v>1</v>
      </c>
    </row>
    <row r="1877" spans="1:9" x14ac:dyDescent="0.25">
      <c r="A1877" s="52" t="str">
        <f>Data!A1877</f>
        <v>TX501876</v>
      </c>
      <c r="B1877" s="52">
        <f>MONTH(Data!F1877)</f>
        <v>3</v>
      </c>
      <c r="C1877" s="52" t="str">
        <f>TEXT(Data!F1877,"mmm")</f>
        <v>Mar</v>
      </c>
      <c r="D1877" s="52" t="str">
        <f>Data!O1877</f>
        <v>Female</v>
      </c>
      <c r="E1877" s="52">
        <f>Data!G1877-Data!F1877</f>
        <v>5</v>
      </c>
      <c r="F1877" s="52">
        <f>IF(Data!J1877&lt;=5,Data!J1877,IF(Data!J1877&lt;=10,"6 TO 10","More than 10"))</f>
        <v>5</v>
      </c>
      <c r="G1877" s="52">
        <f t="shared" si="29"/>
        <v>5</v>
      </c>
      <c r="H1877" s="52">
        <f>ROUND(Data!C1877*Data!D1877-Data!E1877,2)</f>
        <v>0</v>
      </c>
      <c r="I1877" s="52">
        <f>IF(AND(OR(Sel_Mode="All",Data!I1877=Sel_Mode),OR(Sel_Gender="All",D1877=Sel_Gender),OR(Sel_Category="All",Data!B1877=Sel_Category),OR(Sel_Month="All",C1877=Sel_Month),OR(Sel_County="All",Data!L1877=Sel_County)),1,0)</f>
        <v>1</v>
      </c>
    </row>
    <row r="1878" spans="1:9" x14ac:dyDescent="0.25">
      <c r="A1878" s="52" t="str">
        <f>Data!A1878</f>
        <v>TX501877</v>
      </c>
      <c r="B1878" s="52">
        <f>MONTH(Data!F1878)</f>
        <v>3</v>
      </c>
      <c r="C1878" s="52" t="str">
        <f>TEXT(Data!F1878,"mmm")</f>
        <v>Mar</v>
      </c>
      <c r="D1878" s="52" t="str">
        <f>Data!O1878</f>
        <v>Female</v>
      </c>
      <c r="E1878" s="52">
        <f>Data!G1878-Data!F1878</f>
        <v>1</v>
      </c>
      <c r="F1878" s="52">
        <f>IF(Data!J1878&lt;=5,Data!J1878,IF(Data!J1878&lt;=10,"6 TO 10","More than 10"))</f>
        <v>3</v>
      </c>
      <c r="G1878" s="52">
        <f t="shared" si="29"/>
        <v>1</v>
      </c>
      <c r="H1878" s="52">
        <f>ROUND(Data!C1878*Data!D1878-Data!E1878,2)</f>
        <v>0</v>
      </c>
      <c r="I1878" s="52">
        <f>IF(AND(OR(Sel_Mode="All",Data!I1878=Sel_Mode),OR(Sel_Gender="All",D1878=Sel_Gender),OR(Sel_Category="All",Data!B1878=Sel_Category),OR(Sel_Month="All",C1878=Sel_Month),OR(Sel_County="All",Data!L1878=Sel_County)),1,0)</f>
        <v>1</v>
      </c>
    </row>
    <row r="1879" spans="1:9" x14ac:dyDescent="0.25">
      <c r="A1879" s="52" t="str">
        <f>Data!A1879</f>
        <v>TX501878</v>
      </c>
      <c r="B1879" s="52">
        <f>MONTH(Data!F1879)</f>
        <v>3</v>
      </c>
      <c r="C1879" s="52" t="str">
        <f>TEXT(Data!F1879,"mmm")</f>
        <v>Mar</v>
      </c>
      <c r="D1879" s="52" t="str">
        <f>Data!O1879</f>
        <v>Female</v>
      </c>
      <c r="E1879" s="52">
        <f>Data!G1879-Data!F1879</f>
        <v>2</v>
      </c>
      <c r="F1879" s="52">
        <f>IF(Data!J1879&lt;=5,Data!J1879,IF(Data!J1879&lt;=10,"6 TO 10","More than 10"))</f>
        <v>4</v>
      </c>
      <c r="G1879" s="52">
        <f t="shared" si="29"/>
        <v>2</v>
      </c>
      <c r="H1879" s="52">
        <f>ROUND(Data!C1879*Data!D1879-Data!E1879,2)</f>
        <v>0</v>
      </c>
      <c r="I1879" s="52">
        <f>IF(AND(OR(Sel_Mode="All",Data!I1879=Sel_Mode),OR(Sel_Gender="All",D1879=Sel_Gender),OR(Sel_Category="All",Data!B1879=Sel_Category),OR(Sel_Month="All",C1879=Sel_Month),OR(Sel_County="All",Data!L1879=Sel_County)),1,0)</f>
        <v>1</v>
      </c>
    </row>
    <row r="1880" spans="1:9" x14ac:dyDescent="0.25">
      <c r="A1880" s="52" t="str">
        <f>Data!A1880</f>
        <v>TX501879</v>
      </c>
      <c r="B1880" s="52">
        <f>MONTH(Data!F1880)</f>
        <v>3</v>
      </c>
      <c r="C1880" s="52" t="str">
        <f>TEXT(Data!F1880,"mmm")</f>
        <v>Mar</v>
      </c>
      <c r="D1880" s="52" t="str">
        <f>Data!O1880</f>
        <v>Female</v>
      </c>
      <c r="E1880" s="52">
        <f>Data!G1880-Data!F1880</f>
        <v>1</v>
      </c>
      <c r="F1880" s="52">
        <f>IF(Data!J1880&lt;=5,Data!J1880,IF(Data!J1880&lt;=10,"6 TO 10","More than 10"))</f>
        <v>4</v>
      </c>
      <c r="G1880" s="52">
        <f t="shared" si="29"/>
        <v>1</v>
      </c>
      <c r="H1880" s="52">
        <f>ROUND(Data!C1880*Data!D1880-Data!E1880,2)</f>
        <v>0</v>
      </c>
      <c r="I1880" s="52">
        <f>IF(AND(OR(Sel_Mode="All",Data!I1880=Sel_Mode),OR(Sel_Gender="All",D1880=Sel_Gender),OR(Sel_Category="All",Data!B1880=Sel_Category),OR(Sel_Month="All",C1880=Sel_Month),OR(Sel_County="All",Data!L1880=Sel_County)),1,0)</f>
        <v>1</v>
      </c>
    </row>
    <row r="1881" spans="1:9" x14ac:dyDescent="0.25">
      <c r="A1881" s="52" t="str">
        <f>Data!A1881</f>
        <v>TX501880</v>
      </c>
      <c r="B1881" s="52">
        <f>MONTH(Data!F1881)</f>
        <v>3</v>
      </c>
      <c r="C1881" s="52" t="str">
        <f>TEXT(Data!F1881,"mmm")</f>
        <v>Mar</v>
      </c>
      <c r="D1881" s="52" t="str">
        <f>Data!O1881</f>
        <v>Male</v>
      </c>
      <c r="E1881" s="52">
        <f>Data!G1881-Data!F1881</f>
        <v>1</v>
      </c>
      <c r="F1881" s="52">
        <f>IF(Data!J1881&lt;=5,Data!J1881,IF(Data!J1881&lt;=10,"6 TO 10","More than 10"))</f>
        <v>3</v>
      </c>
      <c r="G1881" s="52">
        <f t="shared" si="29"/>
        <v>1</v>
      </c>
      <c r="H1881" s="52">
        <f>ROUND(Data!C1881*Data!D1881-Data!E1881,2)</f>
        <v>0</v>
      </c>
      <c r="I1881" s="52">
        <f>IF(AND(OR(Sel_Mode="All",Data!I1881=Sel_Mode),OR(Sel_Gender="All",D1881=Sel_Gender),OR(Sel_Category="All",Data!B1881=Sel_Category),OR(Sel_Month="All",C1881=Sel_Month),OR(Sel_County="All",Data!L1881=Sel_County)),1,0)</f>
        <v>1</v>
      </c>
    </row>
    <row r="1882" spans="1:9" x14ac:dyDescent="0.25">
      <c r="A1882" s="52" t="str">
        <f>Data!A1882</f>
        <v>TX501881</v>
      </c>
      <c r="B1882" s="52">
        <f>MONTH(Data!F1882)</f>
        <v>3</v>
      </c>
      <c r="C1882" s="52" t="str">
        <f>TEXT(Data!F1882,"mmm")</f>
        <v>Mar</v>
      </c>
      <c r="D1882" s="52" t="str">
        <f>Data!O1882</f>
        <v>Female</v>
      </c>
      <c r="E1882" s="52">
        <f>Data!G1882-Data!F1882</f>
        <v>1</v>
      </c>
      <c r="F1882" s="52">
        <f>IF(Data!J1882&lt;=5,Data!J1882,IF(Data!J1882&lt;=10,"6 TO 10","More than 10"))</f>
        <v>5</v>
      </c>
      <c r="G1882" s="52">
        <f t="shared" si="29"/>
        <v>1</v>
      </c>
      <c r="H1882" s="52">
        <f>ROUND(Data!C1882*Data!D1882-Data!E1882,2)</f>
        <v>0</v>
      </c>
      <c r="I1882" s="52">
        <f>IF(AND(OR(Sel_Mode="All",Data!I1882=Sel_Mode),OR(Sel_Gender="All",D1882=Sel_Gender),OR(Sel_Category="All",Data!B1882=Sel_Category),OR(Sel_Month="All",C1882=Sel_Month),OR(Sel_County="All",Data!L1882=Sel_County)),1,0)</f>
        <v>1</v>
      </c>
    </row>
    <row r="1883" spans="1:9" x14ac:dyDescent="0.25">
      <c r="A1883" s="52" t="str">
        <f>Data!A1883</f>
        <v>TX501882</v>
      </c>
      <c r="B1883" s="52">
        <f>MONTH(Data!F1883)</f>
        <v>3</v>
      </c>
      <c r="C1883" s="52" t="str">
        <f>TEXT(Data!F1883,"mmm")</f>
        <v>Mar</v>
      </c>
      <c r="D1883" s="52" t="str">
        <f>Data!O1883</f>
        <v>Female</v>
      </c>
      <c r="E1883" s="52">
        <f>Data!G1883-Data!F1883</f>
        <v>2</v>
      </c>
      <c r="F1883" s="52">
        <f>IF(Data!J1883&lt;=5,Data!J1883,IF(Data!J1883&lt;=10,"6 TO 10","More than 10"))</f>
        <v>5</v>
      </c>
      <c r="G1883" s="52">
        <f t="shared" si="29"/>
        <v>2</v>
      </c>
      <c r="H1883" s="52">
        <f>ROUND(Data!C1883*Data!D1883-Data!E1883,2)</f>
        <v>0</v>
      </c>
      <c r="I1883" s="52">
        <f>IF(AND(OR(Sel_Mode="All",Data!I1883=Sel_Mode),OR(Sel_Gender="All",D1883=Sel_Gender),OR(Sel_Category="All",Data!B1883=Sel_Category),OR(Sel_Month="All",C1883=Sel_Month),OR(Sel_County="All",Data!L1883=Sel_County)),1,0)</f>
        <v>1</v>
      </c>
    </row>
    <row r="1884" spans="1:9" x14ac:dyDescent="0.25">
      <c r="A1884" s="52" t="str">
        <f>Data!A1884</f>
        <v>TX501883</v>
      </c>
      <c r="B1884" s="52">
        <f>MONTH(Data!F1884)</f>
        <v>3</v>
      </c>
      <c r="C1884" s="52" t="str">
        <f>TEXT(Data!F1884,"mmm")</f>
        <v>Mar</v>
      </c>
      <c r="D1884" s="52" t="str">
        <f>Data!O1884</f>
        <v>Male</v>
      </c>
      <c r="E1884" s="52">
        <f>Data!G1884-Data!F1884</f>
        <v>2</v>
      </c>
      <c r="F1884" s="52">
        <f>IF(Data!J1884&lt;=5,Data!J1884,IF(Data!J1884&lt;=10,"6 TO 10","More than 10"))</f>
        <v>5</v>
      </c>
      <c r="G1884" s="52">
        <f t="shared" si="29"/>
        <v>2</v>
      </c>
      <c r="H1884" s="52">
        <f>ROUND(Data!C1884*Data!D1884-Data!E1884,2)</f>
        <v>0</v>
      </c>
      <c r="I1884" s="52">
        <f>IF(AND(OR(Sel_Mode="All",Data!I1884=Sel_Mode),OR(Sel_Gender="All",D1884=Sel_Gender),OR(Sel_Category="All",Data!B1884=Sel_Category),OR(Sel_Month="All",C1884=Sel_Month),OR(Sel_County="All",Data!L1884=Sel_County)),1,0)</f>
        <v>1</v>
      </c>
    </row>
    <row r="1885" spans="1:9" x14ac:dyDescent="0.25">
      <c r="A1885" s="52" t="str">
        <f>Data!A1885</f>
        <v>TX501884</v>
      </c>
      <c r="B1885" s="52">
        <f>MONTH(Data!F1885)</f>
        <v>3</v>
      </c>
      <c r="C1885" s="52" t="str">
        <f>TEXT(Data!F1885,"mmm")</f>
        <v>Mar</v>
      </c>
      <c r="D1885" s="52" t="str">
        <f>Data!O1885</f>
        <v>Male</v>
      </c>
      <c r="E1885" s="52">
        <f>Data!G1885-Data!F1885</f>
        <v>3</v>
      </c>
      <c r="F1885" s="52">
        <f>IF(Data!J1885&lt;=5,Data!J1885,IF(Data!J1885&lt;=10,"6 TO 10","More than 10"))</f>
        <v>4</v>
      </c>
      <c r="G1885" s="52">
        <f t="shared" si="29"/>
        <v>3</v>
      </c>
      <c r="H1885" s="52">
        <f>ROUND(Data!C1885*Data!D1885-Data!E1885,2)</f>
        <v>0</v>
      </c>
      <c r="I1885" s="52">
        <f>IF(AND(OR(Sel_Mode="All",Data!I1885=Sel_Mode),OR(Sel_Gender="All",D1885=Sel_Gender),OR(Sel_Category="All",Data!B1885=Sel_Category),OR(Sel_Month="All",C1885=Sel_Month),OR(Sel_County="All",Data!L1885=Sel_County)),1,0)</f>
        <v>1</v>
      </c>
    </row>
    <row r="1886" spans="1:9" x14ac:dyDescent="0.25">
      <c r="A1886" s="52" t="str">
        <f>Data!A1886</f>
        <v>TX501885</v>
      </c>
      <c r="B1886" s="52">
        <f>MONTH(Data!F1886)</f>
        <v>3</v>
      </c>
      <c r="C1886" s="52" t="str">
        <f>TEXT(Data!F1886,"mmm")</f>
        <v>Mar</v>
      </c>
      <c r="D1886" s="52" t="str">
        <f>Data!O1886</f>
        <v>Unknown</v>
      </c>
      <c r="E1886" s="52">
        <f>Data!G1886-Data!F1886</f>
        <v>14</v>
      </c>
      <c r="F1886" s="52">
        <f>IF(Data!J1886&lt;=5,Data!J1886,IF(Data!J1886&lt;=10,"6 TO 10","More than 10"))</f>
        <v>2</v>
      </c>
      <c r="G1886" s="52" t="str">
        <f t="shared" si="29"/>
        <v>8+</v>
      </c>
      <c r="H1886" s="52">
        <f>ROUND(Data!C1886*Data!D1886-Data!E1886,2)</f>
        <v>0</v>
      </c>
      <c r="I1886" s="52">
        <f>IF(AND(OR(Sel_Mode="All",Data!I1886=Sel_Mode),OR(Sel_Gender="All",D1886=Sel_Gender),OR(Sel_Category="All",Data!B1886=Sel_Category),OR(Sel_Month="All",C1886=Sel_Month),OR(Sel_County="All",Data!L1886=Sel_County)),1,0)</f>
        <v>1</v>
      </c>
    </row>
    <row r="1887" spans="1:9" x14ac:dyDescent="0.25">
      <c r="A1887" s="52" t="str">
        <f>Data!A1887</f>
        <v>TX501886</v>
      </c>
      <c r="B1887" s="52">
        <f>MONTH(Data!F1887)</f>
        <v>3</v>
      </c>
      <c r="C1887" s="52" t="str">
        <f>TEXT(Data!F1887,"mmm")</f>
        <v>Mar</v>
      </c>
      <c r="D1887" s="52" t="str">
        <f>Data!O1887</f>
        <v>Male</v>
      </c>
      <c r="E1887" s="52">
        <f>Data!G1887-Data!F1887</f>
        <v>1</v>
      </c>
      <c r="F1887" s="52">
        <f>IF(Data!J1887&lt;=5,Data!J1887,IF(Data!J1887&lt;=10,"6 TO 10","More than 10"))</f>
        <v>4</v>
      </c>
      <c r="G1887" s="52">
        <f t="shared" si="29"/>
        <v>1</v>
      </c>
      <c r="H1887" s="52">
        <f>ROUND(Data!C1887*Data!D1887-Data!E1887,2)</f>
        <v>0</v>
      </c>
      <c r="I1887" s="52">
        <f>IF(AND(OR(Sel_Mode="All",Data!I1887=Sel_Mode),OR(Sel_Gender="All",D1887=Sel_Gender),OR(Sel_Category="All",Data!B1887=Sel_Category),OR(Sel_Month="All",C1887=Sel_Month),OR(Sel_County="All",Data!L1887=Sel_County)),1,0)</f>
        <v>1</v>
      </c>
    </row>
    <row r="1888" spans="1:9" x14ac:dyDescent="0.25">
      <c r="A1888" s="52" t="str">
        <f>Data!A1888</f>
        <v>TX501887</v>
      </c>
      <c r="B1888" s="52">
        <f>MONTH(Data!F1888)</f>
        <v>3</v>
      </c>
      <c r="C1888" s="52" t="str">
        <f>TEXT(Data!F1888,"mmm")</f>
        <v>Mar</v>
      </c>
      <c r="D1888" s="52" t="str">
        <f>Data!O1888</f>
        <v>Female</v>
      </c>
      <c r="E1888" s="52">
        <f>Data!G1888-Data!F1888</f>
        <v>3</v>
      </c>
      <c r="F1888" s="52">
        <f>IF(Data!J1888&lt;=5,Data!J1888,IF(Data!J1888&lt;=10,"6 TO 10","More than 10"))</f>
        <v>5</v>
      </c>
      <c r="G1888" s="52">
        <f t="shared" si="29"/>
        <v>3</v>
      </c>
      <c r="H1888" s="52">
        <f>ROUND(Data!C1888*Data!D1888-Data!E1888,2)</f>
        <v>0</v>
      </c>
      <c r="I1888" s="52">
        <f>IF(AND(OR(Sel_Mode="All",Data!I1888=Sel_Mode),OR(Sel_Gender="All",D1888=Sel_Gender),OR(Sel_Category="All",Data!B1888=Sel_Category),OR(Sel_Month="All",C1888=Sel_Month),OR(Sel_County="All",Data!L1888=Sel_County)),1,0)</f>
        <v>1</v>
      </c>
    </row>
    <row r="1889" spans="1:9" x14ac:dyDescent="0.25">
      <c r="A1889" s="52" t="str">
        <f>Data!A1889</f>
        <v>TX501888</v>
      </c>
      <c r="B1889" s="52">
        <f>MONTH(Data!F1889)</f>
        <v>3</v>
      </c>
      <c r="C1889" s="52" t="str">
        <f>TEXT(Data!F1889,"mmm")</f>
        <v>Mar</v>
      </c>
      <c r="D1889" s="52" t="str">
        <f>Data!O1889</f>
        <v>Female</v>
      </c>
      <c r="E1889" s="52">
        <f>Data!G1889-Data!F1889</f>
        <v>2</v>
      </c>
      <c r="F1889" s="52">
        <f>IF(Data!J1889&lt;=5,Data!J1889,IF(Data!J1889&lt;=10,"6 TO 10","More than 10"))</f>
        <v>3</v>
      </c>
      <c r="G1889" s="52">
        <f t="shared" si="29"/>
        <v>2</v>
      </c>
      <c r="H1889" s="52">
        <f>ROUND(Data!C1889*Data!D1889-Data!E1889,2)</f>
        <v>0</v>
      </c>
      <c r="I1889" s="52">
        <f>IF(AND(OR(Sel_Mode="All",Data!I1889=Sel_Mode),OR(Sel_Gender="All",D1889=Sel_Gender),OR(Sel_Category="All",Data!B1889=Sel_Category),OR(Sel_Month="All",C1889=Sel_Month),OR(Sel_County="All",Data!L1889=Sel_County)),1,0)</f>
        <v>1</v>
      </c>
    </row>
    <row r="1890" spans="1:9" x14ac:dyDescent="0.25">
      <c r="A1890" s="52" t="str">
        <f>Data!A1890</f>
        <v>TX501889</v>
      </c>
      <c r="B1890" s="52">
        <f>MONTH(Data!F1890)</f>
        <v>3</v>
      </c>
      <c r="C1890" s="52" t="str">
        <f>TEXT(Data!F1890,"mmm")</f>
        <v>Mar</v>
      </c>
      <c r="D1890" s="52" t="str">
        <f>Data!O1890</f>
        <v>Female</v>
      </c>
      <c r="E1890" s="52">
        <f>Data!G1890-Data!F1890</f>
        <v>3</v>
      </c>
      <c r="F1890" s="52">
        <f>IF(Data!J1890&lt;=5,Data!J1890,IF(Data!J1890&lt;=10,"6 TO 10","More than 10"))</f>
        <v>3</v>
      </c>
      <c r="G1890" s="52">
        <f t="shared" si="29"/>
        <v>3</v>
      </c>
      <c r="H1890" s="52">
        <f>ROUND(Data!C1890*Data!D1890-Data!E1890,2)</f>
        <v>0</v>
      </c>
      <c r="I1890" s="52">
        <f>IF(AND(OR(Sel_Mode="All",Data!I1890=Sel_Mode),OR(Sel_Gender="All",D1890=Sel_Gender),OR(Sel_Category="All",Data!B1890=Sel_Category),OR(Sel_Month="All",C1890=Sel_Month),OR(Sel_County="All",Data!L1890=Sel_County)),1,0)</f>
        <v>1</v>
      </c>
    </row>
    <row r="1891" spans="1:9" x14ac:dyDescent="0.25">
      <c r="A1891" s="52" t="str">
        <f>Data!A1891</f>
        <v>TX501890</v>
      </c>
      <c r="B1891" s="52">
        <f>MONTH(Data!F1891)</f>
        <v>3</v>
      </c>
      <c r="C1891" s="52" t="str">
        <f>TEXT(Data!F1891,"mmm")</f>
        <v>Mar</v>
      </c>
      <c r="D1891" s="52" t="str">
        <f>Data!O1891</f>
        <v>Male</v>
      </c>
      <c r="E1891" s="52">
        <f>Data!G1891-Data!F1891</f>
        <v>1</v>
      </c>
      <c r="F1891" s="52">
        <f>IF(Data!J1891&lt;=5,Data!J1891,IF(Data!J1891&lt;=10,"6 TO 10","More than 10"))</f>
        <v>4</v>
      </c>
      <c r="G1891" s="52">
        <f t="shared" si="29"/>
        <v>1</v>
      </c>
      <c r="H1891" s="52">
        <f>ROUND(Data!C1891*Data!D1891-Data!E1891,2)</f>
        <v>0</v>
      </c>
      <c r="I1891" s="52">
        <f>IF(AND(OR(Sel_Mode="All",Data!I1891=Sel_Mode),OR(Sel_Gender="All",D1891=Sel_Gender),OR(Sel_Category="All",Data!B1891=Sel_Category),OR(Sel_Month="All",C1891=Sel_Month),OR(Sel_County="All",Data!L1891=Sel_County)),1,0)</f>
        <v>1</v>
      </c>
    </row>
    <row r="1892" spans="1:9" x14ac:dyDescent="0.25">
      <c r="A1892" s="52" t="str">
        <f>Data!A1892</f>
        <v>TX501891</v>
      </c>
      <c r="B1892" s="52">
        <f>MONTH(Data!F1892)</f>
        <v>3</v>
      </c>
      <c r="C1892" s="52" t="str">
        <f>TEXT(Data!F1892,"mmm")</f>
        <v>Mar</v>
      </c>
      <c r="D1892" s="52" t="str">
        <f>Data!O1892</f>
        <v>Female</v>
      </c>
      <c r="E1892" s="52">
        <f>Data!G1892-Data!F1892</f>
        <v>2</v>
      </c>
      <c r="F1892" s="52">
        <f>IF(Data!J1892&lt;=5,Data!J1892,IF(Data!J1892&lt;=10,"6 TO 10","More than 10"))</f>
        <v>5</v>
      </c>
      <c r="G1892" s="52">
        <f t="shared" si="29"/>
        <v>2</v>
      </c>
      <c r="H1892" s="52">
        <f>ROUND(Data!C1892*Data!D1892-Data!E1892,2)</f>
        <v>0</v>
      </c>
      <c r="I1892" s="52">
        <f>IF(AND(OR(Sel_Mode="All",Data!I1892=Sel_Mode),OR(Sel_Gender="All",D1892=Sel_Gender),OR(Sel_Category="All",Data!B1892=Sel_Category),OR(Sel_Month="All",C1892=Sel_Month),OR(Sel_County="All",Data!L1892=Sel_County)),1,0)</f>
        <v>1</v>
      </c>
    </row>
    <row r="1893" spans="1:9" x14ac:dyDescent="0.25">
      <c r="A1893" s="52" t="str">
        <f>Data!A1893</f>
        <v>TX501892</v>
      </c>
      <c r="B1893" s="52">
        <f>MONTH(Data!F1893)</f>
        <v>3</v>
      </c>
      <c r="C1893" s="52" t="str">
        <f>TEXT(Data!F1893,"mmm")</f>
        <v>Mar</v>
      </c>
      <c r="D1893" s="52" t="str">
        <f>Data!O1893</f>
        <v>Male</v>
      </c>
      <c r="E1893" s="52">
        <f>Data!G1893-Data!F1893</f>
        <v>6</v>
      </c>
      <c r="F1893" s="52">
        <f>IF(Data!J1893&lt;=5,Data!J1893,IF(Data!J1893&lt;=10,"6 TO 10","More than 10"))</f>
        <v>4</v>
      </c>
      <c r="G1893" s="52">
        <f t="shared" si="29"/>
        <v>6</v>
      </c>
      <c r="H1893" s="52">
        <f>ROUND(Data!C1893*Data!D1893-Data!E1893,2)</f>
        <v>0</v>
      </c>
      <c r="I1893" s="52">
        <f>IF(AND(OR(Sel_Mode="All",Data!I1893=Sel_Mode),OR(Sel_Gender="All",D1893=Sel_Gender),OR(Sel_Category="All",Data!B1893=Sel_Category),OR(Sel_Month="All",C1893=Sel_Month),OR(Sel_County="All",Data!L1893=Sel_County)),1,0)</f>
        <v>1</v>
      </c>
    </row>
    <row r="1894" spans="1:9" x14ac:dyDescent="0.25">
      <c r="A1894" s="52" t="str">
        <f>Data!A1894</f>
        <v>TX501893</v>
      </c>
      <c r="B1894" s="52">
        <f>MONTH(Data!F1894)</f>
        <v>3</v>
      </c>
      <c r="C1894" s="52" t="str">
        <f>TEXT(Data!F1894,"mmm")</f>
        <v>Mar</v>
      </c>
      <c r="D1894" s="52" t="str">
        <f>Data!O1894</f>
        <v>Male</v>
      </c>
      <c r="E1894" s="52">
        <f>Data!G1894-Data!F1894</f>
        <v>1</v>
      </c>
      <c r="F1894" s="52">
        <f>IF(Data!J1894&lt;=5,Data!J1894,IF(Data!J1894&lt;=10,"6 TO 10","More than 10"))</f>
        <v>4</v>
      </c>
      <c r="G1894" s="52">
        <f t="shared" si="29"/>
        <v>1</v>
      </c>
      <c r="H1894" s="52">
        <f>ROUND(Data!C1894*Data!D1894-Data!E1894,2)</f>
        <v>0</v>
      </c>
      <c r="I1894" s="52">
        <f>IF(AND(OR(Sel_Mode="All",Data!I1894=Sel_Mode),OR(Sel_Gender="All",D1894=Sel_Gender),OR(Sel_Category="All",Data!B1894=Sel_Category),OR(Sel_Month="All",C1894=Sel_Month),OR(Sel_County="All",Data!L1894=Sel_County)),1,0)</f>
        <v>1</v>
      </c>
    </row>
    <row r="1895" spans="1:9" x14ac:dyDescent="0.25">
      <c r="A1895" s="52" t="str">
        <f>Data!A1895</f>
        <v>TX501894</v>
      </c>
      <c r="B1895" s="52">
        <f>MONTH(Data!F1895)</f>
        <v>3</v>
      </c>
      <c r="C1895" s="52" t="str">
        <f>TEXT(Data!F1895,"mmm")</f>
        <v>Mar</v>
      </c>
      <c r="D1895" s="52" t="str">
        <f>Data!O1895</f>
        <v>Male</v>
      </c>
      <c r="E1895" s="52">
        <f>Data!G1895-Data!F1895</f>
        <v>2</v>
      </c>
      <c r="F1895" s="52">
        <f>IF(Data!J1895&lt;=5,Data!J1895,IF(Data!J1895&lt;=10,"6 TO 10","More than 10"))</f>
        <v>3</v>
      </c>
      <c r="G1895" s="52">
        <f t="shared" si="29"/>
        <v>2</v>
      </c>
      <c r="H1895" s="52">
        <f>ROUND(Data!C1895*Data!D1895-Data!E1895,2)</f>
        <v>0</v>
      </c>
      <c r="I1895" s="52">
        <f>IF(AND(OR(Sel_Mode="All",Data!I1895=Sel_Mode),OR(Sel_Gender="All",D1895=Sel_Gender),OR(Sel_Category="All",Data!B1895=Sel_Category),OR(Sel_Month="All",C1895=Sel_Month),OR(Sel_County="All",Data!L1895=Sel_County)),1,0)</f>
        <v>1</v>
      </c>
    </row>
    <row r="1896" spans="1:9" x14ac:dyDescent="0.25">
      <c r="A1896" s="52" t="str">
        <f>Data!A1896</f>
        <v>TX501895</v>
      </c>
      <c r="B1896" s="52">
        <f>MONTH(Data!F1896)</f>
        <v>3</v>
      </c>
      <c r="C1896" s="52" t="str">
        <f>TEXT(Data!F1896,"mmm")</f>
        <v>Mar</v>
      </c>
      <c r="D1896" s="52" t="str">
        <f>Data!O1896</f>
        <v>Female</v>
      </c>
      <c r="E1896" s="52">
        <f>Data!G1896-Data!F1896</f>
        <v>2</v>
      </c>
      <c r="F1896" s="52">
        <f>IF(Data!J1896&lt;=5,Data!J1896,IF(Data!J1896&lt;=10,"6 TO 10","More than 10"))</f>
        <v>2</v>
      </c>
      <c r="G1896" s="52">
        <f t="shared" si="29"/>
        <v>2</v>
      </c>
      <c r="H1896" s="52">
        <f>ROUND(Data!C1896*Data!D1896-Data!E1896,2)</f>
        <v>0</v>
      </c>
      <c r="I1896" s="52">
        <f>IF(AND(OR(Sel_Mode="All",Data!I1896=Sel_Mode),OR(Sel_Gender="All",D1896=Sel_Gender),OR(Sel_Category="All",Data!B1896=Sel_Category),OR(Sel_Month="All",C1896=Sel_Month),OR(Sel_County="All",Data!L1896=Sel_County)),1,0)</f>
        <v>1</v>
      </c>
    </row>
    <row r="1897" spans="1:9" x14ac:dyDescent="0.25">
      <c r="A1897" s="52" t="str">
        <f>Data!A1897</f>
        <v>TX501896</v>
      </c>
      <c r="B1897" s="52">
        <f>MONTH(Data!F1897)</f>
        <v>3</v>
      </c>
      <c r="C1897" s="52" t="str">
        <f>TEXT(Data!F1897,"mmm")</f>
        <v>Mar</v>
      </c>
      <c r="D1897" s="52" t="str">
        <f>Data!O1897</f>
        <v>Male</v>
      </c>
      <c r="E1897" s="52">
        <f>Data!G1897-Data!F1897</f>
        <v>1</v>
      </c>
      <c r="F1897" s="52">
        <f>IF(Data!J1897&lt;=5,Data!J1897,IF(Data!J1897&lt;=10,"6 TO 10","More than 10"))</f>
        <v>3</v>
      </c>
      <c r="G1897" s="52">
        <f t="shared" si="29"/>
        <v>1</v>
      </c>
      <c r="H1897" s="52">
        <f>ROUND(Data!C1897*Data!D1897-Data!E1897,2)</f>
        <v>0</v>
      </c>
      <c r="I1897" s="52">
        <f>IF(AND(OR(Sel_Mode="All",Data!I1897=Sel_Mode),OR(Sel_Gender="All",D1897=Sel_Gender),OR(Sel_Category="All",Data!B1897=Sel_Category),OR(Sel_Month="All",C1897=Sel_Month),OR(Sel_County="All",Data!L1897=Sel_County)),1,0)</f>
        <v>1</v>
      </c>
    </row>
    <row r="1898" spans="1:9" x14ac:dyDescent="0.25">
      <c r="A1898" s="52" t="str">
        <f>Data!A1898</f>
        <v>TX501897</v>
      </c>
      <c r="B1898" s="52">
        <f>MONTH(Data!F1898)</f>
        <v>3</v>
      </c>
      <c r="C1898" s="52" t="str">
        <f>TEXT(Data!F1898,"mmm")</f>
        <v>Mar</v>
      </c>
      <c r="D1898" s="52" t="str">
        <f>Data!O1898</f>
        <v>Male</v>
      </c>
      <c r="E1898" s="52">
        <f>Data!G1898-Data!F1898</f>
        <v>3</v>
      </c>
      <c r="F1898" s="52">
        <f>IF(Data!J1898&lt;=5,Data!J1898,IF(Data!J1898&lt;=10,"6 TO 10","More than 10"))</f>
        <v>4</v>
      </c>
      <c r="G1898" s="52">
        <f t="shared" si="29"/>
        <v>3</v>
      </c>
      <c r="H1898" s="52">
        <f>ROUND(Data!C1898*Data!D1898-Data!E1898,2)</f>
        <v>0</v>
      </c>
      <c r="I1898" s="52">
        <f>IF(AND(OR(Sel_Mode="All",Data!I1898=Sel_Mode),OR(Sel_Gender="All",D1898=Sel_Gender),OR(Sel_Category="All",Data!B1898=Sel_Category),OR(Sel_Month="All",C1898=Sel_Month),OR(Sel_County="All",Data!L1898=Sel_County)),1,0)</f>
        <v>1</v>
      </c>
    </row>
    <row r="1899" spans="1:9" x14ac:dyDescent="0.25">
      <c r="A1899" s="52" t="str">
        <f>Data!A1899</f>
        <v>TX501898</v>
      </c>
      <c r="B1899" s="52">
        <f>MONTH(Data!F1899)</f>
        <v>3</v>
      </c>
      <c r="C1899" s="52" t="str">
        <f>TEXT(Data!F1899,"mmm")</f>
        <v>Mar</v>
      </c>
      <c r="D1899" s="52" t="str">
        <f>Data!O1899</f>
        <v>Male</v>
      </c>
      <c r="E1899" s="52">
        <f>Data!G1899-Data!F1899</f>
        <v>3</v>
      </c>
      <c r="F1899" s="52">
        <f>IF(Data!J1899&lt;=5,Data!J1899,IF(Data!J1899&lt;=10,"6 TO 10","More than 10"))</f>
        <v>4</v>
      </c>
      <c r="G1899" s="52">
        <f t="shared" si="29"/>
        <v>3</v>
      </c>
      <c r="H1899" s="52">
        <f>ROUND(Data!C1899*Data!D1899-Data!E1899,2)</f>
        <v>0</v>
      </c>
      <c r="I1899" s="52">
        <f>IF(AND(OR(Sel_Mode="All",Data!I1899=Sel_Mode),OR(Sel_Gender="All",D1899=Sel_Gender),OR(Sel_Category="All",Data!B1899=Sel_Category),OR(Sel_Month="All",C1899=Sel_Month),OR(Sel_County="All",Data!L1899=Sel_County)),1,0)</f>
        <v>1</v>
      </c>
    </row>
    <row r="1900" spans="1:9" x14ac:dyDescent="0.25">
      <c r="A1900" s="52" t="str">
        <f>Data!A1900</f>
        <v>TX501899</v>
      </c>
      <c r="B1900" s="52">
        <f>MONTH(Data!F1900)</f>
        <v>3</v>
      </c>
      <c r="C1900" s="52" t="str">
        <f>TEXT(Data!F1900,"mmm")</f>
        <v>Mar</v>
      </c>
      <c r="D1900" s="52" t="str">
        <f>Data!O1900</f>
        <v>Female</v>
      </c>
      <c r="E1900" s="52">
        <f>Data!G1900-Data!F1900</f>
        <v>13</v>
      </c>
      <c r="F1900" s="52">
        <f>IF(Data!J1900&lt;=5,Data!J1900,IF(Data!J1900&lt;=10,"6 TO 10","More than 10"))</f>
        <v>4</v>
      </c>
      <c r="G1900" s="52" t="str">
        <f t="shared" si="29"/>
        <v>8+</v>
      </c>
      <c r="H1900" s="52">
        <f>ROUND(Data!C1900*Data!D1900-Data!E1900,2)</f>
        <v>0</v>
      </c>
      <c r="I1900" s="52">
        <f>IF(AND(OR(Sel_Mode="All",Data!I1900=Sel_Mode),OR(Sel_Gender="All",D1900=Sel_Gender),OR(Sel_Category="All",Data!B1900=Sel_Category),OR(Sel_Month="All",C1900=Sel_Month),OR(Sel_County="All",Data!L1900=Sel_County)),1,0)</f>
        <v>1</v>
      </c>
    </row>
    <row r="1901" spans="1:9" x14ac:dyDescent="0.25">
      <c r="A1901" s="52" t="str">
        <f>Data!A1901</f>
        <v>TX501900</v>
      </c>
      <c r="B1901" s="52">
        <f>MONTH(Data!F1901)</f>
        <v>3</v>
      </c>
      <c r="C1901" s="52" t="str">
        <f>TEXT(Data!F1901,"mmm")</f>
        <v>Mar</v>
      </c>
      <c r="D1901" s="52" t="str">
        <f>Data!O1901</f>
        <v>Female</v>
      </c>
      <c r="E1901" s="52">
        <f>Data!G1901-Data!F1901</f>
        <v>1</v>
      </c>
      <c r="F1901" s="52">
        <f>IF(Data!J1901&lt;=5,Data!J1901,IF(Data!J1901&lt;=10,"6 TO 10","More than 10"))</f>
        <v>4</v>
      </c>
      <c r="G1901" s="52">
        <f t="shared" si="29"/>
        <v>1</v>
      </c>
      <c r="H1901" s="52">
        <f>ROUND(Data!C1901*Data!D1901-Data!E1901,2)</f>
        <v>0</v>
      </c>
      <c r="I1901" s="52">
        <f>IF(AND(OR(Sel_Mode="All",Data!I1901=Sel_Mode),OR(Sel_Gender="All",D1901=Sel_Gender),OR(Sel_Category="All",Data!B1901=Sel_Category),OR(Sel_Month="All",C1901=Sel_Month),OR(Sel_County="All",Data!L1901=Sel_County)),1,0)</f>
        <v>1</v>
      </c>
    </row>
    <row r="1902" spans="1:9" x14ac:dyDescent="0.25">
      <c r="A1902" s="52" t="str">
        <f>Data!A1902</f>
        <v>TX501901</v>
      </c>
      <c r="B1902" s="52">
        <f>MONTH(Data!F1902)</f>
        <v>3</v>
      </c>
      <c r="C1902" s="52" t="str">
        <f>TEXT(Data!F1902,"mmm")</f>
        <v>Mar</v>
      </c>
      <c r="D1902" s="52" t="str">
        <f>Data!O1902</f>
        <v>Female</v>
      </c>
      <c r="E1902" s="52">
        <f>Data!G1902-Data!F1902</f>
        <v>0</v>
      </c>
      <c r="F1902" s="52">
        <f>IF(Data!J1902&lt;=5,Data!J1902,IF(Data!J1902&lt;=10,"6 TO 10","More than 10"))</f>
        <v>5</v>
      </c>
      <c r="G1902" s="52">
        <f t="shared" si="29"/>
        <v>0</v>
      </c>
      <c r="H1902" s="52">
        <f>ROUND(Data!C1902*Data!D1902-Data!E1902,2)</f>
        <v>0</v>
      </c>
      <c r="I1902" s="52">
        <f>IF(AND(OR(Sel_Mode="All",Data!I1902=Sel_Mode),OR(Sel_Gender="All",D1902=Sel_Gender),OR(Sel_Category="All",Data!B1902=Sel_Category),OR(Sel_Month="All",C1902=Sel_Month),OR(Sel_County="All",Data!L1902=Sel_County)),1,0)</f>
        <v>1</v>
      </c>
    </row>
    <row r="1903" spans="1:9" x14ac:dyDescent="0.25">
      <c r="A1903" s="52" t="str">
        <f>Data!A1903</f>
        <v>TX501902</v>
      </c>
      <c r="B1903" s="52">
        <f>MONTH(Data!F1903)</f>
        <v>3</v>
      </c>
      <c r="C1903" s="52" t="str">
        <f>TEXT(Data!F1903,"mmm")</f>
        <v>Mar</v>
      </c>
      <c r="D1903" s="52" t="str">
        <f>Data!O1903</f>
        <v>Female</v>
      </c>
      <c r="E1903" s="52">
        <f>Data!G1903-Data!F1903</f>
        <v>1</v>
      </c>
      <c r="F1903" s="52">
        <f>IF(Data!J1903&lt;=5,Data!J1903,IF(Data!J1903&lt;=10,"6 TO 10","More than 10"))</f>
        <v>3</v>
      </c>
      <c r="G1903" s="52">
        <f t="shared" si="29"/>
        <v>1</v>
      </c>
      <c r="H1903" s="52">
        <f>ROUND(Data!C1903*Data!D1903-Data!E1903,2)</f>
        <v>0</v>
      </c>
      <c r="I1903" s="52">
        <f>IF(AND(OR(Sel_Mode="All",Data!I1903=Sel_Mode),OR(Sel_Gender="All",D1903=Sel_Gender),OR(Sel_Category="All",Data!B1903=Sel_Category),OR(Sel_Month="All",C1903=Sel_Month),OR(Sel_County="All",Data!L1903=Sel_County)),1,0)</f>
        <v>1</v>
      </c>
    </row>
    <row r="1904" spans="1:9" x14ac:dyDescent="0.25">
      <c r="A1904" s="52" t="str">
        <f>Data!A1904</f>
        <v>TX501903</v>
      </c>
      <c r="B1904" s="52">
        <f>MONTH(Data!F1904)</f>
        <v>3</v>
      </c>
      <c r="C1904" s="52" t="str">
        <f>TEXT(Data!F1904,"mmm")</f>
        <v>Mar</v>
      </c>
      <c r="D1904" s="52" t="str">
        <f>Data!O1904</f>
        <v>Male</v>
      </c>
      <c r="E1904" s="52">
        <f>Data!G1904-Data!F1904</f>
        <v>1</v>
      </c>
      <c r="F1904" s="52">
        <f>IF(Data!J1904&lt;=5,Data!J1904,IF(Data!J1904&lt;=10,"6 TO 10","More than 10"))</f>
        <v>2</v>
      </c>
      <c r="G1904" s="52">
        <f t="shared" si="29"/>
        <v>1</v>
      </c>
      <c r="H1904" s="52">
        <f>ROUND(Data!C1904*Data!D1904-Data!E1904,2)</f>
        <v>0</v>
      </c>
      <c r="I1904" s="52">
        <f>IF(AND(OR(Sel_Mode="All",Data!I1904=Sel_Mode),OR(Sel_Gender="All",D1904=Sel_Gender),OR(Sel_Category="All",Data!B1904=Sel_Category),OR(Sel_Month="All",C1904=Sel_Month),OR(Sel_County="All",Data!L1904=Sel_County)),1,0)</f>
        <v>1</v>
      </c>
    </row>
    <row r="1905" spans="1:9" x14ac:dyDescent="0.25">
      <c r="A1905" s="52" t="str">
        <f>Data!A1905</f>
        <v>TX501904</v>
      </c>
      <c r="B1905" s="52">
        <f>MONTH(Data!F1905)</f>
        <v>3</v>
      </c>
      <c r="C1905" s="52" t="str">
        <f>TEXT(Data!F1905,"mmm")</f>
        <v>Mar</v>
      </c>
      <c r="D1905" s="52" t="str">
        <f>Data!O1905</f>
        <v>Female</v>
      </c>
      <c r="E1905" s="52">
        <f>Data!G1905-Data!F1905</f>
        <v>1</v>
      </c>
      <c r="F1905" s="52">
        <f>IF(Data!J1905&lt;=5,Data!J1905,IF(Data!J1905&lt;=10,"6 TO 10","More than 10"))</f>
        <v>4</v>
      </c>
      <c r="G1905" s="52">
        <f t="shared" si="29"/>
        <v>1</v>
      </c>
      <c r="H1905" s="52">
        <f>ROUND(Data!C1905*Data!D1905-Data!E1905,2)</f>
        <v>0</v>
      </c>
      <c r="I1905" s="52">
        <f>IF(AND(OR(Sel_Mode="All",Data!I1905=Sel_Mode),OR(Sel_Gender="All",D1905=Sel_Gender),OR(Sel_Category="All",Data!B1905=Sel_Category),OR(Sel_Month="All",C1905=Sel_Month),OR(Sel_County="All",Data!L1905=Sel_County)),1,0)</f>
        <v>1</v>
      </c>
    </row>
    <row r="1906" spans="1:9" x14ac:dyDescent="0.25">
      <c r="A1906" s="52" t="str">
        <f>Data!A1906</f>
        <v>TX501905</v>
      </c>
      <c r="B1906" s="52">
        <f>MONTH(Data!F1906)</f>
        <v>3</v>
      </c>
      <c r="C1906" s="52" t="str">
        <f>TEXT(Data!F1906,"mmm")</f>
        <v>Mar</v>
      </c>
      <c r="D1906" s="52" t="str">
        <f>Data!O1906</f>
        <v>Female</v>
      </c>
      <c r="E1906" s="52">
        <f>Data!G1906-Data!F1906</f>
        <v>1</v>
      </c>
      <c r="F1906" s="52">
        <f>IF(Data!J1906&lt;=5,Data!J1906,IF(Data!J1906&lt;=10,"6 TO 10","More than 10"))</f>
        <v>4</v>
      </c>
      <c r="G1906" s="52">
        <f t="shared" si="29"/>
        <v>1</v>
      </c>
      <c r="H1906" s="52">
        <f>ROUND(Data!C1906*Data!D1906-Data!E1906,2)</f>
        <v>0</v>
      </c>
      <c r="I1906" s="52">
        <f>IF(AND(OR(Sel_Mode="All",Data!I1906=Sel_Mode),OR(Sel_Gender="All",D1906=Sel_Gender),OR(Sel_Category="All",Data!B1906=Sel_Category),OR(Sel_Month="All",C1906=Sel_Month),OR(Sel_County="All",Data!L1906=Sel_County)),1,0)</f>
        <v>1</v>
      </c>
    </row>
    <row r="1907" spans="1:9" x14ac:dyDescent="0.25">
      <c r="A1907" s="52" t="str">
        <f>Data!A1907</f>
        <v>TX501906</v>
      </c>
      <c r="B1907" s="52">
        <f>MONTH(Data!F1907)</f>
        <v>3</v>
      </c>
      <c r="C1907" s="52" t="str">
        <f>TEXT(Data!F1907,"mmm")</f>
        <v>Mar</v>
      </c>
      <c r="D1907" s="52" t="str">
        <f>Data!O1907</f>
        <v>Male</v>
      </c>
      <c r="E1907" s="52">
        <f>Data!G1907-Data!F1907</f>
        <v>3</v>
      </c>
      <c r="F1907" s="52">
        <f>IF(Data!J1907&lt;=5,Data!J1907,IF(Data!J1907&lt;=10,"6 TO 10","More than 10"))</f>
        <v>5</v>
      </c>
      <c r="G1907" s="52">
        <f t="shared" si="29"/>
        <v>3</v>
      </c>
      <c r="H1907" s="52">
        <f>ROUND(Data!C1907*Data!D1907-Data!E1907,2)</f>
        <v>0</v>
      </c>
      <c r="I1907" s="52">
        <f>IF(AND(OR(Sel_Mode="All",Data!I1907=Sel_Mode),OR(Sel_Gender="All",D1907=Sel_Gender),OR(Sel_Category="All",Data!B1907=Sel_Category),OR(Sel_Month="All",C1907=Sel_Month),OR(Sel_County="All",Data!L1907=Sel_County)),1,0)</f>
        <v>1</v>
      </c>
    </row>
    <row r="1908" spans="1:9" x14ac:dyDescent="0.25">
      <c r="A1908" s="52" t="str">
        <f>Data!A1908</f>
        <v>TX501907</v>
      </c>
      <c r="B1908" s="52">
        <f>MONTH(Data!F1908)</f>
        <v>3</v>
      </c>
      <c r="C1908" s="52" t="str">
        <f>TEXT(Data!F1908,"mmm")</f>
        <v>Mar</v>
      </c>
      <c r="D1908" s="52" t="str">
        <f>Data!O1908</f>
        <v>Male</v>
      </c>
      <c r="E1908" s="52">
        <f>Data!G1908-Data!F1908</f>
        <v>2</v>
      </c>
      <c r="F1908" s="52">
        <f>IF(Data!J1908&lt;=5,Data!J1908,IF(Data!J1908&lt;=10,"6 TO 10","More than 10"))</f>
        <v>4</v>
      </c>
      <c r="G1908" s="52">
        <f t="shared" si="29"/>
        <v>2</v>
      </c>
      <c r="H1908" s="52">
        <f>ROUND(Data!C1908*Data!D1908-Data!E1908,2)</f>
        <v>0</v>
      </c>
      <c r="I1908" s="52">
        <f>IF(AND(OR(Sel_Mode="All",Data!I1908=Sel_Mode),OR(Sel_Gender="All",D1908=Sel_Gender),OR(Sel_Category="All",Data!B1908=Sel_Category),OR(Sel_Month="All",C1908=Sel_Month),OR(Sel_County="All",Data!L1908=Sel_County)),1,0)</f>
        <v>1</v>
      </c>
    </row>
    <row r="1909" spans="1:9" x14ac:dyDescent="0.25">
      <c r="A1909" s="52" t="str">
        <f>Data!A1909</f>
        <v>TX501908</v>
      </c>
      <c r="B1909" s="52">
        <f>MONTH(Data!F1909)</f>
        <v>3</v>
      </c>
      <c r="C1909" s="52" t="str">
        <f>TEXT(Data!F1909,"mmm")</f>
        <v>Mar</v>
      </c>
      <c r="D1909" s="52" t="str">
        <f>Data!O1909</f>
        <v>Female</v>
      </c>
      <c r="E1909" s="52">
        <f>Data!G1909-Data!F1909</f>
        <v>1</v>
      </c>
      <c r="F1909" s="52">
        <f>IF(Data!J1909&lt;=5,Data!J1909,IF(Data!J1909&lt;=10,"6 TO 10","More than 10"))</f>
        <v>5</v>
      </c>
      <c r="G1909" s="52">
        <f t="shared" si="29"/>
        <v>1</v>
      </c>
      <c r="H1909" s="52">
        <f>ROUND(Data!C1909*Data!D1909-Data!E1909,2)</f>
        <v>0</v>
      </c>
      <c r="I1909" s="52">
        <f>IF(AND(OR(Sel_Mode="All",Data!I1909=Sel_Mode),OR(Sel_Gender="All",D1909=Sel_Gender),OR(Sel_Category="All",Data!B1909=Sel_Category),OR(Sel_Month="All",C1909=Sel_Month),OR(Sel_County="All",Data!L1909=Sel_County)),1,0)</f>
        <v>1</v>
      </c>
    </row>
    <row r="1910" spans="1:9" x14ac:dyDescent="0.25">
      <c r="A1910" s="52" t="str">
        <f>Data!A1910</f>
        <v>TX501909</v>
      </c>
      <c r="B1910" s="52">
        <f>MONTH(Data!F1910)</f>
        <v>3</v>
      </c>
      <c r="C1910" s="52" t="str">
        <f>TEXT(Data!F1910,"mmm")</f>
        <v>Mar</v>
      </c>
      <c r="D1910" s="52" t="str">
        <f>Data!O1910</f>
        <v>Unknown</v>
      </c>
      <c r="E1910" s="52">
        <f>Data!G1910-Data!F1910</f>
        <v>3</v>
      </c>
      <c r="F1910" s="52">
        <f>IF(Data!J1910&lt;=5,Data!J1910,IF(Data!J1910&lt;=10,"6 TO 10","More than 10"))</f>
        <v>4</v>
      </c>
      <c r="G1910" s="52">
        <f t="shared" si="29"/>
        <v>3</v>
      </c>
      <c r="H1910" s="52">
        <f>ROUND(Data!C1910*Data!D1910-Data!E1910,2)</f>
        <v>0</v>
      </c>
      <c r="I1910" s="52">
        <f>IF(AND(OR(Sel_Mode="All",Data!I1910=Sel_Mode),OR(Sel_Gender="All",D1910=Sel_Gender),OR(Sel_Category="All",Data!B1910=Sel_Category),OR(Sel_Month="All",C1910=Sel_Month),OR(Sel_County="All",Data!L1910=Sel_County)),1,0)</f>
        <v>1</v>
      </c>
    </row>
    <row r="1911" spans="1:9" x14ac:dyDescent="0.25">
      <c r="A1911" s="52" t="str">
        <f>Data!A1911</f>
        <v>TX501910</v>
      </c>
      <c r="B1911" s="52">
        <f>MONTH(Data!F1911)</f>
        <v>3</v>
      </c>
      <c r="C1911" s="52" t="str">
        <f>TEXT(Data!F1911,"mmm")</f>
        <v>Mar</v>
      </c>
      <c r="D1911" s="52" t="str">
        <f>Data!O1911</f>
        <v>Female</v>
      </c>
      <c r="E1911" s="52">
        <f>Data!G1911-Data!F1911</f>
        <v>1</v>
      </c>
      <c r="F1911" s="52">
        <f>IF(Data!J1911&lt;=5,Data!J1911,IF(Data!J1911&lt;=10,"6 TO 10","More than 10"))</f>
        <v>4</v>
      </c>
      <c r="G1911" s="52">
        <f t="shared" si="29"/>
        <v>1</v>
      </c>
      <c r="H1911" s="52">
        <f>ROUND(Data!C1911*Data!D1911-Data!E1911,2)</f>
        <v>0</v>
      </c>
      <c r="I1911" s="52">
        <f>IF(AND(OR(Sel_Mode="All",Data!I1911=Sel_Mode),OR(Sel_Gender="All",D1911=Sel_Gender),OR(Sel_Category="All",Data!B1911=Sel_Category),OR(Sel_Month="All",C1911=Sel_Month),OR(Sel_County="All",Data!L1911=Sel_County)),1,0)</f>
        <v>1</v>
      </c>
    </row>
    <row r="1912" spans="1:9" x14ac:dyDescent="0.25">
      <c r="A1912" s="52" t="str">
        <f>Data!A1912</f>
        <v>TX501911</v>
      </c>
      <c r="B1912" s="52">
        <f>MONTH(Data!F1912)</f>
        <v>3</v>
      </c>
      <c r="C1912" s="52" t="str">
        <f>TEXT(Data!F1912,"mmm")</f>
        <v>Mar</v>
      </c>
      <c r="D1912" s="52" t="str">
        <f>Data!O1912</f>
        <v>Female</v>
      </c>
      <c r="E1912" s="52">
        <f>Data!G1912-Data!F1912</f>
        <v>1</v>
      </c>
      <c r="F1912" s="52">
        <f>IF(Data!J1912&lt;=5,Data!J1912,IF(Data!J1912&lt;=10,"6 TO 10","More than 10"))</f>
        <v>2</v>
      </c>
      <c r="G1912" s="52">
        <f t="shared" si="29"/>
        <v>1</v>
      </c>
      <c r="H1912" s="52">
        <f>ROUND(Data!C1912*Data!D1912-Data!E1912,2)</f>
        <v>0</v>
      </c>
      <c r="I1912" s="52">
        <f>IF(AND(OR(Sel_Mode="All",Data!I1912=Sel_Mode),OR(Sel_Gender="All",D1912=Sel_Gender),OR(Sel_Category="All",Data!B1912=Sel_Category),OR(Sel_Month="All",C1912=Sel_Month),OR(Sel_County="All",Data!L1912=Sel_County)),1,0)</f>
        <v>1</v>
      </c>
    </row>
    <row r="1913" spans="1:9" x14ac:dyDescent="0.25">
      <c r="A1913" s="52" t="str">
        <f>Data!A1913</f>
        <v>TX501912</v>
      </c>
      <c r="B1913" s="52">
        <f>MONTH(Data!F1913)</f>
        <v>3</v>
      </c>
      <c r="C1913" s="52" t="str">
        <f>TEXT(Data!F1913,"mmm")</f>
        <v>Mar</v>
      </c>
      <c r="D1913" s="52" t="str">
        <f>Data!O1913</f>
        <v>Other</v>
      </c>
      <c r="E1913" s="52">
        <f>Data!G1913-Data!F1913</f>
        <v>1</v>
      </c>
      <c r="F1913" s="52">
        <f>IF(Data!J1913&lt;=5,Data!J1913,IF(Data!J1913&lt;=10,"6 TO 10","More than 10"))</f>
        <v>4</v>
      </c>
      <c r="G1913" s="52">
        <f t="shared" si="29"/>
        <v>1</v>
      </c>
      <c r="H1913" s="52">
        <f>ROUND(Data!C1913*Data!D1913-Data!E1913,2)</f>
        <v>0</v>
      </c>
      <c r="I1913" s="52">
        <f>IF(AND(OR(Sel_Mode="All",Data!I1913=Sel_Mode),OR(Sel_Gender="All",D1913=Sel_Gender),OR(Sel_Category="All",Data!B1913=Sel_Category),OR(Sel_Month="All",C1913=Sel_Month),OR(Sel_County="All",Data!L1913=Sel_County)),1,0)</f>
        <v>1</v>
      </c>
    </row>
    <row r="1914" spans="1:9" x14ac:dyDescent="0.25">
      <c r="A1914" s="52" t="str">
        <f>Data!A1914</f>
        <v>TX501913</v>
      </c>
      <c r="B1914" s="52">
        <f>MONTH(Data!F1914)</f>
        <v>3</v>
      </c>
      <c r="C1914" s="52" t="str">
        <f>TEXT(Data!F1914,"mmm")</f>
        <v>Mar</v>
      </c>
      <c r="D1914" s="52" t="str">
        <f>Data!O1914</f>
        <v>Male</v>
      </c>
      <c r="E1914" s="52">
        <f>Data!G1914-Data!F1914</f>
        <v>5</v>
      </c>
      <c r="F1914" s="52">
        <f>IF(Data!J1914&lt;=5,Data!J1914,IF(Data!J1914&lt;=10,"6 TO 10","More than 10"))</f>
        <v>5</v>
      </c>
      <c r="G1914" s="52">
        <f t="shared" si="29"/>
        <v>5</v>
      </c>
      <c r="H1914" s="52">
        <f>ROUND(Data!C1914*Data!D1914-Data!E1914,2)</f>
        <v>0</v>
      </c>
      <c r="I1914" s="52">
        <f>IF(AND(OR(Sel_Mode="All",Data!I1914=Sel_Mode),OR(Sel_Gender="All",D1914=Sel_Gender),OR(Sel_Category="All",Data!B1914=Sel_Category),OR(Sel_Month="All",C1914=Sel_Month),OR(Sel_County="All",Data!L1914=Sel_County)),1,0)</f>
        <v>1</v>
      </c>
    </row>
    <row r="1915" spans="1:9" x14ac:dyDescent="0.25">
      <c r="A1915" s="52" t="str">
        <f>Data!A1915</f>
        <v>TX501914</v>
      </c>
      <c r="B1915" s="52">
        <f>MONTH(Data!F1915)</f>
        <v>3</v>
      </c>
      <c r="C1915" s="52" t="str">
        <f>TEXT(Data!F1915,"mmm")</f>
        <v>Mar</v>
      </c>
      <c r="D1915" s="52" t="str">
        <f>Data!O1915</f>
        <v>Female</v>
      </c>
      <c r="E1915" s="52">
        <f>Data!G1915-Data!F1915</f>
        <v>5</v>
      </c>
      <c r="F1915" s="52">
        <f>IF(Data!J1915&lt;=5,Data!J1915,IF(Data!J1915&lt;=10,"6 TO 10","More than 10"))</f>
        <v>4</v>
      </c>
      <c r="G1915" s="52">
        <f t="shared" si="29"/>
        <v>5</v>
      </c>
      <c r="H1915" s="52">
        <f>ROUND(Data!C1915*Data!D1915-Data!E1915,2)</f>
        <v>0</v>
      </c>
      <c r="I1915" s="52">
        <f>IF(AND(OR(Sel_Mode="All",Data!I1915=Sel_Mode),OR(Sel_Gender="All",D1915=Sel_Gender),OR(Sel_Category="All",Data!B1915=Sel_Category),OR(Sel_Month="All",C1915=Sel_Month),OR(Sel_County="All",Data!L1915=Sel_County)),1,0)</f>
        <v>1</v>
      </c>
    </row>
    <row r="1916" spans="1:9" x14ac:dyDescent="0.25">
      <c r="A1916" s="52" t="str">
        <f>Data!A1916</f>
        <v>TX501915</v>
      </c>
      <c r="B1916" s="52">
        <f>MONTH(Data!F1916)</f>
        <v>3</v>
      </c>
      <c r="C1916" s="52" t="str">
        <f>TEXT(Data!F1916,"mmm")</f>
        <v>Mar</v>
      </c>
      <c r="D1916" s="52" t="str">
        <f>Data!O1916</f>
        <v>Female</v>
      </c>
      <c r="E1916" s="52">
        <f>Data!G1916-Data!F1916</f>
        <v>2</v>
      </c>
      <c r="F1916" s="52">
        <f>IF(Data!J1916&lt;=5,Data!J1916,IF(Data!J1916&lt;=10,"6 TO 10","More than 10"))</f>
        <v>3</v>
      </c>
      <c r="G1916" s="52">
        <f t="shared" si="29"/>
        <v>2</v>
      </c>
      <c r="H1916" s="52">
        <f>ROUND(Data!C1916*Data!D1916-Data!E1916,2)</f>
        <v>0</v>
      </c>
      <c r="I1916" s="52">
        <f>IF(AND(OR(Sel_Mode="All",Data!I1916=Sel_Mode),OR(Sel_Gender="All",D1916=Sel_Gender),OR(Sel_Category="All",Data!B1916=Sel_Category),OR(Sel_Month="All",C1916=Sel_Month),OR(Sel_County="All",Data!L1916=Sel_County)),1,0)</f>
        <v>1</v>
      </c>
    </row>
    <row r="1917" spans="1:9" x14ac:dyDescent="0.25">
      <c r="A1917" s="52" t="str">
        <f>Data!A1917</f>
        <v>TX501916</v>
      </c>
      <c r="B1917" s="52">
        <f>MONTH(Data!F1917)</f>
        <v>3</v>
      </c>
      <c r="C1917" s="52" t="str">
        <f>TEXT(Data!F1917,"mmm")</f>
        <v>Mar</v>
      </c>
      <c r="D1917" s="52" t="str">
        <f>Data!O1917</f>
        <v>Female</v>
      </c>
      <c r="E1917" s="52">
        <f>Data!G1917-Data!F1917</f>
        <v>0</v>
      </c>
      <c r="F1917" s="52">
        <f>IF(Data!J1917&lt;=5,Data!J1917,IF(Data!J1917&lt;=10,"6 TO 10","More than 10"))</f>
        <v>4</v>
      </c>
      <c r="G1917" s="52">
        <f t="shared" si="29"/>
        <v>0</v>
      </c>
      <c r="H1917" s="52">
        <f>ROUND(Data!C1917*Data!D1917-Data!E1917,2)</f>
        <v>0</v>
      </c>
      <c r="I1917" s="52">
        <f>IF(AND(OR(Sel_Mode="All",Data!I1917=Sel_Mode),OR(Sel_Gender="All",D1917=Sel_Gender),OR(Sel_Category="All",Data!B1917=Sel_Category),OR(Sel_Month="All",C1917=Sel_Month),OR(Sel_County="All",Data!L1917=Sel_County)),1,0)</f>
        <v>1</v>
      </c>
    </row>
    <row r="1918" spans="1:9" x14ac:dyDescent="0.25">
      <c r="A1918" s="52" t="str">
        <f>Data!A1918</f>
        <v>TX501917</v>
      </c>
      <c r="B1918" s="52">
        <f>MONTH(Data!F1918)</f>
        <v>3</v>
      </c>
      <c r="C1918" s="52" t="str">
        <f>TEXT(Data!F1918,"mmm")</f>
        <v>Mar</v>
      </c>
      <c r="D1918" s="52" t="str">
        <f>Data!O1918</f>
        <v>Other</v>
      </c>
      <c r="E1918" s="52">
        <f>Data!G1918-Data!F1918</f>
        <v>2</v>
      </c>
      <c r="F1918" s="52">
        <f>IF(Data!J1918&lt;=5,Data!J1918,IF(Data!J1918&lt;=10,"6 TO 10","More than 10"))</f>
        <v>4</v>
      </c>
      <c r="G1918" s="52">
        <f t="shared" si="29"/>
        <v>2</v>
      </c>
      <c r="H1918" s="52">
        <f>ROUND(Data!C1918*Data!D1918-Data!E1918,2)</f>
        <v>0</v>
      </c>
      <c r="I1918" s="52">
        <f>IF(AND(OR(Sel_Mode="All",Data!I1918=Sel_Mode),OR(Sel_Gender="All",D1918=Sel_Gender),OR(Sel_Category="All",Data!B1918=Sel_Category),OR(Sel_Month="All",C1918=Sel_Month),OR(Sel_County="All",Data!L1918=Sel_County)),1,0)</f>
        <v>1</v>
      </c>
    </row>
    <row r="1919" spans="1:9" x14ac:dyDescent="0.25">
      <c r="A1919" s="52" t="str">
        <f>Data!A1919</f>
        <v>TX501918</v>
      </c>
      <c r="B1919" s="52">
        <f>MONTH(Data!F1919)</f>
        <v>3</v>
      </c>
      <c r="C1919" s="52" t="str">
        <f>TEXT(Data!F1919,"mmm")</f>
        <v>Mar</v>
      </c>
      <c r="D1919" s="52" t="str">
        <f>Data!O1919</f>
        <v>Female</v>
      </c>
      <c r="E1919" s="52">
        <f>Data!G1919-Data!F1919</f>
        <v>2</v>
      </c>
      <c r="F1919" s="52">
        <f>IF(Data!J1919&lt;=5,Data!J1919,IF(Data!J1919&lt;=10,"6 TO 10","More than 10"))</f>
        <v>5</v>
      </c>
      <c r="G1919" s="52">
        <f t="shared" si="29"/>
        <v>2</v>
      </c>
      <c r="H1919" s="52">
        <f>ROUND(Data!C1919*Data!D1919-Data!E1919,2)</f>
        <v>0</v>
      </c>
      <c r="I1919" s="52">
        <f>IF(AND(OR(Sel_Mode="All",Data!I1919=Sel_Mode),OR(Sel_Gender="All",D1919=Sel_Gender),OR(Sel_Category="All",Data!B1919=Sel_Category),OR(Sel_Month="All",C1919=Sel_Month),OR(Sel_County="All",Data!L1919=Sel_County)),1,0)</f>
        <v>1</v>
      </c>
    </row>
    <row r="1920" spans="1:9" x14ac:dyDescent="0.25">
      <c r="A1920" s="52" t="str">
        <f>Data!A1920</f>
        <v>TX501919</v>
      </c>
      <c r="B1920" s="52">
        <f>MONTH(Data!F1920)</f>
        <v>3</v>
      </c>
      <c r="C1920" s="52" t="str">
        <f>TEXT(Data!F1920,"mmm")</f>
        <v>Mar</v>
      </c>
      <c r="D1920" s="52" t="str">
        <f>Data!O1920</f>
        <v>Female</v>
      </c>
      <c r="E1920" s="52">
        <f>Data!G1920-Data!F1920</f>
        <v>3</v>
      </c>
      <c r="F1920" s="52">
        <f>IF(Data!J1920&lt;=5,Data!J1920,IF(Data!J1920&lt;=10,"6 TO 10","More than 10"))</f>
        <v>3</v>
      </c>
      <c r="G1920" s="52">
        <f t="shared" si="29"/>
        <v>3</v>
      </c>
      <c r="H1920" s="52">
        <f>ROUND(Data!C1920*Data!D1920-Data!E1920,2)</f>
        <v>0</v>
      </c>
      <c r="I1920" s="52">
        <f>IF(AND(OR(Sel_Mode="All",Data!I1920=Sel_Mode),OR(Sel_Gender="All",D1920=Sel_Gender),OR(Sel_Category="All",Data!B1920=Sel_Category),OR(Sel_Month="All",C1920=Sel_Month),OR(Sel_County="All",Data!L1920=Sel_County)),1,0)</f>
        <v>1</v>
      </c>
    </row>
    <row r="1921" spans="1:9" x14ac:dyDescent="0.25">
      <c r="A1921" s="52" t="str">
        <f>Data!A1921</f>
        <v>TX501920</v>
      </c>
      <c r="B1921" s="52">
        <f>MONTH(Data!F1921)</f>
        <v>3</v>
      </c>
      <c r="C1921" s="52" t="str">
        <f>TEXT(Data!F1921,"mmm")</f>
        <v>Mar</v>
      </c>
      <c r="D1921" s="52" t="str">
        <f>Data!O1921</f>
        <v>Male</v>
      </c>
      <c r="E1921" s="52">
        <f>Data!G1921-Data!F1921</f>
        <v>1</v>
      </c>
      <c r="F1921" s="52">
        <f>IF(Data!J1921&lt;=5,Data!J1921,IF(Data!J1921&lt;=10,"6 TO 10","More than 10"))</f>
        <v>3</v>
      </c>
      <c r="G1921" s="52">
        <f t="shared" si="29"/>
        <v>1</v>
      </c>
      <c r="H1921" s="52">
        <f>ROUND(Data!C1921*Data!D1921-Data!E1921,2)</f>
        <v>0</v>
      </c>
      <c r="I1921" s="52">
        <f>IF(AND(OR(Sel_Mode="All",Data!I1921=Sel_Mode),OR(Sel_Gender="All",D1921=Sel_Gender),OR(Sel_Category="All",Data!B1921=Sel_Category),OR(Sel_Month="All",C1921=Sel_Month),OR(Sel_County="All",Data!L1921=Sel_County)),1,0)</f>
        <v>1</v>
      </c>
    </row>
    <row r="1922" spans="1:9" x14ac:dyDescent="0.25">
      <c r="A1922" s="52" t="str">
        <f>Data!A1922</f>
        <v>TX501921</v>
      </c>
      <c r="B1922" s="52">
        <f>MONTH(Data!F1922)</f>
        <v>3</v>
      </c>
      <c r="C1922" s="52" t="str">
        <f>TEXT(Data!F1922,"mmm")</f>
        <v>Mar</v>
      </c>
      <c r="D1922" s="52" t="str">
        <f>Data!O1922</f>
        <v>Male</v>
      </c>
      <c r="E1922" s="52">
        <f>Data!G1922-Data!F1922</f>
        <v>1</v>
      </c>
      <c r="F1922" s="52">
        <f>IF(Data!J1922&lt;=5,Data!J1922,IF(Data!J1922&lt;=10,"6 TO 10","More than 10"))</f>
        <v>3</v>
      </c>
      <c r="G1922" s="52">
        <f t="shared" ref="G1922:G1985" si="30">IF(E1922&gt;=8,"8+",E1922)</f>
        <v>1</v>
      </c>
      <c r="H1922" s="52">
        <f>ROUND(Data!C1922*Data!D1922-Data!E1922,2)</f>
        <v>0</v>
      </c>
      <c r="I1922" s="52">
        <f>IF(AND(OR(Sel_Mode="All",Data!I1922=Sel_Mode),OR(Sel_Gender="All",D1922=Sel_Gender),OR(Sel_Category="All",Data!B1922=Sel_Category),OR(Sel_Month="All",C1922=Sel_Month),OR(Sel_County="All",Data!L1922=Sel_County)),1,0)</f>
        <v>1</v>
      </c>
    </row>
    <row r="1923" spans="1:9" x14ac:dyDescent="0.25">
      <c r="A1923" s="52" t="str">
        <f>Data!A1923</f>
        <v>TX501922</v>
      </c>
      <c r="B1923" s="52">
        <f>MONTH(Data!F1923)</f>
        <v>3</v>
      </c>
      <c r="C1923" s="52" t="str">
        <f>TEXT(Data!F1923,"mmm")</f>
        <v>Mar</v>
      </c>
      <c r="D1923" s="52" t="str">
        <f>Data!O1923</f>
        <v>Male</v>
      </c>
      <c r="E1923" s="52">
        <f>Data!G1923-Data!F1923</f>
        <v>2</v>
      </c>
      <c r="F1923" s="52">
        <f>IF(Data!J1923&lt;=5,Data!J1923,IF(Data!J1923&lt;=10,"6 TO 10","More than 10"))</f>
        <v>3</v>
      </c>
      <c r="G1923" s="52">
        <f t="shared" si="30"/>
        <v>2</v>
      </c>
      <c r="H1923" s="52">
        <f>ROUND(Data!C1923*Data!D1923-Data!E1923,2)</f>
        <v>0</v>
      </c>
      <c r="I1923" s="52">
        <f>IF(AND(OR(Sel_Mode="All",Data!I1923=Sel_Mode),OR(Sel_Gender="All",D1923=Sel_Gender),OR(Sel_Category="All",Data!B1923=Sel_Category),OR(Sel_Month="All",C1923=Sel_Month),OR(Sel_County="All",Data!L1923=Sel_County)),1,0)</f>
        <v>1</v>
      </c>
    </row>
    <row r="1924" spans="1:9" x14ac:dyDescent="0.25">
      <c r="A1924" s="52" t="str">
        <f>Data!A1924</f>
        <v>TX501923</v>
      </c>
      <c r="B1924" s="52">
        <f>MONTH(Data!F1924)</f>
        <v>3</v>
      </c>
      <c r="C1924" s="52" t="str">
        <f>TEXT(Data!F1924,"mmm")</f>
        <v>Mar</v>
      </c>
      <c r="D1924" s="52" t="str">
        <f>Data!O1924</f>
        <v>Male</v>
      </c>
      <c r="E1924" s="52">
        <f>Data!G1924-Data!F1924</f>
        <v>1</v>
      </c>
      <c r="F1924" s="52">
        <f>IF(Data!J1924&lt;=5,Data!J1924,IF(Data!J1924&lt;=10,"6 TO 10","More than 10"))</f>
        <v>5</v>
      </c>
      <c r="G1924" s="52">
        <f t="shared" si="30"/>
        <v>1</v>
      </c>
      <c r="H1924" s="52">
        <f>ROUND(Data!C1924*Data!D1924-Data!E1924,2)</f>
        <v>0</v>
      </c>
      <c r="I1924" s="52">
        <f>IF(AND(OR(Sel_Mode="All",Data!I1924=Sel_Mode),OR(Sel_Gender="All",D1924=Sel_Gender),OR(Sel_Category="All",Data!B1924=Sel_Category),OR(Sel_Month="All",C1924=Sel_Month),OR(Sel_County="All",Data!L1924=Sel_County)),1,0)</f>
        <v>1</v>
      </c>
    </row>
    <row r="1925" spans="1:9" x14ac:dyDescent="0.25">
      <c r="A1925" s="52" t="str">
        <f>Data!A1925</f>
        <v>TX501924</v>
      </c>
      <c r="B1925" s="52">
        <f>MONTH(Data!F1925)</f>
        <v>3</v>
      </c>
      <c r="C1925" s="52" t="str">
        <f>TEXT(Data!F1925,"mmm")</f>
        <v>Mar</v>
      </c>
      <c r="D1925" s="52" t="str">
        <f>Data!O1925</f>
        <v>Female</v>
      </c>
      <c r="E1925" s="52">
        <f>Data!G1925-Data!F1925</f>
        <v>2</v>
      </c>
      <c r="F1925" s="52">
        <f>IF(Data!J1925&lt;=5,Data!J1925,IF(Data!J1925&lt;=10,"6 TO 10","More than 10"))</f>
        <v>4</v>
      </c>
      <c r="G1925" s="52">
        <f t="shared" si="30"/>
        <v>2</v>
      </c>
      <c r="H1925" s="52">
        <f>ROUND(Data!C1925*Data!D1925-Data!E1925,2)</f>
        <v>0</v>
      </c>
      <c r="I1925" s="52">
        <f>IF(AND(OR(Sel_Mode="All",Data!I1925=Sel_Mode),OR(Sel_Gender="All",D1925=Sel_Gender),OR(Sel_Category="All",Data!B1925=Sel_Category),OR(Sel_Month="All",C1925=Sel_Month),OR(Sel_County="All",Data!L1925=Sel_County)),1,0)</f>
        <v>1</v>
      </c>
    </row>
    <row r="1926" spans="1:9" x14ac:dyDescent="0.25">
      <c r="A1926" s="52" t="str">
        <f>Data!A1926</f>
        <v>TX501925</v>
      </c>
      <c r="B1926" s="52">
        <f>MONTH(Data!F1926)</f>
        <v>3</v>
      </c>
      <c r="C1926" s="52" t="str">
        <f>TEXT(Data!F1926,"mmm")</f>
        <v>Mar</v>
      </c>
      <c r="D1926" s="52" t="str">
        <f>Data!O1926</f>
        <v>Female</v>
      </c>
      <c r="E1926" s="52">
        <f>Data!G1926-Data!F1926</f>
        <v>3</v>
      </c>
      <c r="F1926" s="52">
        <f>IF(Data!J1926&lt;=5,Data!J1926,IF(Data!J1926&lt;=10,"6 TO 10","More than 10"))</f>
        <v>4</v>
      </c>
      <c r="G1926" s="52">
        <f t="shared" si="30"/>
        <v>3</v>
      </c>
      <c r="H1926" s="52">
        <f>ROUND(Data!C1926*Data!D1926-Data!E1926,2)</f>
        <v>0</v>
      </c>
      <c r="I1926" s="52">
        <f>IF(AND(OR(Sel_Mode="All",Data!I1926=Sel_Mode),OR(Sel_Gender="All",D1926=Sel_Gender),OR(Sel_Category="All",Data!B1926=Sel_Category),OR(Sel_Month="All",C1926=Sel_Month),OR(Sel_County="All",Data!L1926=Sel_County)),1,0)</f>
        <v>1</v>
      </c>
    </row>
    <row r="1927" spans="1:9" x14ac:dyDescent="0.25">
      <c r="A1927" s="52" t="str">
        <f>Data!A1927</f>
        <v>TX501926</v>
      </c>
      <c r="B1927" s="52">
        <f>MONTH(Data!F1927)</f>
        <v>3</v>
      </c>
      <c r="C1927" s="52" t="str">
        <f>TEXT(Data!F1927,"mmm")</f>
        <v>Mar</v>
      </c>
      <c r="D1927" s="52" t="str">
        <f>Data!O1927</f>
        <v>Female</v>
      </c>
      <c r="E1927" s="52">
        <f>Data!G1927-Data!F1927</f>
        <v>0</v>
      </c>
      <c r="F1927" s="52">
        <f>IF(Data!J1927&lt;=5,Data!J1927,IF(Data!J1927&lt;=10,"6 TO 10","More than 10"))</f>
        <v>5</v>
      </c>
      <c r="G1927" s="52">
        <f t="shared" si="30"/>
        <v>0</v>
      </c>
      <c r="H1927" s="52">
        <f>ROUND(Data!C1927*Data!D1927-Data!E1927,2)</f>
        <v>0</v>
      </c>
      <c r="I1927" s="52">
        <f>IF(AND(OR(Sel_Mode="All",Data!I1927=Sel_Mode),OR(Sel_Gender="All",D1927=Sel_Gender),OR(Sel_Category="All",Data!B1927=Sel_Category),OR(Sel_Month="All",C1927=Sel_Month),OR(Sel_County="All",Data!L1927=Sel_County)),1,0)</f>
        <v>1</v>
      </c>
    </row>
    <row r="1928" spans="1:9" x14ac:dyDescent="0.25">
      <c r="A1928" s="52" t="str">
        <f>Data!A1928</f>
        <v>TX501927</v>
      </c>
      <c r="B1928" s="52">
        <f>MONTH(Data!F1928)</f>
        <v>3</v>
      </c>
      <c r="C1928" s="52" t="str">
        <f>TEXT(Data!F1928,"mmm")</f>
        <v>Mar</v>
      </c>
      <c r="D1928" s="52" t="str">
        <f>Data!O1928</f>
        <v>Unknown</v>
      </c>
      <c r="E1928" s="52">
        <f>Data!G1928-Data!F1928</f>
        <v>0</v>
      </c>
      <c r="F1928" s="52">
        <f>IF(Data!J1928&lt;=5,Data!J1928,IF(Data!J1928&lt;=10,"6 TO 10","More than 10"))</f>
        <v>5</v>
      </c>
      <c r="G1928" s="52">
        <f t="shared" si="30"/>
        <v>0</v>
      </c>
      <c r="H1928" s="52">
        <f>ROUND(Data!C1928*Data!D1928-Data!E1928,2)</f>
        <v>0</v>
      </c>
      <c r="I1928" s="52">
        <f>IF(AND(OR(Sel_Mode="All",Data!I1928=Sel_Mode),OR(Sel_Gender="All",D1928=Sel_Gender),OR(Sel_Category="All",Data!B1928=Sel_Category),OR(Sel_Month="All",C1928=Sel_Month),OR(Sel_County="All",Data!L1928=Sel_County)),1,0)</f>
        <v>1</v>
      </c>
    </row>
    <row r="1929" spans="1:9" x14ac:dyDescent="0.25">
      <c r="A1929" s="52" t="str">
        <f>Data!A1929</f>
        <v>TX501928</v>
      </c>
      <c r="B1929" s="52">
        <f>MONTH(Data!F1929)</f>
        <v>3</v>
      </c>
      <c r="C1929" s="52" t="str">
        <f>TEXT(Data!F1929,"mmm")</f>
        <v>Mar</v>
      </c>
      <c r="D1929" s="52" t="str">
        <f>Data!O1929</f>
        <v>Other</v>
      </c>
      <c r="E1929" s="52">
        <f>Data!G1929-Data!F1929</f>
        <v>2</v>
      </c>
      <c r="F1929" s="52">
        <f>IF(Data!J1929&lt;=5,Data!J1929,IF(Data!J1929&lt;=10,"6 TO 10","More than 10"))</f>
        <v>4</v>
      </c>
      <c r="G1929" s="52">
        <f t="shared" si="30"/>
        <v>2</v>
      </c>
      <c r="H1929" s="52">
        <f>ROUND(Data!C1929*Data!D1929-Data!E1929,2)</f>
        <v>0</v>
      </c>
      <c r="I1929" s="52">
        <f>IF(AND(OR(Sel_Mode="All",Data!I1929=Sel_Mode),OR(Sel_Gender="All",D1929=Sel_Gender),OR(Sel_Category="All",Data!B1929=Sel_Category),OR(Sel_Month="All",C1929=Sel_Month),OR(Sel_County="All",Data!L1929=Sel_County)),1,0)</f>
        <v>1</v>
      </c>
    </row>
    <row r="1930" spans="1:9" x14ac:dyDescent="0.25">
      <c r="A1930" s="52" t="str">
        <f>Data!A1930</f>
        <v>TX501929</v>
      </c>
      <c r="B1930" s="52">
        <f>MONTH(Data!F1930)</f>
        <v>3</v>
      </c>
      <c r="C1930" s="52" t="str">
        <f>TEXT(Data!F1930,"mmm")</f>
        <v>Mar</v>
      </c>
      <c r="D1930" s="52" t="str">
        <f>Data!O1930</f>
        <v>Female</v>
      </c>
      <c r="E1930" s="52">
        <f>Data!G1930-Data!F1930</f>
        <v>8</v>
      </c>
      <c r="F1930" s="52">
        <f>IF(Data!J1930&lt;=5,Data!J1930,IF(Data!J1930&lt;=10,"6 TO 10","More than 10"))</f>
        <v>4</v>
      </c>
      <c r="G1930" s="52" t="str">
        <f t="shared" si="30"/>
        <v>8+</v>
      </c>
      <c r="H1930" s="52">
        <f>ROUND(Data!C1930*Data!D1930-Data!E1930,2)</f>
        <v>0</v>
      </c>
      <c r="I1930" s="52">
        <f>IF(AND(OR(Sel_Mode="All",Data!I1930=Sel_Mode),OR(Sel_Gender="All",D1930=Sel_Gender),OR(Sel_Category="All",Data!B1930=Sel_Category),OR(Sel_Month="All",C1930=Sel_Month),OR(Sel_County="All",Data!L1930=Sel_County)),1,0)</f>
        <v>1</v>
      </c>
    </row>
    <row r="1931" spans="1:9" x14ac:dyDescent="0.25">
      <c r="A1931" s="52" t="str">
        <f>Data!A1931</f>
        <v>TX501930</v>
      </c>
      <c r="B1931" s="52">
        <f>MONTH(Data!F1931)</f>
        <v>3</v>
      </c>
      <c r="C1931" s="52" t="str">
        <f>TEXT(Data!F1931,"mmm")</f>
        <v>Mar</v>
      </c>
      <c r="D1931" s="52" t="str">
        <f>Data!O1931</f>
        <v>Male</v>
      </c>
      <c r="E1931" s="52">
        <f>Data!G1931-Data!F1931</f>
        <v>3</v>
      </c>
      <c r="F1931" s="52">
        <f>IF(Data!J1931&lt;=5,Data!J1931,IF(Data!J1931&lt;=10,"6 TO 10","More than 10"))</f>
        <v>2</v>
      </c>
      <c r="G1931" s="52">
        <f t="shared" si="30"/>
        <v>3</v>
      </c>
      <c r="H1931" s="52">
        <f>ROUND(Data!C1931*Data!D1931-Data!E1931,2)</f>
        <v>0</v>
      </c>
      <c r="I1931" s="52">
        <f>IF(AND(OR(Sel_Mode="All",Data!I1931=Sel_Mode),OR(Sel_Gender="All",D1931=Sel_Gender),OR(Sel_Category="All",Data!B1931=Sel_Category),OR(Sel_Month="All",C1931=Sel_Month),OR(Sel_County="All",Data!L1931=Sel_County)),1,0)</f>
        <v>1</v>
      </c>
    </row>
    <row r="1932" spans="1:9" x14ac:dyDescent="0.25">
      <c r="A1932" s="52" t="str">
        <f>Data!A1932</f>
        <v>TX501931</v>
      </c>
      <c r="B1932" s="52">
        <f>MONTH(Data!F1932)</f>
        <v>3</v>
      </c>
      <c r="C1932" s="52" t="str">
        <f>TEXT(Data!F1932,"mmm")</f>
        <v>Mar</v>
      </c>
      <c r="D1932" s="52" t="str">
        <f>Data!O1932</f>
        <v>Male</v>
      </c>
      <c r="E1932" s="52">
        <f>Data!G1932-Data!F1932</f>
        <v>4</v>
      </c>
      <c r="F1932" s="52">
        <f>IF(Data!J1932&lt;=5,Data!J1932,IF(Data!J1932&lt;=10,"6 TO 10","More than 10"))</f>
        <v>4</v>
      </c>
      <c r="G1932" s="52">
        <f t="shared" si="30"/>
        <v>4</v>
      </c>
      <c r="H1932" s="52">
        <f>ROUND(Data!C1932*Data!D1932-Data!E1932,2)</f>
        <v>0</v>
      </c>
      <c r="I1932" s="52">
        <f>IF(AND(OR(Sel_Mode="All",Data!I1932=Sel_Mode),OR(Sel_Gender="All",D1932=Sel_Gender),OR(Sel_Category="All",Data!B1932=Sel_Category),OR(Sel_Month="All",C1932=Sel_Month),OR(Sel_County="All",Data!L1932=Sel_County)),1,0)</f>
        <v>1</v>
      </c>
    </row>
    <row r="1933" spans="1:9" x14ac:dyDescent="0.25">
      <c r="A1933" s="52" t="str">
        <f>Data!A1933</f>
        <v>TX501932</v>
      </c>
      <c r="B1933" s="52">
        <f>MONTH(Data!F1933)</f>
        <v>3</v>
      </c>
      <c r="C1933" s="52" t="str">
        <f>TEXT(Data!F1933,"mmm")</f>
        <v>Mar</v>
      </c>
      <c r="D1933" s="52" t="str">
        <f>Data!O1933</f>
        <v>Female</v>
      </c>
      <c r="E1933" s="52">
        <f>Data!G1933-Data!F1933</f>
        <v>2</v>
      </c>
      <c r="F1933" s="52">
        <f>IF(Data!J1933&lt;=5,Data!J1933,IF(Data!J1933&lt;=10,"6 TO 10","More than 10"))</f>
        <v>4</v>
      </c>
      <c r="G1933" s="52">
        <f t="shared" si="30"/>
        <v>2</v>
      </c>
      <c r="H1933" s="52">
        <f>ROUND(Data!C1933*Data!D1933-Data!E1933,2)</f>
        <v>0</v>
      </c>
      <c r="I1933" s="52">
        <f>IF(AND(OR(Sel_Mode="All",Data!I1933=Sel_Mode),OR(Sel_Gender="All",D1933=Sel_Gender),OR(Sel_Category="All",Data!B1933=Sel_Category),OR(Sel_Month="All",C1933=Sel_Month),OR(Sel_County="All",Data!L1933=Sel_County)),1,0)</f>
        <v>1</v>
      </c>
    </row>
    <row r="1934" spans="1:9" x14ac:dyDescent="0.25">
      <c r="A1934" s="52" t="str">
        <f>Data!A1934</f>
        <v>TX501933</v>
      </c>
      <c r="B1934" s="52">
        <f>MONTH(Data!F1934)</f>
        <v>3</v>
      </c>
      <c r="C1934" s="52" t="str">
        <f>TEXT(Data!F1934,"mmm")</f>
        <v>Mar</v>
      </c>
      <c r="D1934" s="52" t="str">
        <f>Data!O1934</f>
        <v>Female</v>
      </c>
      <c r="E1934" s="52">
        <f>Data!G1934-Data!F1934</f>
        <v>1</v>
      </c>
      <c r="F1934" s="52">
        <f>IF(Data!J1934&lt;=5,Data!J1934,IF(Data!J1934&lt;=10,"6 TO 10","More than 10"))</f>
        <v>5</v>
      </c>
      <c r="G1934" s="52">
        <f t="shared" si="30"/>
        <v>1</v>
      </c>
      <c r="H1934" s="52">
        <f>ROUND(Data!C1934*Data!D1934-Data!E1934,2)</f>
        <v>0</v>
      </c>
      <c r="I1934" s="52">
        <f>IF(AND(OR(Sel_Mode="All",Data!I1934=Sel_Mode),OR(Sel_Gender="All",D1934=Sel_Gender),OR(Sel_Category="All",Data!B1934=Sel_Category),OR(Sel_Month="All",C1934=Sel_Month),OR(Sel_County="All",Data!L1934=Sel_County)),1,0)</f>
        <v>1</v>
      </c>
    </row>
    <row r="1935" spans="1:9" x14ac:dyDescent="0.25">
      <c r="A1935" s="52" t="str">
        <f>Data!A1935</f>
        <v>TX501934</v>
      </c>
      <c r="B1935" s="52">
        <f>MONTH(Data!F1935)</f>
        <v>3</v>
      </c>
      <c r="C1935" s="52" t="str">
        <f>TEXT(Data!F1935,"mmm")</f>
        <v>Mar</v>
      </c>
      <c r="D1935" s="52" t="str">
        <f>Data!O1935</f>
        <v>Male</v>
      </c>
      <c r="E1935" s="52">
        <f>Data!G1935-Data!F1935</f>
        <v>1</v>
      </c>
      <c r="F1935" s="52">
        <f>IF(Data!J1935&lt;=5,Data!J1935,IF(Data!J1935&lt;=10,"6 TO 10","More than 10"))</f>
        <v>4</v>
      </c>
      <c r="G1935" s="52">
        <f t="shared" si="30"/>
        <v>1</v>
      </c>
      <c r="H1935" s="52">
        <f>ROUND(Data!C1935*Data!D1935-Data!E1935,2)</f>
        <v>0</v>
      </c>
      <c r="I1935" s="52">
        <f>IF(AND(OR(Sel_Mode="All",Data!I1935=Sel_Mode),OR(Sel_Gender="All",D1935=Sel_Gender),OR(Sel_Category="All",Data!B1935=Sel_Category),OR(Sel_Month="All",C1935=Sel_Month),OR(Sel_County="All",Data!L1935=Sel_County)),1,0)</f>
        <v>1</v>
      </c>
    </row>
    <row r="1936" spans="1:9" x14ac:dyDescent="0.25">
      <c r="A1936" s="52" t="str">
        <f>Data!A1936</f>
        <v>TX501935</v>
      </c>
      <c r="B1936" s="52">
        <f>MONTH(Data!F1936)</f>
        <v>3</v>
      </c>
      <c r="C1936" s="52" t="str">
        <f>TEXT(Data!F1936,"mmm")</f>
        <v>Mar</v>
      </c>
      <c r="D1936" s="52" t="str">
        <f>Data!O1936</f>
        <v>Female</v>
      </c>
      <c r="E1936" s="52">
        <f>Data!G1936-Data!F1936</f>
        <v>3</v>
      </c>
      <c r="F1936" s="52">
        <f>IF(Data!J1936&lt;=5,Data!J1936,IF(Data!J1936&lt;=10,"6 TO 10","More than 10"))</f>
        <v>3</v>
      </c>
      <c r="G1936" s="52">
        <f t="shared" si="30"/>
        <v>3</v>
      </c>
      <c r="H1936" s="52">
        <f>ROUND(Data!C1936*Data!D1936-Data!E1936,2)</f>
        <v>0</v>
      </c>
      <c r="I1936" s="52">
        <f>IF(AND(OR(Sel_Mode="All",Data!I1936=Sel_Mode),OR(Sel_Gender="All",D1936=Sel_Gender),OR(Sel_Category="All",Data!B1936=Sel_Category),OR(Sel_Month="All",C1936=Sel_Month),OR(Sel_County="All",Data!L1936=Sel_County)),1,0)</f>
        <v>1</v>
      </c>
    </row>
    <row r="1937" spans="1:9" x14ac:dyDescent="0.25">
      <c r="A1937" s="52" t="str">
        <f>Data!A1937</f>
        <v>TX501936</v>
      </c>
      <c r="B1937" s="52">
        <f>MONTH(Data!F1937)</f>
        <v>3</v>
      </c>
      <c r="C1937" s="52" t="str">
        <f>TEXT(Data!F1937,"mmm")</f>
        <v>Mar</v>
      </c>
      <c r="D1937" s="52" t="str">
        <f>Data!O1937</f>
        <v>Male</v>
      </c>
      <c r="E1937" s="52">
        <f>Data!G1937-Data!F1937</f>
        <v>1</v>
      </c>
      <c r="F1937" s="52">
        <f>IF(Data!J1937&lt;=5,Data!J1937,IF(Data!J1937&lt;=10,"6 TO 10","More than 10"))</f>
        <v>4</v>
      </c>
      <c r="G1937" s="52">
        <f t="shared" si="30"/>
        <v>1</v>
      </c>
      <c r="H1937" s="52">
        <f>ROUND(Data!C1937*Data!D1937-Data!E1937,2)</f>
        <v>0</v>
      </c>
      <c r="I1937" s="52">
        <f>IF(AND(OR(Sel_Mode="All",Data!I1937=Sel_Mode),OR(Sel_Gender="All",D1937=Sel_Gender),OR(Sel_Category="All",Data!B1937=Sel_Category),OR(Sel_Month="All",C1937=Sel_Month),OR(Sel_County="All",Data!L1937=Sel_County)),1,0)</f>
        <v>1</v>
      </c>
    </row>
    <row r="1938" spans="1:9" x14ac:dyDescent="0.25">
      <c r="A1938" s="52" t="str">
        <f>Data!A1938</f>
        <v>TX501937</v>
      </c>
      <c r="B1938" s="52">
        <f>MONTH(Data!F1938)</f>
        <v>3</v>
      </c>
      <c r="C1938" s="52" t="str">
        <f>TEXT(Data!F1938,"mmm")</f>
        <v>Mar</v>
      </c>
      <c r="D1938" s="52" t="str">
        <f>Data!O1938</f>
        <v>Female</v>
      </c>
      <c r="E1938" s="52">
        <f>Data!G1938-Data!F1938</f>
        <v>5</v>
      </c>
      <c r="F1938" s="52">
        <f>IF(Data!J1938&lt;=5,Data!J1938,IF(Data!J1938&lt;=10,"6 TO 10","More than 10"))</f>
        <v>3</v>
      </c>
      <c r="G1938" s="52">
        <f t="shared" si="30"/>
        <v>5</v>
      </c>
      <c r="H1938" s="52">
        <f>ROUND(Data!C1938*Data!D1938-Data!E1938,2)</f>
        <v>0</v>
      </c>
      <c r="I1938" s="52">
        <f>IF(AND(OR(Sel_Mode="All",Data!I1938=Sel_Mode),OR(Sel_Gender="All",D1938=Sel_Gender),OR(Sel_Category="All",Data!B1938=Sel_Category),OR(Sel_Month="All",C1938=Sel_Month),OR(Sel_County="All",Data!L1938=Sel_County)),1,0)</f>
        <v>1</v>
      </c>
    </row>
    <row r="1939" spans="1:9" x14ac:dyDescent="0.25">
      <c r="A1939" s="52" t="str">
        <f>Data!A1939</f>
        <v>TX501938</v>
      </c>
      <c r="B1939" s="52">
        <f>MONTH(Data!F1939)</f>
        <v>3</v>
      </c>
      <c r="C1939" s="52" t="str">
        <f>TEXT(Data!F1939,"mmm")</f>
        <v>Mar</v>
      </c>
      <c r="D1939" s="52" t="str">
        <f>Data!O1939</f>
        <v>Female</v>
      </c>
      <c r="E1939" s="52">
        <f>Data!G1939-Data!F1939</f>
        <v>0</v>
      </c>
      <c r="F1939" s="52">
        <f>IF(Data!J1939&lt;=5,Data!J1939,IF(Data!J1939&lt;=10,"6 TO 10","More than 10"))</f>
        <v>3</v>
      </c>
      <c r="G1939" s="52">
        <f t="shared" si="30"/>
        <v>0</v>
      </c>
      <c r="H1939" s="52">
        <f>ROUND(Data!C1939*Data!D1939-Data!E1939,2)</f>
        <v>0</v>
      </c>
      <c r="I1939" s="52">
        <f>IF(AND(OR(Sel_Mode="All",Data!I1939=Sel_Mode),OR(Sel_Gender="All",D1939=Sel_Gender),OR(Sel_Category="All",Data!B1939=Sel_Category),OR(Sel_Month="All",C1939=Sel_Month),OR(Sel_County="All",Data!L1939=Sel_County)),1,0)</f>
        <v>1</v>
      </c>
    </row>
    <row r="1940" spans="1:9" x14ac:dyDescent="0.25">
      <c r="A1940" s="52" t="str">
        <f>Data!A1940</f>
        <v>TX501939</v>
      </c>
      <c r="B1940" s="52">
        <f>MONTH(Data!F1940)</f>
        <v>3</v>
      </c>
      <c r="C1940" s="52" t="str">
        <f>TEXT(Data!F1940,"mmm")</f>
        <v>Mar</v>
      </c>
      <c r="D1940" s="52" t="str">
        <f>Data!O1940</f>
        <v>Male</v>
      </c>
      <c r="E1940" s="52">
        <f>Data!G1940-Data!F1940</f>
        <v>1</v>
      </c>
      <c r="F1940" s="52">
        <f>IF(Data!J1940&lt;=5,Data!J1940,IF(Data!J1940&lt;=10,"6 TO 10","More than 10"))</f>
        <v>3</v>
      </c>
      <c r="G1940" s="52">
        <f t="shared" si="30"/>
        <v>1</v>
      </c>
      <c r="H1940" s="52">
        <f>ROUND(Data!C1940*Data!D1940-Data!E1940,2)</f>
        <v>0</v>
      </c>
      <c r="I1940" s="52">
        <f>IF(AND(OR(Sel_Mode="All",Data!I1940=Sel_Mode),OR(Sel_Gender="All",D1940=Sel_Gender),OR(Sel_Category="All",Data!B1940=Sel_Category),OR(Sel_Month="All",C1940=Sel_Month),OR(Sel_County="All",Data!L1940=Sel_County)),1,0)</f>
        <v>1</v>
      </c>
    </row>
    <row r="1941" spans="1:9" x14ac:dyDescent="0.25">
      <c r="A1941" s="52" t="str">
        <f>Data!A1941</f>
        <v>TX501940</v>
      </c>
      <c r="B1941" s="52">
        <f>MONTH(Data!F1941)</f>
        <v>3</v>
      </c>
      <c r="C1941" s="52" t="str">
        <f>TEXT(Data!F1941,"mmm")</f>
        <v>Mar</v>
      </c>
      <c r="D1941" s="52" t="str">
        <f>Data!O1941</f>
        <v>Male</v>
      </c>
      <c r="E1941" s="52">
        <f>Data!G1941-Data!F1941</f>
        <v>1</v>
      </c>
      <c r="F1941" s="52">
        <f>IF(Data!J1941&lt;=5,Data!J1941,IF(Data!J1941&lt;=10,"6 TO 10","More than 10"))</f>
        <v>4</v>
      </c>
      <c r="G1941" s="52">
        <f t="shared" si="30"/>
        <v>1</v>
      </c>
      <c r="H1941" s="52">
        <f>ROUND(Data!C1941*Data!D1941-Data!E1941,2)</f>
        <v>0</v>
      </c>
      <c r="I1941" s="52">
        <f>IF(AND(OR(Sel_Mode="All",Data!I1941=Sel_Mode),OR(Sel_Gender="All",D1941=Sel_Gender),OR(Sel_Category="All",Data!B1941=Sel_Category),OR(Sel_Month="All",C1941=Sel_Month),OR(Sel_County="All",Data!L1941=Sel_County)),1,0)</f>
        <v>1</v>
      </c>
    </row>
    <row r="1942" spans="1:9" x14ac:dyDescent="0.25">
      <c r="A1942" s="52" t="str">
        <f>Data!A1942</f>
        <v>TX501941</v>
      </c>
      <c r="B1942" s="52">
        <f>MONTH(Data!F1942)</f>
        <v>3</v>
      </c>
      <c r="C1942" s="52" t="str">
        <f>TEXT(Data!F1942,"mmm")</f>
        <v>Mar</v>
      </c>
      <c r="D1942" s="52" t="str">
        <f>Data!O1942</f>
        <v>Male</v>
      </c>
      <c r="E1942" s="52">
        <f>Data!G1942-Data!F1942</f>
        <v>1</v>
      </c>
      <c r="F1942" s="52">
        <f>IF(Data!J1942&lt;=5,Data!J1942,IF(Data!J1942&lt;=10,"6 TO 10","More than 10"))</f>
        <v>4</v>
      </c>
      <c r="G1942" s="52">
        <f t="shared" si="30"/>
        <v>1</v>
      </c>
      <c r="H1942" s="52">
        <f>ROUND(Data!C1942*Data!D1942-Data!E1942,2)</f>
        <v>0</v>
      </c>
      <c r="I1942" s="52">
        <f>IF(AND(OR(Sel_Mode="All",Data!I1942=Sel_Mode),OR(Sel_Gender="All",D1942=Sel_Gender),OR(Sel_Category="All",Data!B1942=Sel_Category),OR(Sel_Month="All",C1942=Sel_Month),OR(Sel_County="All",Data!L1942=Sel_County)),1,0)</f>
        <v>1</v>
      </c>
    </row>
    <row r="1943" spans="1:9" x14ac:dyDescent="0.25">
      <c r="A1943" s="52" t="str">
        <f>Data!A1943</f>
        <v>TX501942</v>
      </c>
      <c r="B1943" s="52">
        <f>MONTH(Data!F1943)</f>
        <v>3</v>
      </c>
      <c r="C1943" s="52" t="str">
        <f>TEXT(Data!F1943,"mmm")</f>
        <v>Mar</v>
      </c>
      <c r="D1943" s="52" t="str">
        <f>Data!O1943</f>
        <v>Female</v>
      </c>
      <c r="E1943" s="52">
        <f>Data!G1943-Data!F1943</f>
        <v>1</v>
      </c>
      <c r="F1943" s="52">
        <f>IF(Data!J1943&lt;=5,Data!J1943,IF(Data!J1943&lt;=10,"6 TO 10","More than 10"))</f>
        <v>3</v>
      </c>
      <c r="G1943" s="52">
        <f t="shared" si="30"/>
        <v>1</v>
      </c>
      <c r="H1943" s="52">
        <f>ROUND(Data!C1943*Data!D1943-Data!E1943,2)</f>
        <v>0</v>
      </c>
      <c r="I1943" s="52">
        <f>IF(AND(OR(Sel_Mode="All",Data!I1943=Sel_Mode),OR(Sel_Gender="All",D1943=Sel_Gender),OR(Sel_Category="All",Data!B1943=Sel_Category),OR(Sel_Month="All",C1943=Sel_Month),OR(Sel_County="All",Data!L1943=Sel_County)),1,0)</f>
        <v>1</v>
      </c>
    </row>
    <row r="1944" spans="1:9" x14ac:dyDescent="0.25">
      <c r="A1944" s="52" t="str">
        <f>Data!A1944</f>
        <v>TX501943</v>
      </c>
      <c r="B1944" s="52">
        <f>MONTH(Data!F1944)</f>
        <v>3</v>
      </c>
      <c r="C1944" s="52" t="str">
        <f>TEXT(Data!F1944,"mmm")</f>
        <v>Mar</v>
      </c>
      <c r="D1944" s="52" t="str">
        <f>Data!O1944</f>
        <v>Male</v>
      </c>
      <c r="E1944" s="52">
        <f>Data!G1944-Data!F1944</f>
        <v>6</v>
      </c>
      <c r="F1944" s="52">
        <f>IF(Data!J1944&lt;=5,Data!J1944,IF(Data!J1944&lt;=10,"6 TO 10","More than 10"))</f>
        <v>2</v>
      </c>
      <c r="G1944" s="52">
        <f t="shared" si="30"/>
        <v>6</v>
      </c>
      <c r="H1944" s="52">
        <f>ROUND(Data!C1944*Data!D1944-Data!E1944,2)</f>
        <v>0</v>
      </c>
      <c r="I1944" s="52">
        <f>IF(AND(OR(Sel_Mode="All",Data!I1944=Sel_Mode),OR(Sel_Gender="All",D1944=Sel_Gender),OR(Sel_Category="All",Data!B1944=Sel_Category),OR(Sel_Month="All",C1944=Sel_Month),OR(Sel_County="All",Data!L1944=Sel_County)),1,0)</f>
        <v>1</v>
      </c>
    </row>
    <row r="1945" spans="1:9" x14ac:dyDescent="0.25">
      <c r="A1945" s="52" t="str">
        <f>Data!A1945</f>
        <v>TX501944</v>
      </c>
      <c r="B1945" s="52">
        <f>MONTH(Data!F1945)</f>
        <v>3</v>
      </c>
      <c r="C1945" s="52" t="str">
        <f>TEXT(Data!F1945,"mmm")</f>
        <v>Mar</v>
      </c>
      <c r="D1945" s="52" t="str">
        <f>Data!O1945</f>
        <v>Male</v>
      </c>
      <c r="E1945" s="52">
        <f>Data!G1945-Data!F1945</f>
        <v>3</v>
      </c>
      <c r="F1945" s="52">
        <f>IF(Data!J1945&lt;=5,Data!J1945,IF(Data!J1945&lt;=10,"6 TO 10","More than 10"))</f>
        <v>4</v>
      </c>
      <c r="G1945" s="52">
        <f t="shared" si="30"/>
        <v>3</v>
      </c>
      <c r="H1945" s="52">
        <f>ROUND(Data!C1945*Data!D1945-Data!E1945,2)</f>
        <v>0</v>
      </c>
      <c r="I1945" s="52">
        <f>IF(AND(OR(Sel_Mode="All",Data!I1945=Sel_Mode),OR(Sel_Gender="All",D1945=Sel_Gender),OR(Sel_Category="All",Data!B1945=Sel_Category),OR(Sel_Month="All",C1945=Sel_Month),OR(Sel_County="All",Data!L1945=Sel_County)),1,0)</f>
        <v>1</v>
      </c>
    </row>
    <row r="1946" spans="1:9" x14ac:dyDescent="0.25">
      <c r="A1946" s="52" t="str">
        <f>Data!A1946</f>
        <v>TX501945</v>
      </c>
      <c r="B1946" s="52">
        <f>MONTH(Data!F1946)</f>
        <v>3</v>
      </c>
      <c r="C1946" s="52" t="str">
        <f>TEXT(Data!F1946,"mmm")</f>
        <v>Mar</v>
      </c>
      <c r="D1946" s="52" t="str">
        <f>Data!O1946</f>
        <v>Male</v>
      </c>
      <c r="E1946" s="52">
        <f>Data!G1946-Data!F1946</f>
        <v>3</v>
      </c>
      <c r="F1946" s="52">
        <f>IF(Data!J1946&lt;=5,Data!J1946,IF(Data!J1946&lt;=10,"6 TO 10","More than 10"))</f>
        <v>4</v>
      </c>
      <c r="G1946" s="52">
        <f t="shared" si="30"/>
        <v>3</v>
      </c>
      <c r="H1946" s="52">
        <f>ROUND(Data!C1946*Data!D1946-Data!E1946,2)</f>
        <v>0</v>
      </c>
      <c r="I1946" s="52">
        <f>IF(AND(OR(Sel_Mode="All",Data!I1946=Sel_Mode),OR(Sel_Gender="All",D1946=Sel_Gender),OR(Sel_Category="All",Data!B1946=Sel_Category),OR(Sel_Month="All",C1946=Sel_Month),OR(Sel_County="All",Data!L1946=Sel_County)),1,0)</f>
        <v>1</v>
      </c>
    </row>
    <row r="1947" spans="1:9" x14ac:dyDescent="0.25">
      <c r="A1947" s="52" t="str">
        <f>Data!A1947</f>
        <v>TX501946</v>
      </c>
      <c r="B1947" s="52">
        <f>MONTH(Data!F1947)</f>
        <v>3</v>
      </c>
      <c r="C1947" s="52" t="str">
        <f>TEXT(Data!F1947,"mmm")</f>
        <v>Mar</v>
      </c>
      <c r="D1947" s="52" t="str">
        <f>Data!O1947</f>
        <v>Male</v>
      </c>
      <c r="E1947" s="52">
        <f>Data!G1947-Data!F1947</f>
        <v>11</v>
      </c>
      <c r="F1947" s="52">
        <f>IF(Data!J1947&lt;=5,Data!J1947,IF(Data!J1947&lt;=10,"6 TO 10","More than 10"))</f>
        <v>4</v>
      </c>
      <c r="G1947" s="52" t="str">
        <f t="shared" si="30"/>
        <v>8+</v>
      </c>
      <c r="H1947" s="52">
        <f>ROUND(Data!C1947*Data!D1947-Data!E1947,2)</f>
        <v>0</v>
      </c>
      <c r="I1947" s="52">
        <f>IF(AND(OR(Sel_Mode="All",Data!I1947=Sel_Mode),OR(Sel_Gender="All",D1947=Sel_Gender),OR(Sel_Category="All",Data!B1947=Sel_Category),OR(Sel_Month="All",C1947=Sel_Month),OR(Sel_County="All",Data!L1947=Sel_County)),1,0)</f>
        <v>1</v>
      </c>
    </row>
    <row r="1948" spans="1:9" x14ac:dyDescent="0.25">
      <c r="A1948" s="52" t="str">
        <f>Data!A1948</f>
        <v>TX501947</v>
      </c>
      <c r="B1948" s="52">
        <f>MONTH(Data!F1948)</f>
        <v>3</v>
      </c>
      <c r="C1948" s="52" t="str">
        <f>TEXT(Data!F1948,"mmm")</f>
        <v>Mar</v>
      </c>
      <c r="D1948" s="52" t="str">
        <f>Data!O1948</f>
        <v>Unknown</v>
      </c>
      <c r="E1948" s="52">
        <f>Data!G1948-Data!F1948</f>
        <v>1</v>
      </c>
      <c r="F1948" s="52">
        <f>IF(Data!J1948&lt;=5,Data!J1948,IF(Data!J1948&lt;=10,"6 TO 10","More than 10"))</f>
        <v>3</v>
      </c>
      <c r="G1948" s="52">
        <f t="shared" si="30"/>
        <v>1</v>
      </c>
      <c r="H1948" s="52">
        <f>ROUND(Data!C1948*Data!D1948-Data!E1948,2)</f>
        <v>0</v>
      </c>
      <c r="I1948" s="52">
        <f>IF(AND(OR(Sel_Mode="All",Data!I1948=Sel_Mode),OR(Sel_Gender="All",D1948=Sel_Gender),OR(Sel_Category="All",Data!B1948=Sel_Category),OR(Sel_Month="All",C1948=Sel_Month),OR(Sel_County="All",Data!L1948=Sel_County)),1,0)</f>
        <v>1</v>
      </c>
    </row>
    <row r="1949" spans="1:9" x14ac:dyDescent="0.25">
      <c r="A1949" s="52" t="str">
        <f>Data!A1949</f>
        <v>TX501948</v>
      </c>
      <c r="B1949" s="52">
        <f>MONTH(Data!F1949)</f>
        <v>3</v>
      </c>
      <c r="C1949" s="52" t="str">
        <f>TEXT(Data!F1949,"mmm")</f>
        <v>Mar</v>
      </c>
      <c r="D1949" s="52" t="str">
        <f>Data!O1949</f>
        <v>Male</v>
      </c>
      <c r="E1949" s="52">
        <f>Data!G1949-Data!F1949</f>
        <v>2</v>
      </c>
      <c r="F1949" s="52">
        <f>IF(Data!J1949&lt;=5,Data!J1949,IF(Data!J1949&lt;=10,"6 TO 10","More than 10"))</f>
        <v>3</v>
      </c>
      <c r="G1949" s="52">
        <f t="shared" si="30"/>
        <v>2</v>
      </c>
      <c r="H1949" s="52">
        <f>ROUND(Data!C1949*Data!D1949-Data!E1949,2)</f>
        <v>0</v>
      </c>
      <c r="I1949" s="52">
        <f>IF(AND(OR(Sel_Mode="All",Data!I1949=Sel_Mode),OR(Sel_Gender="All",D1949=Sel_Gender),OR(Sel_Category="All",Data!B1949=Sel_Category),OR(Sel_Month="All",C1949=Sel_Month),OR(Sel_County="All",Data!L1949=Sel_County)),1,0)</f>
        <v>1</v>
      </c>
    </row>
    <row r="1950" spans="1:9" x14ac:dyDescent="0.25">
      <c r="A1950" s="52" t="str">
        <f>Data!A1950</f>
        <v>TX501949</v>
      </c>
      <c r="B1950" s="52">
        <f>MONTH(Data!F1950)</f>
        <v>3</v>
      </c>
      <c r="C1950" s="52" t="str">
        <f>TEXT(Data!F1950,"mmm")</f>
        <v>Mar</v>
      </c>
      <c r="D1950" s="52" t="str">
        <f>Data!O1950</f>
        <v>Female</v>
      </c>
      <c r="E1950" s="52">
        <f>Data!G1950-Data!F1950</f>
        <v>2</v>
      </c>
      <c r="F1950" s="52">
        <f>IF(Data!J1950&lt;=5,Data!J1950,IF(Data!J1950&lt;=10,"6 TO 10","More than 10"))</f>
        <v>4</v>
      </c>
      <c r="G1950" s="52">
        <f t="shared" si="30"/>
        <v>2</v>
      </c>
      <c r="H1950" s="52">
        <f>ROUND(Data!C1950*Data!D1950-Data!E1950,2)</f>
        <v>0</v>
      </c>
      <c r="I1950" s="52">
        <f>IF(AND(OR(Sel_Mode="All",Data!I1950=Sel_Mode),OR(Sel_Gender="All",D1950=Sel_Gender),OR(Sel_Category="All",Data!B1950=Sel_Category),OR(Sel_Month="All",C1950=Sel_Month),OR(Sel_County="All",Data!L1950=Sel_County)),1,0)</f>
        <v>1</v>
      </c>
    </row>
    <row r="1951" spans="1:9" x14ac:dyDescent="0.25">
      <c r="A1951" s="52" t="str">
        <f>Data!A1951</f>
        <v>TX501950</v>
      </c>
      <c r="B1951" s="52">
        <f>MONTH(Data!F1951)</f>
        <v>3</v>
      </c>
      <c r="C1951" s="52" t="str">
        <f>TEXT(Data!F1951,"mmm")</f>
        <v>Mar</v>
      </c>
      <c r="D1951" s="52" t="str">
        <f>Data!O1951</f>
        <v>Female</v>
      </c>
      <c r="E1951" s="52">
        <f>Data!G1951-Data!F1951</f>
        <v>2</v>
      </c>
      <c r="F1951" s="52">
        <f>IF(Data!J1951&lt;=5,Data!J1951,IF(Data!J1951&lt;=10,"6 TO 10","More than 10"))</f>
        <v>4</v>
      </c>
      <c r="G1951" s="52">
        <f t="shared" si="30"/>
        <v>2</v>
      </c>
      <c r="H1951" s="52">
        <f>ROUND(Data!C1951*Data!D1951-Data!E1951,2)</f>
        <v>0</v>
      </c>
      <c r="I1951" s="52">
        <f>IF(AND(OR(Sel_Mode="All",Data!I1951=Sel_Mode),OR(Sel_Gender="All",D1951=Sel_Gender),OR(Sel_Category="All",Data!B1951=Sel_Category),OR(Sel_Month="All",C1951=Sel_Month),OR(Sel_County="All",Data!L1951=Sel_County)),1,0)</f>
        <v>1</v>
      </c>
    </row>
    <row r="1952" spans="1:9" x14ac:dyDescent="0.25">
      <c r="A1952" s="52" t="str">
        <f>Data!A1952</f>
        <v>TX501951</v>
      </c>
      <c r="B1952" s="52">
        <f>MONTH(Data!F1952)</f>
        <v>3</v>
      </c>
      <c r="C1952" s="52" t="str">
        <f>TEXT(Data!F1952,"mmm")</f>
        <v>Mar</v>
      </c>
      <c r="D1952" s="52" t="str">
        <f>Data!O1952</f>
        <v>Male</v>
      </c>
      <c r="E1952" s="52">
        <f>Data!G1952-Data!F1952</f>
        <v>1</v>
      </c>
      <c r="F1952" s="52">
        <f>IF(Data!J1952&lt;=5,Data!J1952,IF(Data!J1952&lt;=10,"6 TO 10","More than 10"))</f>
        <v>5</v>
      </c>
      <c r="G1952" s="52">
        <f t="shared" si="30"/>
        <v>1</v>
      </c>
      <c r="H1952" s="52">
        <f>ROUND(Data!C1952*Data!D1952-Data!E1952,2)</f>
        <v>0</v>
      </c>
      <c r="I1952" s="52">
        <f>IF(AND(OR(Sel_Mode="All",Data!I1952=Sel_Mode),OR(Sel_Gender="All",D1952=Sel_Gender),OR(Sel_Category="All",Data!B1952=Sel_Category),OR(Sel_Month="All",C1952=Sel_Month),OR(Sel_County="All",Data!L1952=Sel_County)),1,0)</f>
        <v>1</v>
      </c>
    </row>
    <row r="1953" spans="1:9" x14ac:dyDescent="0.25">
      <c r="A1953" s="52" t="str">
        <f>Data!A1953</f>
        <v>TX501952</v>
      </c>
      <c r="B1953" s="52">
        <f>MONTH(Data!F1953)</f>
        <v>3</v>
      </c>
      <c r="C1953" s="52" t="str">
        <f>TEXT(Data!F1953,"mmm")</f>
        <v>Mar</v>
      </c>
      <c r="D1953" s="52" t="str">
        <f>Data!O1953</f>
        <v>Female</v>
      </c>
      <c r="E1953" s="52">
        <f>Data!G1953-Data!F1953</f>
        <v>2</v>
      </c>
      <c r="F1953" s="52">
        <f>IF(Data!J1953&lt;=5,Data!J1953,IF(Data!J1953&lt;=10,"6 TO 10","More than 10"))</f>
        <v>4</v>
      </c>
      <c r="G1953" s="52">
        <f t="shared" si="30"/>
        <v>2</v>
      </c>
      <c r="H1953" s="52">
        <f>ROUND(Data!C1953*Data!D1953-Data!E1953,2)</f>
        <v>0</v>
      </c>
      <c r="I1953" s="52">
        <f>IF(AND(OR(Sel_Mode="All",Data!I1953=Sel_Mode),OR(Sel_Gender="All",D1953=Sel_Gender),OR(Sel_Category="All",Data!B1953=Sel_Category),OR(Sel_Month="All",C1953=Sel_Month),OR(Sel_County="All",Data!L1953=Sel_County)),1,0)</f>
        <v>1</v>
      </c>
    </row>
    <row r="1954" spans="1:9" x14ac:dyDescent="0.25">
      <c r="A1954" s="52" t="str">
        <f>Data!A1954</f>
        <v>TX501953</v>
      </c>
      <c r="B1954" s="52">
        <f>MONTH(Data!F1954)</f>
        <v>3</v>
      </c>
      <c r="C1954" s="52" t="str">
        <f>TEXT(Data!F1954,"mmm")</f>
        <v>Mar</v>
      </c>
      <c r="D1954" s="52" t="str">
        <f>Data!O1954</f>
        <v>Male</v>
      </c>
      <c r="E1954" s="52">
        <f>Data!G1954-Data!F1954</f>
        <v>1</v>
      </c>
      <c r="F1954" s="52">
        <f>IF(Data!J1954&lt;=5,Data!J1954,IF(Data!J1954&lt;=10,"6 TO 10","More than 10"))</f>
        <v>4</v>
      </c>
      <c r="G1954" s="52">
        <f t="shared" si="30"/>
        <v>1</v>
      </c>
      <c r="H1954" s="52">
        <f>ROUND(Data!C1954*Data!D1954-Data!E1954,2)</f>
        <v>0</v>
      </c>
      <c r="I1954" s="52">
        <f>IF(AND(OR(Sel_Mode="All",Data!I1954=Sel_Mode),OR(Sel_Gender="All",D1954=Sel_Gender),OR(Sel_Category="All",Data!B1954=Sel_Category),OR(Sel_Month="All",C1954=Sel_Month),OR(Sel_County="All",Data!L1954=Sel_County)),1,0)</f>
        <v>1</v>
      </c>
    </row>
    <row r="1955" spans="1:9" x14ac:dyDescent="0.25">
      <c r="A1955" s="52" t="str">
        <f>Data!A1955</f>
        <v>TX501954</v>
      </c>
      <c r="B1955" s="52">
        <f>MONTH(Data!F1955)</f>
        <v>3</v>
      </c>
      <c r="C1955" s="52" t="str">
        <f>TEXT(Data!F1955,"mmm")</f>
        <v>Mar</v>
      </c>
      <c r="D1955" s="52" t="str">
        <f>Data!O1955</f>
        <v>Male</v>
      </c>
      <c r="E1955" s="52">
        <f>Data!G1955-Data!F1955</f>
        <v>3</v>
      </c>
      <c r="F1955" s="52">
        <f>IF(Data!J1955&lt;=5,Data!J1955,IF(Data!J1955&lt;=10,"6 TO 10","More than 10"))</f>
        <v>3</v>
      </c>
      <c r="G1955" s="52">
        <f t="shared" si="30"/>
        <v>3</v>
      </c>
      <c r="H1955" s="52">
        <f>ROUND(Data!C1955*Data!D1955-Data!E1955,2)</f>
        <v>0</v>
      </c>
      <c r="I1955" s="52">
        <f>IF(AND(OR(Sel_Mode="All",Data!I1955=Sel_Mode),OR(Sel_Gender="All",D1955=Sel_Gender),OR(Sel_Category="All",Data!B1955=Sel_Category),OR(Sel_Month="All",C1955=Sel_Month),OR(Sel_County="All",Data!L1955=Sel_County)),1,0)</f>
        <v>1</v>
      </c>
    </row>
    <row r="1956" spans="1:9" x14ac:dyDescent="0.25">
      <c r="A1956" s="52" t="str">
        <f>Data!A1956</f>
        <v>TX501955</v>
      </c>
      <c r="B1956" s="52">
        <f>MONTH(Data!F1956)</f>
        <v>3</v>
      </c>
      <c r="C1956" s="52" t="str">
        <f>TEXT(Data!F1956,"mmm")</f>
        <v>Mar</v>
      </c>
      <c r="D1956" s="52" t="str">
        <f>Data!O1956</f>
        <v>Female</v>
      </c>
      <c r="E1956" s="52">
        <f>Data!G1956-Data!F1956</f>
        <v>2</v>
      </c>
      <c r="F1956" s="52">
        <f>IF(Data!J1956&lt;=5,Data!J1956,IF(Data!J1956&lt;=10,"6 TO 10","More than 10"))</f>
        <v>5</v>
      </c>
      <c r="G1956" s="52">
        <f t="shared" si="30"/>
        <v>2</v>
      </c>
      <c r="H1956" s="52">
        <f>ROUND(Data!C1956*Data!D1956-Data!E1956,2)</f>
        <v>0</v>
      </c>
      <c r="I1956" s="52">
        <f>IF(AND(OR(Sel_Mode="All",Data!I1956=Sel_Mode),OR(Sel_Gender="All",D1956=Sel_Gender),OR(Sel_Category="All",Data!B1956=Sel_Category),OR(Sel_Month="All",C1956=Sel_Month),OR(Sel_County="All",Data!L1956=Sel_County)),1,0)</f>
        <v>1</v>
      </c>
    </row>
    <row r="1957" spans="1:9" x14ac:dyDescent="0.25">
      <c r="A1957" s="52" t="str">
        <f>Data!A1957</f>
        <v>TX501956</v>
      </c>
      <c r="B1957" s="52">
        <f>MONTH(Data!F1957)</f>
        <v>3</v>
      </c>
      <c r="C1957" s="52" t="str">
        <f>TEXT(Data!F1957,"mmm")</f>
        <v>Mar</v>
      </c>
      <c r="D1957" s="52" t="str">
        <f>Data!O1957</f>
        <v>Female</v>
      </c>
      <c r="E1957" s="52">
        <f>Data!G1957-Data!F1957</f>
        <v>4</v>
      </c>
      <c r="F1957" s="52">
        <f>IF(Data!J1957&lt;=5,Data!J1957,IF(Data!J1957&lt;=10,"6 TO 10","More than 10"))</f>
        <v>3</v>
      </c>
      <c r="G1957" s="52">
        <f t="shared" si="30"/>
        <v>4</v>
      </c>
      <c r="H1957" s="52">
        <f>ROUND(Data!C1957*Data!D1957-Data!E1957,2)</f>
        <v>0</v>
      </c>
      <c r="I1957" s="52">
        <f>IF(AND(OR(Sel_Mode="All",Data!I1957=Sel_Mode),OR(Sel_Gender="All",D1957=Sel_Gender),OR(Sel_Category="All",Data!B1957=Sel_Category),OR(Sel_Month="All",C1957=Sel_Month),OR(Sel_County="All",Data!L1957=Sel_County)),1,0)</f>
        <v>1</v>
      </c>
    </row>
    <row r="1958" spans="1:9" x14ac:dyDescent="0.25">
      <c r="A1958" s="52" t="str">
        <f>Data!A1958</f>
        <v>TX501957</v>
      </c>
      <c r="B1958" s="52">
        <f>MONTH(Data!F1958)</f>
        <v>3</v>
      </c>
      <c r="C1958" s="52" t="str">
        <f>TEXT(Data!F1958,"mmm")</f>
        <v>Mar</v>
      </c>
      <c r="D1958" s="52" t="str">
        <f>Data!O1958</f>
        <v>Female</v>
      </c>
      <c r="E1958" s="52">
        <f>Data!G1958-Data!F1958</f>
        <v>2</v>
      </c>
      <c r="F1958" s="52">
        <f>IF(Data!J1958&lt;=5,Data!J1958,IF(Data!J1958&lt;=10,"6 TO 10","More than 10"))</f>
        <v>5</v>
      </c>
      <c r="G1958" s="52">
        <f t="shared" si="30"/>
        <v>2</v>
      </c>
      <c r="H1958" s="52">
        <f>ROUND(Data!C1958*Data!D1958-Data!E1958,2)</f>
        <v>0</v>
      </c>
      <c r="I1958" s="52">
        <f>IF(AND(OR(Sel_Mode="All",Data!I1958=Sel_Mode),OR(Sel_Gender="All",D1958=Sel_Gender),OR(Sel_Category="All",Data!B1958=Sel_Category),OR(Sel_Month="All",C1958=Sel_Month),OR(Sel_County="All",Data!L1958=Sel_County)),1,0)</f>
        <v>1</v>
      </c>
    </row>
    <row r="1959" spans="1:9" x14ac:dyDescent="0.25">
      <c r="A1959" s="52" t="str">
        <f>Data!A1959</f>
        <v>TX501958</v>
      </c>
      <c r="B1959" s="52">
        <f>MONTH(Data!F1959)</f>
        <v>3</v>
      </c>
      <c r="C1959" s="52" t="str">
        <f>TEXT(Data!F1959,"mmm")</f>
        <v>Mar</v>
      </c>
      <c r="D1959" s="52" t="str">
        <f>Data!O1959</f>
        <v>Male</v>
      </c>
      <c r="E1959" s="52">
        <f>Data!G1959-Data!F1959</f>
        <v>3</v>
      </c>
      <c r="F1959" s="52">
        <f>IF(Data!J1959&lt;=5,Data!J1959,IF(Data!J1959&lt;=10,"6 TO 10","More than 10"))</f>
        <v>3</v>
      </c>
      <c r="G1959" s="52">
        <f t="shared" si="30"/>
        <v>3</v>
      </c>
      <c r="H1959" s="52">
        <f>ROUND(Data!C1959*Data!D1959-Data!E1959,2)</f>
        <v>0</v>
      </c>
      <c r="I1959" s="52">
        <f>IF(AND(OR(Sel_Mode="All",Data!I1959=Sel_Mode),OR(Sel_Gender="All",D1959=Sel_Gender),OR(Sel_Category="All",Data!B1959=Sel_Category),OR(Sel_Month="All",C1959=Sel_Month),OR(Sel_County="All",Data!L1959=Sel_County)),1,0)</f>
        <v>1</v>
      </c>
    </row>
    <row r="1960" spans="1:9" x14ac:dyDescent="0.25">
      <c r="A1960" s="52" t="str">
        <f>Data!A1960</f>
        <v>TX501959</v>
      </c>
      <c r="B1960" s="52">
        <f>MONTH(Data!F1960)</f>
        <v>3</v>
      </c>
      <c r="C1960" s="52" t="str">
        <f>TEXT(Data!F1960,"mmm")</f>
        <v>Mar</v>
      </c>
      <c r="D1960" s="52" t="str">
        <f>Data!O1960</f>
        <v>Female</v>
      </c>
      <c r="E1960" s="52">
        <f>Data!G1960-Data!F1960</f>
        <v>2</v>
      </c>
      <c r="F1960" s="52">
        <f>IF(Data!J1960&lt;=5,Data!J1960,IF(Data!J1960&lt;=10,"6 TO 10","More than 10"))</f>
        <v>5</v>
      </c>
      <c r="G1960" s="52">
        <f t="shared" si="30"/>
        <v>2</v>
      </c>
      <c r="H1960" s="52">
        <f>ROUND(Data!C1960*Data!D1960-Data!E1960,2)</f>
        <v>0</v>
      </c>
      <c r="I1960" s="52">
        <f>IF(AND(OR(Sel_Mode="All",Data!I1960=Sel_Mode),OR(Sel_Gender="All",D1960=Sel_Gender),OR(Sel_Category="All",Data!B1960=Sel_Category),OR(Sel_Month="All",C1960=Sel_Month),OR(Sel_County="All",Data!L1960=Sel_County)),1,0)</f>
        <v>1</v>
      </c>
    </row>
    <row r="1961" spans="1:9" x14ac:dyDescent="0.25">
      <c r="A1961" s="52" t="str">
        <f>Data!A1961</f>
        <v>TX501960</v>
      </c>
      <c r="B1961" s="52">
        <f>MONTH(Data!F1961)</f>
        <v>3</v>
      </c>
      <c r="C1961" s="52" t="str">
        <f>TEXT(Data!F1961,"mmm")</f>
        <v>Mar</v>
      </c>
      <c r="D1961" s="52" t="str">
        <f>Data!O1961</f>
        <v>Male</v>
      </c>
      <c r="E1961" s="52">
        <f>Data!G1961-Data!F1961</f>
        <v>0</v>
      </c>
      <c r="F1961" s="52">
        <f>IF(Data!J1961&lt;=5,Data!J1961,IF(Data!J1961&lt;=10,"6 TO 10","More than 10"))</f>
        <v>4</v>
      </c>
      <c r="G1961" s="52">
        <f t="shared" si="30"/>
        <v>0</v>
      </c>
      <c r="H1961" s="52">
        <f>ROUND(Data!C1961*Data!D1961-Data!E1961,2)</f>
        <v>0</v>
      </c>
      <c r="I1961" s="52">
        <f>IF(AND(OR(Sel_Mode="All",Data!I1961=Sel_Mode),OR(Sel_Gender="All",D1961=Sel_Gender),OR(Sel_Category="All",Data!B1961=Sel_Category),OR(Sel_Month="All",C1961=Sel_Month),OR(Sel_County="All",Data!L1961=Sel_County)),1,0)</f>
        <v>1</v>
      </c>
    </row>
    <row r="1962" spans="1:9" x14ac:dyDescent="0.25">
      <c r="A1962" s="52" t="str">
        <f>Data!A1962</f>
        <v>TX501961</v>
      </c>
      <c r="B1962" s="52">
        <f>MONTH(Data!F1962)</f>
        <v>3</v>
      </c>
      <c r="C1962" s="52" t="str">
        <f>TEXT(Data!F1962,"mmm")</f>
        <v>Mar</v>
      </c>
      <c r="D1962" s="52" t="str">
        <f>Data!O1962</f>
        <v>Male</v>
      </c>
      <c r="E1962" s="52">
        <f>Data!G1962-Data!F1962</f>
        <v>1</v>
      </c>
      <c r="F1962" s="52">
        <f>IF(Data!J1962&lt;=5,Data!J1962,IF(Data!J1962&lt;=10,"6 TO 10","More than 10"))</f>
        <v>3</v>
      </c>
      <c r="G1962" s="52">
        <f t="shared" si="30"/>
        <v>1</v>
      </c>
      <c r="H1962" s="52">
        <f>ROUND(Data!C1962*Data!D1962-Data!E1962,2)</f>
        <v>0</v>
      </c>
      <c r="I1962" s="52">
        <f>IF(AND(OR(Sel_Mode="All",Data!I1962=Sel_Mode),OR(Sel_Gender="All",D1962=Sel_Gender),OR(Sel_Category="All",Data!B1962=Sel_Category),OR(Sel_Month="All",C1962=Sel_Month),OR(Sel_County="All",Data!L1962=Sel_County)),1,0)</f>
        <v>1</v>
      </c>
    </row>
    <row r="1963" spans="1:9" x14ac:dyDescent="0.25">
      <c r="A1963" s="52" t="str">
        <f>Data!A1963</f>
        <v>TX501962</v>
      </c>
      <c r="B1963" s="52">
        <f>MONTH(Data!F1963)</f>
        <v>3</v>
      </c>
      <c r="C1963" s="52" t="str">
        <f>TEXT(Data!F1963,"mmm")</f>
        <v>Mar</v>
      </c>
      <c r="D1963" s="52" t="str">
        <f>Data!O1963</f>
        <v>Male</v>
      </c>
      <c r="E1963" s="52">
        <f>Data!G1963-Data!F1963</f>
        <v>1</v>
      </c>
      <c r="F1963" s="52">
        <f>IF(Data!J1963&lt;=5,Data!J1963,IF(Data!J1963&lt;=10,"6 TO 10","More than 10"))</f>
        <v>3</v>
      </c>
      <c r="G1963" s="52">
        <f t="shared" si="30"/>
        <v>1</v>
      </c>
      <c r="H1963" s="52">
        <f>ROUND(Data!C1963*Data!D1963-Data!E1963,2)</f>
        <v>0</v>
      </c>
      <c r="I1963" s="52">
        <f>IF(AND(OR(Sel_Mode="All",Data!I1963=Sel_Mode),OR(Sel_Gender="All",D1963=Sel_Gender),OR(Sel_Category="All",Data!B1963=Sel_Category),OR(Sel_Month="All",C1963=Sel_Month),OR(Sel_County="All",Data!L1963=Sel_County)),1,0)</f>
        <v>1</v>
      </c>
    </row>
    <row r="1964" spans="1:9" x14ac:dyDescent="0.25">
      <c r="A1964" s="52" t="str">
        <f>Data!A1964</f>
        <v>TX501963</v>
      </c>
      <c r="B1964" s="52">
        <f>MONTH(Data!F1964)</f>
        <v>3</v>
      </c>
      <c r="C1964" s="52" t="str">
        <f>TEXT(Data!F1964,"mmm")</f>
        <v>Mar</v>
      </c>
      <c r="D1964" s="52" t="str">
        <f>Data!O1964</f>
        <v>Female</v>
      </c>
      <c r="E1964" s="52">
        <f>Data!G1964-Data!F1964</f>
        <v>1</v>
      </c>
      <c r="F1964" s="52">
        <f>IF(Data!J1964&lt;=5,Data!J1964,IF(Data!J1964&lt;=10,"6 TO 10","More than 10"))</f>
        <v>4</v>
      </c>
      <c r="G1964" s="52">
        <f t="shared" si="30"/>
        <v>1</v>
      </c>
      <c r="H1964" s="52">
        <f>ROUND(Data!C1964*Data!D1964-Data!E1964,2)</f>
        <v>0</v>
      </c>
      <c r="I1964" s="52">
        <f>IF(AND(OR(Sel_Mode="All",Data!I1964=Sel_Mode),OR(Sel_Gender="All",D1964=Sel_Gender),OR(Sel_Category="All",Data!B1964=Sel_Category),OR(Sel_Month="All",C1964=Sel_Month),OR(Sel_County="All",Data!L1964=Sel_County)),1,0)</f>
        <v>1</v>
      </c>
    </row>
    <row r="1965" spans="1:9" x14ac:dyDescent="0.25">
      <c r="A1965" s="52" t="str">
        <f>Data!A1965</f>
        <v>TX501964</v>
      </c>
      <c r="B1965" s="52">
        <f>MONTH(Data!F1965)</f>
        <v>3</v>
      </c>
      <c r="C1965" s="52" t="str">
        <f>TEXT(Data!F1965,"mmm")</f>
        <v>Mar</v>
      </c>
      <c r="D1965" s="52" t="str">
        <f>Data!O1965</f>
        <v>Male</v>
      </c>
      <c r="E1965" s="52">
        <f>Data!G1965-Data!F1965</f>
        <v>1</v>
      </c>
      <c r="F1965" s="52">
        <f>IF(Data!J1965&lt;=5,Data!J1965,IF(Data!J1965&lt;=10,"6 TO 10","More than 10"))</f>
        <v>5</v>
      </c>
      <c r="G1965" s="52">
        <f t="shared" si="30"/>
        <v>1</v>
      </c>
      <c r="H1965" s="52">
        <f>ROUND(Data!C1965*Data!D1965-Data!E1965,2)</f>
        <v>0</v>
      </c>
      <c r="I1965" s="52">
        <f>IF(AND(OR(Sel_Mode="All",Data!I1965=Sel_Mode),OR(Sel_Gender="All",D1965=Sel_Gender),OR(Sel_Category="All",Data!B1965=Sel_Category),OR(Sel_Month="All",C1965=Sel_Month),OR(Sel_County="All",Data!L1965=Sel_County)),1,0)</f>
        <v>1</v>
      </c>
    </row>
    <row r="1966" spans="1:9" x14ac:dyDescent="0.25">
      <c r="A1966" s="52" t="str">
        <f>Data!A1966</f>
        <v>TX501965</v>
      </c>
      <c r="B1966" s="52">
        <f>MONTH(Data!F1966)</f>
        <v>3</v>
      </c>
      <c r="C1966" s="52" t="str">
        <f>TEXT(Data!F1966,"mmm")</f>
        <v>Mar</v>
      </c>
      <c r="D1966" s="52" t="str">
        <f>Data!O1966</f>
        <v>Female</v>
      </c>
      <c r="E1966" s="52">
        <f>Data!G1966-Data!F1966</f>
        <v>1</v>
      </c>
      <c r="F1966" s="52">
        <f>IF(Data!J1966&lt;=5,Data!J1966,IF(Data!J1966&lt;=10,"6 TO 10","More than 10"))</f>
        <v>2</v>
      </c>
      <c r="G1966" s="52">
        <f t="shared" si="30"/>
        <v>1</v>
      </c>
      <c r="H1966" s="52">
        <f>ROUND(Data!C1966*Data!D1966-Data!E1966,2)</f>
        <v>0</v>
      </c>
      <c r="I1966" s="52">
        <f>IF(AND(OR(Sel_Mode="All",Data!I1966=Sel_Mode),OR(Sel_Gender="All",D1966=Sel_Gender),OR(Sel_Category="All",Data!B1966=Sel_Category),OR(Sel_Month="All",C1966=Sel_Month),OR(Sel_County="All",Data!L1966=Sel_County)),1,0)</f>
        <v>1</v>
      </c>
    </row>
    <row r="1967" spans="1:9" x14ac:dyDescent="0.25">
      <c r="A1967" s="52" t="str">
        <f>Data!A1967</f>
        <v>TX501966</v>
      </c>
      <c r="B1967" s="52">
        <f>MONTH(Data!F1967)</f>
        <v>3</v>
      </c>
      <c r="C1967" s="52" t="str">
        <f>TEXT(Data!F1967,"mmm")</f>
        <v>Mar</v>
      </c>
      <c r="D1967" s="52" t="str">
        <f>Data!O1967</f>
        <v>Male</v>
      </c>
      <c r="E1967" s="52">
        <f>Data!G1967-Data!F1967</f>
        <v>1</v>
      </c>
      <c r="F1967" s="52">
        <f>IF(Data!J1967&lt;=5,Data!J1967,IF(Data!J1967&lt;=10,"6 TO 10","More than 10"))</f>
        <v>4</v>
      </c>
      <c r="G1967" s="52">
        <f t="shared" si="30"/>
        <v>1</v>
      </c>
      <c r="H1967" s="52">
        <f>ROUND(Data!C1967*Data!D1967-Data!E1967,2)</f>
        <v>0</v>
      </c>
      <c r="I1967" s="52">
        <f>IF(AND(OR(Sel_Mode="All",Data!I1967=Sel_Mode),OR(Sel_Gender="All",D1967=Sel_Gender),OR(Sel_Category="All",Data!B1967=Sel_Category),OR(Sel_Month="All",C1967=Sel_Month),OR(Sel_County="All",Data!L1967=Sel_County)),1,0)</f>
        <v>1</v>
      </c>
    </row>
    <row r="1968" spans="1:9" x14ac:dyDescent="0.25">
      <c r="A1968" s="52" t="str">
        <f>Data!A1968</f>
        <v>TX501967</v>
      </c>
      <c r="B1968" s="52">
        <f>MONTH(Data!F1968)</f>
        <v>3</v>
      </c>
      <c r="C1968" s="52" t="str">
        <f>TEXT(Data!F1968,"mmm")</f>
        <v>Mar</v>
      </c>
      <c r="D1968" s="52" t="str">
        <f>Data!O1968</f>
        <v>Male</v>
      </c>
      <c r="E1968" s="52">
        <f>Data!G1968-Data!F1968</f>
        <v>1</v>
      </c>
      <c r="F1968" s="52">
        <f>IF(Data!J1968&lt;=5,Data!J1968,IF(Data!J1968&lt;=10,"6 TO 10","More than 10"))</f>
        <v>3</v>
      </c>
      <c r="G1968" s="52">
        <f t="shared" si="30"/>
        <v>1</v>
      </c>
      <c r="H1968" s="52">
        <f>ROUND(Data!C1968*Data!D1968-Data!E1968,2)</f>
        <v>0</v>
      </c>
      <c r="I1968" s="52">
        <f>IF(AND(OR(Sel_Mode="All",Data!I1968=Sel_Mode),OR(Sel_Gender="All",D1968=Sel_Gender),OR(Sel_Category="All",Data!B1968=Sel_Category),OR(Sel_Month="All",C1968=Sel_Month),OR(Sel_County="All",Data!L1968=Sel_County)),1,0)</f>
        <v>1</v>
      </c>
    </row>
    <row r="1969" spans="1:9" x14ac:dyDescent="0.25">
      <c r="A1969" s="52" t="str">
        <f>Data!A1969</f>
        <v>TX501968</v>
      </c>
      <c r="B1969" s="52">
        <f>MONTH(Data!F1969)</f>
        <v>3</v>
      </c>
      <c r="C1969" s="52" t="str">
        <f>TEXT(Data!F1969,"mmm")</f>
        <v>Mar</v>
      </c>
      <c r="D1969" s="52" t="str">
        <f>Data!O1969</f>
        <v>Female</v>
      </c>
      <c r="E1969" s="52">
        <f>Data!G1969-Data!F1969</f>
        <v>2</v>
      </c>
      <c r="F1969" s="52">
        <f>IF(Data!J1969&lt;=5,Data!J1969,IF(Data!J1969&lt;=10,"6 TO 10","More than 10"))</f>
        <v>4</v>
      </c>
      <c r="G1969" s="52">
        <f t="shared" si="30"/>
        <v>2</v>
      </c>
      <c r="H1969" s="52">
        <f>ROUND(Data!C1969*Data!D1969-Data!E1969,2)</f>
        <v>0</v>
      </c>
      <c r="I1969" s="52">
        <f>IF(AND(OR(Sel_Mode="All",Data!I1969=Sel_Mode),OR(Sel_Gender="All",D1969=Sel_Gender),OR(Sel_Category="All",Data!B1969=Sel_Category),OR(Sel_Month="All",C1969=Sel_Month),OR(Sel_County="All",Data!L1969=Sel_County)),1,0)</f>
        <v>1</v>
      </c>
    </row>
    <row r="1970" spans="1:9" x14ac:dyDescent="0.25">
      <c r="A1970" s="52" t="str">
        <f>Data!A1970</f>
        <v>TX501969</v>
      </c>
      <c r="B1970" s="52">
        <f>MONTH(Data!F1970)</f>
        <v>3</v>
      </c>
      <c r="C1970" s="52" t="str">
        <f>TEXT(Data!F1970,"mmm")</f>
        <v>Mar</v>
      </c>
      <c r="D1970" s="52" t="str">
        <f>Data!O1970</f>
        <v>Other</v>
      </c>
      <c r="E1970" s="52">
        <f>Data!G1970-Data!F1970</f>
        <v>8</v>
      </c>
      <c r="F1970" s="52">
        <f>IF(Data!J1970&lt;=5,Data!J1970,IF(Data!J1970&lt;=10,"6 TO 10","More than 10"))</f>
        <v>3</v>
      </c>
      <c r="G1970" s="52" t="str">
        <f t="shared" si="30"/>
        <v>8+</v>
      </c>
      <c r="H1970" s="52">
        <f>ROUND(Data!C1970*Data!D1970-Data!E1970,2)</f>
        <v>0</v>
      </c>
      <c r="I1970" s="52">
        <f>IF(AND(OR(Sel_Mode="All",Data!I1970=Sel_Mode),OR(Sel_Gender="All",D1970=Sel_Gender),OR(Sel_Category="All",Data!B1970=Sel_Category),OR(Sel_Month="All",C1970=Sel_Month),OR(Sel_County="All",Data!L1970=Sel_County)),1,0)</f>
        <v>1</v>
      </c>
    </row>
    <row r="1971" spans="1:9" x14ac:dyDescent="0.25">
      <c r="A1971" s="52" t="str">
        <f>Data!A1971</f>
        <v>TX501970</v>
      </c>
      <c r="B1971" s="52">
        <f>MONTH(Data!F1971)</f>
        <v>3</v>
      </c>
      <c r="C1971" s="52" t="str">
        <f>TEXT(Data!F1971,"mmm")</f>
        <v>Mar</v>
      </c>
      <c r="D1971" s="52" t="str">
        <f>Data!O1971</f>
        <v>Unknown</v>
      </c>
      <c r="E1971" s="52">
        <f>Data!G1971-Data!F1971</f>
        <v>2</v>
      </c>
      <c r="F1971" s="52">
        <f>IF(Data!J1971&lt;=5,Data!J1971,IF(Data!J1971&lt;=10,"6 TO 10","More than 10"))</f>
        <v>4</v>
      </c>
      <c r="G1971" s="52">
        <f t="shared" si="30"/>
        <v>2</v>
      </c>
      <c r="H1971" s="52">
        <f>ROUND(Data!C1971*Data!D1971-Data!E1971,2)</f>
        <v>0</v>
      </c>
      <c r="I1971" s="52">
        <f>IF(AND(OR(Sel_Mode="All",Data!I1971=Sel_Mode),OR(Sel_Gender="All",D1971=Sel_Gender),OR(Sel_Category="All",Data!B1971=Sel_Category),OR(Sel_Month="All",C1971=Sel_Month),OR(Sel_County="All",Data!L1971=Sel_County)),1,0)</f>
        <v>1</v>
      </c>
    </row>
    <row r="1972" spans="1:9" x14ac:dyDescent="0.25">
      <c r="A1972" s="52" t="str">
        <f>Data!A1972</f>
        <v>TX501971</v>
      </c>
      <c r="B1972" s="52">
        <f>MONTH(Data!F1972)</f>
        <v>3</v>
      </c>
      <c r="C1972" s="52" t="str">
        <f>TEXT(Data!F1972,"mmm")</f>
        <v>Mar</v>
      </c>
      <c r="D1972" s="52" t="str">
        <f>Data!O1972</f>
        <v>Female</v>
      </c>
      <c r="E1972" s="52">
        <f>Data!G1972-Data!F1972</f>
        <v>2</v>
      </c>
      <c r="F1972" s="52">
        <f>IF(Data!J1972&lt;=5,Data!J1972,IF(Data!J1972&lt;=10,"6 TO 10","More than 10"))</f>
        <v>2</v>
      </c>
      <c r="G1972" s="52">
        <f t="shared" si="30"/>
        <v>2</v>
      </c>
      <c r="H1972" s="52">
        <f>ROUND(Data!C1972*Data!D1972-Data!E1972,2)</f>
        <v>0</v>
      </c>
      <c r="I1972" s="52">
        <f>IF(AND(OR(Sel_Mode="All",Data!I1972=Sel_Mode),OR(Sel_Gender="All",D1972=Sel_Gender),OR(Sel_Category="All",Data!B1972=Sel_Category),OR(Sel_Month="All",C1972=Sel_Month),OR(Sel_County="All",Data!L1972=Sel_County)),1,0)</f>
        <v>1</v>
      </c>
    </row>
    <row r="1973" spans="1:9" x14ac:dyDescent="0.25">
      <c r="A1973" s="52" t="str">
        <f>Data!A1973</f>
        <v>TX501972</v>
      </c>
      <c r="B1973" s="52">
        <f>MONTH(Data!F1973)</f>
        <v>3</v>
      </c>
      <c r="C1973" s="52" t="str">
        <f>TEXT(Data!F1973,"mmm")</f>
        <v>Mar</v>
      </c>
      <c r="D1973" s="52" t="str">
        <f>Data!O1973</f>
        <v>Male</v>
      </c>
      <c r="E1973" s="52">
        <f>Data!G1973-Data!F1973</f>
        <v>1</v>
      </c>
      <c r="F1973" s="52">
        <f>IF(Data!J1973&lt;=5,Data!J1973,IF(Data!J1973&lt;=10,"6 TO 10","More than 10"))</f>
        <v>4</v>
      </c>
      <c r="G1973" s="52">
        <f t="shared" si="30"/>
        <v>1</v>
      </c>
      <c r="H1973" s="52">
        <f>ROUND(Data!C1973*Data!D1973-Data!E1973,2)</f>
        <v>0</v>
      </c>
      <c r="I1973" s="52">
        <f>IF(AND(OR(Sel_Mode="All",Data!I1973=Sel_Mode),OR(Sel_Gender="All",D1973=Sel_Gender),OR(Sel_Category="All",Data!B1973=Sel_Category),OR(Sel_Month="All",C1973=Sel_Month),OR(Sel_County="All",Data!L1973=Sel_County)),1,0)</f>
        <v>1</v>
      </c>
    </row>
    <row r="1974" spans="1:9" x14ac:dyDescent="0.25">
      <c r="A1974" s="52" t="str">
        <f>Data!A1974</f>
        <v>TX501973</v>
      </c>
      <c r="B1974" s="52">
        <f>MONTH(Data!F1974)</f>
        <v>3</v>
      </c>
      <c r="C1974" s="52" t="str">
        <f>TEXT(Data!F1974,"mmm")</f>
        <v>Mar</v>
      </c>
      <c r="D1974" s="52" t="str">
        <f>Data!O1974</f>
        <v>Male</v>
      </c>
      <c r="E1974" s="52">
        <f>Data!G1974-Data!F1974</f>
        <v>1</v>
      </c>
      <c r="F1974" s="52">
        <f>IF(Data!J1974&lt;=5,Data!J1974,IF(Data!J1974&lt;=10,"6 TO 10","More than 10"))</f>
        <v>5</v>
      </c>
      <c r="G1974" s="52">
        <f t="shared" si="30"/>
        <v>1</v>
      </c>
      <c r="H1974" s="52">
        <f>ROUND(Data!C1974*Data!D1974-Data!E1974,2)</f>
        <v>0</v>
      </c>
      <c r="I1974" s="52">
        <f>IF(AND(OR(Sel_Mode="All",Data!I1974=Sel_Mode),OR(Sel_Gender="All",D1974=Sel_Gender),OR(Sel_Category="All",Data!B1974=Sel_Category),OR(Sel_Month="All",C1974=Sel_Month),OR(Sel_County="All",Data!L1974=Sel_County)),1,0)</f>
        <v>1</v>
      </c>
    </row>
    <row r="1975" spans="1:9" x14ac:dyDescent="0.25">
      <c r="A1975" s="52" t="str">
        <f>Data!A1975</f>
        <v>TX501974</v>
      </c>
      <c r="B1975" s="52">
        <f>MONTH(Data!F1975)</f>
        <v>3</v>
      </c>
      <c r="C1975" s="52" t="str">
        <f>TEXT(Data!F1975,"mmm")</f>
        <v>Mar</v>
      </c>
      <c r="D1975" s="52" t="str">
        <f>Data!O1975</f>
        <v>Female</v>
      </c>
      <c r="E1975" s="52">
        <f>Data!G1975-Data!F1975</f>
        <v>4</v>
      </c>
      <c r="F1975" s="52">
        <f>IF(Data!J1975&lt;=5,Data!J1975,IF(Data!J1975&lt;=10,"6 TO 10","More than 10"))</f>
        <v>4</v>
      </c>
      <c r="G1975" s="52">
        <f t="shared" si="30"/>
        <v>4</v>
      </c>
      <c r="H1975" s="52">
        <f>ROUND(Data!C1975*Data!D1975-Data!E1975,2)</f>
        <v>0</v>
      </c>
      <c r="I1975" s="52">
        <f>IF(AND(OR(Sel_Mode="All",Data!I1975=Sel_Mode),OR(Sel_Gender="All",D1975=Sel_Gender),OR(Sel_Category="All",Data!B1975=Sel_Category),OR(Sel_Month="All",C1975=Sel_Month),OR(Sel_County="All",Data!L1975=Sel_County)),1,0)</f>
        <v>1</v>
      </c>
    </row>
    <row r="1976" spans="1:9" x14ac:dyDescent="0.25">
      <c r="A1976" s="52" t="str">
        <f>Data!A1976</f>
        <v>TX501975</v>
      </c>
      <c r="B1976" s="52">
        <f>MONTH(Data!F1976)</f>
        <v>3</v>
      </c>
      <c r="C1976" s="52" t="str">
        <f>TEXT(Data!F1976,"mmm")</f>
        <v>Mar</v>
      </c>
      <c r="D1976" s="52" t="str">
        <f>Data!O1976</f>
        <v>Female</v>
      </c>
      <c r="E1976" s="52">
        <f>Data!G1976-Data!F1976</f>
        <v>1</v>
      </c>
      <c r="F1976" s="52">
        <f>IF(Data!J1976&lt;=5,Data!J1976,IF(Data!J1976&lt;=10,"6 TO 10","More than 10"))</f>
        <v>4</v>
      </c>
      <c r="G1976" s="52">
        <f t="shared" si="30"/>
        <v>1</v>
      </c>
      <c r="H1976" s="52">
        <f>ROUND(Data!C1976*Data!D1976-Data!E1976,2)</f>
        <v>0</v>
      </c>
      <c r="I1976" s="52">
        <f>IF(AND(OR(Sel_Mode="All",Data!I1976=Sel_Mode),OR(Sel_Gender="All",D1976=Sel_Gender),OR(Sel_Category="All",Data!B1976=Sel_Category),OR(Sel_Month="All",C1976=Sel_Month),OR(Sel_County="All",Data!L1976=Sel_County)),1,0)</f>
        <v>1</v>
      </c>
    </row>
    <row r="1977" spans="1:9" x14ac:dyDescent="0.25">
      <c r="A1977" s="52" t="str">
        <f>Data!A1977</f>
        <v>TX501976</v>
      </c>
      <c r="B1977" s="52">
        <f>MONTH(Data!F1977)</f>
        <v>3</v>
      </c>
      <c r="C1977" s="52" t="str">
        <f>TEXT(Data!F1977,"mmm")</f>
        <v>Mar</v>
      </c>
      <c r="D1977" s="52" t="str">
        <f>Data!O1977</f>
        <v>Male</v>
      </c>
      <c r="E1977" s="52">
        <f>Data!G1977-Data!F1977</f>
        <v>2</v>
      </c>
      <c r="F1977" s="52">
        <f>IF(Data!J1977&lt;=5,Data!J1977,IF(Data!J1977&lt;=10,"6 TO 10","More than 10"))</f>
        <v>5</v>
      </c>
      <c r="G1977" s="52">
        <f t="shared" si="30"/>
        <v>2</v>
      </c>
      <c r="H1977" s="52">
        <f>ROUND(Data!C1977*Data!D1977-Data!E1977,2)</f>
        <v>0</v>
      </c>
      <c r="I1977" s="52">
        <f>IF(AND(OR(Sel_Mode="All",Data!I1977=Sel_Mode),OR(Sel_Gender="All",D1977=Sel_Gender),OR(Sel_Category="All",Data!B1977=Sel_Category),OR(Sel_Month="All",C1977=Sel_Month),OR(Sel_County="All",Data!L1977=Sel_County)),1,0)</f>
        <v>1</v>
      </c>
    </row>
    <row r="1978" spans="1:9" x14ac:dyDescent="0.25">
      <c r="A1978" s="52" t="str">
        <f>Data!A1978</f>
        <v>TX501977</v>
      </c>
      <c r="B1978" s="52">
        <f>MONTH(Data!F1978)</f>
        <v>3</v>
      </c>
      <c r="C1978" s="52" t="str">
        <f>TEXT(Data!F1978,"mmm")</f>
        <v>Mar</v>
      </c>
      <c r="D1978" s="52" t="str">
        <f>Data!O1978</f>
        <v>Male</v>
      </c>
      <c r="E1978" s="52">
        <f>Data!G1978-Data!F1978</f>
        <v>1</v>
      </c>
      <c r="F1978" s="52">
        <f>IF(Data!J1978&lt;=5,Data!J1978,IF(Data!J1978&lt;=10,"6 TO 10","More than 10"))</f>
        <v>5</v>
      </c>
      <c r="G1978" s="52">
        <f t="shared" si="30"/>
        <v>1</v>
      </c>
      <c r="H1978" s="52">
        <f>ROUND(Data!C1978*Data!D1978-Data!E1978,2)</f>
        <v>0</v>
      </c>
      <c r="I1978" s="52">
        <f>IF(AND(OR(Sel_Mode="All",Data!I1978=Sel_Mode),OR(Sel_Gender="All",D1978=Sel_Gender),OR(Sel_Category="All",Data!B1978=Sel_Category),OR(Sel_Month="All",C1978=Sel_Month),OR(Sel_County="All",Data!L1978=Sel_County)),1,0)</f>
        <v>1</v>
      </c>
    </row>
    <row r="1979" spans="1:9" x14ac:dyDescent="0.25">
      <c r="A1979" s="52" t="str">
        <f>Data!A1979</f>
        <v>TX501978</v>
      </c>
      <c r="B1979" s="52">
        <f>MONTH(Data!F1979)</f>
        <v>3</v>
      </c>
      <c r="C1979" s="52" t="str">
        <f>TEXT(Data!F1979,"mmm")</f>
        <v>Mar</v>
      </c>
      <c r="D1979" s="52" t="str">
        <f>Data!O1979</f>
        <v>Other</v>
      </c>
      <c r="E1979" s="52">
        <f>Data!G1979-Data!F1979</f>
        <v>8</v>
      </c>
      <c r="F1979" s="52">
        <f>IF(Data!J1979&lt;=5,Data!J1979,IF(Data!J1979&lt;=10,"6 TO 10","More than 10"))</f>
        <v>3</v>
      </c>
      <c r="G1979" s="52" t="str">
        <f t="shared" si="30"/>
        <v>8+</v>
      </c>
      <c r="H1979" s="52">
        <f>ROUND(Data!C1979*Data!D1979-Data!E1979,2)</f>
        <v>0</v>
      </c>
      <c r="I1979" s="52">
        <f>IF(AND(OR(Sel_Mode="All",Data!I1979=Sel_Mode),OR(Sel_Gender="All",D1979=Sel_Gender),OR(Sel_Category="All",Data!B1979=Sel_Category),OR(Sel_Month="All",C1979=Sel_Month),OR(Sel_County="All",Data!L1979=Sel_County)),1,0)</f>
        <v>1</v>
      </c>
    </row>
    <row r="1980" spans="1:9" x14ac:dyDescent="0.25">
      <c r="A1980" s="52" t="str">
        <f>Data!A1980</f>
        <v>TX501979</v>
      </c>
      <c r="B1980" s="52">
        <f>MONTH(Data!F1980)</f>
        <v>3</v>
      </c>
      <c r="C1980" s="52" t="str">
        <f>TEXT(Data!F1980,"mmm")</f>
        <v>Mar</v>
      </c>
      <c r="D1980" s="52" t="str">
        <f>Data!O1980</f>
        <v>Male</v>
      </c>
      <c r="E1980" s="52">
        <f>Data!G1980-Data!F1980</f>
        <v>12</v>
      </c>
      <c r="F1980" s="52">
        <f>IF(Data!J1980&lt;=5,Data!J1980,IF(Data!J1980&lt;=10,"6 TO 10","More than 10"))</f>
        <v>5</v>
      </c>
      <c r="G1980" s="52" t="str">
        <f t="shared" si="30"/>
        <v>8+</v>
      </c>
      <c r="H1980" s="52">
        <f>ROUND(Data!C1980*Data!D1980-Data!E1980,2)</f>
        <v>0</v>
      </c>
      <c r="I1980" s="52">
        <f>IF(AND(OR(Sel_Mode="All",Data!I1980=Sel_Mode),OR(Sel_Gender="All",D1980=Sel_Gender),OR(Sel_Category="All",Data!B1980=Sel_Category),OR(Sel_Month="All",C1980=Sel_Month),OR(Sel_County="All",Data!L1980=Sel_County)),1,0)</f>
        <v>1</v>
      </c>
    </row>
    <row r="1981" spans="1:9" x14ac:dyDescent="0.25">
      <c r="A1981" s="52" t="str">
        <f>Data!A1981</f>
        <v>TX501980</v>
      </c>
      <c r="B1981" s="52">
        <f>MONTH(Data!F1981)</f>
        <v>3</v>
      </c>
      <c r="C1981" s="52" t="str">
        <f>TEXT(Data!F1981,"mmm")</f>
        <v>Mar</v>
      </c>
      <c r="D1981" s="52" t="str">
        <f>Data!O1981</f>
        <v>Male</v>
      </c>
      <c r="E1981" s="52">
        <f>Data!G1981-Data!F1981</f>
        <v>0</v>
      </c>
      <c r="F1981" s="52">
        <f>IF(Data!J1981&lt;=5,Data!J1981,IF(Data!J1981&lt;=10,"6 TO 10","More than 10"))</f>
        <v>5</v>
      </c>
      <c r="G1981" s="52">
        <f t="shared" si="30"/>
        <v>0</v>
      </c>
      <c r="H1981" s="52">
        <f>ROUND(Data!C1981*Data!D1981-Data!E1981,2)</f>
        <v>0</v>
      </c>
      <c r="I1981" s="52">
        <f>IF(AND(OR(Sel_Mode="All",Data!I1981=Sel_Mode),OR(Sel_Gender="All",D1981=Sel_Gender),OR(Sel_Category="All",Data!B1981=Sel_Category),OR(Sel_Month="All",C1981=Sel_Month),OR(Sel_County="All",Data!L1981=Sel_County)),1,0)</f>
        <v>1</v>
      </c>
    </row>
    <row r="1982" spans="1:9" x14ac:dyDescent="0.25">
      <c r="A1982" s="52" t="str">
        <f>Data!A1982</f>
        <v>TX501981</v>
      </c>
      <c r="B1982" s="52">
        <f>MONTH(Data!F1982)</f>
        <v>3</v>
      </c>
      <c r="C1982" s="52" t="str">
        <f>TEXT(Data!F1982,"mmm")</f>
        <v>Mar</v>
      </c>
      <c r="D1982" s="52" t="str">
        <f>Data!O1982</f>
        <v>Female</v>
      </c>
      <c r="E1982" s="52">
        <f>Data!G1982-Data!F1982</f>
        <v>4</v>
      </c>
      <c r="F1982" s="52">
        <f>IF(Data!J1982&lt;=5,Data!J1982,IF(Data!J1982&lt;=10,"6 TO 10","More than 10"))</f>
        <v>5</v>
      </c>
      <c r="G1982" s="52">
        <f t="shared" si="30"/>
        <v>4</v>
      </c>
      <c r="H1982" s="52">
        <f>ROUND(Data!C1982*Data!D1982-Data!E1982,2)</f>
        <v>0</v>
      </c>
      <c r="I1982" s="52">
        <f>IF(AND(OR(Sel_Mode="All",Data!I1982=Sel_Mode),OR(Sel_Gender="All",D1982=Sel_Gender),OR(Sel_Category="All",Data!B1982=Sel_Category),OR(Sel_Month="All",C1982=Sel_Month),OR(Sel_County="All",Data!L1982=Sel_County)),1,0)</f>
        <v>1</v>
      </c>
    </row>
    <row r="1983" spans="1:9" x14ac:dyDescent="0.25">
      <c r="A1983" s="52" t="str">
        <f>Data!A1983</f>
        <v>TX501982</v>
      </c>
      <c r="B1983" s="52">
        <f>MONTH(Data!F1983)</f>
        <v>3</v>
      </c>
      <c r="C1983" s="52" t="str">
        <f>TEXT(Data!F1983,"mmm")</f>
        <v>Mar</v>
      </c>
      <c r="D1983" s="52" t="str">
        <f>Data!O1983</f>
        <v>Female</v>
      </c>
      <c r="E1983" s="52">
        <f>Data!G1983-Data!F1983</f>
        <v>1</v>
      </c>
      <c r="F1983" s="52">
        <f>IF(Data!J1983&lt;=5,Data!J1983,IF(Data!J1983&lt;=10,"6 TO 10","More than 10"))</f>
        <v>5</v>
      </c>
      <c r="G1983" s="52">
        <f t="shared" si="30"/>
        <v>1</v>
      </c>
      <c r="H1983" s="52">
        <f>ROUND(Data!C1983*Data!D1983-Data!E1983,2)</f>
        <v>0</v>
      </c>
      <c r="I1983" s="52">
        <f>IF(AND(OR(Sel_Mode="All",Data!I1983=Sel_Mode),OR(Sel_Gender="All",D1983=Sel_Gender),OR(Sel_Category="All",Data!B1983=Sel_Category),OR(Sel_Month="All",C1983=Sel_Month),OR(Sel_County="All",Data!L1983=Sel_County)),1,0)</f>
        <v>1</v>
      </c>
    </row>
    <row r="1984" spans="1:9" x14ac:dyDescent="0.25">
      <c r="A1984" s="52" t="str">
        <f>Data!A1984</f>
        <v>TX501983</v>
      </c>
      <c r="B1984" s="52">
        <f>MONTH(Data!F1984)</f>
        <v>3</v>
      </c>
      <c r="C1984" s="52" t="str">
        <f>TEXT(Data!F1984,"mmm")</f>
        <v>Mar</v>
      </c>
      <c r="D1984" s="52" t="str">
        <f>Data!O1984</f>
        <v>Male</v>
      </c>
      <c r="E1984" s="52">
        <f>Data!G1984-Data!F1984</f>
        <v>4</v>
      </c>
      <c r="F1984" s="52">
        <f>IF(Data!J1984&lt;=5,Data!J1984,IF(Data!J1984&lt;=10,"6 TO 10","More than 10"))</f>
        <v>5</v>
      </c>
      <c r="G1984" s="52">
        <f t="shared" si="30"/>
        <v>4</v>
      </c>
      <c r="H1984" s="52">
        <f>ROUND(Data!C1984*Data!D1984-Data!E1984,2)</f>
        <v>0</v>
      </c>
      <c r="I1984" s="52">
        <f>IF(AND(OR(Sel_Mode="All",Data!I1984=Sel_Mode),OR(Sel_Gender="All",D1984=Sel_Gender),OR(Sel_Category="All",Data!B1984=Sel_Category),OR(Sel_Month="All",C1984=Sel_Month),OR(Sel_County="All",Data!L1984=Sel_County)),1,0)</f>
        <v>1</v>
      </c>
    </row>
    <row r="1985" spans="1:9" x14ac:dyDescent="0.25">
      <c r="A1985" s="52" t="str">
        <f>Data!A1985</f>
        <v>TX501984</v>
      </c>
      <c r="B1985" s="52">
        <f>MONTH(Data!F1985)</f>
        <v>3</v>
      </c>
      <c r="C1985" s="52" t="str">
        <f>TEXT(Data!F1985,"mmm")</f>
        <v>Mar</v>
      </c>
      <c r="D1985" s="52" t="str">
        <f>Data!O1985</f>
        <v>Female</v>
      </c>
      <c r="E1985" s="52">
        <f>Data!G1985-Data!F1985</f>
        <v>1</v>
      </c>
      <c r="F1985" s="52">
        <f>IF(Data!J1985&lt;=5,Data!J1985,IF(Data!J1985&lt;=10,"6 TO 10","More than 10"))</f>
        <v>4</v>
      </c>
      <c r="G1985" s="52">
        <f t="shared" si="30"/>
        <v>1</v>
      </c>
      <c r="H1985" s="52">
        <f>ROUND(Data!C1985*Data!D1985-Data!E1985,2)</f>
        <v>0</v>
      </c>
      <c r="I1985" s="52">
        <f>IF(AND(OR(Sel_Mode="All",Data!I1985=Sel_Mode),OR(Sel_Gender="All",D1985=Sel_Gender),OR(Sel_Category="All",Data!B1985=Sel_Category),OR(Sel_Month="All",C1985=Sel_Month),OR(Sel_County="All",Data!L1985=Sel_County)),1,0)</f>
        <v>1</v>
      </c>
    </row>
    <row r="1986" spans="1:9" x14ac:dyDescent="0.25">
      <c r="A1986" s="52" t="str">
        <f>Data!A1986</f>
        <v>TX501985</v>
      </c>
      <c r="B1986" s="52">
        <f>MONTH(Data!F1986)</f>
        <v>3</v>
      </c>
      <c r="C1986" s="52" t="str">
        <f>TEXT(Data!F1986,"mmm")</f>
        <v>Mar</v>
      </c>
      <c r="D1986" s="52" t="str">
        <f>Data!O1986</f>
        <v>Female</v>
      </c>
      <c r="E1986" s="52">
        <f>Data!G1986-Data!F1986</f>
        <v>2</v>
      </c>
      <c r="F1986" s="52">
        <f>IF(Data!J1986&lt;=5,Data!J1986,IF(Data!J1986&lt;=10,"6 TO 10","More than 10"))</f>
        <v>5</v>
      </c>
      <c r="G1986" s="52">
        <f t="shared" ref="G1986:G2049" si="31">IF(E1986&gt;=8,"8+",E1986)</f>
        <v>2</v>
      </c>
      <c r="H1986" s="52">
        <f>ROUND(Data!C1986*Data!D1986-Data!E1986,2)</f>
        <v>0</v>
      </c>
      <c r="I1986" s="52">
        <f>IF(AND(OR(Sel_Mode="All",Data!I1986=Sel_Mode),OR(Sel_Gender="All",D1986=Sel_Gender),OR(Sel_Category="All",Data!B1986=Sel_Category),OR(Sel_Month="All",C1986=Sel_Month),OR(Sel_County="All",Data!L1986=Sel_County)),1,0)</f>
        <v>1</v>
      </c>
    </row>
    <row r="1987" spans="1:9" x14ac:dyDescent="0.25">
      <c r="A1987" s="52" t="str">
        <f>Data!A1987</f>
        <v>TX501986</v>
      </c>
      <c r="B1987" s="52">
        <f>MONTH(Data!F1987)</f>
        <v>3</v>
      </c>
      <c r="C1987" s="52" t="str">
        <f>TEXT(Data!F1987,"mmm")</f>
        <v>Mar</v>
      </c>
      <c r="D1987" s="52" t="str">
        <f>Data!O1987</f>
        <v>Female</v>
      </c>
      <c r="E1987" s="52">
        <f>Data!G1987-Data!F1987</f>
        <v>2</v>
      </c>
      <c r="F1987" s="52">
        <f>IF(Data!J1987&lt;=5,Data!J1987,IF(Data!J1987&lt;=10,"6 TO 10","More than 10"))</f>
        <v>2</v>
      </c>
      <c r="G1987" s="52">
        <f t="shared" si="31"/>
        <v>2</v>
      </c>
      <c r="H1987" s="52">
        <f>ROUND(Data!C1987*Data!D1987-Data!E1987,2)</f>
        <v>0</v>
      </c>
      <c r="I1987" s="52">
        <f>IF(AND(OR(Sel_Mode="All",Data!I1987=Sel_Mode),OR(Sel_Gender="All",D1987=Sel_Gender),OR(Sel_Category="All",Data!B1987=Sel_Category),OR(Sel_Month="All",C1987=Sel_Month),OR(Sel_County="All",Data!L1987=Sel_County)),1,0)</f>
        <v>1</v>
      </c>
    </row>
    <row r="1988" spans="1:9" x14ac:dyDescent="0.25">
      <c r="A1988" s="52" t="str">
        <f>Data!A1988</f>
        <v>TX501987</v>
      </c>
      <c r="B1988" s="52">
        <f>MONTH(Data!F1988)</f>
        <v>3</v>
      </c>
      <c r="C1988" s="52" t="str">
        <f>TEXT(Data!F1988,"mmm")</f>
        <v>Mar</v>
      </c>
      <c r="D1988" s="52" t="str">
        <f>Data!O1988</f>
        <v>Male</v>
      </c>
      <c r="E1988" s="52">
        <f>Data!G1988-Data!F1988</f>
        <v>4</v>
      </c>
      <c r="F1988" s="52">
        <f>IF(Data!J1988&lt;=5,Data!J1988,IF(Data!J1988&lt;=10,"6 TO 10","More than 10"))</f>
        <v>5</v>
      </c>
      <c r="G1988" s="52">
        <f t="shared" si="31"/>
        <v>4</v>
      </c>
      <c r="H1988" s="52">
        <f>ROUND(Data!C1988*Data!D1988-Data!E1988,2)</f>
        <v>0</v>
      </c>
      <c r="I1988" s="52">
        <f>IF(AND(OR(Sel_Mode="All",Data!I1988=Sel_Mode),OR(Sel_Gender="All",D1988=Sel_Gender),OR(Sel_Category="All",Data!B1988=Sel_Category),OR(Sel_Month="All",C1988=Sel_Month),OR(Sel_County="All",Data!L1988=Sel_County)),1,0)</f>
        <v>1</v>
      </c>
    </row>
    <row r="1989" spans="1:9" x14ac:dyDescent="0.25">
      <c r="A1989" s="52" t="str">
        <f>Data!A1989</f>
        <v>TX501988</v>
      </c>
      <c r="B1989" s="52">
        <f>MONTH(Data!F1989)</f>
        <v>3</v>
      </c>
      <c r="C1989" s="52" t="str">
        <f>TEXT(Data!F1989,"mmm")</f>
        <v>Mar</v>
      </c>
      <c r="D1989" s="52" t="str">
        <f>Data!O1989</f>
        <v>Unknown</v>
      </c>
      <c r="E1989" s="52">
        <f>Data!G1989-Data!F1989</f>
        <v>2</v>
      </c>
      <c r="F1989" s="52">
        <f>IF(Data!J1989&lt;=5,Data!J1989,IF(Data!J1989&lt;=10,"6 TO 10","More than 10"))</f>
        <v>4</v>
      </c>
      <c r="G1989" s="52">
        <f t="shared" si="31"/>
        <v>2</v>
      </c>
      <c r="H1989" s="52">
        <f>ROUND(Data!C1989*Data!D1989-Data!E1989,2)</f>
        <v>0</v>
      </c>
      <c r="I1989" s="52">
        <f>IF(AND(OR(Sel_Mode="All",Data!I1989=Sel_Mode),OR(Sel_Gender="All",D1989=Sel_Gender),OR(Sel_Category="All",Data!B1989=Sel_Category),OR(Sel_Month="All",C1989=Sel_Month),OR(Sel_County="All",Data!L1989=Sel_County)),1,0)</f>
        <v>1</v>
      </c>
    </row>
    <row r="1990" spans="1:9" x14ac:dyDescent="0.25">
      <c r="A1990" s="52" t="str">
        <f>Data!A1990</f>
        <v>TX501989</v>
      </c>
      <c r="B1990" s="52">
        <f>MONTH(Data!F1990)</f>
        <v>3</v>
      </c>
      <c r="C1990" s="52" t="str">
        <f>TEXT(Data!F1990,"mmm")</f>
        <v>Mar</v>
      </c>
      <c r="D1990" s="52" t="str">
        <f>Data!O1990</f>
        <v>Female</v>
      </c>
      <c r="E1990" s="52">
        <f>Data!G1990-Data!F1990</f>
        <v>3</v>
      </c>
      <c r="F1990" s="52">
        <f>IF(Data!J1990&lt;=5,Data!J1990,IF(Data!J1990&lt;=10,"6 TO 10","More than 10"))</f>
        <v>3</v>
      </c>
      <c r="G1990" s="52">
        <f t="shared" si="31"/>
        <v>3</v>
      </c>
      <c r="H1990" s="52">
        <f>ROUND(Data!C1990*Data!D1990-Data!E1990,2)</f>
        <v>0</v>
      </c>
      <c r="I1990" s="52">
        <f>IF(AND(OR(Sel_Mode="All",Data!I1990=Sel_Mode),OR(Sel_Gender="All",D1990=Sel_Gender),OR(Sel_Category="All",Data!B1990=Sel_Category),OR(Sel_Month="All",C1990=Sel_Month),OR(Sel_County="All",Data!L1990=Sel_County)),1,0)</f>
        <v>1</v>
      </c>
    </row>
    <row r="1991" spans="1:9" x14ac:dyDescent="0.25">
      <c r="A1991" s="52" t="str">
        <f>Data!A1991</f>
        <v>TX501990</v>
      </c>
      <c r="B1991" s="52">
        <f>MONTH(Data!F1991)</f>
        <v>3</v>
      </c>
      <c r="C1991" s="52" t="str">
        <f>TEXT(Data!F1991,"mmm")</f>
        <v>Mar</v>
      </c>
      <c r="D1991" s="52" t="str">
        <f>Data!O1991</f>
        <v>Unknown</v>
      </c>
      <c r="E1991" s="52">
        <f>Data!G1991-Data!F1991</f>
        <v>1</v>
      </c>
      <c r="F1991" s="52">
        <f>IF(Data!J1991&lt;=5,Data!J1991,IF(Data!J1991&lt;=10,"6 TO 10","More than 10"))</f>
        <v>3</v>
      </c>
      <c r="G1991" s="52">
        <f t="shared" si="31"/>
        <v>1</v>
      </c>
      <c r="H1991" s="52">
        <f>ROUND(Data!C1991*Data!D1991-Data!E1991,2)</f>
        <v>0</v>
      </c>
      <c r="I1991" s="52">
        <f>IF(AND(OR(Sel_Mode="All",Data!I1991=Sel_Mode),OR(Sel_Gender="All",D1991=Sel_Gender),OR(Sel_Category="All",Data!B1991=Sel_Category),OR(Sel_Month="All",C1991=Sel_Month),OR(Sel_County="All",Data!L1991=Sel_County)),1,0)</f>
        <v>1</v>
      </c>
    </row>
    <row r="1992" spans="1:9" x14ac:dyDescent="0.25">
      <c r="A1992" s="52" t="str">
        <f>Data!A1992</f>
        <v>TX501991</v>
      </c>
      <c r="B1992" s="52">
        <f>MONTH(Data!F1992)</f>
        <v>3</v>
      </c>
      <c r="C1992" s="52" t="str">
        <f>TEXT(Data!F1992,"mmm")</f>
        <v>Mar</v>
      </c>
      <c r="D1992" s="52" t="str">
        <f>Data!O1992</f>
        <v>Unknown</v>
      </c>
      <c r="E1992" s="52">
        <f>Data!G1992-Data!F1992</f>
        <v>2</v>
      </c>
      <c r="F1992" s="52">
        <f>IF(Data!J1992&lt;=5,Data!J1992,IF(Data!J1992&lt;=10,"6 TO 10","More than 10"))</f>
        <v>3</v>
      </c>
      <c r="G1992" s="52">
        <f t="shared" si="31"/>
        <v>2</v>
      </c>
      <c r="H1992" s="52">
        <f>ROUND(Data!C1992*Data!D1992-Data!E1992,2)</f>
        <v>0</v>
      </c>
      <c r="I1992" s="52">
        <f>IF(AND(OR(Sel_Mode="All",Data!I1992=Sel_Mode),OR(Sel_Gender="All",D1992=Sel_Gender),OR(Sel_Category="All",Data!B1992=Sel_Category),OR(Sel_Month="All",C1992=Sel_Month),OR(Sel_County="All",Data!L1992=Sel_County)),1,0)</f>
        <v>1</v>
      </c>
    </row>
    <row r="1993" spans="1:9" x14ac:dyDescent="0.25">
      <c r="A1993" s="52" t="str">
        <f>Data!A1993</f>
        <v>TX501992</v>
      </c>
      <c r="B1993" s="52">
        <f>MONTH(Data!F1993)</f>
        <v>3</v>
      </c>
      <c r="C1993" s="52" t="str">
        <f>TEXT(Data!F1993,"mmm")</f>
        <v>Mar</v>
      </c>
      <c r="D1993" s="52" t="str">
        <f>Data!O1993</f>
        <v>Female</v>
      </c>
      <c r="E1993" s="52">
        <f>Data!G1993-Data!F1993</f>
        <v>1</v>
      </c>
      <c r="F1993" s="52">
        <f>IF(Data!J1993&lt;=5,Data!J1993,IF(Data!J1993&lt;=10,"6 TO 10","More than 10"))</f>
        <v>4</v>
      </c>
      <c r="G1993" s="52">
        <f t="shared" si="31"/>
        <v>1</v>
      </c>
      <c r="H1993" s="52">
        <f>ROUND(Data!C1993*Data!D1993-Data!E1993,2)</f>
        <v>0</v>
      </c>
      <c r="I1993" s="52">
        <f>IF(AND(OR(Sel_Mode="All",Data!I1993=Sel_Mode),OR(Sel_Gender="All",D1993=Sel_Gender),OR(Sel_Category="All",Data!B1993=Sel_Category),OR(Sel_Month="All",C1993=Sel_Month),OR(Sel_County="All",Data!L1993=Sel_County)),1,0)</f>
        <v>1</v>
      </c>
    </row>
    <row r="1994" spans="1:9" x14ac:dyDescent="0.25">
      <c r="A1994" s="52" t="str">
        <f>Data!A1994</f>
        <v>TX501993</v>
      </c>
      <c r="B1994" s="52">
        <f>MONTH(Data!F1994)</f>
        <v>3</v>
      </c>
      <c r="C1994" s="52" t="str">
        <f>TEXT(Data!F1994,"mmm")</f>
        <v>Mar</v>
      </c>
      <c r="D1994" s="52" t="str">
        <f>Data!O1994</f>
        <v>Female</v>
      </c>
      <c r="E1994" s="52">
        <f>Data!G1994-Data!F1994</f>
        <v>7</v>
      </c>
      <c r="F1994" s="52">
        <f>IF(Data!J1994&lt;=5,Data!J1994,IF(Data!J1994&lt;=10,"6 TO 10","More than 10"))</f>
        <v>5</v>
      </c>
      <c r="G1994" s="52">
        <f t="shared" si="31"/>
        <v>7</v>
      </c>
      <c r="H1994" s="52">
        <f>ROUND(Data!C1994*Data!D1994-Data!E1994,2)</f>
        <v>0</v>
      </c>
      <c r="I1994" s="52">
        <f>IF(AND(OR(Sel_Mode="All",Data!I1994=Sel_Mode),OR(Sel_Gender="All",D1994=Sel_Gender),OR(Sel_Category="All",Data!B1994=Sel_Category),OR(Sel_Month="All",C1994=Sel_Month),OR(Sel_County="All",Data!L1994=Sel_County)),1,0)</f>
        <v>1</v>
      </c>
    </row>
    <row r="1995" spans="1:9" x14ac:dyDescent="0.25">
      <c r="A1995" s="52" t="str">
        <f>Data!A1995</f>
        <v>TX501994</v>
      </c>
      <c r="B1995" s="52">
        <f>MONTH(Data!F1995)</f>
        <v>3</v>
      </c>
      <c r="C1995" s="52" t="str">
        <f>TEXT(Data!F1995,"mmm")</f>
        <v>Mar</v>
      </c>
      <c r="D1995" s="52" t="str">
        <f>Data!O1995</f>
        <v>Male</v>
      </c>
      <c r="E1995" s="52">
        <f>Data!G1995-Data!F1995</f>
        <v>1</v>
      </c>
      <c r="F1995" s="52">
        <f>IF(Data!J1995&lt;=5,Data!J1995,IF(Data!J1995&lt;=10,"6 TO 10","More than 10"))</f>
        <v>4</v>
      </c>
      <c r="G1995" s="52">
        <f t="shared" si="31"/>
        <v>1</v>
      </c>
      <c r="H1995" s="52">
        <f>ROUND(Data!C1995*Data!D1995-Data!E1995,2)</f>
        <v>0</v>
      </c>
      <c r="I1995" s="52">
        <f>IF(AND(OR(Sel_Mode="All",Data!I1995=Sel_Mode),OR(Sel_Gender="All",D1995=Sel_Gender),OR(Sel_Category="All",Data!B1995=Sel_Category),OR(Sel_Month="All",C1995=Sel_Month),OR(Sel_County="All",Data!L1995=Sel_County)),1,0)</f>
        <v>1</v>
      </c>
    </row>
    <row r="1996" spans="1:9" x14ac:dyDescent="0.25">
      <c r="A1996" s="52" t="str">
        <f>Data!A1996</f>
        <v>TX501995</v>
      </c>
      <c r="B1996" s="52">
        <f>MONTH(Data!F1996)</f>
        <v>3</v>
      </c>
      <c r="C1996" s="52" t="str">
        <f>TEXT(Data!F1996,"mmm")</f>
        <v>Mar</v>
      </c>
      <c r="D1996" s="52" t="str">
        <f>Data!O1996</f>
        <v>Male</v>
      </c>
      <c r="E1996" s="52">
        <f>Data!G1996-Data!F1996</f>
        <v>3</v>
      </c>
      <c r="F1996" s="52">
        <f>IF(Data!J1996&lt;=5,Data!J1996,IF(Data!J1996&lt;=10,"6 TO 10","More than 10"))</f>
        <v>3</v>
      </c>
      <c r="G1996" s="52">
        <f t="shared" si="31"/>
        <v>3</v>
      </c>
      <c r="H1996" s="52">
        <f>ROUND(Data!C1996*Data!D1996-Data!E1996,2)</f>
        <v>0</v>
      </c>
      <c r="I1996" s="52">
        <f>IF(AND(OR(Sel_Mode="All",Data!I1996=Sel_Mode),OR(Sel_Gender="All",D1996=Sel_Gender),OR(Sel_Category="All",Data!B1996=Sel_Category),OR(Sel_Month="All",C1996=Sel_Month),OR(Sel_County="All",Data!L1996=Sel_County)),1,0)</f>
        <v>1</v>
      </c>
    </row>
    <row r="1997" spans="1:9" x14ac:dyDescent="0.25">
      <c r="A1997" s="52" t="str">
        <f>Data!A1997</f>
        <v>TX501996</v>
      </c>
      <c r="B1997" s="52">
        <f>MONTH(Data!F1997)</f>
        <v>3</v>
      </c>
      <c r="C1997" s="52" t="str">
        <f>TEXT(Data!F1997,"mmm")</f>
        <v>Mar</v>
      </c>
      <c r="D1997" s="52" t="str">
        <f>Data!O1997</f>
        <v>Female</v>
      </c>
      <c r="E1997" s="52">
        <f>Data!G1997-Data!F1997</f>
        <v>1</v>
      </c>
      <c r="F1997" s="52">
        <f>IF(Data!J1997&lt;=5,Data!J1997,IF(Data!J1997&lt;=10,"6 TO 10","More than 10"))</f>
        <v>5</v>
      </c>
      <c r="G1997" s="52">
        <f t="shared" si="31"/>
        <v>1</v>
      </c>
      <c r="H1997" s="52">
        <f>ROUND(Data!C1997*Data!D1997-Data!E1997,2)</f>
        <v>0</v>
      </c>
      <c r="I1997" s="52">
        <f>IF(AND(OR(Sel_Mode="All",Data!I1997=Sel_Mode),OR(Sel_Gender="All",D1997=Sel_Gender),OR(Sel_Category="All",Data!B1997=Sel_Category),OR(Sel_Month="All",C1997=Sel_Month),OR(Sel_County="All",Data!L1997=Sel_County)),1,0)</f>
        <v>1</v>
      </c>
    </row>
    <row r="1998" spans="1:9" x14ac:dyDescent="0.25">
      <c r="A1998" s="52" t="str">
        <f>Data!A1998</f>
        <v>TX501997</v>
      </c>
      <c r="B1998" s="52">
        <f>MONTH(Data!F1998)</f>
        <v>3</v>
      </c>
      <c r="C1998" s="52" t="str">
        <f>TEXT(Data!F1998,"mmm")</f>
        <v>Mar</v>
      </c>
      <c r="D1998" s="52" t="str">
        <f>Data!O1998</f>
        <v>Female</v>
      </c>
      <c r="E1998" s="52">
        <f>Data!G1998-Data!F1998</f>
        <v>1</v>
      </c>
      <c r="F1998" s="52">
        <f>IF(Data!J1998&lt;=5,Data!J1998,IF(Data!J1998&lt;=10,"6 TO 10","More than 10"))</f>
        <v>4</v>
      </c>
      <c r="G1998" s="52">
        <f t="shared" si="31"/>
        <v>1</v>
      </c>
      <c r="H1998" s="52">
        <f>ROUND(Data!C1998*Data!D1998-Data!E1998,2)</f>
        <v>0</v>
      </c>
      <c r="I1998" s="52">
        <f>IF(AND(OR(Sel_Mode="All",Data!I1998=Sel_Mode),OR(Sel_Gender="All",D1998=Sel_Gender),OR(Sel_Category="All",Data!B1998=Sel_Category),OR(Sel_Month="All",C1998=Sel_Month),OR(Sel_County="All",Data!L1998=Sel_County)),1,0)</f>
        <v>1</v>
      </c>
    </row>
    <row r="1999" spans="1:9" x14ac:dyDescent="0.25">
      <c r="A1999" s="52" t="str">
        <f>Data!A1999</f>
        <v>TX501998</v>
      </c>
      <c r="B1999" s="52">
        <f>MONTH(Data!F1999)</f>
        <v>3</v>
      </c>
      <c r="C1999" s="52" t="str">
        <f>TEXT(Data!F1999,"mmm")</f>
        <v>Mar</v>
      </c>
      <c r="D1999" s="52" t="str">
        <f>Data!O1999</f>
        <v>Male</v>
      </c>
      <c r="E1999" s="52">
        <f>Data!G1999-Data!F1999</f>
        <v>1</v>
      </c>
      <c r="F1999" s="52">
        <f>IF(Data!J1999&lt;=5,Data!J1999,IF(Data!J1999&lt;=10,"6 TO 10","More than 10"))</f>
        <v>4</v>
      </c>
      <c r="G1999" s="52">
        <f t="shared" si="31"/>
        <v>1</v>
      </c>
      <c r="H1999" s="52">
        <f>ROUND(Data!C1999*Data!D1999-Data!E1999,2)</f>
        <v>0</v>
      </c>
      <c r="I1999" s="52">
        <f>IF(AND(OR(Sel_Mode="All",Data!I1999=Sel_Mode),OR(Sel_Gender="All",D1999=Sel_Gender),OR(Sel_Category="All",Data!B1999=Sel_Category),OR(Sel_Month="All",C1999=Sel_Month),OR(Sel_County="All",Data!L1999=Sel_County)),1,0)</f>
        <v>1</v>
      </c>
    </row>
    <row r="2000" spans="1:9" x14ac:dyDescent="0.25">
      <c r="A2000" s="52" t="str">
        <f>Data!A2000</f>
        <v>TX501999</v>
      </c>
      <c r="B2000" s="52">
        <f>MONTH(Data!F2000)</f>
        <v>3</v>
      </c>
      <c r="C2000" s="52" t="str">
        <f>TEXT(Data!F2000,"mmm")</f>
        <v>Mar</v>
      </c>
      <c r="D2000" s="52" t="str">
        <f>Data!O2000</f>
        <v>Male</v>
      </c>
      <c r="E2000" s="52">
        <f>Data!G2000-Data!F2000</f>
        <v>2</v>
      </c>
      <c r="F2000" s="52">
        <f>IF(Data!J2000&lt;=5,Data!J2000,IF(Data!J2000&lt;=10,"6 TO 10","More than 10"))</f>
        <v>5</v>
      </c>
      <c r="G2000" s="52">
        <f t="shared" si="31"/>
        <v>2</v>
      </c>
      <c r="H2000" s="52">
        <f>ROUND(Data!C2000*Data!D2000-Data!E2000,2)</f>
        <v>0</v>
      </c>
      <c r="I2000" s="52">
        <f>IF(AND(OR(Sel_Mode="All",Data!I2000=Sel_Mode),OR(Sel_Gender="All",D2000=Sel_Gender),OR(Sel_Category="All",Data!B2000=Sel_Category),OR(Sel_Month="All",C2000=Sel_Month),OR(Sel_County="All",Data!L2000=Sel_County)),1,0)</f>
        <v>1</v>
      </c>
    </row>
    <row r="2001" spans="1:9" x14ac:dyDescent="0.25">
      <c r="A2001" s="52" t="str">
        <f>Data!A2001</f>
        <v>TX502000</v>
      </c>
      <c r="B2001" s="52">
        <f>MONTH(Data!F2001)</f>
        <v>3</v>
      </c>
      <c r="C2001" s="52" t="str">
        <f>TEXT(Data!F2001,"mmm")</f>
        <v>Mar</v>
      </c>
      <c r="D2001" s="52" t="str">
        <f>Data!O2001</f>
        <v>Male</v>
      </c>
      <c r="E2001" s="52">
        <f>Data!G2001-Data!F2001</f>
        <v>10</v>
      </c>
      <c r="F2001" s="52">
        <f>IF(Data!J2001&lt;=5,Data!J2001,IF(Data!J2001&lt;=10,"6 TO 10","More than 10"))</f>
        <v>4</v>
      </c>
      <c r="G2001" s="52" t="str">
        <f t="shared" si="31"/>
        <v>8+</v>
      </c>
      <c r="H2001" s="52">
        <f>ROUND(Data!C2001*Data!D2001-Data!E2001,2)</f>
        <v>0</v>
      </c>
      <c r="I2001" s="52">
        <f>IF(AND(OR(Sel_Mode="All",Data!I2001=Sel_Mode),OR(Sel_Gender="All",D2001=Sel_Gender),OR(Sel_Category="All",Data!B2001=Sel_Category),OR(Sel_Month="All",C2001=Sel_Month),OR(Sel_County="All",Data!L2001=Sel_County)),1,0)</f>
        <v>1</v>
      </c>
    </row>
    <row r="2002" spans="1:9" x14ac:dyDescent="0.25">
      <c r="A2002" s="52" t="str">
        <f>Data!A2002</f>
        <v>TX502001</v>
      </c>
      <c r="B2002" s="52">
        <f>MONTH(Data!F2002)</f>
        <v>3</v>
      </c>
      <c r="C2002" s="52" t="str">
        <f>TEXT(Data!F2002,"mmm")</f>
        <v>Mar</v>
      </c>
      <c r="D2002" s="52" t="str">
        <f>Data!O2002</f>
        <v>Female</v>
      </c>
      <c r="E2002" s="52">
        <f>Data!G2002-Data!F2002</f>
        <v>4</v>
      </c>
      <c r="F2002" s="52">
        <f>IF(Data!J2002&lt;=5,Data!J2002,IF(Data!J2002&lt;=10,"6 TO 10","More than 10"))</f>
        <v>4</v>
      </c>
      <c r="G2002" s="52">
        <f t="shared" si="31"/>
        <v>4</v>
      </c>
      <c r="H2002" s="52">
        <f>ROUND(Data!C2002*Data!D2002-Data!E2002,2)</f>
        <v>0</v>
      </c>
      <c r="I2002" s="52">
        <f>IF(AND(OR(Sel_Mode="All",Data!I2002=Sel_Mode),OR(Sel_Gender="All",D2002=Sel_Gender),OR(Sel_Category="All",Data!B2002=Sel_Category),OR(Sel_Month="All",C2002=Sel_Month),OR(Sel_County="All",Data!L2002=Sel_County)),1,0)</f>
        <v>1</v>
      </c>
    </row>
    <row r="2003" spans="1:9" x14ac:dyDescent="0.25">
      <c r="A2003" s="52" t="str">
        <f>Data!A2003</f>
        <v>TX502002</v>
      </c>
      <c r="B2003" s="52">
        <f>MONTH(Data!F2003)</f>
        <v>3</v>
      </c>
      <c r="C2003" s="52" t="str">
        <f>TEXT(Data!F2003,"mmm")</f>
        <v>Mar</v>
      </c>
      <c r="D2003" s="52" t="str">
        <f>Data!O2003</f>
        <v>Male</v>
      </c>
      <c r="E2003" s="52">
        <f>Data!G2003-Data!F2003</f>
        <v>1</v>
      </c>
      <c r="F2003" s="52">
        <f>IF(Data!J2003&lt;=5,Data!J2003,IF(Data!J2003&lt;=10,"6 TO 10","More than 10"))</f>
        <v>5</v>
      </c>
      <c r="G2003" s="52">
        <f t="shared" si="31"/>
        <v>1</v>
      </c>
      <c r="H2003" s="52">
        <f>ROUND(Data!C2003*Data!D2003-Data!E2003,2)</f>
        <v>0</v>
      </c>
      <c r="I2003" s="52">
        <f>IF(AND(OR(Sel_Mode="All",Data!I2003=Sel_Mode),OR(Sel_Gender="All",D2003=Sel_Gender),OR(Sel_Category="All",Data!B2003=Sel_Category),OR(Sel_Month="All",C2003=Sel_Month),OR(Sel_County="All",Data!L2003=Sel_County)),1,0)</f>
        <v>1</v>
      </c>
    </row>
    <row r="2004" spans="1:9" x14ac:dyDescent="0.25">
      <c r="A2004" s="52" t="str">
        <f>Data!A2004</f>
        <v>TX502003</v>
      </c>
      <c r="B2004" s="52">
        <f>MONTH(Data!F2004)</f>
        <v>3</v>
      </c>
      <c r="C2004" s="52" t="str">
        <f>TEXT(Data!F2004,"mmm")</f>
        <v>Mar</v>
      </c>
      <c r="D2004" s="52" t="str">
        <f>Data!O2004</f>
        <v>Other</v>
      </c>
      <c r="E2004" s="52">
        <f>Data!G2004-Data!F2004</f>
        <v>1</v>
      </c>
      <c r="F2004" s="52">
        <f>IF(Data!J2004&lt;=5,Data!J2004,IF(Data!J2004&lt;=10,"6 TO 10","More than 10"))</f>
        <v>3</v>
      </c>
      <c r="G2004" s="52">
        <f t="shared" si="31"/>
        <v>1</v>
      </c>
      <c r="H2004" s="52">
        <f>ROUND(Data!C2004*Data!D2004-Data!E2004,2)</f>
        <v>0</v>
      </c>
      <c r="I2004" s="52">
        <f>IF(AND(OR(Sel_Mode="All",Data!I2004=Sel_Mode),OR(Sel_Gender="All",D2004=Sel_Gender),OR(Sel_Category="All",Data!B2004=Sel_Category),OR(Sel_Month="All",C2004=Sel_Month),OR(Sel_County="All",Data!L2004=Sel_County)),1,0)</f>
        <v>1</v>
      </c>
    </row>
    <row r="2005" spans="1:9" x14ac:dyDescent="0.25">
      <c r="A2005" s="52" t="str">
        <f>Data!A2005</f>
        <v>TX502004</v>
      </c>
      <c r="B2005" s="52">
        <f>MONTH(Data!F2005)</f>
        <v>3</v>
      </c>
      <c r="C2005" s="52" t="str">
        <f>TEXT(Data!F2005,"mmm")</f>
        <v>Mar</v>
      </c>
      <c r="D2005" s="52" t="str">
        <f>Data!O2005</f>
        <v>Unknown</v>
      </c>
      <c r="E2005" s="52">
        <f>Data!G2005-Data!F2005</f>
        <v>1</v>
      </c>
      <c r="F2005" s="52">
        <f>IF(Data!J2005&lt;=5,Data!J2005,IF(Data!J2005&lt;=10,"6 TO 10","More than 10"))</f>
        <v>3</v>
      </c>
      <c r="G2005" s="52">
        <f t="shared" si="31"/>
        <v>1</v>
      </c>
      <c r="H2005" s="52">
        <f>ROUND(Data!C2005*Data!D2005-Data!E2005,2)</f>
        <v>0</v>
      </c>
      <c r="I2005" s="52">
        <f>IF(AND(OR(Sel_Mode="All",Data!I2005=Sel_Mode),OR(Sel_Gender="All",D2005=Sel_Gender),OR(Sel_Category="All",Data!B2005=Sel_Category),OR(Sel_Month="All",C2005=Sel_Month),OR(Sel_County="All",Data!L2005=Sel_County)),1,0)</f>
        <v>1</v>
      </c>
    </row>
    <row r="2006" spans="1:9" x14ac:dyDescent="0.25">
      <c r="A2006" s="52" t="str">
        <f>Data!A2006</f>
        <v>TX502005</v>
      </c>
      <c r="B2006" s="52">
        <f>MONTH(Data!F2006)</f>
        <v>3</v>
      </c>
      <c r="C2006" s="52" t="str">
        <f>TEXT(Data!F2006,"mmm")</f>
        <v>Mar</v>
      </c>
      <c r="D2006" s="52" t="str">
        <f>Data!O2006</f>
        <v>Female</v>
      </c>
      <c r="E2006" s="52">
        <f>Data!G2006-Data!F2006</f>
        <v>2</v>
      </c>
      <c r="F2006" s="52">
        <f>IF(Data!J2006&lt;=5,Data!J2006,IF(Data!J2006&lt;=10,"6 TO 10","More than 10"))</f>
        <v>5</v>
      </c>
      <c r="G2006" s="52">
        <f t="shared" si="31"/>
        <v>2</v>
      </c>
      <c r="H2006" s="52">
        <f>ROUND(Data!C2006*Data!D2006-Data!E2006,2)</f>
        <v>0</v>
      </c>
      <c r="I2006" s="52">
        <f>IF(AND(OR(Sel_Mode="All",Data!I2006=Sel_Mode),OR(Sel_Gender="All",D2006=Sel_Gender),OR(Sel_Category="All",Data!B2006=Sel_Category),OR(Sel_Month="All",C2006=Sel_Month),OR(Sel_County="All",Data!L2006=Sel_County)),1,0)</f>
        <v>1</v>
      </c>
    </row>
    <row r="2007" spans="1:9" x14ac:dyDescent="0.25">
      <c r="A2007" s="52" t="str">
        <f>Data!A2007</f>
        <v>TX502006</v>
      </c>
      <c r="B2007" s="52">
        <f>MONTH(Data!F2007)</f>
        <v>3</v>
      </c>
      <c r="C2007" s="52" t="str">
        <f>TEXT(Data!F2007,"mmm")</f>
        <v>Mar</v>
      </c>
      <c r="D2007" s="52" t="str">
        <f>Data!O2007</f>
        <v>Unknown</v>
      </c>
      <c r="E2007" s="52">
        <f>Data!G2007-Data!F2007</f>
        <v>3</v>
      </c>
      <c r="F2007" s="52">
        <f>IF(Data!J2007&lt;=5,Data!J2007,IF(Data!J2007&lt;=10,"6 TO 10","More than 10"))</f>
        <v>5</v>
      </c>
      <c r="G2007" s="52">
        <f t="shared" si="31"/>
        <v>3</v>
      </c>
      <c r="H2007" s="52">
        <f>ROUND(Data!C2007*Data!D2007-Data!E2007,2)</f>
        <v>0</v>
      </c>
      <c r="I2007" s="52">
        <f>IF(AND(OR(Sel_Mode="All",Data!I2007=Sel_Mode),OR(Sel_Gender="All",D2007=Sel_Gender),OR(Sel_Category="All",Data!B2007=Sel_Category),OR(Sel_Month="All",C2007=Sel_Month),OR(Sel_County="All",Data!L2007=Sel_County)),1,0)</f>
        <v>1</v>
      </c>
    </row>
    <row r="2008" spans="1:9" x14ac:dyDescent="0.25">
      <c r="A2008" s="52" t="str">
        <f>Data!A2008</f>
        <v>TX502007</v>
      </c>
      <c r="B2008" s="52">
        <f>MONTH(Data!F2008)</f>
        <v>3</v>
      </c>
      <c r="C2008" s="52" t="str">
        <f>TEXT(Data!F2008,"mmm")</f>
        <v>Mar</v>
      </c>
      <c r="D2008" s="52" t="str">
        <f>Data!O2008</f>
        <v>Male</v>
      </c>
      <c r="E2008" s="52">
        <f>Data!G2008-Data!F2008</f>
        <v>2</v>
      </c>
      <c r="F2008" s="52">
        <f>IF(Data!J2008&lt;=5,Data!J2008,IF(Data!J2008&lt;=10,"6 TO 10","More than 10"))</f>
        <v>3</v>
      </c>
      <c r="G2008" s="52">
        <f t="shared" si="31"/>
        <v>2</v>
      </c>
      <c r="H2008" s="52">
        <f>ROUND(Data!C2008*Data!D2008-Data!E2008,2)</f>
        <v>0</v>
      </c>
      <c r="I2008" s="52">
        <f>IF(AND(OR(Sel_Mode="All",Data!I2008=Sel_Mode),OR(Sel_Gender="All",D2008=Sel_Gender),OR(Sel_Category="All",Data!B2008=Sel_Category),OR(Sel_Month="All",C2008=Sel_Month),OR(Sel_County="All",Data!L2008=Sel_County)),1,0)</f>
        <v>1</v>
      </c>
    </row>
    <row r="2009" spans="1:9" x14ac:dyDescent="0.25">
      <c r="A2009" s="52" t="str">
        <f>Data!A2009</f>
        <v>TX502008</v>
      </c>
      <c r="B2009" s="52">
        <f>MONTH(Data!F2009)</f>
        <v>3</v>
      </c>
      <c r="C2009" s="52" t="str">
        <f>TEXT(Data!F2009,"mmm")</f>
        <v>Mar</v>
      </c>
      <c r="D2009" s="52" t="str">
        <f>Data!O2009</f>
        <v>Male</v>
      </c>
      <c r="E2009" s="52">
        <f>Data!G2009-Data!F2009</f>
        <v>1</v>
      </c>
      <c r="F2009" s="52">
        <f>IF(Data!J2009&lt;=5,Data!J2009,IF(Data!J2009&lt;=10,"6 TO 10","More than 10"))</f>
        <v>3</v>
      </c>
      <c r="G2009" s="52">
        <f t="shared" si="31"/>
        <v>1</v>
      </c>
      <c r="H2009" s="52">
        <f>ROUND(Data!C2009*Data!D2009-Data!E2009,2)</f>
        <v>0</v>
      </c>
      <c r="I2009" s="52">
        <f>IF(AND(OR(Sel_Mode="All",Data!I2009=Sel_Mode),OR(Sel_Gender="All",D2009=Sel_Gender),OR(Sel_Category="All",Data!B2009=Sel_Category),OR(Sel_Month="All",C2009=Sel_Month),OR(Sel_County="All",Data!L2009=Sel_County)),1,0)</f>
        <v>1</v>
      </c>
    </row>
    <row r="2010" spans="1:9" x14ac:dyDescent="0.25">
      <c r="A2010" s="52" t="str">
        <f>Data!A2010</f>
        <v>TX502009</v>
      </c>
      <c r="B2010" s="52">
        <f>MONTH(Data!F2010)</f>
        <v>3</v>
      </c>
      <c r="C2010" s="52" t="str">
        <f>TEXT(Data!F2010,"mmm")</f>
        <v>Mar</v>
      </c>
      <c r="D2010" s="52" t="str">
        <f>Data!O2010</f>
        <v>Female</v>
      </c>
      <c r="E2010" s="52">
        <f>Data!G2010-Data!F2010</f>
        <v>2</v>
      </c>
      <c r="F2010" s="52">
        <f>IF(Data!J2010&lt;=5,Data!J2010,IF(Data!J2010&lt;=10,"6 TO 10","More than 10"))</f>
        <v>5</v>
      </c>
      <c r="G2010" s="52">
        <f t="shared" si="31"/>
        <v>2</v>
      </c>
      <c r="H2010" s="52">
        <f>ROUND(Data!C2010*Data!D2010-Data!E2010,2)</f>
        <v>0</v>
      </c>
      <c r="I2010" s="52">
        <f>IF(AND(OR(Sel_Mode="All",Data!I2010=Sel_Mode),OR(Sel_Gender="All",D2010=Sel_Gender),OR(Sel_Category="All",Data!B2010=Sel_Category),OR(Sel_Month="All",C2010=Sel_Month),OR(Sel_County="All",Data!L2010=Sel_County)),1,0)</f>
        <v>1</v>
      </c>
    </row>
    <row r="2011" spans="1:9" x14ac:dyDescent="0.25">
      <c r="A2011" s="52" t="str">
        <f>Data!A2011</f>
        <v>TX502010</v>
      </c>
      <c r="B2011" s="52">
        <f>MONTH(Data!F2011)</f>
        <v>3</v>
      </c>
      <c r="C2011" s="52" t="str">
        <f>TEXT(Data!F2011,"mmm")</f>
        <v>Mar</v>
      </c>
      <c r="D2011" s="52" t="str">
        <f>Data!O2011</f>
        <v>Female</v>
      </c>
      <c r="E2011" s="52">
        <f>Data!G2011-Data!F2011</f>
        <v>1</v>
      </c>
      <c r="F2011" s="52">
        <f>IF(Data!J2011&lt;=5,Data!J2011,IF(Data!J2011&lt;=10,"6 TO 10","More than 10"))</f>
        <v>2</v>
      </c>
      <c r="G2011" s="52">
        <f t="shared" si="31"/>
        <v>1</v>
      </c>
      <c r="H2011" s="52">
        <f>ROUND(Data!C2011*Data!D2011-Data!E2011,2)</f>
        <v>0</v>
      </c>
      <c r="I2011" s="52">
        <f>IF(AND(OR(Sel_Mode="All",Data!I2011=Sel_Mode),OR(Sel_Gender="All",D2011=Sel_Gender),OR(Sel_Category="All",Data!B2011=Sel_Category),OR(Sel_Month="All",C2011=Sel_Month),OR(Sel_County="All",Data!L2011=Sel_County)),1,0)</f>
        <v>1</v>
      </c>
    </row>
    <row r="2012" spans="1:9" x14ac:dyDescent="0.25">
      <c r="A2012" s="52" t="str">
        <f>Data!A2012</f>
        <v>TX502011</v>
      </c>
      <c r="B2012" s="52">
        <f>MONTH(Data!F2012)</f>
        <v>3</v>
      </c>
      <c r="C2012" s="52" t="str">
        <f>TEXT(Data!F2012,"mmm")</f>
        <v>Mar</v>
      </c>
      <c r="D2012" s="52" t="str">
        <f>Data!O2012</f>
        <v>Female</v>
      </c>
      <c r="E2012" s="52">
        <f>Data!G2012-Data!F2012</f>
        <v>1</v>
      </c>
      <c r="F2012" s="52">
        <f>IF(Data!J2012&lt;=5,Data!J2012,IF(Data!J2012&lt;=10,"6 TO 10","More than 10"))</f>
        <v>5</v>
      </c>
      <c r="G2012" s="52">
        <f t="shared" si="31"/>
        <v>1</v>
      </c>
      <c r="H2012" s="52">
        <f>ROUND(Data!C2012*Data!D2012-Data!E2012,2)</f>
        <v>0</v>
      </c>
      <c r="I2012" s="52">
        <f>IF(AND(OR(Sel_Mode="All",Data!I2012=Sel_Mode),OR(Sel_Gender="All",D2012=Sel_Gender),OR(Sel_Category="All",Data!B2012=Sel_Category),OR(Sel_Month="All",C2012=Sel_Month),OR(Sel_County="All",Data!L2012=Sel_County)),1,0)</f>
        <v>1</v>
      </c>
    </row>
    <row r="2013" spans="1:9" x14ac:dyDescent="0.25">
      <c r="A2013" s="52" t="str">
        <f>Data!A2013</f>
        <v>TX502012</v>
      </c>
      <c r="B2013" s="52">
        <f>MONTH(Data!F2013)</f>
        <v>3</v>
      </c>
      <c r="C2013" s="52" t="str">
        <f>TEXT(Data!F2013,"mmm")</f>
        <v>Mar</v>
      </c>
      <c r="D2013" s="52" t="str">
        <f>Data!O2013</f>
        <v>Female</v>
      </c>
      <c r="E2013" s="52">
        <f>Data!G2013-Data!F2013</f>
        <v>1</v>
      </c>
      <c r="F2013" s="52">
        <f>IF(Data!J2013&lt;=5,Data!J2013,IF(Data!J2013&lt;=10,"6 TO 10","More than 10"))</f>
        <v>3</v>
      </c>
      <c r="G2013" s="52">
        <f t="shared" si="31"/>
        <v>1</v>
      </c>
      <c r="H2013" s="52">
        <f>ROUND(Data!C2013*Data!D2013-Data!E2013,2)</f>
        <v>0</v>
      </c>
      <c r="I2013" s="52">
        <f>IF(AND(OR(Sel_Mode="All",Data!I2013=Sel_Mode),OR(Sel_Gender="All",D2013=Sel_Gender),OR(Sel_Category="All",Data!B2013=Sel_Category),OR(Sel_Month="All",C2013=Sel_Month),OR(Sel_County="All",Data!L2013=Sel_County)),1,0)</f>
        <v>1</v>
      </c>
    </row>
    <row r="2014" spans="1:9" x14ac:dyDescent="0.25">
      <c r="A2014" s="52" t="str">
        <f>Data!A2014</f>
        <v>TX502013</v>
      </c>
      <c r="B2014" s="52">
        <f>MONTH(Data!F2014)</f>
        <v>3</v>
      </c>
      <c r="C2014" s="52" t="str">
        <f>TEXT(Data!F2014,"mmm")</f>
        <v>Mar</v>
      </c>
      <c r="D2014" s="52" t="str">
        <f>Data!O2014</f>
        <v>Male</v>
      </c>
      <c r="E2014" s="52">
        <f>Data!G2014-Data!F2014</f>
        <v>2</v>
      </c>
      <c r="F2014" s="52">
        <f>IF(Data!J2014&lt;=5,Data!J2014,IF(Data!J2014&lt;=10,"6 TO 10","More than 10"))</f>
        <v>3</v>
      </c>
      <c r="G2014" s="52">
        <f t="shared" si="31"/>
        <v>2</v>
      </c>
      <c r="H2014" s="52">
        <f>ROUND(Data!C2014*Data!D2014-Data!E2014,2)</f>
        <v>0</v>
      </c>
      <c r="I2014" s="52">
        <f>IF(AND(OR(Sel_Mode="All",Data!I2014=Sel_Mode),OR(Sel_Gender="All",D2014=Sel_Gender),OR(Sel_Category="All",Data!B2014=Sel_Category),OR(Sel_Month="All",C2014=Sel_Month),OR(Sel_County="All",Data!L2014=Sel_County)),1,0)</f>
        <v>1</v>
      </c>
    </row>
    <row r="2015" spans="1:9" x14ac:dyDescent="0.25">
      <c r="A2015" s="52" t="str">
        <f>Data!A2015</f>
        <v>TX502014</v>
      </c>
      <c r="B2015" s="52">
        <f>MONTH(Data!F2015)</f>
        <v>3</v>
      </c>
      <c r="C2015" s="52" t="str">
        <f>TEXT(Data!F2015,"mmm")</f>
        <v>Mar</v>
      </c>
      <c r="D2015" s="52" t="str">
        <f>Data!O2015</f>
        <v>Unknown</v>
      </c>
      <c r="E2015" s="52">
        <f>Data!G2015-Data!F2015</f>
        <v>1</v>
      </c>
      <c r="F2015" s="52">
        <f>IF(Data!J2015&lt;=5,Data!J2015,IF(Data!J2015&lt;=10,"6 TO 10","More than 10"))</f>
        <v>4</v>
      </c>
      <c r="G2015" s="52">
        <f t="shared" si="31"/>
        <v>1</v>
      </c>
      <c r="H2015" s="52">
        <f>ROUND(Data!C2015*Data!D2015-Data!E2015,2)</f>
        <v>0</v>
      </c>
      <c r="I2015" s="52">
        <f>IF(AND(OR(Sel_Mode="All",Data!I2015=Sel_Mode),OR(Sel_Gender="All",D2015=Sel_Gender),OR(Sel_Category="All",Data!B2015=Sel_Category),OR(Sel_Month="All",C2015=Sel_Month),OR(Sel_County="All",Data!L2015=Sel_County)),1,0)</f>
        <v>1</v>
      </c>
    </row>
    <row r="2016" spans="1:9" x14ac:dyDescent="0.25">
      <c r="A2016" s="52" t="str">
        <f>Data!A2016</f>
        <v>TX502015</v>
      </c>
      <c r="B2016" s="52">
        <f>MONTH(Data!F2016)</f>
        <v>3</v>
      </c>
      <c r="C2016" s="52" t="str">
        <f>TEXT(Data!F2016,"mmm")</f>
        <v>Mar</v>
      </c>
      <c r="D2016" s="52" t="str">
        <f>Data!O2016</f>
        <v>Male</v>
      </c>
      <c r="E2016" s="52">
        <f>Data!G2016-Data!F2016</f>
        <v>1</v>
      </c>
      <c r="F2016" s="52">
        <f>IF(Data!J2016&lt;=5,Data!J2016,IF(Data!J2016&lt;=10,"6 TO 10","More than 10"))</f>
        <v>5</v>
      </c>
      <c r="G2016" s="52">
        <f t="shared" si="31"/>
        <v>1</v>
      </c>
      <c r="H2016" s="52">
        <f>ROUND(Data!C2016*Data!D2016-Data!E2016,2)</f>
        <v>0</v>
      </c>
      <c r="I2016" s="52">
        <f>IF(AND(OR(Sel_Mode="All",Data!I2016=Sel_Mode),OR(Sel_Gender="All",D2016=Sel_Gender),OR(Sel_Category="All",Data!B2016=Sel_Category),OR(Sel_Month="All",C2016=Sel_Month),OR(Sel_County="All",Data!L2016=Sel_County)),1,0)</f>
        <v>1</v>
      </c>
    </row>
    <row r="2017" spans="1:9" x14ac:dyDescent="0.25">
      <c r="A2017" s="52" t="str">
        <f>Data!A2017</f>
        <v>TX502016</v>
      </c>
      <c r="B2017" s="52">
        <f>MONTH(Data!F2017)</f>
        <v>3</v>
      </c>
      <c r="C2017" s="52" t="str">
        <f>TEXT(Data!F2017,"mmm")</f>
        <v>Mar</v>
      </c>
      <c r="D2017" s="52" t="str">
        <f>Data!O2017</f>
        <v>Unknown</v>
      </c>
      <c r="E2017" s="52">
        <f>Data!G2017-Data!F2017</f>
        <v>1</v>
      </c>
      <c r="F2017" s="52">
        <f>IF(Data!J2017&lt;=5,Data!J2017,IF(Data!J2017&lt;=10,"6 TO 10","More than 10"))</f>
        <v>4</v>
      </c>
      <c r="G2017" s="52">
        <f t="shared" si="31"/>
        <v>1</v>
      </c>
      <c r="H2017" s="52">
        <f>ROUND(Data!C2017*Data!D2017-Data!E2017,2)</f>
        <v>0</v>
      </c>
      <c r="I2017" s="52">
        <f>IF(AND(OR(Sel_Mode="All",Data!I2017=Sel_Mode),OR(Sel_Gender="All",D2017=Sel_Gender),OR(Sel_Category="All",Data!B2017=Sel_Category),OR(Sel_Month="All",C2017=Sel_Month),OR(Sel_County="All",Data!L2017=Sel_County)),1,0)</f>
        <v>1</v>
      </c>
    </row>
    <row r="2018" spans="1:9" x14ac:dyDescent="0.25">
      <c r="A2018" s="52" t="str">
        <f>Data!A2018</f>
        <v>TX502017</v>
      </c>
      <c r="B2018" s="52">
        <f>MONTH(Data!F2018)</f>
        <v>3</v>
      </c>
      <c r="C2018" s="52" t="str">
        <f>TEXT(Data!F2018,"mmm")</f>
        <v>Mar</v>
      </c>
      <c r="D2018" s="52" t="str">
        <f>Data!O2018</f>
        <v>Female</v>
      </c>
      <c r="E2018" s="52">
        <f>Data!G2018-Data!F2018</f>
        <v>2</v>
      </c>
      <c r="F2018" s="52">
        <f>IF(Data!J2018&lt;=5,Data!J2018,IF(Data!J2018&lt;=10,"6 TO 10","More than 10"))</f>
        <v>5</v>
      </c>
      <c r="G2018" s="52">
        <f t="shared" si="31"/>
        <v>2</v>
      </c>
      <c r="H2018" s="52">
        <f>ROUND(Data!C2018*Data!D2018-Data!E2018,2)</f>
        <v>0</v>
      </c>
      <c r="I2018" s="52">
        <f>IF(AND(OR(Sel_Mode="All",Data!I2018=Sel_Mode),OR(Sel_Gender="All",D2018=Sel_Gender),OR(Sel_Category="All",Data!B2018=Sel_Category),OR(Sel_Month="All",C2018=Sel_Month),OR(Sel_County="All",Data!L2018=Sel_County)),1,0)</f>
        <v>1</v>
      </c>
    </row>
    <row r="2019" spans="1:9" x14ac:dyDescent="0.25">
      <c r="A2019" s="52" t="str">
        <f>Data!A2019</f>
        <v>TX502018</v>
      </c>
      <c r="B2019" s="52">
        <f>MONTH(Data!F2019)</f>
        <v>3</v>
      </c>
      <c r="C2019" s="52" t="str">
        <f>TEXT(Data!F2019,"mmm")</f>
        <v>Mar</v>
      </c>
      <c r="D2019" s="52" t="str">
        <f>Data!O2019</f>
        <v>Male</v>
      </c>
      <c r="E2019" s="52">
        <f>Data!G2019-Data!F2019</f>
        <v>3</v>
      </c>
      <c r="F2019" s="52">
        <f>IF(Data!J2019&lt;=5,Data!J2019,IF(Data!J2019&lt;=10,"6 TO 10","More than 10"))</f>
        <v>5</v>
      </c>
      <c r="G2019" s="52">
        <f t="shared" si="31"/>
        <v>3</v>
      </c>
      <c r="H2019" s="52">
        <f>ROUND(Data!C2019*Data!D2019-Data!E2019,2)</f>
        <v>0</v>
      </c>
      <c r="I2019" s="52">
        <f>IF(AND(OR(Sel_Mode="All",Data!I2019=Sel_Mode),OR(Sel_Gender="All",D2019=Sel_Gender),OR(Sel_Category="All",Data!B2019=Sel_Category),OR(Sel_Month="All",C2019=Sel_Month),OR(Sel_County="All",Data!L2019=Sel_County)),1,0)</f>
        <v>1</v>
      </c>
    </row>
    <row r="2020" spans="1:9" x14ac:dyDescent="0.25">
      <c r="A2020" s="52" t="str">
        <f>Data!A2020</f>
        <v>TX502019</v>
      </c>
      <c r="B2020" s="52">
        <f>MONTH(Data!F2020)</f>
        <v>3</v>
      </c>
      <c r="C2020" s="52" t="str">
        <f>TEXT(Data!F2020,"mmm")</f>
        <v>Mar</v>
      </c>
      <c r="D2020" s="52" t="str">
        <f>Data!O2020</f>
        <v>Female</v>
      </c>
      <c r="E2020" s="52">
        <f>Data!G2020-Data!F2020</f>
        <v>3</v>
      </c>
      <c r="F2020" s="52">
        <f>IF(Data!J2020&lt;=5,Data!J2020,IF(Data!J2020&lt;=10,"6 TO 10","More than 10"))</f>
        <v>5</v>
      </c>
      <c r="G2020" s="52">
        <f t="shared" si="31"/>
        <v>3</v>
      </c>
      <c r="H2020" s="52">
        <f>ROUND(Data!C2020*Data!D2020-Data!E2020,2)</f>
        <v>0</v>
      </c>
      <c r="I2020" s="52">
        <f>IF(AND(OR(Sel_Mode="All",Data!I2020=Sel_Mode),OR(Sel_Gender="All",D2020=Sel_Gender),OR(Sel_Category="All",Data!B2020=Sel_Category),OR(Sel_Month="All",C2020=Sel_Month),OR(Sel_County="All",Data!L2020=Sel_County)),1,0)</f>
        <v>1</v>
      </c>
    </row>
    <row r="2021" spans="1:9" x14ac:dyDescent="0.25">
      <c r="A2021" s="52" t="str">
        <f>Data!A2021</f>
        <v>TX502020</v>
      </c>
      <c r="B2021" s="52">
        <f>MONTH(Data!F2021)</f>
        <v>3</v>
      </c>
      <c r="C2021" s="52" t="str">
        <f>TEXT(Data!F2021,"mmm")</f>
        <v>Mar</v>
      </c>
      <c r="D2021" s="52" t="str">
        <f>Data!O2021</f>
        <v>Unknown</v>
      </c>
      <c r="E2021" s="52">
        <f>Data!G2021-Data!F2021</f>
        <v>1</v>
      </c>
      <c r="F2021" s="52">
        <f>IF(Data!J2021&lt;=5,Data!J2021,IF(Data!J2021&lt;=10,"6 TO 10","More than 10"))</f>
        <v>3</v>
      </c>
      <c r="G2021" s="52">
        <f t="shared" si="31"/>
        <v>1</v>
      </c>
      <c r="H2021" s="52">
        <f>ROUND(Data!C2021*Data!D2021-Data!E2021,2)</f>
        <v>0</v>
      </c>
      <c r="I2021" s="52">
        <f>IF(AND(OR(Sel_Mode="All",Data!I2021=Sel_Mode),OR(Sel_Gender="All",D2021=Sel_Gender),OR(Sel_Category="All",Data!B2021=Sel_Category),OR(Sel_Month="All",C2021=Sel_Month),OR(Sel_County="All",Data!L2021=Sel_County)),1,0)</f>
        <v>1</v>
      </c>
    </row>
    <row r="2022" spans="1:9" x14ac:dyDescent="0.25">
      <c r="A2022" s="52" t="str">
        <f>Data!A2022</f>
        <v>TX502021</v>
      </c>
      <c r="B2022" s="52">
        <f>MONTH(Data!F2022)</f>
        <v>3</v>
      </c>
      <c r="C2022" s="52" t="str">
        <f>TEXT(Data!F2022,"mmm")</f>
        <v>Mar</v>
      </c>
      <c r="D2022" s="52" t="str">
        <f>Data!O2022</f>
        <v>Female</v>
      </c>
      <c r="E2022" s="52">
        <f>Data!G2022-Data!F2022</f>
        <v>2</v>
      </c>
      <c r="F2022" s="52">
        <f>IF(Data!J2022&lt;=5,Data!J2022,IF(Data!J2022&lt;=10,"6 TO 10","More than 10"))</f>
        <v>3</v>
      </c>
      <c r="G2022" s="52">
        <f t="shared" si="31"/>
        <v>2</v>
      </c>
      <c r="H2022" s="52">
        <f>ROUND(Data!C2022*Data!D2022-Data!E2022,2)</f>
        <v>0</v>
      </c>
      <c r="I2022" s="52">
        <f>IF(AND(OR(Sel_Mode="All",Data!I2022=Sel_Mode),OR(Sel_Gender="All",D2022=Sel_Gender),OR(Sel_Category="All",Data!B2022=Sel_Category),OR(Sel_Month="All",C2022=Sel_Month),OR(Sel_County="All",Data!L2022=Sel_County)),1,0)</f>
        <v>1</v>
      </c>
    </row>
    <row r="2023" spans="1:9" x14ac:dyDescent="0.25">
      <c r="A2023" s="52" t="str">
        <f>Data!A2023</f>
        <v>TX502022</v>
      </c>
      <c r="B2023" s="52">
        <f>MONTH(Data!F2023)</f>
        <v>3</v>
      </c>
      <c r="C2023" s="52" t="str">
        <f>TEXT(Data!F2023,"mmm")</f>
        <v>Mar</v>
      </c>
      <c r="D2023" s="52" t="str">
        <f>Data!O2023</f>
        <v>Male</v>
      </c>
      <c r="E2023" s="52">
        <f>Data!G2023-Data!F2023</f>
        <v>1</v>
      </c>
      <c r="F2023" s="52">
        <f>IF(Data!J2023&lt;=5,Data!J2023,IF(Data!J2023&lt;=10,"6 TO 10","More than 10"))</f>
        <v>5</v>
      </c>
      <c r="G2023" s="52">
        <f t="shared" si="31"/>
        <v>1</v>
      </c>
      <c r="H2023" s="52">
        <f>ROUND(Data!C2023*Data!D2023-Data!E2023,2)</f>
        <v>0</v>
      </c>
      <c r="I2023" s="52">
        <f>IF(AND(OR(Sel_Mode="All",Data!I2023=Sel_Mode),OR(Sel_Gender="All",D2023=Sel_Gender),OR(Sel_Category="All",Data!B2023=Sel_Category),OR(Sel_Month="All",C2023=Sel_Month),OR(Sel_County="All",Data!L2023=Sel_County)),1,0)</f>
        <v>1</v>
      </c>
    </row>
    <row r="2024" spans="1:9" x14ac:dyDescent="0.25">
      <c r="A2024" s="52" t="str">
        <f>Data!A2024</f>
        <v>TX502023</v>
      </c>
      <c r="B2024" s="52">
        <f>MONTH(Data!F2024)</f>
        <v>3</v>
      </c>
      <c r="C2024" s="52" t="str">
        <f>TEXT(Data!F2024,"mmm")</f>
        <v>Mar</v>
      </c>
      <c r="D2024" s="52" t="str">
        <f>Data!O2024</f>
        <v>Other</v>
      </c>
      <c r="E2024" s="52">
        <f>Data!G2024-Data!F2024</f>
        <v>1</v>
      </c>
      <c r="F2024" s="52">
        <f>IF(Data!J2024&lt;=5,Data!J2024,IF(Data!J2024&lt;=10,"6 TO 10","More than 10"))</f>
        <v>3</v>
      </c>
      <c r="G2024" s="52">
        <f t="shared" si="31"/>
        <v>1</v>
      </c>
      <c r="H2024" s="52">
        <f>ROUND(Data!C2024*Data!D2024-Data!E2024,2)</f>
        <v>0</v>
      </c>
      <c r="I2024" s="52">
        <f>IF(AND(OR(Sel_Mode="All",Data!I2024=Sel_Mode),OR(Sel_Gender="All",D2024=Sel_Gender),OR(Sel_Category="All",Data!B2024=Sel_Category),OR(Sel_Month="All",C2024=Sel_Month),OR(Sel_County="All",Data!L2024=Sel_County)),1,0)</f>
        <v>1</v>
      </c>
    </row>
    <row r="2025" spans="1:9" x14ac:dyDescent="0.25">
      <c r="A2025" s="52" t="str">
        <f>Data!A2025</f>
        <v>TX502024</v>
      </c>
      <c r="B2025" s="52">
        <f>MONTH(Data!F2025)</f>
        <v>3</v>
      </c>
      <c r="C2025" s="52" t="str">
        <f>TEXT(Data!F2025,"mmm")</f>
        <v>Mar</v>
      </c>
      <c r="D2025" s="52" t="str">
        <f>Data!O2025</f>
        <v>Female</v>
      </c>
      <c r="E2025" s="52">
        <f>Data!G2025-Data!F2025</f>
        <v>1</v>
      </c>
      <c r="F2025" s="52">
        <f>IF(Data!J2025&lt;=5,Data!J2025,IF(Data!J2025&lt;=10,"6 TO 10","More than 10"))</f>
        <v>4</v>
      </c>
      <c r="G2025" s="52">
        <f t="shared" si="31"/>
        <v>1</v>
      </c>
      <c r="H2025" s="52">
        <f>ROUND(Data!C2025*Data!D2025-Data!E2025,2)</f>
        <v>0</v>
      </c>
      <c r="I2025" s="52">
        <f>IF(AND(OR(Sel_Mode="All",Data!I2025=Sel_Mode),OR(Sel_Gender="All",D2025=Sel_Gender),OR(Sel_Category="All",Data!B2025=Sel_Category),OR(Sel_Month="All",C2025=Sel_Month),OR(Sel_County="All",Data!L2025=Sel_County)),1,0)</f>
        <v>1</v>
      </c>
    </row>
    <row r="2026" spans="1:9" x14ac:dyDescent="0.25">
      <c r="A2026" s="52" t="str">
        <f>Data!A2026</f>
        <v>TX502025</v>
      </c>
      <c r="B2026" s="52">
        <f>MONTH(Data!F2026)</f>
        <v>3</v>
      </c>
      <c r="C2026" s="52" t="str">
        <f>TEXT(Data!F2026,"mmm")</f>
        <v>Mar</v>
      </c>
      <c r="D2026" s="52" t="str">
        <f>Data!O2026</f>
        <v>Male</v>
      </c>
      <c r="E2026" s="52">
        <f>Data!G2026-Data!F2026</f>
        <v>1</v>
      </c>
      <c r="F2026" s="52">
        <f>IF(Data!J2026&lt;=5,Data!J2026,IF(Data!J2026&lt;=10,"6 TO 10","More than 10"))</f>
        <v>4</v>
      </c>
      <c r="G2026" s="52">
        <f t="shared" si="31"/>
        <v>1</v>
      </c>
      <c r="H2026" s="52">
        <f>ROUND(Data!C2026*Data!D2026-Data!E2026,2)</f>
        <v>0</v>
      </c>
      <c r="I2026" s="52">
        <f>IF(AND(OR(Sel_Mode="All",Data!I2026=Sel_Mode),OR(Sel_Gender="All",D2026=Sel_Gender),OR(Sel_Category="All",Data!B2026=Sel_Category),OR(Sel_Month="All",C2026=Sel_Month),OR(Sel_County="All",Data!L2026=Sel_County)),1,0)</f>
        <v>1</v>
      </c>
    </row>
    <row r="2027" spans="1:9" x14ac:dyDescent="0.25">
      <c r="A2027" s="52" t="str">
        <f>Data!A2027</f>
        <v>TX502026</v>
      </c>
      <c r="B2027" s="52">
        <f>MONTH(Data!F2027)</f>
        <v>3</v>
      </c>
      <c r="C2027" s="52" t="str">
        <f>TEXT(Data!F2027,"mmm")</f>
        <v>Mar</v>
      </c>
      <c r="D2027" s="52" t="str">
        <f>Data!O2027</f>
        <v>Male</v>
      </c>
      <c r="E2027" s="52">
        <f>Data!G2027-Data!F2027</f>
        <v>1</v>
      </c>
      <c r="F2027" s="52">
        <f>IF(Data!J2027&lt;=5,Data!J2027,IF(Data!J2027&lt;=10,"6 TO 10","More than 10"))</f>
        <v>5</v>
      </c>
      <c r="G2027" s="52">
        <f t="shared" si="31"/>
        <v>1</v>
      </c>
      <c r="H2027" s="52">
        <f>ROUND(Data!C2027*Data!D2027-Data!E2027,2)</f>
        <v>0</v>
      </c>
      <c r="I2027" s="52">
        <f>IF(AND(OR(Sel_Mode="All",Data!I2027=Sel_Mode),OR(Sel_Gender="All",D2027=Sel_Gender),OR(Sel_Category="All",Data!B2027=Sel_Category),OR(Sel_Month="All",C2027=Sel_Month),OR(Sel_County="All",Data!L2027=Sel_County)),1,0)</f>
        <v>1</v>
      </c>
    </row>
    <row r="2028" spans="1:9" x14ac:dyDescent="0.25">
      <c r="A2028" s="52" t="str">
        <f>Data!A2028</f>
        <v>TX502027</v>
      </c>
      <c r="B2028" s="52">
        <f>MONTH(Data!F2028)</f>
        <v>3</v>
      </c>
      <c r="C2028" s="52" t="str">
        <f>TEXT(Data!F2028,"mmm")</f>
        <v>Mar</v>
      </c>
      <c r="D2028" s="52" t="str">
        <f>Data!O2028</f>
        <v>Female</v>
      </c>
      <c r="E2028" s="52">
        <f>Data!G2028-Data!F2028</f>
        <v>2</v>
      </c>
      <c r="F2028" s="52">
        <f>IF(Data!J2028&lt;=5,Data!J2028,IF(Data!J2028&lt;=10,"6 TO 10","More than 10"))</f>
        <v>4</v>
      </c>
      <c r="G2028" s="52">
        <f t="shared" si="31"/>
        <v>2</v>
      </c>
      <c r="H2028" s="52">
        <f>ROUND(Data!C2028*Data!D2028-Data!E2028,2)</f>
        <v>0</v>
      </c>
      <c r="I2028" s="52">
        <f>IF(AND(OR(Sel_Mode="All",Data!I2028=Sel_Mode),OR(Sel_Gender="All",D2028=Sel_Gender),OR(Sel_Category="All",Data!B2028=Sel_Category),OR(Sel_Month="All",C2028=Sel_Month),OR(Sel_County="All",Data!L2028=Sel_County)),1,0)</f>
        <v>1</v>
      </c>
    </row>
    <row r="2029" spans="1:9" x14ac:dyDescent="0.25">
      <c r="A2029" s="52" t="str">
        <f>Data!A2029</f>
        <v>TX502028</v>
      </c>
      <c r="B2029" s="52">
        <f>MONTH(Data!F2029)</f>
        <v>3</v>
      </c>
      <c r="C2029" s="52" t="str">
        <f>TEXT(Data!F2029,"mmm")</f>
        <v>Mar</v>
      </c>
      <c r="D2029" s="52" t="str">
        <f>Data!O2029</f>
        <v>Female</v>
      </c>
      <c r="E2029" s="52">
        <f>Data!G2029-Data!F2029</f>
        <v>3</v>
      </c>
      <c r="F2029" s="52">
        <f>IF(Data!J2029&lt;=5,Data!J2029,IF(Data!J2029&lt;=10,"6 TO 10","More than 10"))</f>
        <v>5</v>
      </c>
      <c r="G2029" s="52">
        <f t="shared" si="31"/>
        <v>3</v>
      </c>
      <c r="H2029" s="52">
        <f>ROUND(Data!C2029*Data!D2029-Data!E2029,2)</f>
        <v>0</v>
      </c>
      <c r="I2029" s="52">
        <f>IF(AND(OR(Sel_Mode="All",Data!I2029=Sel_Mode),OR(Sel_Gender="All",D2029=Sel_Gender),OR(Sel_Category="All",Data!B2029=Sel_Category),OR(Sel_Month="All",C2029=Sel_Month),OR(Sel_County="All",Data!L2029=Sel_County)),1,0)</f>
        <v>1</v>
      </c>
    </row>
    <row r="2030" spans="1:9" x14ac:dyDescent="0.25">
      <c r="A2030" s="52" t="str">
        <f>Data!A2030</f>
        <v>TX502029</v>
      </c>
      <c r="B2030" s="52">
        <f>MONTH(Data!F2030)</f>
        <v>3</v>
      </c>
      <c r="C2030" s="52" t="str">
        <f>TEXT(Data!F2030,"mmm")</f>
        <v>Mar</v>
      </c>
      <c r="D2030" s="52" t="str">
        <f>Data!O2030</f>
        <v>Male</v>
      </c>
      <c r="E2030" s="52">
        <f>Data!G2030-Data!F2030</f>
        <v>6</v>
      </c>
      <c r="F2030" s="52">
        <f>IF(Data!J2030&lt;=5,Data!J2030,IF(Data!J2030&lt;=10,"6 TO 10","More than 10"))</f>
        <v>4</v>
      </c>
      <c r="G2030" s="52">
        <f t="shared" si="31"/>
        <v>6</v>
      </c>
      <c r="H2030" s="52">
        <f>ROUND(Data!C2030*Data!D2030-Data!E2030,2)</f>
        <v>0</v>
      </c>
      <c r="I2030" s="52">
        <f>IF(AND(OR(Sel_Mode="All",Data!I2030=Sel_Mode),OR(Sel_Gender="All",D2030=Sel_Gender),OR(Sel_Category="All",Data!B2030=Sel_Category),OR(Sel_Month="All",C2030=Sel_Month),OR(Sel_County="All",Data!L2030=Sel_County)),1,0)</f>
        <v>1</v>
      </c>
    </row>
    <row r="2031" spans="1:9" x14ac:dyDescent="0.25">
      <c r="A2031" s="52" t="str">
        <f>Data!A2031</f>
        <v>TX502030</v>
      </c>
      <c r="B2031" s="52">
        <f>MONTH(Data!F2031)</f>
        <v>3</v>
      </c>
      <c r="C2031" s="52" t="str">
        <f>TEXT(Data!F2031,"mmm")</f>
        <v>Mar</v>
      </c>
      <c r="D2031" s="52" t="str">
        <f>Data!O2031</f>
        <v>Female</v>
      </c>
      <c r="E2031" s="52">
        <f>Data!G2031-Data!F2031</f>
        <v>4</v>
      </c>
      <c r="F2031" s="52">
        <f>IF(Data!J2031&lt;=5,Data!J2031,IF(Data!J2031&lt;=10,"6 TO 10","More than 10"))</f>
        <v>3</v>
      </c>
      <c r="G2031" s="52">
        <f t="shared" si="31"/>
        <v>4</v>
      </c>
      <c r="H2031" s="52">
        <f>ROUND(Data!C2031*Data!D2031-Data!E2031,2)</f>
        <v>0</v>
      </c>
      <c r="I2031" s="52">
        <f>IF(AND(OR(Sel_Mode="All",Data!I2031=Sel_Mode),OR(Sel_Gender="All",D2031=Sel_Gender),OR(Sel_Category="All",Data!B2031=Sel_Category),OR(Sel_Month="All",C2031=Sel_Month),OR(Sel_County="All",Data!L2031=Sel_County)),1,0)</f>
        <v>1</v>
      </c>
    </row>
    <row r="2032" spans="1:9" x14ac:dyDescent="0.25">
      <c r="A2032" s="52" t="str">
        <f>Data!A2032</f>
        <v>TX502031</v>
      </c>
      <c r="B2032" s="52">
        <f>MONTH(Data!F2032)</f>
        <v>3</v>
      </c>
      <c r="C2032" s="52" t="str">
        <f>TEXT(Data!F2032,"mmm")</f>
        <v>Mar</v>
      </c>
      <c r="D2032" s="52" t="str">
        <f>Data!O2032</f>
        <v>Female</v>
      </c>
      <c r="E2032" s="52">
        <f>Data!G2032-Data!F2032</f>
        <v>4</v>
      </c>
      <c r="F2032" s="52">
        <f>IF(Data!J2032&lt;=5,Data!J2032,IF(Data!J2032&lt;=10,"6 TO 10","More than 10"))</f>
        <v>5</v>
      </c>
      <c r="G2032" s="52">
        <f t="shared" si="31"/>
        <v>4</v>
      </c>
      <c r="H2032" s="52">
        <f>ROUND(Data!C2032*Data!D2032-Data!E2032,2)</f>
        <v>0</v>
      </c>
      <c r="I2032" s="52">
        <f>IF(AND(OR(Sel_Mode="All",Data!I2032=Sel_Mode),OR(Sel_Gender="All",D2032=Sel_Gender),OR(Sel_Category="All",Data!B2032=Sel_Category),OR(Sel_Month="All",C2032=Sel_Month),OR(Sel_County="All",Data!L2032=Sel_County)),1,0)</f>
        <v>1</v>
      </c>
    </row>
    <row r="2033" spans="1:9" x14ac:dyDescent="0.25">
      <c r="A2033" s="52" t="str">
        <f>Data!A2033</f>
        <v>TX502032</v>
      </c>
      <c r="B2033" s="52">
        <f>MONTH(Data!F2033)</f>
        <v>3</v>
      </c>
      <c r="C2033" s="52" t="str">
        <f>TEXT(Data!F2033,"mmm")</f>
        <v>Mar</v>
      </c>
      <c r="D2033" s="52" t="str">
        <f>Data!O2033</f>
        <v>Male</v>
      </c>
      <c r="E2033" s="52">
        <f>Data!G2033-Data!F2033</f>
        <v>0</v>
      </c>
      <c r="F2033" s="52">
        <f>IF(Data!J2033&lt;=5,Data!J2033,IF(Data!J2033&lt;=10,"6 TO 10","More than 10"))</f>
        <v>3</v>
      </c>
      <c r="G2033" s="52">
        <f t="shared" si="31"/>
        <v>0</v>
      </c>
      <c r="H2033" s="52">
        <f>ROUND(Data!C2033*Data!D2033-Data!E2033,2)</f>
        <v>0</v>
      </c>
      <c r="I2033" s="52">
        <f>IF(AND(OR(Sel_Mode="All",Data!I2033=Sel_Mode),OR(Sel_Gender="All",D2033=Sel_Gender),OR(Sel_Category="All",Data!B2033=Sel_Category),OR(Sel_Month="All",C2033=Sel_Month),OR(Sel_County="All",Data!L2033=Sel_County)),1,0)</f>
        <v>1</v>
      </c>
    </row>
    <row r="2034" spans="1:9" x14ac:dyDescent="0.25">
      <c r="A2034" s="52" t="str">
        <f>Data!A2034</f>
        <v>TX502033</v>
      </c>
      <c r="B2034" s="52">
        <f>MONTH(Data!F2034)</f>
        <v>3</v>
      </c>
      <c r="C2034" s="52" t="str">
        <f>TEXT(Data!F2034,"mmm")</f>
        <v>Mar</v>
      </c>
      <c r="D2034" s="52" t="str">
        <f>Data!O2034</f>
        <v>Male</v>
      </c>
      <c r="E2034" s="52">
        <f>Data!G2034-Data!F2034</f>
        <v>1</v>
      </c>
      <c r="F2034" s="52">
        <f>IF(Data!J2034&lt;=5,Data!J2034,IF(Data!J2034&lt;=10,"6 TO 10","More than 10"))</f>
        <v>4</v>
      </c>
      <c r="G2034" s="52">
        <f t="shared" si="31"/>
        <v>1</v>
      </c>
      <c r="H2034" s="52">
        <f>ROUND(Data!C2034*Data!D2034-Data!E2034,2)</f>
        <v>0</v>
      </c>
      <c r="I2034" s="52">
        <f>IF(AND(OR(Sel_Mode="All",Data!I2034=Sel_Mode),OR(Sel_Gender="All",D2034=Sel_Gender),OR(Sel_Category="All",Data!B2034=Sel_Category),OR(Sel_Month="All",C2034=Sel_Month),OR(Sel_County="All",Data!L2034=Sel_County)),1,0)</f>
        <v>1</v>
      </c>
    </row>
    <row r="2035" spans="1:9" x14ac:dyDescent="0.25">
      <c r="A2035" s="52" t="str">
        <f>Data!A2035</f>
        <v>TX502034</v>
      </c>
      <c r="B2035" s="52">
        <f>MONTH(Data!F2035)</f>
        <v>3</v>
      </c>
      <c r="C2035" s="52" t="str">
        <f>TEXT(Data!F2035,"mmm")</f>
        <v>Mar</v>
      </c>
      <c r="D2035" s="52" t="str">
        <f>Data!O2035</f>
        <v>Female</v>
      </c>
      <c r="E2035" s="52">
        <f>Data!G2035-Data!F2035</f>
        <v>3</v>
      </c>
      <c r="F2035" s="52">
        <f>IF(Data!J2035&lt;=5,Data!J2035,IF(Data!J2035&lt;=10,"6 TO 10","More than 10"))</f>
        <v>4</v>
      </c>
      <c r="G2035" s="52">
        <f t="shared" si="31"/>
        <v>3</v>
      </c>
      <c r="H2035" s="52">
        <f>ROUND(Data!C2035*Data!D2035-Data!E2035,2)</f>
        <v>0</v>
      </c>
      <c r="I2035" s="52">
        <f>IF(AND(OR(Sel_Mode="All",Data!I2035=Sel_Mode),OR(Sel_Gender="All",D2035=Sel_Gender),OR(Sel_Category="All",Data!B2035=Sel_Category),OR(Sel_Month="All",C2035=Sel_Month),OR(Sel_County="All",Data!L2035=Sel_County)),1,0)</f>
        <v>1</v>
      </c>
    </row>
    <row r="2036" spans="1:9" x14ac:dyDescent="0.25">
      <c r="A2036" s="52" t="str">
        <f>Data!A2036</f>
        <v>TX502035</v>
      </c>
      <c r="B2036" s="52">
        <f>MONTH(Data!F2036)</f>
        <v>3</v>
      </c>
      <c r="C2036" s="52" t="str">
        <f>TEXT(Data!F2036,"mmm")</f>
        <v>Mar</v>
      </c>
      <c r="D2036" s="52" t="str">
        <f>Data!O2036</f>
        <v>Female</v>
      </c>
      <c r="E2036" s="52">
        <f>Data!G2036-Data!F2036</f>
        <v>3</v>
      </c>
      <c r="F2036" s="52">
        <f>IF(Data!J2036&lt;=5,Data!J2036,IF(Data!J2036&lt;=10,"6 TO 10","More than 10"))</f>
        <v>4</v>
      </c>
      <c r="G2036" s="52">
        <f t="shared" si="31"/>
        <v>3</v>
      </c>
      <c r="H2036" s="52">
        <f>ROUND(Data!C2036*Data!D2036-Data!E2036,2)</f>
        <v>0</v>
      </c>
      <c r="I2036" s="52">
        <f>IF(AND(OR(Sel_Mode="All",Data!I2036=Sel_Mode),OR(Sel_Gender="All",D2036=Sel_Gender),OR(Sel_Category="All",Data!B2036=Sel_Category),OR(Sel_Month="All",C2036=Sel_Month),OR(Sel_County="All",Data!L2036=Sel_County)),1,0)</f>
        <v>1</v>
      </c>
    </row>
    <row r="2037" spans="1:9" x14ac:dyDescent="0.25">
      <c r="A2037" s="52" t="str">
        <f>Data!A2037</f>
        <v>TX502036</v>
      </c>
      <c r="B2037" s="52">
        <f>MONTH(Data!F2037)</f>
        <v>3</v>
      </c>
      <c r="C2037" s="52" t="str">
        <f>TEXT(Data!F2037,"mmm")</f>
        <v>Mar</v>
      </c>
      <c r="D2037" s="52" t="str">
        <f>Data!O2037</f>
        <v>Female</v>
      </c>
      <c r="E2037" s="52">
        <f>Data!G2037-Data!F2037</f>
        <v>1</v>
      </c>
      <c r="F2037" s="52">
        <f>IF(Data!J2037&lt;=5,Data!J2037,IF(Data!J2037&lt;=10,"6 TO 10","More than 10"))</f>
        <v>4</v>
      </c>
      <c r="G2037" s="52">
        <f t="shared" si="31"/>
        <v>1</v>
      </c>
      <c r="H2037" s="52">
        <f>ROUND(Data!C2037*Data!D2037-Data!E2037,2)</f>
        <v>0</v>
      </c>
      <c r="I2037" s="52">
        <f>IF(AND(OR(Sel_Mode="All",Data!I2037=Sel_Mode),OR(Sel_Gender="All",D2037=Sel_Gender),OR(Sel_Category="All",Data!B2037=Sel_Category),OR(Sel_Month="All",C2037=Sel_Month),OR(Sel_County="All",Data!L2037=Sel_County)),1,0)</f>
        <v>1</v>
      </c>
    </row>
    <row r="2038" spans="1:9" x14ac:dyDescent="0.25">
      <c r="A2038" s="52" t="str">
        <f>Data!A2038</f>
        <v>TX502037</v>
      </c>
      <c r="B2038" s="52">
        <f>MONTH(Data!F2038)</f>
        <v>3</v>
      </c>
      <c r="C2038" s="52" t="str">
        <f>TEXT(Data!F2038,"mmm")</f>
        <v>Mar</v>
      </c>
      <c r="D2038" s="52" t="str">
        <f>Data!O2038</f>
        <v>Male</v>
      </c>
      <c r="E2038" s="52">
        <f>Data!G2038-Data!F2038</f>
        <v>0</v>
      </c>
      <c r="F2038" s="52">
        <f>IF(Data!J2038&lt;=5,Data!J2038,IF(Data!J2038&lt;=10,"6 TO 10","More than 10"))</f>
        <v>5</v>
      </c>
      <c r="G2038" s="52">
        <f t="shared" si="31"/>
        <v>0</v>
      </c>
      <c r="H2038" s="52">
        <f>ROUND(Data!C2038*Data!D2038-Data!E2038,2)</f>
        <v>0</v>
      </c>
      <c r="I2038" s="52">
        <f>IF(AND(OR(Sel_Mode="All",Data!I2038=Sel_Mode),OR(Sel_Gender="All",D2038=Sel_Gender),OR(Sel_Category="All",Data!B2038=Sel_Category),OR(Sel_Month="All",C2038=Sel_Month),OR(Sel_County="All",Data!L2038=Sel_County)),1,0)</f>
        <v>1</v>
      </c>
    </row>
    <row r="2039" spans="1:9" x14ac:dyDescent="0.25">
      <c r="A2039" s="52" t="str">
        <f>Data!A2039</f>
        <v>TX502038</v>
      </c>
      <c r="B2039" s="52">
        <f>MONTH(Data!F2039)</f>
        <v>3</v>
      </c>
      <c r="C2039" s="52" t="str">
        <f>TEXT(Data!F2039,"mmm")</f>
        <v>Mar</v>
      </c>
      <c r="D2039" s="52" t="str">
        <f>Data!O2039</f>
        <v>Male</v>
      </c>
      <c r="E2039" s="52">
        <f>Data!G2039-Data!F2039</f>
        <v>3</v>
      </c>
      <c r="F2039" s="52">
        <f>IF(Data!J2039&lt;=5,Data!J2039,IF(Data!J2039&lt;=10,"6 TO 10","More than 10"))</f>
        <v>3</v>
      </c>
      <c r="G2039" s="52">
        <f t="shared" si="31"/>
        <v>3</v>
      </c>
      <c r="H2039" s="52">
        <f>ROUND(Data!C2039*Data!D2039-Data!E2039,2)</f>
        <v>0</v>
      </c>
      <c r="I2039" s="52">
        <f>IF(AND(OR(Sel_Mode="All",Data!I2039=Sel_Mode),OR(Sel_Gender="All",D2039=Sel_Gender),OR(Sel_Category="All",Data!B2039=Sel_Category),OR(Sel_Month="All",C2039=Sel_Month),OR(Sel_County="All",Data!L2039=Sel_County)),1,0)</f>
        <v>1</v>
      </c>
    </row>
    <row r="2040" spans="1:9" x14ac:dyDescent="0.25">
      <c r="A2040" s="52" t="str">
        <f>Data!A2040</f>
        <v>TX502039</v>
      </c>
      <c r="B2040" s="52">
        <f>MONTH(Data!F2040)</f>
        <v>3</v>
      </c>
      <c r="C2040" s="52" t="str">
        <f>TEXT(Data!F2040,"mmm")</f>
        <v>Mar</v>
      </c>
      <c r="D2040" s="52" t="str">
        <f>Data!O2040</f>
        <v>Male</v>
      </c>
      <c r="E2040" s="52">
        <f>Data!G2040-Data!F2040</f>
        <v>7</v>
      </c>
      <c r="F2040" s="52">
        <f>IF(Data!J2040&lt;=5,Data!J2040,IF(Data!J2040&lt;=10,"6 TO 10","More than 10"))</f>
        <v>4</v>
      </c>
      <c r="G2040" s="52">
        <f t="shared" si="31"/>
        <v>7</v>
      </c>
      <c r="H2040" s="52">
        <f>ROUND(Data!C2040*Data!D2040-Data!E2040,2)</f>
        <v>0</v>
      </c>
      <c r="I2040" s="52">
        <f>IF(AND(OR(Sel_Mode="All",Data!I2040=Sel_Mode),OR(Sel_Gender="All",D2040=Sel_Gender),OR(Sel_Category="All",Data!B2040=Sel_Category),OR(Sel_Month="All",C2040=Sel_Month),OR(Sel_County="All",Data!L2040=Sel_County)),1,0)</f>
        <v>1</v>
      </c>
    </row>
    <row r="2041" spans="1:9" x14ac:dyDescent="0.25">
      <c r="A2041" s="52" t="str">
        <f>Data!A2041</f>
        <v>TX502040</v>
      </c>
      <c r="B2041" s="52">
        <f>MONTH(Data!F2041)</f>
        <v>3</v>
      </c>
      <c r="C2041" s="52" t="str">
        <f>TEXT(Data!F2041,"mmm")</f>
        <v>Mar</v>
      </c>
      <c r="D2041" s="52" t="str">
        <f>Data!O2041</f>
        <v>Male</v>
      </c>
      <c r="E2041" s="52">
        <f>Data!G2041-Data!F2041</f>
        <v>3</v>
      </c>
      <c r="F2041" s="52">
        <f>IF(Data!J2041&lt;=5,Data!J2041,IF(Data!J2041&lt;=10,"6 TO 10","More than 10"))</f>
        <v>4</v>
      </c>
      <c r="G2041" s="52">
        <f t="shared" si="31"/>
        <v>3</v>
      </c>
      <c r="H2041" s="52">
        <f>ROUND(Data!C2041*Data!D2041-Data!E2041,2)</f>
        <v>0</v>
      </c>
      <c r="I2041" s="52">
        <f>IF(AND(OR(Sel_Mode="All",Data!I2041=Sel_Mode),OR(Sel_Gender="All",D2041=Sel_Gender),OR(Sel_Category="All",Data!B2041=Sel_Category),OR(Sel_Month="All",C2041=Sel_Month),OR(Sel_County="All",Data!L2041=Sel_County)),1,0)</f>
        <v>1</v>
      </c>
    </row>
    <row r="2042" spans="1:9" x14ac:dyDescent="0.25">
      <c r="A2042" s="52" t="str">
        <f>Data!A2042</f>
        <v>TX502041</v>
      </c>
      <c r="B2042" s="52">
        <f>MONTH(Data!F2042)</f>
        <v>3</v>
      </c>
      <c r="C2042" s="52" t="str">
        <f>TEXT(Data!F2042,"mmm")</f>
        <v>Mar</v>
      </c>
      <c r="D2042" s="52" t="str">
        <f>Data!O2042</f>
        <v>Male</v>
      </c>
      <c r="E2042" s="52">
        <f>Data!G2042-Data!F2042</f>
        <v>1</v>
      </c>
      <c r="F2042" s="52">
        <f>IF(Data!J2042&lt;=5,Data!J2042,IF(Data!J2042&lt;=10,"6 TO 10","More than 10"))</f>
        <v>3</v>
      </c>
      <c r="G2042" s="52">
        <f t="shared" si="31"/>
        <v>1</v>
      </c>
      <c r="H2042" s="52">
        <f>ROUND(Data!C2042*Data!D2042-Data!E2042,2)</f>
        <v>0</v>
      </c>
      <c r="I2042" s="52">
        <f>IF(AND(OR(Sel_Mode="All",Data!I2042=Sel_Mode),OR(Sel_Gender="All",D2042=Sel_Gender),OR(Sel_Category="All",Data!B2042=Sel_Category),OR(Sel_Month="All",C2042=Sel_Month),OR(Sel_County="All",Data!L2042=Sel_County)),1,0)</f>
        <v>1</v>
      </c>
    </row>
    <row r="2043" spans="1:9" x14ac:dyDescent="0.25">
      <c r="A2043" s="52" t="str">
        <f>Data!A2043</f>
        <v>TX502042</v>
      </c>
      <c r="B2043" s="52">
        <f>MONTH(Data!F2043)</f>
        <v>3</v>
      </c>
      <c r="C2043" s="52" t="str">
        <f>TEXT(Data!F2043,"mmm")</f>
        <v>Mar</v>
      </c>
      <c r="D2043" s="52" t="str">
        <f>Data!O2043</f>
        <v>Male</v>
      </c>
      <c r="E2043" s="52">
        <f>Data!G2043-Data!F2043</f>
        <v>2</v>
      </c>
      <c r="F2043" s="52">
        <f>IF(Data!J2043&lt;=5,Data!J2043,IF(Data!J2043&lt;=10,"6 TO 10","More than 10"))</f>
        <v>5</v>
      </c>
      <c r="G2043" s="52">
        <f t="shared" si="31"/>
        <v>2</v>
      </c>
      <c r="H2043" s="52">
        <f>ROUND(Data!C2043*Data!D2043-Data!E2043,2)</f>
        <v>0</v>
      </c>
      <c r="I2043" s="52">
        <f>IF(AND(OR(Sel_Mode="All",Data!I2043=Sel_Mode),OR(Sel_Gender="All",D2043=Sel_Gender),OR(Sel_Category="All",Data!B2043=Sel_Category),OR(Sel_Month="All",C2043=Sel_Month),OR(Sel_County="All",Data!L2043=Sel_County)),1,0)</f>
        <v>1</v>
      </c>
    </row>
    <row r="2044" spans="1:9" x14ac:dyDescent="0.25">
      <c r="A2044" s="52" t="str">
        <f>Data!A2044</f>
        <v>TX502043</v>
      </c>
      <c r="B2044" s="52">
        <f>MONTH(Data!F2044)</f>
        <v>3</v>
      </c>
      <c r="C2044" s="52" t="str">
        <f>TEXT(Data!F2044,"mmm")</f>
        <v>Mar</v>
      </c>
      <c r="D2044" s="52" t="str">
        <f>Data!O2044</f>
        <v>Female</v>
      </c>
      <c r="E2044" s="52">
        <f>Data!G2044-Data!F2044</f>
        <v>1</v>
      </c>
      <c r="F2044" s="52">
        <f>IF(Data!J2044&lt;=5,Data!J2044,IF(Data!J2044&lt;=10,"6 TO 10","More than 10"))</f>
        <v>3</v>
      </c>
      <c r="G2044" s="52">
        <f t="shared" si="31"/>
        <v>1</v>
      </c>
      <c r="H2044" s="52">
        <f>ROUND(Data!C2044*Data!D2044-Data!E2044,2)</f>
        <v>0</v>
      </c>
      <c r="I2044" s="52">
        <f>IF(AND(OR(Sel_Mode="All",Data!I2044=Sel_Mode),OR(Sel_Gender="All",D2044=Sel_Gender),OR(Sel_Category="All",Data!B2044=Sel_Category),OR(Sel_Month="All",C2044=Sel_Month),OR(Sel_County="All",Data!L2044=Sel_County)),1,0)</f>
        <v>1</v>
      </c>
    </row>
    <row r="2045" spans="1:9" x14ac:dyDescent="0.25">
      <c r="A2045" s="52" t="str">
        <f>Data!A2045</f>
        <v>TX502044</v>
      </c>
      <c r="B2045" s="52">
        <f>MONTH(Data!F2045)</f>
        <v>3</v>
      </c>
      <c r="C2045" s="52" t="str">
        <f>TEXT(Data!F2045,"mmm")</f>
        <v>Mar</v>
      </c>
      <c r="D2045" s="52" t="str">
        <f>Data!O2045</f>
        <v>Female</v>
      </c>
      <c r="E2045" s="52">
        <f>Data!G2045-Data!F2045</f>
        <v>1</v>
      </c>
      <c r="F2045" s="52">
        <f>IF(Data!J2045&lt;=5,Data!J2045,IF(Data!J2045&lt;=10,"6 TO 10","More than 10"))</f>
        <v>3</v>
      </c>
      <c r="G2045" s="52">
        <f t="shared" si="31"/>
        <v>1</v>
      </c>
      <c r="H2045" s="52">
        <f>ROUND(Data!C2045*Data!D2045-Data!E2045,2)</f>
        <v>0</v>
      </c>
      <c r="I2045" s="52">
        <f>IF(AND(OR(Sel_Mode="All",Data!I2045=Sel_Mode),OR(Sel_Gender="All",D2045=Sel_Gender),OR(Sel_Category="All",Data!B2045=Sel_Category),OR(Sel_Month="All",C2045=Sel_Month),OR(Sel_County="All",Data!L2045=Sel_County)),1,0)</f>
        <v>1</v>
      </c>
    </row>
    <row r="2046" spans="1:9" x14ac:dyDescent="0.25">
      <c r="A2046" s="52" t="str">
        <f>Data!A2046</f>
        <v>TX502045</v>
      </c>
      <c r="B2046" s="52">
        <f>MONTH(Data!F2046)</f>
        <v>3</v>
      </c>
      <c r="C2046" s="52" t="str">
        <f>TEXT(Data!F2046,"mmm")</f>
        <v>Mar</v>
      </c>
      <c r="D2046" s="52" t="str">
        <f>Data!O2046</f>
        <v>Male</v>
      </c>
      <c r="E2046" s="52">
        <f>Data!G2046-Data!F2046</f>
        <v>1</v>
      </c>
      <c r="F2046" s="52">
        <f>IF(Data!J2046&lt;=5,Data!J2046,IF(Data!J2046&lt;=10,"6 TO 10","More than 10"))</f>
        <v>4</v>
      </c>
      <c r="G2046" s="52">
        <f t="shared" si="31"/>
        <v>1</v>
      </c>
      <c r="H2046" s="52">
        <f>ROUND(Data!C2046*Data!D2046-Data!E2046,2)</f>
        <v>0</v>
      </c>
      <c r="I2046" s="52">
        <f>IF(AND(OR(Sel_Mode="All",Data!I2046=Sel_Mode),OR(Sel_Gender="All",D2046=Sel_Gender),OR(Sel_Category="All",Data!B2046=Sel_Category),OR(Sel_Month="All",C2046=Sel_Month),OR(Sel_County="All",Data!L2046=Sel_County)),1,0)</f>
        <v>1</v>
      </c>
    </row>
    <row r="2047" spans="1:9" x14ac:dyDescent="0.25">
      <c r="A2047" s="52" t="str">
        <f>Data!A2047</f>
        <v>TX502046</v>
      </c>
      <c r="B2047" s="52">
        <f>MONTH(Data!F2047)</f>
        <v>3</v>
      </c>
      <c r="C2047" s="52" t="str">
        <f>TEXT(Data!F2047,"mmm")</f>
        <v>Mar</v>
      </c>
      <c r="D2047" s="52" t="str">
        <f>Data!O2047</f>
        <v>Female</v>
      </c>
      <c r="E2047" s="52">
        <f>Data!G2047-Data!F2047</f>
        <v>1</v>
      </c>
      <c r="F2047" s="52">
        <f>IF(Data!J2047&lt;=5,Data!J2047,IF(Data!J2047&lt;=10,"6 TO 10","More than 10"))</f>
        <v>5</v>
      </c>
      <c r="G2047" s="52">
        <f t="shared" si="31"/>
        <v>1</v>
      </c>
      <c r="H2047" s="52">
        <f>ROUND(Data!C2047*Data!D2047-Data!E2047,2)</f>
        <v>0</v>
      </c>
      <c r="I2047" s="52">
        <f>IF(AND(OR(Sel_Mode="All",Data!I2047=Sel_Mode),OR(Sel_Gender="All",D2047=Sel_Gender),OR(Sel_Category="All",Data!B2047=Sel_Category),OR(Sel_Month="All",C2047=Sel_Month),OR(Sel_County="All",Data!L2047=Sel_County)),1,0)</f>
        <v>1</v>
      </c>
    </row>
    <row r="2048" spans="1:9" x14ac:dyDescent="0.25">
      <c r="A2048" s="52" t="str">
        <f>Data!A2048</f>
        <v>TX502047</v>
      </c>
      <c r="B2048" s="52">
        <f>MONTH(Data!F2048)</f>
        <v>3</v>
      </c>
      <c r="C2048" s="52" t="str">
        <f>TEXT(Data!F2048,"mmm")</f>
        <v>Mar</v>
      </c>
      <c r="D2048" s="52" t="str">
        <f>Data!O2048</f>
        <v>Female</v>
      </c>
      <c r="E2048" s="52">
        <f>Data!G2048-Data!F2048</f>
        <v>4</v>
      </c>
      <c r="F2048" s="52">
        <f>IF(Data!J2048&lt;=5,Data!J2048,IF(Data!J2048&lt;=10,"6 TO 10","More than 10"))</f>
        <v>3</v>
      </c>
      <c r="G2048" s="52">
        <f t="shared" si="31"/>
        <v>4</v>
      </c>
      <c r="H2048" s="52">
        <f>ROUND(Data!C2048*Data!D2048-Data!E2048,2)</f>
        <v>0</v>
      </c>
      <c r="I2048" s="52">
        <f>IF(AND(OR(Sel_Mode="All",Data!I2048=Sel_Mode),OR(Sel_Gender="All",D2048=Sel_Gender),OR(Sel_Category="All",Data!B2048=Sel_Category),OR(Sel_Month="All",C2048=Sel_Month),OR(Sel_County="All",Data!L2048=Sel_County)),1,0)</f>
        <v>1</v>
      </c>
    </row>
    <row r="2049" spans="1:9" x14ac:dyDescent="0.25">
      <c r="A2049" s="52" t="str">
        <f>Data!A2049</f>
        <v>TX502048</v>
      </c>
      <c r="B2049" s="52">
        <f>MONTH(Data!F2049)</f>
        <v>3</v>
      </c>
      <c r="C2049" s="52" t="str">
        <f>TEXT(Data!F2049,"mmm")</f>
        <v>Mar</v>
      </c>
      <c r="D2049" s="52" t="str">
        <f>Data!O2049</f>
        <v>Male</v>
      </c>
      <c r="E2049" s="52">
        <f>Data!G2049-Data!F2049</f>
        <v>1</v>
      </c>
      <c r="F2049" s="52">
        <f>IF(Data!J2049&lt;=5,Data!J2049,IF(Data!J2049&lt;=10,"6 TO 10","More than 10"))</f>
        <v>4</v>
      </c>
      <c r="G2049" s="52">
        <f t="shared" si="31"/>
        <v>1</v>
      </c>
      <c r="H2049" s="52">
        <f>ROUND(Data!C2049*Data!D2049-Data!E2049,2)</f>
        <v>0</v>
      </c>
      <c r="I2049" s="52">
        <f>IF(AND(OR(Sel_Mode="All",Data!I2049=Sel_Mode),OR(Sel_Gender="All",D2049=Sel_Gender),OR(Sel_Category="All",Data!B2049=Sel_Category),OR(Sel_Month="All",C2049=Sel_Month),OR(Sel_County="All",Data!L2049=Sel_County)),1,0)</f>
        <v>1</v>
      </c>
    </row>
    <row r="2050" spans="1:9" x14ac:dyDescent="0.25">
      <c r="A2050" s="52" t="str">
        <f>Data!A2050</f>
        <v>TX502049</v>
      </c>
      <c r="B2050" s="52">
        <f>MONTH(Data!F2050)</f>
        <v>3</v>
      </c>
      <c r="C2050" s="52" t="str">
        <f>TEXT(Data!F2050,"mmm")</f>
        <v>Mar</v>
      </c>
      <c r="D2050" s="52" t="str">
        <f>Data!O2050</f>
        <v>Female</v>
      </c>
      <c r="E2050" s="52">
        <f>Data!G2050-Data!F2050</f>
        <v>2</v>
      </c>
      <c r="F2050" s="52">
        <f>IF(Data!J2050&lt;=5,Data!J2050,IF(Data!J2050&lt;=10,"6 TO 10","More than 10"))</f>
        <v>3</v>
      </c>
      <c r="G2050" s="52">
        <f t="shared" ref="G2050:G2113" si="32">IF(E2050&gt;=8,"8+",E2050)</f>
        <v>2</v>
      </c>
      <c r="H2050" s="52">
        <f>ROUND(Data!C2050*Data!D2050-Data!E2050,2)</f>
        <v>0</v>
      </c>
      <c r="I2050" s="52">
        <f>IF(AND(OR(Sel_Mode="All",Data!I2050=Sel_Mode),OR(Sel_Gender="All",D2050=Sel_Gender),OR(Sel_Category="All",Data!B2050=Sel_Category),OR(Sel_Month="All",C2050=Sel_Month),OR(Sel_County="All",Data!L2050=Sel_County)),1,0)</f>
        <v>1</v>
      </c>
    </row>
    <row r="2051" spans="1:9" x14ac:dyDescent="0.25">
      <c r="A2051" s="52" t="str">
        <f>Data!A2051</f>
        <v>TX502050</v>
      </c>
      <c r="B2051" s="52">
        <f>MONTH(Data!F2051)</f>
        <v>3</v>
      </c>
      <c r="C2051" s="52" t="str">
        <f>TEXT(Data!F2051,"mmm")</f>
        <v>Mar</v>
      </c>
      <c r="D2051" s="52" t="str">
        <f>Data!O2051</f>
        <v>Female</v>
      </c>
      <c r="E2051" s="52">
        <f>Data!G2051-Data!F2051</f>
        <v>5</v>
      </c>
      <c r="F2051" s="52">
        <f>IF(Data!J2051&lt;=5,Data!J2051,IF(Data!J2051&lt;=10,"6 TO 10","More than 10"))</f>
        <v>5</v>
      </c>
      <c r="G2051" s="52">
        <f t="shared" si="32"/>
        <v>5</v>
      </c>
      <c r="H2051" s="52">
        <f>ROUND(Data!C2051*Data!D2051-Data!E2051,2)</f>
        <v>0</v>
      </c>
      <c r="I2051" s="52">
        <f>IF(AND(OR(Sel_Mode="All",Data!I2051=Sel_Mode),OR(Sel_Gender="All",D2051=Sel_Gender),OR(Sel_Category="All",Data!B2051=Sel_Category),OR(Sel_Month="All",C2051=Sel_Month),OR(Sel_County="All",Data!L2051=Sel_County)),1,0)</f>
        <v>1</v>
      </c>
    </row>
    <row r="2052" spans="1:9" x14ac:dyDescent="0.25">
      <c r="A2052" s="52" t="str">
        <f>Data!A2052</f>
        <v>TX502051</v>
      </c>
      <c r="B2052" s="52">
        <f>MONTH(Data!F2052)</f>
        <v>3</v>
      </c>
      <c r="C2052" s="52" t="str">
        <f>TEXT(Data!F2052,"mmm")</f>
        <v>Mar</v>
      </c>
      <c r="D2052" s="52" t="str">
        <f>Data!O2052</f>
        <v>Female</v>
      </c>
      <c r="E2052" s="52">
        <f>Data!G2052-Data!F2052</f>
        <v>2</v>
      </c>
      <c r="F2052" s="52">
        <f>IF(Data!J2052&lt;=5,Data!J2052,IF(Data!J2052&lt;=10,"6 TO 10","More than 10"))</f>
        <v>4</v>
      </c>
      <c r="G2052" s="52">
        <f t="shared" si="32"/>
        <v>2</v>
      </c>
      <c r="H2052" s="52">
        <f>ROUND(Data!C2052*Data!D2052-Data!E2052,2)</f>
        <v>0</v>
      </c>
      <c r="I2052" s="52">
        <f>IF(AND(OR(Sel_Mode="All",Data!I2052=Sel_Mode),OR(Sel_Gender="All",D2052=Sel_Gender),OR(Sel_Category="All",Data!B2052=Sel_Category),OR(Sel_Month="All",C2052=Sel_Month),OR(Sel_County="All",Data!L2052=Sel_County)),1,0)</f>
        <v>1</v>
      </c>
    </row>
    <row r="2053" spans="1:9" x14ac:dyDescent="0.25">
      <c r="A2053" s="52" t="str">
        <f>Data!A2053</f>
        <v>TX502052</v>
      </c>
      <c r="B2053" s="52">
        <f>MONTH(Data!F2053)</f>
        <v>3</v>
      </c>
      <c r="C2053" s="52" t="str">
        <f>TEXT(Data!F2053,"mmm")</f>
        <v>Mar</v>
      </c>
      <c r="D2053" s="52" t="str">
        <f>Data!O2053</f>
        <v>Male</v>
      </c>
      <c r="E2053" s="52">
        <f>Data!G2053-Data!F2053</f>
        <v>1</v>
      </c>
      <c r="F2053" s="52">
        <f>IF(Data!J2053&lt;=5,Data!J2053,IF(Data!J2053&lt;=10,"6 TO 10","More than 10"))</f>
        <v>4</v>
      </c>
      <c r="G2053" s="52">
        <f t="shared" si="32"/>
        <v>1</v>
      </c>
      <c r="H2053" s="52">
        <f>ROUND(Data!C2053*Data!D2053-Data!E2053,2)</f>
        <v>0</v>
      </c>
      <c r="I2053" s="52">
        <f>IF(AND(OR(Sel_Mode="All",Data!I2053=Sel_Mode),OR(Sel_Gender="All",D2053=Sel_Gender),OR(Sel_Category="All",Data!B2053=Sel_Category),OR(Sel_Month="All",C2053=Sel_Month),OR(Sel_County="All",Data!L2053=Sel_County)),1,0)</f>
        <v>1</v>
      </c>
    </row>
    <row r="2054" spans="1:9" x14ac:dyDescent="0.25">
      <c r="A2054" s="52" t="str">
        <f>Data!A2054</f>
        <v>TX502053</v>
      </c>
      <c r="B2054" s="52">
        <f>MONTH(Data!F2054)</f>
        <v>3</v>
      </c>
      <c r="C2054" s="52" t="str">
        <f>TEXT(Data!F2054,"mmm")</f>
        <v>Mar</v>
      </c>
      <c r="D2054" s="52" t="str">
        <f>Data!O2054</f>
        <v>Male</v>
      </c>
      <c r="E2054" s="52">
        <f>Data!G2054-Data!F2054</f>
        <v>2</v>
      </c>
      <c r="F2054" s="52">
        <f>IF(Data!J2054&lt;=5,Data!J2054,IF(Data!J2054&lt;=10,"6 TO 10","More than 10"))</f>
        <v>4</v>
      </c>
      <c r="G2054" s="52">
        <f t="shared" si="32"/>
        <v>2</v>
      </c>
      <c r="H2054" s="52">
        <f>ROUND(Data!C2054*Data!D2054-Data!E2054,2)</f>
        <v>0</v>
      </c>
      <c r="I2054" s="52">
        <f>IF(AND(OR(Sel_Mode="All",Data!I2054=Sel_Mode),OR(Sel_Gender="All",D2054=Sel_Gender),OR(Sel_Category="All",Data!B2054=Sel_Category),OR(Sel_Month="All",C2054=Sel_Month),OR(Sel_County="All",Data!L2054=Sel_County)),1,0)</f>
        <v>1</v>
      </c>
    </row>
    <row r="2055" spans="1:9" x14ac:dyDescent="0.25">
      <c r="A2055" s="52" t="str">
        <f>Data!A2055</f>
        <v>TX502054</v>
      </c>
      <c r="B2055" s="52">
        <f>MONTH(Data!F2055)</f>
        <v>3</v>
      </c>
      <c r="C2055" s="52" t="str">
        <f>TEXT(Data!F2055,"mmm")</f>
        <v>Mar</v>
      </c>
      <c r="D2055" s="52" t="str">
        <f>Data!O2055</f>
        <v>Female</v>
      </c>
      <c r="E2055" s="52">
        <f>Data!G2055-Data!F2055</f>
        <v>3</v>
      </c>
      <c r="F2055" s="52">
        <f>IF(Data!J2055&lt;=5,Data!J2055,IF(Data!J2055&lt;=10,"6 TO 10","More than 10"))</f>
        <v>4</v>
      </c>
      <c r="G2055" s="52">
        <f t="shared" si="32"/>
        <v>3</v>
      </c>
      <c r="H2055" s="52">
        <f>ROUND(Data!C2055*Data!D2055-Data!E2055,2)</f>
        <v>0</v>
      </c>
      <c r="I2055" s="52">
        <f>IF(AND(OR(Sel_Mode="All",Data!I2055=Sel_Mode),OR(Sel_Gender="All",D2055=Sel_Gender),OR(Sel_Category="All",Data!B2055=Sel_Category),OR(Sel_Month="All",C2055=Sel_Month),OR(Sel_County="All",Data!L2055=Sel_County)),1,0)</f>
        <v>1</v>
      </c>
    </row>
    <row r="2056" spans="1:9" x14ac:dyDescent="0.25">
      <c r="A2056" s="52" t="str">
        <f>Data!A2056</f>
        <v>TX502055</v>
      </c>
      <c r="B2056" s="52">
        <f>MONTH(Data!F2056)</f>
        <v>3</v>
      </c>
      <c r="C2056" s="52" t="str">
        <f>TEXT(Data!F2056,"mmm")</f>
        <v>Mar</v>
      </c>
      <c r="D2056" s="52" t="str">
        <f>Data!O2056</f>
        <v>Female</v>
      </c>
      <c r="E2056" s="52">
        <f>Data!G2056-Data!F2056</f>
        <v>5</v>
      </c>
      <c r="F2056" s="52">
        <f>IF(Data!J2056&lt;=5,Data!J2056,IF(Data!J2056&lt;=10,"6 TO 10","More than 10"))</f>
        <v>4</v>
      </c>
      <c r="G2056" s="52">
        <f t="shared" si="32"/>
        <v>5</v>
      </c>
      <c r="H2056" s="52">
        <f>ROUND(Data!C2056*Data!D2056-Data!E2056,2)</f>
        <v>0</v>
      </c>
      <c r="I2056" s="52">
        <f>IF(AND(OR(Sel_Mode="All",Data!I2056=Sel_Mode),OR(Sel_Gender="All",D2056=Sel_Gender),OR(Sel_Category="All",Data!B2056=Sel_Category),OR(Sel_Month="All",C2056=Sel_Month),OR(Sel_County="All",Data!L2056=Sel_County)),1,0)</f>
        <v>1</v>
      </c>
    </row>
    <row r="2057" spans="1:9" x14ac:dyDescent="0.25">
      <c r="A2057" s="52" t="str">
        <f>Data!A2057</f>
        <v>TX502056</v>
      </c>
      <c r="B2057" s="52">
        <f>MONTH(Data!F2057)</f>
        <v>3</v>
      </c>
      <c r="C2057" s="52" t="str">
        <f>TEXT(Data!F2057,"mmm")</f>
        <v>Mar</v>
      </c>
      <c r="D2057" s="52" t="str">
        <f>Data!O2057</f>
        <v>Male</v>
      </c>
      <c r="E2057" s="52">
        <f>Data!G2057-Data!F2057</f>
        <v>3</v>
      </c>
      <c r="F2057" s="52">
        <f>IF(Data!J2057&lt;=5,Data!J2057,IF(Data!J2057&lt;=10,"6 TO 10","More than 10"))</f>
        <v>5</v>
      </c>
      <c r="G2057" s="52">
        <f t="shared" si="32"/>
        <v>3</v>
      </c>
      <c r="H2057" s="52">
        <f>ROUND(Data!C2057*Data!D2057-Data!E2057,2)</f>
        <v>0</v>
      </c>
      <c r="I2057" s="52">
        <f>IF(AND(OR(Sel_Mode="All",Data!I2057=Sel_Mode),OR(Sel_Gender="All",D2057=Sel_Gender),OR(Sel_Category="All",Data!B2057=Sel_Category),OR(Sel_Month="All",C2057=Sel_Month),OR(Sel_County="All",Data!L2057=Sel_County)),1,0)</f>
        <v>1</v>
      </c>
    </row>
    <row r="2058" spans="1:9" x14ac:dyDescent="0.25">
      <c r="A2058" s="52" t="str">
        <f>Data!A2058</f>
        <v>TX502057</v>
      </c>
      <c r="B2058" s="52">
        <f>MONTH(Data!F2058)</f>
        <v>3</v>
      </c>
      <c r="C2058" s="52" t="str">
        <f>TEXT(Data!F2058,"mmm")</f>
        <v>Mar</v>
      </c>
      <c r="D2058" s="52" t="str">
        <f>Data!O2058</f>
        <v>Female</v>
      </c>
      <c r="E2058" s="52">
        <f>Data!G2058-Data!F2058</f>
        <v>1</v>
      </c>
      <c r="F2058" s="52">
        <f>IF(Data!J2058&lt;=5,Data!J2058,IF(Data!J2058&lt;=10,"6 TO 10","More than 10"))</f>
        <v>5</v>
      </c>
      <c r="G2058" s="52">
        <f t="shared" si="32"/>
        <v>1</v>
      </c>
      <c r="H2058" s="52">
        <f>ROUND(Data!C2058*Data!D2058-Data!E2058,2)</f>
        <v>0</v>
      </c>
      <c r="I2058" s="52">
        <f>IF(AND(OR(Sel_Mode="All",Data!I2058=Sel_Mode),OR(Sel_Gender="All",D2058=Sel_Gender),OR(Sel_Category="All",Data!B2058=Sel_Category),OR(Sel_Month="All",C2058=Sel_Month),OR(Sel_County="All",Data!L2058=Sel_County)),1,0)</f>
        <v>1</v>
      </c>
    </row>
    <row r="2059" spans="1:9" x14ac:dyDescent="0.25">
      <c r="A2059" s="52" t="str">
        <f>Data!A2059</f>
        <v>TX502058</v>
      </c>
      <c r="B2059" s="52">
        <f>MONTH(Data!F2059)</f>
        <v>3</v>
      </c>
      <c r="C2059" s="52" t="str">
        <f>TEXT(Data!F2059,"mmm")</f>
        <v>Mar</v>
      </c>
      <c r="D2059" s="52" t="str">
        <f>Data!O2059</f>
        <v>Female</v>
      </c>
      <c r="E2059" s="52">
        <f>Data!G2059-Data!F2059</f>
        <v>1</v>
      </c>
      <c r="F2059" s="52">
        <f>IF(Data!J2059&lt;=5,Data!J2059,IF(Data!J2059&lt;=10,"6 TO 10","More than 10"))</f>
        <v>4</v>
      </c>
      <c r="G2059" s="52">
        <f t="shared" si="32"/>
        <v>1</v>
      </c>
      <c r="H2059" s="52">
        <f>ROUND(Data!C2059*Data!D2059-Data!E2059,2)</f>
        <v>0</v>
      </c>
      <c r="I2059" s="52">
        <f>IF(AND(OR(Sel_Mode="All",Data!I2059=Sel_Mode),OR(Sel_Gender="All",D2059=Sel_Gender),OR(Sel_Category="All",Data!B2059=Sel_Category),OR(Sel_Month="All",C2059=Sel_Month),OR(Sel_County="All",Data!L2059=Sel_County)),1,0)</f>
        <v>1</v>
      </c>
    </row>
    <row r="2060" spans="1:9" x14ac:dyDescent="0.25">
      <c r="A2060" s="52" t="str">
        <f>Data!A2060</f>
        <v>TX502059</v>
      </c>
      <c r="B2060" s="52">
        <f>MONTH(Data!F2060)</f>
        <v>3</v>
      </c>
      <c r="C2060" s="52" t="str">
        <f>TEXT(Data!F2060,"mmm")</f>
        <v>Mar</v>
      </c>
      <c r="D2060" s="52" t="str">
        <f>Data!O2060</f>
        <v>Male</v>
      </c>
      <c r="E2060" s="52">
        <f>Data!G2060-Data!F2060</f>
        <v>5</v>
      </c>
      <c r="F2060" s="52">
        <f>IF(Data!J2060&lt;=5,Data!J2060,IF(Data!J2060&lt;=10,"6 TO 10","More than 10"))</f>
        <v>5</v>
      </c>
      <c r="G2060" s="52">
        <f t="shared" si="32"/>
        <v>5</v>
      </c>
      <c r="H2060" s="52">
        <f>ROUND(Data!C2060*Data!D2060-Data!E2060,2)</f>
        <v>0</v>
      </c>
      <c r="I2060" s="52">
        <f>IF(AND(OR(Sel_Mode="All",Data!I2060=Sel_Mode),OR(Sel_Gender="All",D2060=Sel_Gender),OR(Sel_Category="All",Data!B2060=Sel_Category),OR(Sel_Month="All",C2060=Sel_Month),OR(Sel_County="All",Data!L2060=Sel_County)),1,0)</f>
        <v>1</v>
      </c>
    </row>
    <row r="2061" spans="1:9" x14ac:dyDescent="0.25">
      <c r="A2061" s="52" t="str">
        <f>Data!A2061</f>
        <v>TX502060</v>
      </c>
      <c r="B2061" s="52">
        <f>MONTH(Data!F2061)</f>
        <v>3</v>
      </c>
      <c r="C2061" s="52" t="str">
        <f>TEXT(Data!F2061,"mmm")</f>
        <v>Mar</v>
      </c>
      <c r="D2061" s="52" t="str">
        <f>Data!O2061</f>
        <v>Male</v>
      </c>
      <c r="E2061" s="52">
        <f>Data!G2061-Data!F2061</f>
        <v>1</v>
      </c>
      <c r="F2061" s="52">
        <f>IF(Data!J2061&lt;=5,Data!J2061,IF(Data!J2061&lt;=10,"6 TO 10","More than 10"))</f>
        <v>5</v>
      </c>
      <c r="G2061" s="52">
        <f t="shared" si="32"/>
        <v>1</v>
      </c>
      <c r="H2061" s="52">
        <f>ROUND(Data!C2061*Data!D2061-Data!E2061,2)</f>
        <v>0</v>
      </c>
      <c r="I2061" s="52">
        <f>IF(AND(OR(Sel_Mode="All",Data!I2061=Sel_Mode),OR(Sel_Gender="All",D2061=Sel_Gender),OR(Sel_Category="All",Data!B2061=Sel_Category),OR(Sel_Month="All",C2061=Sel_Month),OR(Sel_County="All",Data!L2061=Sel_County)),1,0)</f>
        <v>1</v>
      </c>
    </row>
    <row r="2062" spans="1:9" x14ac:dyDescent="0.25">
      <c r="A2062" s="52" t="str">
        <f>Data!A2062</f>
        <v>TX502061</v>
      </c>
      <c r="B2062" s="52">
        <f>MONTH(Data!F2062)</f>
        <v>3</v>
      </c>
      <c r="C2062" s="52" t="str">
        <f>TEXT(Data!F2062,"mmm")</f>
        <v>Mar</v>
      </c>
      <c r="D2062" s="52" t="str">
        <f>Data!O2062</f>
        <v>Female</v>
      </c>
      <c r="E2062" s="52">
        <f>Data!G2062-Data!F2062</f>
        <v>2</v>
      </c>
      <c r="F2062" s="52">
        <f>IF(Data!J2062&lt;=5,Data!J2062,IF(Data!J2062&lt;=10,"6 TO 10","More than 10"))</f>
        <v>4</v>
      </c>
      <c r="G2062" s="52">
        <f t="shared" si="32"/>
        <v>2</v>
      </c>
      <c r="H2062" s="52">
        <f>ROUND(Data!C2062*Data!D2062-Data!E2062,2)</f>
        <v>0</v>
      </c>
      <c r="I2062" s="52">
        <f>IF(AND(OR(Sel_Mode="All",Data!I2062=Sel_Mode),OR(Sel_Gender="All",D2062=Sel_Gender),OR(Sel_Category="All",Data!B2062=Sel_Category),OR(Sel_Month="All",C2062=Sel_Month),OR(Sel_County="All",Data!L2062=Sel_County)),1,0)</f>
        <v>1</v>
      </c>
    </row>
    <row r="2063" spans="1:9" x14ac:dyDescent="0.25">
      <c r="A2063" s="52" t="str">
        <f>Data!A2063</f>
        <v>TX502062</v>
      </c>
      <c r="B2063" s="52">
        <f>MONTH(Data!F2063)</f>
        <v>3</v>
      </c>
      <c r="C2063" s="52" t="str">
        <f>TEXT(Data!F2063,"mmm")</f>
        <v>Mar</v>
      </c>
      <c r="D2063" s="52" t="str">
        <f>Data!O2063</f>
        <v>Female</v>
      </c>
      <c r="E2063" s="52">
        <f>Data!G2063-Data!F2063</f>
        <v>1</v>
      </c>
      <c r="F2063" s="52">
        <f>IF(Data!J2063&lt;=5,Data!J2063,IF(Data!J2063&lt;=10,"6 TO 10","More than 10"))</f>
        <v>3</v>
      </c>
      <c r="G2063" s="52">
        <f t="shared" si="32"/>
        <v>1</v>
      </c>
      <c r="H2063" s="52">
        <f>ROUND(Data!C2063*Data!D2063-Data!E2063,2)</f>
        <v>0</v>
      </c>
      <c r="I2063" s="52">
        <f>IF(AND(OR(Sel_Mode="All",Data!I2063=Sel_Mode),OR(Sel_Gender="All",D2063=Sel_Gender),OR(Sel_Category="All",Data!B2063=Sel_Category),OR(Sel_Month="All",C2063=Sel_Month),OR(Sel_County="All",Data!L2063=Sel_County)),1,0)</f>
        <v>1</v>
      </c>
    </row>
    <row r="2064" spans="1:9" x14ac:dyDescent="0.25">
      <c r="A2064" s="52" t="str">
        <f>Data!A2064</f>
        <v>TX502063</v>
      </c>
      <c r="B2064" s="52">
        <f>MONTH(Data!F2064)</f>
        <v>3</v>
      </c>
      <c r="C2064" s="52" t="str">
        <f>TEXT(Data!F2064,"mmm")</f>
        <v>Mar</v>
      </c>
      <c r="D2064" s="52" t="str">
        <f>Data!O2064</f>
        <v>Female</v>
      </c>
      <c r="E2064" s="52">
        <f>Data!G2064-Data!F2064</f>
        <v>6</v>
      </c>
      <c r="F2064" s="52">
        <f>IF(Data!J2064&lt;=5,Data!J2064,IF(Data!J2064&lt;=10,"6 TO 10","More than 10"))</f>
        <v>4</v>
      </c>
      <c r="G2064" s="52">
        <f t="shared" si="32"/>
        <v>6</v>
      </c>
      <c r="H2064" s="52">
        <f>ROUND(Data!C2064*Data!D2064-Data!E2064,2)</f>
        <v>0</v>
      </c>
      <c r="I2064" s="52">
        <f>IF(AND(OR(Sel_Mode="All",Data!I2064=Sel_Mode),OR(Sel_Gender="All",D2064=Sel_Gender),OR(Sel_Category="All",Data!B2064=Sel_Category),OR(Sel_Month="All",C2064=Sel_Month),OR(Sel_County="All",Data!L2064=Sel_County)),1,0)</f>
        <v>1</v>
      </c>
    </row>
    <row r="2065" spans="1:9" x14ac:dyDescent="0.25">
      <c r="A2065" s="52" t="str">
        <f>Data!A2065</f>
        <v>TX502064</v>
      </c>
      <c r="B2065" s="52">
        <f>MONTH(Data!F2065)</f>
        <v>3</v>
      </c>
      <c r="C2065" s="52" t="str">
        <f>TEXT(Data!F2065,"mmm")</f>
        <v>Mar</v>
      </c>
      <c r="D2065" s="52" t="str">
        <f>Data!O2065</f>
        <v>Female</v>
      </c>
      <c r="E2065" s="52">
        <f>Data!G2065-Data!F2065</f>
        <v>2</v>
      </c>
      <c r="F2065" s="52">
        <f>IF(Data!J2065&lt;=5,Data!J2065,IF(Data!J2065&lt;=10,"6 TO 10","More than 10"))</f>
        <v>4</v>
      </c>
      <c r="G2065" s="52">
        <f t="shared" si="32"/>
        <v>2</v>
      </c>
      <c r="H2065" s="52">
        <f>ROUND(Data!C2065*Data!D2065-Data!E2065,2)</f>
        <v>0</v>
      </c>
      <c r="I2065" s="52">
        <f>IF(AND(OR(Sel_Mode="All",Data!I2065=Sel_Mode),OR(Sel_Gender="All",D2065=Sel_Gender),OR(Sel_Category="All",Data!B2065=Sel_Category),OR(Sel_Month="All",C2065=Sel_Month),OR(Sel_County="All",Data!L2065=Sel_County)),1,0)</f>
        <v>1</v>
      </c>
    </row>
    <row r="2066" spans="1:9" x14ac:dyDescent="0.25">
      <c r="A2066" s="52" t="str">
        <f>Data!A2066</f>
        <v>TX502065</v>
      </c>
      <c r="B2066" s="52">
        <f>MONTH(Data!F2066)</f>
        <v>3</v>
      </c>
      <c r="C2066" s="52" t="str">
        <f>TEXT(Data!F2066,"mmm")</f>
        <v>Mar</v>
      </c>
      <c r="D2066" s="52" t="str">
        <f>Data!O2066</f>
        <v>Male</v>
      </c>
      <c r="E2066" s="52">
        <f>Data!G2066-Data!F2066</f>
        <v>1</v>
      </c>
      <c r="F2066" s="52">
        <f>IF(Data!J2066&lt;=5,Data!J2066,IF(Data!J2066&lt;=10,"6 TO 10","More than 10"))</f>
        <v>3</v>
      </c>
      <c r="G2066" s="52">
        <f t="shared" si="32"/>
        <v>1</v>
      </c>
      <c r="H2066" s="52">
        <f>ROUND(Data!C2066*Data!D2066-Data!E2066,2)</f>
        <v>0</v>
      </c>
      <c r="I2066" s="52">
        <f>IF(AND(OR(Sel_Mode="All",Data!I2066=Sel_Mode),OR(Sel_Gender="All",D2066=Sel_Gender),OR(Sel_Category="All",Data!B2066=Sel_Category),OR(Sel_Month="All",C2066=Sel_Month),OR(Sel_County="All",Data!L2066=Sel_County)),1,0)</f>
        <v>1</v>
      </c>
    </row>
    <row r="2067" spans="1:9" x14ac:dyDescent="0.25">
      <c r="A2067" s="52" t="str">
        <f>Data!A2067</f>
        <v>TX502066</v>
      </c>
      <c r="B2067" s="52">
        <f>MONTH(Data!F2067)</f>
        <v>3</v>
      </c>
      <c r="C2067" s="52" t="str">
        <f>TEXT(Data!F2067,"mmm")</f>
        <v>Mar</v>
      </c>
      <c r="D2067" s="52" t="str">
        <f>Data!O2067</f>
        <v>Male</v>
      </c>
      <c r="E2067" s="52">
        <f>Data!G2067-Data!F2067</f>
        <v>1</v>
      </c>
      <c r="F2067" s="52">
        <f>IF(Data!J2067&lt;=5,Data!J2067,IF(Data!J2067&lt;=10,"6 TO 10","More than 10"))</f>
        <v>4</v>
      </c>
      <c r="G2067" s="52">
        <f t="shared" si="32"/>
        <v>1</v>
      </c>
      <c r="H2067" s="52">
        <f>ROUND(Data!C2067*Data!D2067-Data!E2067,2)</f>
        <v>0</v>
      </c>
      <c r="I2067" s="52">
        <f>IF(AND(OR(Sel_Mode="All",Data!I2067=Sel_Mode),OR(Sel_Gender="All",D2067=Sel_Gender),OR(Sel_Category="All",Data!B2067=Sel_Category),OR(Sel_Month="All",C2067=Sel_Month),OR(Sel_County="All",Data!L2067=Sel_County)),1,0)</f>
        <v>1</v>
      </c>
    </row>
    <row r="2068" spans="1:9" x14ac:dyDescent="0.25">
      <c r="A2068" s="52" t="str">
        <f>Data!A2068</f>
        <v>TX502067</v>
      </c>
      <c r="B2068" s="52">
        <f>MONTH(Data!F2068)</f>
        <v>3</v>
      </c>
      <c r="C2068" s="52" t="str">
        <f>TEXT(Data!F2068,"mmm")</f>
        <v>Mar</v>
      </c>
      <c r="D2068" s="52" t="str">
        <f>Data!O2068</f>
        <v>Female</v>
      </c>
      <c r="E2068" s="52">
        <f>Data!G2068-Data!F2068</f>
        <v>3</v>
      </c>
      <c r="F2068" s="52">
        <f>IF(Data!J2068&lt;=5,Data!J2068,IF(Data!J2068&lt;=10,"6 TO 10","More than 10"))</f>
        <v>3</v>
      </c>
      <c r="G2068" s="52">
        <f t="shared" si="32"/>
        <v>3</v>
      </c>
      <c r="H2068" s="52">
        <f>ROUND(Data!C2068*Data!D2068-Data!E2068,2)</f>
        <v>0</v>
      </c>
      <c r="I2068" s="52">
        <f>IF(AND(OR(Sel_Mode="All",Data!I2068=Sel_Mode),OR(Sel_Gender="All",D2068=Sel_Gender),OR(Sel_Category="All",Data!B2068=Sel_Category),OR(Sel_Month="All",C2068=Sel_Month),OR(Sel_County="All",Data!L2068=Sel_County)),1,0)</f>
        <v>1</v>
      </c>
    </row>
    <row r="2069" spans="1:9" x14ac:dyDescent="0.25">
      <c r="A2069" s="52" t="str">
        <f>Data!A2069</f>
        <v>TX502068</v>
      </c>
      <c r="B2069" s="52">
        <f>MONTH(Data!F2069)</f>
        <v>3</v>
      </c>
      <c r="C2069" s="52" t="str">
        <f>TEXT(Data!F2069,"mmm")</f>
        <v>Mar</v>
      </c>
      <c r="D2069" s="52" t="str">
        <f>Data!O2069</f>
        <v>Female</v>
      </c>
      <c r="E2069" s="52">
        <f>Data!G2069-Data!F2069</f>
        <v>2</v>
      </c>
      <c r="F2069" s="52">
        <f>IF(Data!J2069&lt;=5,Data!J2069,IF(Data!J2069&lt;=10,"6 TO 10","More than 10"))</f>
        <v>4</v>
      </c>
      <c r="G2069" s="52">
        <f t="shared" si="32"/>
        <v>2</v>
      </c>
      <c r="H2069" s="52">
        <f>ROUND(Data!C2069*Data!D2069-Data!E2069,2)</f>
        <v>0</v>
      </c>
      <c r="I2069" s="52">
        <f>IF(AND(OR(Sel_Mode="All",Data!I2069=Sel_Mode),OR(Sel_Gender="All",D2069=Sel_Gender),OR(Sel_Category="All",Data!B2069=Sel_Category),OR(Sel_Month="All",C2069=Sel_Month),OR(Sel_County="All",Data!L2069=Sel_County)),1,0)</f>
        <v>1</v>
      </c>
    </row>
    <row r="2070" spans="1:9" x14ac:dyDescent="0.25">
      <c r="A2070" s="52" t="str">
        <f>Data!A2070</f>
        <v>TX502069</v>
      </c>
      <c r="B2070" s="52">
        <f>MONTH(Data!F2070)</f>
        <v>3</v>
      </c>
      <c r="C2070" s="52" t="str">
        <f>TEXT(Data!F2070,"mmm")</f>
        <v>Mar</v>
      </c>
      <c r="D2070" s="52" t="str">
        <f>Data!O2070</f>
        <v>Male</v>
      </c>
      <c r="E2070" s="52">
        <f>Data!G2070-Data!F2070</f>
        <v>2</v>
      </c>
      <c r="F2070" s="52">
        <f>IF(Data!J2070&lt;=5,Data!J2070,IF(Data!J2070&lt;=10,"6 TO 10","More than 10"))</f>
        <v>2</v>
      </c>
      <c r="G2070" s="52">
        <f t="shared" si="32"/>
        <v>2</v>
      </c>
      <c r="H2070" s="52">
        <f>ROUND(Data!C2070*Data!D2070-Data!E2070,2)</f>
        <v>0</v>
      </c>
      <c r="I2070" s="52">
        <f>IF(AND(OR(Sel_Mode="All",Data!I2070=Sel_Mode),OR(Sel_Gender="All",D2070=Sel_Gender),OR(Sel_Category="All",Data!B2070=Sel_Category),OR(Sel_Month="All",C2070=Sel_Month),OR(Sel_County="All",Data!L2070=Sel_County)),1,0)</f>
        <v>1</v>
      </c>
    </row>
    <row r="2071" spans="1:9" x14ac:dyDescent="0.25">
      <c r="A2071" s="52" t="str">
        <f>Data!A2071</f>
        <v>TX502070</v>
      </c>
      <c r="B2071" s="52">
        <f>MONTH(Data!F2071)</f>
        <v>3</v>
      </c>
      <c r="C2071" s="52" t="str">
        <f>TEXT(Data!F2071,"mmm")</f>
        <v>Mar</v>
      </c>
      <c r="D2071" s="52" t="str">
        <f>Data!O2071</f>
        <v>Female</v>
      </c>
      <c r="E2071" s="52">
        <f>Data!G2071-Data!F2071</f>
        <v>2</v>
      </c>
      <c r="F2071" s="52">
        <f>IF(Data!J2071&lt;=5,Data!J2071,IF(Data!J2071&lt;=10,"6 TO 10","More than 10"))</f>
        <v>4</v>
      </c>
      <c r="G2071" s="52">
        <f t="shared" si="32"/>
        <v>2</v>
      </c>
      <c r="H2071" s="52">
        <f>ROUND(Data!C2071*Data!D2071-Data!E2071,2)</f>
        <v>0</v>
      </c>
      <c r="I2071" s="52">
        <f>IF(AND(OR(Sel_Mode="All",Data!I2071=Sel_Mode),OR(Sel_Gender="All",D2071=Sel_Gender),OR(Sel_Category="All",Data!B2071=Sel_Category),OR(Sel_Month="All",C2071=Sel_Month),OR(Sel_County="All",Data!L2071=Sel_County)),1,0)</f>
        <v>1</v>
      </c>
    </row>
    <row r="2072" spans="1:9" x14ac:dyDescent="0.25">
      <c r="A2072" s="52" t="str">
        <f>Data!A2072</f>
        <v>TX502071</v>
      </c>
      <c r="B2072" s="52">
        <f>MONTH(Data!F2072)</f>
        <v>3</v>
      </c>
      <c r="C2072" s="52" t="str">
        <f>TEXT(Data!F2072,"mmm")</f>
        <v>Mar</v>
      </c>
      <c r="D2072" s="52" t="str">
        <f>Data!O2072</f>
        <v>Male</v>
      </c>
      <c r="E2072" s="52">
        <f>Data!G2072-Data!F2072</f>
        <v>1</v>
      </c>
      <c r="F2072" s="52">
        <f>IF(Data!J2072&lt;=5,Data!J2072,IF(Data!J2072&lt;=10,"6 TO 10","More than 10"))</f>
        <v>4</v>
      </c>
      <c r="G2072" s="52">
        <f t="shared" si="32"/>
        <v>1</v>
      </c>
      <c r="H2072" s="52">
        <f>ROUND(Data!C2072*Data!D2072-Data!E2072,2)</f>
        <v>0</v>
      </c>
      <c r="I2072" s="52">
        <f>IF(AND(OR(Sel_Mode="All",Data!I2072=Sel_Mode),OR(Sel_Gender="All",D2072=Sel_Gender),OR(Sel_Category="All",Data!B2072=Sel_Category),OR(Sel_Month="All",C2072=Sel_Month),OR(Sel_County="All",Data!L2072=Sel_County)),1,0)</f>
        <v>1</v>
      </c>
    </row>
    <row r="2073" spans="1:9" x14ac:dyDescent="0.25">
      <c r="A2073" s="52" t="str">
        <f>Data!A2073</f>
        <v>TX502072</v>
      </c>
      <c r="B2073" s="52">
        <f>MONTH(Data!F2073)</f>
        <v>3</v>
      </c>
      <c r="C2073" s="52" t="str">
        <f>TEXT(Data!F2073,"mmm")</f>
        <v>Mar</v>
      </c>
      <c r="D2073" s="52" t="str">
        <f>Data!O2073</f>
        <v>Male</v>
      </c>
      <c r="E2073" s="52">
        <f>Data!G2073-Data!F2073</f>
        <v>5</v>
      </c>
      <c r="F2073" s="52">
        <f>IF(Data!J2073&lt;=5,Data!J2073,IF(Data!J2073&lt;=10,"6 TO 10","More than 10"))</f>
        <v>5</v>
      </c>
      <c r="G2073" s="52">
        <f t="shared" si="32"/>
        <v>5</v>
      </c>
      <c r="H2073" s="52">
        <f>ROUND(Data!C2073*Data!D2073-Data!E2073,2)</f>
        <v>0</v>
      </c>
      <c r="I2073" s="52">
        <f>IF(AND(OR(Sel_Mode="All",Data!I2073=Sel_Mode),OR(Sel_Gender="All",D2073=Sel_Gender),OR(Sel_Category="All",Data!B2073=Sel_Category),OR(Sel_Month="All",C2073=Sel_Month),OR(Sel_County="All",Data!L2073=Sel_County)),1,0)</f>
        <v>1</v>
      </c>
    </row>
    <row r="2074" spans="1:9" x14ac:dyDescent="0.25">
      <c r="A2074" s="52" t="str">
        <f>Data!A2074</f>
        <v>TX502073</v>
      </c>
      <c r="B2074" s="52">
        <f>MONTH(Data!F2074)</f>
        <v>3</v>
      </c>
      <c r="C2074" s="52" t="str">
        <f>TEXT(Data!F2074,"mmm")</f>
        <v>Mar</v>
      </c>
      <c r="D2074" s="52" t="str">
        <f>Data!O2074</f>
        <v>Male</v>
      </c>
      <c r="E2074" s="52">
        <f>Data!G2074-Data!F2074</f>
        <v>2</v>
      </c>
      <c r="F2074" s="52">
        <f>IF(Data!J2074&lt;=5,Data!J2074,IF(Data!J2074&lt;=10,"6 TO 10","More than 10"))</f>
        <v>5</v>
      </c>
      <c r="G2074" s="52">
        <f t="shared" si="32"/>
        <v>2</v>
      </c>
      <c r="H2074" s="52">
        <f>ROUND(Data!C2074*Data!D2074-Data!E2074,2)</f>
        <v>0</v>
      </c>
      <c r="I2074" s="52">
        <f>IF(AND(OR(Sel_Mode="All",Data!I2074=Sel_Mode),OR(Sel_Gender="All",D2074=Sel_Gender),OR(Sel_Category="All",Data!B2074=Sel_Category),OR(Sel_Month="All",C2074=Sel_Month),OR(Sel_County="All",Data!L2074=Sel_County)),1,0)</f>
        <v>1</v>
      </c>
    </row>
    <row r="2075" spans="1:9" x14ac:dyDescent="0.25">
      <c r="A2075" s="52" t="str">
        <f>Data!A2075</f>
        <v>TX502074</v>
      </c>
      <c r="B2075" s="52">
        <f>MONTH(Data!F2075)</f>
        <v>3</v>
      </c>
      <c r="C2075" s="52" t="str">
        <f>TEXT(Data!F2075,"mmm")</f>
        <v>Mar</v>
      </c>
      <c r="D2075" s="52" t="str">
        <f>Data!O2075</f>
        <v>Female</v>
      </c>
      <c r="E2075" s="52">
        <f>Data!G2075-Data!F2075</f>
        <v>1</v>
      </c>
      <c r="F2075" s="52">
        <f>IF(Data!J2075&lt;=5,Data!J2075,IF(Data!J2075&lt;=10,"6 TO 10","More than 10"))</f>
        <v>5</v>
      </c>
      <c r="G2075" s="52">
        <f t="shared" si="32"/>
        <v>1</v>
      </c>
      <c r="H2075" s="52">
        <f>ROUND(Data!C2075*Data!D2075-Data!E2075,2)</f>
        <v>0</v>
      </c>
      <c r="I2075" s="52">
        <f>IF(AND(OR(Sel_Mode="All",Data!I2075=Sel_Mode),OR(Sel_Gender="All",D2075=Sel_Gender),OR(Sel_Category="All",Data!B2075=Sel_Category),OR(Sel_Month="All",C2075=Sel_Month),OR(Sel_County="All",Data!L2075=Sel_County)),1,0)</f>
        <v>1</v>
      </c>
    </row>
    <row r="2076" spans="1:9" x14ac:dyDescent="0.25">
      <c r="A2076" s="52" t="str">
        <f>Data!A2076</f>
        <v>TX502075</v>
      </c>
      <c r="B2076" s="52">
        <f>MONTH(Data!F2076)</f>
        <v>3</v>
      </c>
      <c r="C2076" s="52" t="str">
        <f>TEXT(Data!F2076,"mmm")</f>
        <v>Mar</v>
      </c>
      <c r="D2076" s="52" t="str">
        <f>Data!O2076</f>
        <v>Female</v>
      </c>
      <c r="E2076" s="52">
        <f>Data!G2076-Data!F2076</f>
        <v>2</v>
      </c>
      <c r="F2076" s="52">
        <f>IF(Data!J2076&lt;=5,Data!J2076,IF(Data!J2076&lt;=10,"6 TO 10","More than 10"))</f>
        <v>4</v>
      </c>
      <c r="G2076" s="52">
        <f t="shared" si="32"/>
        <v>2</v>
      </c>
      <c r="H2076" s="52">
        <f>ROUND(Data!C2076*Data!D2076-Data!E2076,2)</f>
        <v>0</v>
      </c>
      <c r="I2076" s="52">
        <f>IF(AND(OR(Sel_Mode="All",Data!I2076=Sel_Mode),OR(Sel_Gender="All",D2076=Sel_Gender),OR(Sel_Category="All",Data!B2076=Sel_Category),OR(Sel_Month="All",C2076=Sel_Month),OR(Sel_County="All",Data!L2076=Sel_County)),1,0)</f>
        <v>1</v>
      </c>
    </row>
    <row r="2077" spans="1:9" x14ac:dyDescent="0.25">
      <c r="A2077" s="52" t="str">
        <f>Data!A2077</f>
        <v>TX502076</v>
      </c>
      <c r="B2077" s="52">
        <f>MONTH(Data!F2077)</f>
        <v>3</v>
      </c>
      <c r="C2077" s="52" t="str">
        <f>TEXT(Data!F2077,"mmm")</f>
        <v>Mar</v>
      </c>
      <c r="D2077" s="52" t="str">
        <f>Data!O2077</f>
        <v>Male</v>
      </c>
      <c r="E2077" s="52">
        <f>Data!G2077-Data!F2077</f>
        <v>0</v>
      </c>
      <c r="F2077" s="52">
        <f>IF(Data!J2077&lt;=5,Data!J2077,IF(Data!J2077&lt;=10,"6 TO 10","More than 10"))</f>
        <v>5</v>
      </c>
      <c r="G2077" s="52">
        <f t="shared" si="32"/>
        <v>0</v>
      </c>
      <c r="H2077" s="52">
        <f>ROUND(Data!C2077*Data!D2077-Data!E2077,2)</f>
        <v>0</v>
      </c>
      <c r="I2077" s="52">
        <f>IF(AND(OR(Sel_Mode="All",Data!I2077=Sel_Mode),OR(Sel_Gender="All",D2077=Sel_Gender),OR(Sel_Category="All",Data!B2077=Sel_Category),OR(Sel_Month="All",C2077=Sel_Month),OR(Sel_County="All",Data!L2077=Sel_County)),1,0)</f>
        <v>1</v>
      </c>
    </row>
    <row r="2078" spans="1:9" x14ac:dyDescent="0.25">
      <c r="A2078" s="52" t="str">
        <f>Data!A2078</f>
        <v>TX502077</v>
      </c>
      <c r="B2078" s="52">
        <f>MONTH(Data!F2078)</f>
        <v>3</v>
      </c>
      <c r="C2078" s="52" t="str">
        <f>TEXT(Data!F2078,"mmm")</f>
        <v>Mar</v>
      </c>
      <c r="D2078" s="52" t="str">
        <f>Data!O2078</f>
        <v>Female</v>
      </c>
      <c r="E2078" s="52">
        <f>Data!G2078-Data!F2078</f>
        <v>2</v>
      </c>
      <c r="F2078" s="52">
        <f>IF(Data!J2078&lt;=5,Data!J2078,IF(Data!J2078&lt;=10,"6 TO 10","More than 10"))</f>
        <v>4</v>
      </c>
      <c r="G2078" s="52">
        <f t="shared" si="32"/>
        <v>2</v>
      </c>
      <c r="H2078" s="52">
        <f>ROUND(Data!C2078*Data!D2078-Data!E2078,2)</f>
        <v>0</v>
      </c>
      <c r="I2078" s="52">
        <f>IF(AND(OR(Sel_Mode="All",Data!I2078=Sel_Mode),OR(Sel_Gender="All",D2078=Sel_Gender),OR(Sel_Category="All",Data!B2078=Sel_Category),OR(Sel_Month="All",C2078=Sel_Month),OR(Sel_County="All",Data!L2078=Sel_County)),1,0)</f>
        <v>1</v>
      </c>
    </row>
    <row r="2079" spans="1:9" x14ac:dyDescent="0.25">
      <c r="A2079" s="52" t="str">
        <f>Data!A2079</f>
        <v>TX502078</v>
      </c>
      <c r="B2079" s="52">
        <f>MONTH(Data!F2079)</f>
        <v>3</v>
      </c>
      <c r="C2079" s="52" t="str">
        <f>TEXT(Data!F2079,"mmm")</f>
        <v>Mar</v>
      </c>
      <c r="D2079" s="52" t="str">
        <f>Data!O2079</f>
        <v>Male</v>
      </c>
      <c r="E2079" s="52">
        <f>Data!G2079-Data!F2079</f>
        <v>2</v>
      </c>
      <c r="F2079" s="52">
        <f>IF(Data!J2079&lt;=5,Data!J2079,IF(Data!J2079&lt;=10,"6 TO 10","More than 10"))</f>
        <v>3</v>
      </c>
      <c r="G2079" s="52">
        <f t="shared" si="32"/>
        <v>2</v>
      </c>
      <c r="H2079" s="52">
        <f>ROUND(Data!C2079*Data!D2079-Data!E2079,2)</f>
        <v>0</v>
      </c>
      <c r="I2079" s="52">
        <f>IF(AND(OR(Sel_Mode="All",Data!I2079=Sel_Mode),OR(Sel_Gender="All",D2079=Sel_Gender),OR(Sel_Category="All",Data!B2079=Sel_Category),OR(Sel_Month="All",C2079=Sel_Month),OR(Sel_County="All",Data!L2079=Sel_County)),1,0)</f>
        <v>1</v>
      </c>
    </row>
    <row r="2080" spans="1:9" x14ac:dyDescent="0.25">
      <c r="A2080" s="52" t="str">
        <f>Data!A2080</f>
        <v>TX502079</v>
      </c>
      <c r="B2080" s="52">
        <f>MONTH(Data!F2080)</f>
        <v>3</v>
      </c>
      <c r="C2080" s="52" t="str">
        <f>TEXT(Data!F2080,"mmm")</f>
        <v>Mar</v>
      </c>
      <c r="D2080" s="52" t="str">
        <f>Data!O2080</f>
        <v>Female</v>
      </c>
      <c r="E2080" s="52">
        <f>Data!G2080-Data!F2080</f>
        <v>1</v>
      </c>
      <c r="F2080" s="52">
        <f>IF(Data!J2080&lt;=5,Data!J2080,IF(Data!J2080&lt;=10,"6 TO 10","More than 10"))</f>
        <v>4</v>
      </c>
      <c r="G2080" s="52">
        <f t="shared" si="32"/>
        <v>1</v>
      </c>
      <c r="H2080" s="52">
        <f>ROUND(Data!C2080*Data!D2080-Data!E2080,2)</f>
        <v>0</v>
      </c>
      <c r="I2080" s="52">
        <f>IF(AND(OR(Sel_Mode="All",Data!I2080=Sel_Mode),OR(Sel_Gender="All",D2080=Sel_Gender),OR(Sel_Category="All",Data!B2080=Sel_Category),OR(Sel_Month="All",C2080=Sel_Month),OR(Sel_County="All",Data!L2080=Sel_County)),1,0)</f>
        <v>1</v>
      </c>
    </row>
    <row r="2081" spans="1:9" x14ac:dyDescent="0.25">
      <c r="A2081" s="52" t="str">
        <f>Data!A2081</f>
        <v>TX502080</v>
      </c>
      <c r="B2081" s="52">
        <f>MONTH(Data!F2081)</f>
        <v>3</v>
      </c>
      <c r="C2081" s="52" t="str">
        <f>TEXT(Data!F2081,"mmm")</f>
        <v>Mar</v>
      </c>
      <c r="D2081" s="52" t="str">
        <f>Data!O2081</f>
        <v>Male</v>
      </c>
      <c r="E2081" s="52">
        <f>Data!G2081-Data!F2081</f>
        <v>1</v>
      </c>
      <c r="F2081" s="52">
        <f>IF(Data!J2081&lt;=5,Data!J2081,IF(Data!J2081&lt;=10,"6 TO 10","More than 10"))</f>
        <v>5</v>
      </c>
      <c r="G2081" s="52">
        <f t="shared" si="32"/>
        <v>1</v>
      </c>
      <c r="H2081" s="52">
        <f>ROUND(Data!C2081*Data!D2081-Data!E2081,2)</f>
        <v>0</v>
      </c>
      <c r="I2081" s="52">
        <f>IF(AND(OR(Sel_Mode="All",Data!I2081=Sel_Mode),OR(Sel_Gender="All",D2081=Sel_Gender),OR(Sel_Category="All",Data!B2081=Sel_Category),OR(Sel_Month="All",C2081=Sel_Month),OR(Sel_County="All",Data!L2081=Sel_County)),1,0)</f>
        <v>1</v>
      </c>
    </row>
    <row r="2082" spans="1:9" x14ac:dyDescent="0.25">
      <c r="A2082" s="52" t="str">
        <f>Data!A2082</f>
        <v>TX502081</v>
      </c>
      <c r="B2082" s="52">
        <f>MONTH(Data!F2082)</f>
        <v>3</v>
      </c>
      <c r="C2082" s="52" t="str">
        <f>TEXT(Data!F2082,"mmm")</f>
        <v>Mar</v>
      </c>
      <c r="D2082" s="52" t="str">
        <f>Data!O2082</f>
        <v>Male</v>
      </c>
      <c r="E2082" s="52">
        <f>Data!G2082-Data!F2082</f>
        <v>3</v>
      </c>
      <c r="F2082" s="52">
        <f>IF(Data!J2082&lt;=5,Data!J2082,IF(Data!J2082&lt;=10,"6 TO 10","More than 10"))</f>
        <v>5</v>
      </c>
      <c r="G2082" s="52">
        <f t="shared" si="32"/>
        <v>3</v>
      </c>
      <c r="H2082" s="52">
        <f>ROUND(Data!C2082*Data!D2082-Data!E2082,2)</f>
        <v>0</v>
      </c>
      <c r="I2082" s="52">
        <f>IF(AND(OR(Sel_Mode="All",Data!I2082=Sel_Mode),OR(Sel_Gender="All",D2082=Sel_Gender),OR(Sel_Category="All",Data!B2082=Sel_Category),OR(Sel_Month="All",C2082=Sel_Month),OR(Sel_County="All",Data!L2082=Sel_County)),1,0)</f>
        <v>1</v>
      </c>
    </row>
    <row r="2083" spans="1:9" x14ac:dyDescent="0.25">
      <c r="A2083" s="52" t="str">
        <f>Data!A2083</f>
        <v>TX502082</v>
      </c>
      <c r="B2083" s="52">
        <f>MONTH(Data!F2083)</f>
        <v>3</v>
      </c>
      <c r="C2083" s="52" t="str">
        <f>TEXT(Data!F2083,"mmm")</f>
        <v>Mar</v>
      </c>
      <c r="D2083" s="52" t="str">
        <f>Data!O2083</f>
        <v>Female</v>
      </c>
      <c r="E2083" s="52">
        <f>Data!G2083-Data!F2083</f>
        <v>2</v>
      </c>
      <c r="F2083" s="52">
        <f>IF(Data!J2083&lt;=5,Data!J2083,IF(Data!J2083&lt;=10,"6 TO 10","More than 10"))</f>
        <v>5</v>
      </c>
      <c r="G2083" s="52">
        <f t="shared" si="32"/>
        <v>2</v>
      </c>
      <c r="H2083" s="52">
        <f>ROUND(Data!C2083*Data!D2083-Data!E2083,2)</f>
        <v>0</v>
      </c>
      <c r="I2083" s="52">
        <f>IF(AND(OR(Sel_Mode="All",Data!I2083=Sel_Mode),OR(Sel_Gender="All",D2083=Sel_Gender),OR(Sel_Category="All",Data!B2083=Sel_Category),OR(Sel_Month="All",C2083=Sel_Month),OR(Sel_County="All",Data!L2083=Sel_County)),1,0)</f>
        <v>1</v>
      </c>
    </row>
    <row r="2084" spans="1:9" x14ac:dyDescent="0.25">
      <c r="A2084" s="52" t="str">
        <f>Data!A2084</f>
        <v>TX502083</v>
      </c>
      <c r="B2084" s="52">
        <f>MONTH(Data!F2084)</f>
        <v>3</v>
      </c>
      <c r="C2084" s="52" t="str">
        <f>TEXT(Data!F2084,"mmm")</f>
        <v>Mar</v>
      </c>
      <c r="D2084" s="52" t="str">
        <f>Data!O2084</f>
        <v>Other</v>
      </c>
      <c r="E2084" s="52">
        <f>Data!G2084-Data!F2084</f>
        <v>4</v>
      </c>
      <c r="F2084" s="52">
        <f>IF(Data!J2084&lt;=5,Data!J2084,IF(Data!J2084&lt;=10,"6 TO 10","More than 10"))</f>
        <v>4</v>
      </c>
      <c r="G2084" s="52">
        <f t="shared" si="32"/>
        <v>4</v>
      </c>
      <c r="H2084" s="52">
        <f>ROUND(Data!C2084*Data!D2084-Data!E2084,2)</f>
        <v>0</v>
      </c>
      <c r="I2084" s="52">
        <f>IF(AND(OR(Sel_Mode="All",Data!I2084=Sel_Mode),OR(Sel_Gender="All",D2084=Sel_Gender),OR(Sel_Category="All",Data!B2084=Sel_Category),OR(Sel_Month="All",C2084=Sel_Month),OR(Sel_County="All",Data!L2084=Sel_County)),1,0)</f>
        <v>1</v>
      </c>
    </row>
    <row r="2085" spans="1:9" x14ac:dyDescent="0.25">
      <c r="A2085" s="52" t="str">
        <f>Data!A2085</f>
        <v>TX502084</v>
      </c>
      <c r="B2085" s="52">
        <f>MONTH(Data!F2085)</f>
        <v>3</v>
      </c>
      <c r="C2085" s="52" t="str">
        <f>TEXT(Data!F2085,"mmm")</f>
        <v>Mar</v>
      </c>
      <c r="D2085" s="52" t="str">
        <f>Data!O2085</f>
        <v>Female</v>
      </c>
      <c r="E2085" s="52">
        <f>Data!G2085-Data!F2085</f>
        <v>7</v>
      </c>
      <c r="F2085" s="52">
        <f>IF(Data!J2085&lt;=5,Data!J2085,IF(Data!J2085&lt;=10,"6 TO 10","More than 10"))</f>
        <v>3</v>
      </c>
      <c r="G2085" s="52">
        <f t="shared" si="32"/>
        <v>7</v>
      </c>
      <c r="H2085" s="52">
        <f>ROUND(Data!C2085*Data!D2085-Data!E2085,2)</f>
        <v>0</v>
      </c>
      <c r="I2085" s="52">
        <f>IF(AND(OR(Sel_Mode="All",Data!I2085=Sel_Mode),OR(Sel_Gender="All",D2085=Sel_Gender),OR(Sel_Category="All",Data!B2085=Sel_Category),OR(Sel_Month="All",C2085=Sel_Month),OR(Sel_County="All",Data!L2085=Sel_County)),1,0)</f>
        <v>1</v>
      </c>
    </row>
    <row r="2086" spans="1:9" x14ac:dyDescent="0.25">
      <c r="A2086" s="52" t="str">
        <f>Data!A2086</f>
        <v>TX502085</v>
      </c>
      <c r="B2086" s="52">
        <f>MONTH(Data!F2086)</f>
        <v>3</v>
      </c>
      <c r="C2086" s="52" t="str">
        <f>TEXT(Data!F2086,"mmm")</f>
        <v>Mar</v>
      </c>
      <c r="D2086" s="52" t="str">
        <f>Data!O2086</f>
        <v>Female</v>
      </c>
      <c r="E2086" s="52">
        <f>Data!G2086-Data!F2086</f>
        <v>1</v>
      </c>
      <c r="F2086" s="52">
        <f>IF(Data!J2086&lt;=5,Data!J2086,IF(Data!J2086&lt;=10,"6 TO 10","More than 10"))</f>
        <v>5</v>
      </c>
      <c r="G2086" s="52">
        <f t="shared" si="32"/>
        <v>1</v>
      </c>
      <c r="H2086" s="52">
        <f>ROUND(Data!C2086*Data!D2086-Data!E2086,2)</f>
        <v>0</v>
      </c>
      <c r="I2086" s="52">
        <f>IF(AND(OR(Sel_Mode="All",Data!I2086=Sel_Mode),OR(Sel_Gender="All",D2086=Sel_Gender),OR(Sel_Category="All",Data!B2086=Sel_Category),OR(Sel_Month="All",C2086=Sel_Month),OR(Sel_County="All",Data!L2086=Sel_County)),1,0)</f>
        <v>1</v>
      </c>
    </row>
    <row r="2087" spans="1:9" x14ac:dyDescent="0.25">
      <c r="A2087" s="52" t="str">
        <f>Data!A2087</f>
        <v>TX502086</v>
      </c>
      <c r="B2087" s="52">
        <f>MONTH(Data!F2087)</f>
        <v>3</v>
      </c>
      <c r="C2087" s="52" t="str">
        <f>TEXT(Data!F2087,"mmm")</f>
        <v>Mar</v>
      </c>
      <c r="D2087" s="52" t="str">
        <f>Data!O2087</f>
        <v>Female</v>
      </c>
      <c r="E2087" s="52">
        <f>Data!G2087-Data!F2087</f>
        <v>2</v>
      </c>
      <c r="F2087" s="52">
        <f>IF(Data!J2087&lt;=5,Data!J2087,IF(Data!J2087&lt;=10,"6 TO 10","More than 10"))</f>
        <v>4</v>
      </c>
      <c r="G2087" s="52">
        <f t="shared" si="32"/>
        <v>2</v>
      </c>
      <c r="H2087" s="52">
        <f>ROUND(Data!C2087*Data!D2087-Data!E2087,2)</f>
        <v>0</v>
      </c>
      <c r="I2087" s="52">
        <f>IF(AND(OR(Sel_Mode="All",Data!I2087=Sel_Mode),OR(Sel_Gender="All",D2087=Sel_Gender),OR(Sel_Category="All",Data!B2087=Sel_Category),OR(Sel_Month="All",C2087=Sel_Month),OR(Sel_County="All",Data!L2087=Sel_County)),1,0)</f>
        <v>1</v>
      </c>
    </row>
    <row r="2088" spans="1:9" x14ac:dyDescent="0.25">
      <c r="A2088" s="52" t="str">
        <f>Data!A2088</f>
        <v>TX502087</v>
      </c>
      <c r="B2088" s="52">
        <f>MONTH(Data!F2088)</f>
        <v>3</v>
      </c>
      <c r="C2088" s="52" t="str">
        <f>TEXT(Data!F2088,"mmm")</f>
        <v>Mar</v>
      </c>
      <c r="D2088" s="52" t="str">
        <f>Data!O2088</f>
        <v>Female</v>
      </c>
      <c r="E2088" s="52">
        <f>Data!G2088-Data!F2088</f>
        <v>1</v>
      </c>
      <c r="F2088" s="52">
        <f>IF(Data!J2088&lt;=5,Data!J2088,IF(Data!J2088&lt;=10,"6 TO 10","More than 10"))</f>
        <v>5</v>
      </c>
      <c r="G2088" s="52">
        <f t="shared" si="32"/>
        <v>1</v>
      </c>
      <c r="H2088" s="52">
        <f>ROUND(Data!C2088*Data!D2088-Data!E2088,2)</f>
        <v>0</v>
      </c>
      <c r="I2088" s="52">
        <f>IF(AND(OR(Sel_Mode="All",Data!I2088=Sel_Mode),OR(Sel_Gender="All",D2088=Sel_Gender),OR(Sel_Category="All",Data!B2088=Sel_Category),OR(Sel_Month="All",C2088=Sel_Month),OR(Sel_County="All",Data!L2088=Sel_County)),1,0)</f>
        <v>1</v>
      </c>
    </row>
    <row r="2089" spans="1:9" x14ac:dyDescent="0.25">
      <c r="A2089" s="52" t="str">
        <f>Data!A2089</f>
        <v>TX502088</v>
      </c>
      <c r="B2089" s="52">
        <f>MONTH(Data!F2089)</f>
        <v>3</v>
      </c>
      <c r="C2089" s="52" t="str">
        <f>TEXT(Data!F2089,"mmm")</f>
        <v>Mar</v>
      </c>
      <c r="D2089" s="52" t="str">
        <f>Data!O2089</f>
        <v>Male</v>
      </c>
      <c r="E2089" s="52">
        <f>Data!G2089-Data!F2089</f>
        <v>3</v>
      </c>
      <c r="F2089" s="52">
        <f>IF(Data!J2089&lt;=5,Data!J2089,IF(Data!J2089&lt;=10,"6 TO 10","More than 10"))</f>
        <v>4</v>
      </c>
      <c r="G2089" s="52">
        <f t="shared" si="32"/>
        <v>3</v>
      </c>
      <c r="H2089" s="52">
        <f>ROUND(Data!C2089*Data!D2089-Data!E2089,2)</f>
        <v>0</v>
      </c>
      <c r="I2089" s="52">
        <f>IF(AND(OR(Sel_Mode="All",Data!I2089=Sel_Mode),OR(Sel_Gender="All",D2089=Sel_Gender),OR(Sel_Category="All",Data!B2089=Sel_Category),OR(Sel_Month="All",C2089=Sel_Month),OR(Sel_County="All",Data!L2089=Sel_County)),1,0)</f>
        <v>1</v>
      </c>
    </row>
    <row r="2090" spans="1:9" x14ac:dyDescent="0.25">
      <c r="A2090" s="52" t="str">
        <f>Data!A2090</f>
        <v>TX502089</v>
      </c>
      <c r="B2090" s="52">
        <f>MONTH(Data!F2090)</f>
        <v>3</v>
      </c>
      <c r="C2090" s="52" t="str">
        <f>TEXT(Data!F2090,"mmm")</f>
        <v>Mar</v>
      </c>
      <c r="D2090" s="52" t="str">
        <f>Data!O2090</f>
        <v>Male</v>
      </c>
      <c r="E2090" s="52">
        <f>Data!G2090-Data!F2090</f>
        <v>4</v>
      </c>
      <c r="F2090" s="52">
        <f>IF(Data!J2090&lt;=5,Data!J2090,IF(Data!J2090&lt;=10,"6 TO 10","More than 10"))</f>
        <v>5</v>
      </c>
      <c r="G2090" s="52">
        <f t="shared" si="32"/>
        <v>4</v>
      </c>
      <c r="H2090" s="52">
        <f>ROUND(Data!C2090*Data!D2090-Data!E2090,2)</f>
        <v>0</v>
      </c>
      <c r="I2090" s="52">
        <f>IF(AND(OR(Sel_Mode="All",Data!I2090=Sel_Mode),OR(Sel_Gender="All",D2090=Sel_Gender),OR(Sel_Category="All",Data!B2090=Sel_Category),OR(Sel_Month="All",C2090=Sel_Month),OR(Sel_County="All",Data!L2090=Sel_County)),1,0)</f>
        <v>1</v>
      </c>
    </row>
    <row r="2091" spans="1:9" x14ac:dyDescent="0.25">
      <c r="A2091" s="52" t="str">
        <f>Data!A2091</f>
        <v>TX502090</v>
      </c>
      <c r="B2091" s="52">
        <f>MONTH(Data!F2091)</f>
        <v>3</v>
      </c>
      <c r="C2091" s="52" t="str">
        <f>TEXT(Data!F2091,"mmm")</f>
        <v>Mar</v>
      </c>
      <c r="D2091" s="52" t="str">
        <f>Data!O2091</f>
        <v>Male</v>
      </c>
      <c r="E2091" s="52">
        <f>Data!G2091-Data!F2091</f>
        <v>2</v>
      </c>
      <c r="F2091" s="52">
        <f>IF(Data!J2091&lt;=5,Data!J2091,IF(Data!J2091&lt;=10,"6 TO 10","More than 10"))</f>
        <v>4</v>
      </c>
      <c r="G2091" s="52">
        <f t="shared" si="32"/>
        <v>2</v>
      </c>
      <c r="H2091" s="52">
        <f>ROUND(Data!C2091*Data!D2091-Data!E2091,2)</f>
        <v>0</v>
      </c>
      <c r="I2091" s="52">
        <f>IF(AND(OR(Sel_Mode="All",Data!I2091=Sel_Mode),OR(Sel_Gender="All",D2091=Sel_Gender),OR(Sel_Category="All",Data!B2091=Sel_Category),OR(Sel_Month="All",C2091=Sel_Month),OR(Sel_County="All",Data!L2091=Sel_County)),1,0)</f>
        <v>1</v>
      </c>
    </row>
    <row r="2092" spans="1:9" x14ac:dyDescent="0.25">
      <c r="A2092" s="52" t="str">
        <f>Data!A2092</f>
        <v>TX502091</v>
      </c>
      <c r="B2092" s="52">
        <f>MONTH(Data!F2092)</f>
        <v>3</v>
      </c>
      <c r="C2092" s="52" t="str">
        <f>TEXT(Data!F2092,"mmm")</f>
        <v>Mar</v>
      </c>
      <c r="D2092" s="52" t="str">
        <f>Data!O2092</f>
        <v>Female</v>
      </c>
      <c r="E2092" s="52">
        <f>Data!G2092-Data!F2092</f>
        <v>4</v>
      </c>
      <c r="F2092" s="52">
        <f>IF(Data!J2092&lt;=5,Data!J2092,IF(Data!J2092&lt;=10,"6 TO 10","More than 10"))</f>
        <v>2</v>
      </c>
      <c r="G2092" s="52">
        <f t="shared" si="32"/>
        <v>4</v>
      </c>
      <c r="H2092" s="52">
        <f>ROUND(Data!C2092*Data!D2092-Data!E2092,2)</f>
        <v>0</v>
      </c>
      <c r="I2092" s="52">
        <f>IF(AND(OR(Sel_Mode="All",Data!I2092=Sel_Mode),OR(Sel_Gender="All",D2092=Sel_Gender),OR(Sel_Category="All",Data!B2092=Sel_Category),OR(Sel_Month="All",C2092=Sel_Month),OR(Sel_County="All",Data!L2092=Sel_County)),1,0)</f>
        <v>1</v>
      </c>
    </row>
    <row r="2093" spans="1:9" x14ac:dyDescent="0.25">
      <c r="A2093" s="52" t="str">
        <f>Data!A2093</f>
        <v>TX502092</v>
      </c>
      <c r="B2093" s="52">
        <f>MONTH(Data!F2093)</f>
        <v>3</v>
      </c>
      <c r="C2093" s="52" t="str">
        <f>TEXT(Data!F2093,"mmm")</f>
        <v>Mar</v>
      </c>
      <c r="D2093" s="52" t="str">
        <f>Data!O2093</f>
        <v>Male</v>
      </c>
      <c r="E2093" s="52">
        <f>Data!G2093-Data!F2093</f>
        <v>4</v>
      </c>
      <c r="F2093" s="52">
        <f>IF(Data!J2093&lt;=5,Data!J2093,IF(Data!J2093&lt;=10,"6 TO 10","More than 10"))</f>
        <v>4</v>
      </c>
      <c r="G2093" s="52">
        <f t="shared" si="32"/>
        <v>4</v>
      </c>
      <c r="H2093" s="52">
        <f>ROUND(Data!C2093*Data!D2093-Data!E2093,2)</f>
        <v>0</v>
      </c>
      <c r="I2093" s="52">
        <f>IF(AND(OR(Sel_Mode="All",Data!I2093=Sel_Mode),OR(Sel_Gender="All",D2093=Sel_Gender),OR(Sel_Category="All",Data!B2093=Sel_Category),OR(Sel_Month="All",C2093=Sel_Month),OR(Sel_County="All",Data!L2093=Sel_County)),1,0)</f>
        <v>1</v>
      </c>
    </row>
    <row r="2094" spans="1:9" x14ac:dyDescent="0.25">
      <c r="A2094" s="52" t="str">
        <f>Data!A2094</f>
        <v>TX502093</v>
      </c>
      <c r="B2094" s="52">
        <f>MONTH(Data!F2094)</f>
        <v>3</v>
      </c>
      <c r="C2094" s="52" t="str">
        <f>TEXT(Data!F2094,"mmm")</f>
        <v>Mar</v>
      </c>
      <c r="D2094" s="52" t="str">
        <f>Data!O2094</f>
        <v>Male</v>
      </c>
      <c r="E2094" s="52">
        <f>Data!G2094-Data!F2094</f>
        <v>1</v>
      </c>
      <c r="F2094" s="52">
        <f>IF(Data!J2094&lt;=5,Data!J2094,IF(Data!J2094&lt;=10,"6 TO 10","More than 10"))</f>
        <v>4</v>
      </c>
      <c r="G2094" s="52">
        <f t="shared" si="32"/>
        <v>1</v>
      </c>
      <c r="H2094" s="52">
        <f>ROUND(Data!C2094*Data!D2094-Data!E2094,2)</f>
        <v>0</v>
      </c>
      <c r="I2094" s="52">
        <f>IF(AND(OR(Sel_Mode="All",Data!I2094=Sel_Mode),OR(Sel_Gender="All",D2094=Sel_Gender),OR(Sel_Category="All",Data!B2094=Sel_Category),OR(Sel_Month="All",C2094=Sel_Month),OR(Sel_County="All",Data!L2094=Sel_County)),1,0)</f>
        <v>1</v>
      </c>
    </row>
    <row r="2095" spans="1:9" x14ac:dyDescent="0.25">
      <c r="A2095" s="52" t="str">
        <f>Data!A2095</f>
        <v>TX502094</v>
      </c>
      <c r="B2095" s="52">
        <f>MONTH(Data!F2095)</f>
        <v>3</v>
      </c>
      <c r="C2095" s="52" t="str">
        <f>TEXT(Data!F2095,"mmm")</f>
        <v>Mar</v>
      </c>
      <c r="D2095" s="52" t="str">
        <f>Data!O2095</f>
        <v>Male</v>
      </c>
      <c r="E2095" s="52">
        <f>Data!G2095-Data!F2095</f>
        <v>3</v>
      </c>
      <c r="F2095" s="52">
        <f>IF(Data!J2095&lt;=5,Data!J2095,IF(Data!J2095&lt;=10,"6 TO 10","More than 10"))</f>
        <v>5</v>
      </c>
      <c r="G2095" s="52">
        <f t="shared" si="32"/>
        <v>3</v>
      </c>
      <c r="H2095" s="52">
        <f>ROUND(Data!C2095*Data!D2095-Data!E2095,2)</f>
        <v>0</v>
      </c>
      <c r="I2095" s="52">
        <f>IF(AND(OR(Sel_Mode="All",Data!I2095=Sel_Mode),OR(Sel_Gender="All",D2095=Sel_Gender),OR(Sel_Category="All",Data!B2095=Sel_Category),OR(Sel_Month="All",C2095=Sel_Month),OR(Sel_County="All",Data!L2095=Sel_County)),1,0)</f>
        <v>1</v>
      </c>
    </row>
    <row r="2096" spans="1:9" x14ac:dyDescent="0.25">
      <c r="A2096" s="52" t="str">
        <f>Data!A2096</f>
        <v>TX502095</v>
      </c>
      <c r="B2096" s="52">
        <f>MONTH(Data!F2096)</f>
        <v>3</v>
      </c>
      <c r="C2096" s="52" t="str">
        <f>TEXT(Data!F2096,"mmm")</f>
        <v>Mar</v>
      </c>
      <c r="D2096" s="52" t="str">
        <f>Data!O2096</f>
        <v>Female</v>
      </c>
      <c r="E2096" s="52">
        <f>Data!G2096-Data!F2096</f>
        <v>3</v>
      </c>
      <c r="F2096" s="52">
        <f>IF(Data!J2096&lt;=5,Data!J2096,IF(Data!J2096&lt;=10,"6 TO 10","More than 10"))</f>
        <v>5</v>
      </c>
      <c r="G2096" s="52">
        <f t="shared" si="32"/>
        <v>3</v>
      </c>
      <c r="H2096" s="52">
        <f>ROUND(Data!C2096*Data!D2096-Data!E2096,2)</f>
        <v>0</v>
      </c>
      <c r="I2096" s="52">
        <f>IF(AND(OR(Sel_Mode="All",Data!I2096=Sel_Mode),OR(Sel_Gender="All",D2096=Sel_Gender),OR(Sel_Category="All",Data!B2096=Sel_Category),OR(Sel_Month="All",C2096=Sel_Month),OR(Sel_County="All",Data!L2096=Sel_County)),1,0)</f>
        <v>1</v>
      </c>
    </row>
    <row r="2097" spans="1:9" x14ac:dyDescent="0.25">
      <c r="A2097" s="52" t="str">
        <f>Data!A2097</f>
        <v>TX502096</v>
      </c>
      <c r="B2097" s="52">
        <f>MONTH(Data!F2097)</f>
        <v>3</v>
      </c>
      <c r="C2097" s="52" t="str">
        <f>TEXT(Data!F2097,"mmm")</f>
        <v>Mar</v>
      </c>
      <c r="D2097" s="52" t="str">
        <f>Data!O2097</f>
        <v>Male</v>
      </c>
      <c r="E2097" s="52">
        <f>Data!G2097-Data!F2097</f>
        <v>0</v>
      </c>
      <c r="F2097" s="52">
        <f>IF(Data!J2097&lt;=5,Data!J2097,IF(Data!J2097&lt;=10,"6 TO 10","More than 10"))</f>
        <v>5</v>
      </c>
      <c r="G2097" s="52">
        <f t="shared" si="32"/>
        <v>0</v>
      </c>
      <c r="H2097" s="52">
        <f>ROUND(Data!C2097*Data!D2097-Data!E2097,2)</f>
        <v>0</v>
      </c>
      <c r="I2097" s="52">
        <f>IF(AND(OR(Sel_Mode="All",Data!I2097=Sel_Mode),OR(Sel_Gender="All",D2097=Sel_Gender),OR(Sel_Category="All",Data!B2097=Sel_Category),OR(Sel_Month="All",C2097=Sel_Month),OR(Sel_County="All",Data!L2097=Sel_County)),1,0)</f>
        <v>1</v>
      </c>
    </row>
    <row r="2098" spans="1:9" x14ac:dyDescent="0.25">
      <c r="A2098" s="52" t="str">
        <f>Data!A2098</f>
        <v>TX502097</v>
      </c>
      <c r="B2098" s="52">
        <f>MONTH(Data!F2098)</f>
        <v>3</v>
      </c>
      <c r="C2098" s="52" t="str">
        <f>TEXT(Data!F2098,"mmm")</f>
        <v>Mar</v>
      </c>
      <c r="D2098" s="52" t="str">
        <f>Data!O2098</f>
        <v>Female</v>
      </c>
      <c r="E2098" s="52">
        <f>Data!G2098-Data!F2098</f>
        <v>1</v>
      </c>
      <c r="F2098" s="52">
        <f>IF(Data!J2098&lt;=5,Data!J2098,IF(Data!J2098&lt;=10,"6 TO 10","More than 10"))</f>
        <v>5</v>
      </c>
      <c r="G2098" s="52">
        <f t="shared" si="32"/>
        <v>1</v>
      </c>
      <c r="H2098" s="52">
        <f>ROUND(Data!C2098*Data!D2098-Data!E2098,2)</f>
        <v>0</v>
      </c>
      <c r="I2098" s="52">
        <f>IF(AND(OR(Sel_Mode="All",Data!I2098=Sel_Mode),OR(Sel_Gender="All",D2098=Sel_Gender),OR(Sel_Category="All",Data!B2098=Sel_Category),OR(Sel_Month="All",C2098=Sel_Month),OR(Sel_County="All",Data!L2098=Sel_County)),1,0)</f>
        <v>1</v>
      </c>
    </row>
    <row r="2099" spans="1:9" x14ac:dyDescent="0.25">
      <c r="A2099" s="52" t="str">
        <f>Data!A2099</f>
        <v>TX502098</v>
      </c>
      <c r="B2099" s="52">
        <f>MONTH(Data!F2099)</f>
        <v>3</v>
      </c>
      <c r="C2099" s="52" t="str">
        <f>TEXT(Data!F2099,"mmm")</f>
        <v>Mar</v>
      </c>
      <c r="D2099" s="52" t="str">
        <f>Data!O2099</f>
        <v>Male</v>
      </c>
      <c r="E2099" s="52">
        <f>Data!G2099-Data!F2099</f>
        <v>1</v>
      </c>
      <c r="F2099" s="52">
        <f>IF(Data!J2099&lt;=5,Data!J2099,IF(Data!J2099&lt;=10,"6 TO 10","More than 10"))</f>
        <v>4</v>
      </c>
      <c r="G2099" s="52">
        <f t="shared" si="32"/>
        <v>1</v>
      </c>
      <c r="H2099" s="52">
        <f>ROUND(Data!C2099*Data!D2099-Data!E2099,2)</f>
        <v>0</v>
      </c>
      <c r="I2099" s="52">
        <f>IF(AND(OR(Sel_Mode="All",Data!I2099=Sel_Mode),OR(Sel_Gender="All",D2099=Sel_Gender),OR(Sel_Category="All",Data!B2099=Sel_Category),OR(Sel_Month="All",C2099=Sel_Month),OR(Sel_County="All",Data!L2099=Sel_County)),1,0)</f>
        <v>1</v>
      </c>
    </row>
    <row r="2100" spans="1:9" x14ac:dyDescent="0.25">
      <c r="A2100" s="52" t="str">
        <f>Data!A2100</f>
        <v>TX502099</v>
      </c>
      <c r="B2100" s="52">
        <f>MONTH(Data!F2100)</f>
        <v>3</v>
      </c>
      <c r="C2100" s="52" t="str">
        <f>TEXT(Data!F2100,"mmm")</f>
        <v>Mar</v>
      </c>
      <c r="D2100" s="52" t="str">
        <f>Data!O2100</f>
        <v>Male</v>
      </c>
      <c r="E2100" s="52">
        <f>Data!G2100-Data!F2100</f>
        <v>1</v>
      </c>
      <c r="F2100" s="52">
        <f>IF(Data!J2100&lt;=5,Data!J2100,IF(Data!J2100&lt;=10,"6 TO 10","More than 10"))</f>
        <v>5</v>
      </c>
      <c r="G2100" s="52">
        <f t="shared" si="32"/>
        <v>1</v>
      </c>
      <c r="H2100" s="52">
        <f>ROUND(Data!C2100*Data!D2100-Data!E2100,2)</f>
        <v>0</v>
      </c>
      <c r="I2100" s="52">
        <f>IF(AND(OR(Sel_Mode="All",Data!I2100=Sel_Mode),OR(Sel_Gender="All",D2100=Sel_Gender),OR(Sel_Category="All",Data!B2100=Sel_Category),OR(Sel_Month="All",C2100=Sel_Month),OR(Sel_County="All",Data!L2100=Sel_County)),1,0)</f>
        <v>1</v>
      </c>
    </row>
    <row r="2101" spans="1:9" x14ac:dyDescent="0.25">
      <c r="A2101" s="52" t="str">
        <f>Data!A2101</f>
        <v>TX502100</v>
      </c>
      <c r="B2101" s="52">
        <f>MONTH(Data!F2101)</f>
        <v>3</v>
      </c>
      <c r="C2101" s="52" t="str">
        <f>TEXT(Data!F2101,"mmm")</f>
        <v>Mar</v>
      </c>
      <c r="D2101" s="52" t="str">
        <f>Data!O2101</f>
        <v>Male</v>
      </c>
      <c r="E2101" s="52">
        <f>Data!G2101-Data!F2101</f>
        <v>1</v>
      </c>
      <c r="F2101" s="52">
        <f>IF(Data!J2101&lt;=5,Data!J2101,IF(Data!J2101&lt;=10,"6 TO 10","More than 10"))</f>
        <v>4</v>
      </c>
      <c r="G2101" s="52">
        <f t="shared" si="32"/>
        <v>1</v>
      </c>
      <c r="H2101" s="52">
        <f>ROUND(Data!C2101*Data!D2101-Data!E2101,2)</f>
        <v>0</v>
      </c>
      <c r="I2101" s="52">
        <f>IF(AND(OR(Sel_Mode="All",Data!I2101=Sel_Mode),OR(Sel_Gender="All",D2101=Sel_Gender),OR(Sel_Category="All",Data!B2101=Sel_Category),OR(Sel_Month="All",C2101=Sel_Month),OR(Sel_County="All",Data!L2101=Sel_County)),1,0)</f>
        <v>1</v>
      </c>
    </row>
    <row r="2102" spans="1:9" x14ac:dyDescent="0.25">
      <c r="A2102" s="52" t="str">
        <f>Data!A2102</f>
        <v>TX502101</v>
      </c>
      <c r="B2102" s="52">
        <f>MONTH(Data!F2102)</f>
        <v>3</v>
      </c>
      <c r="C2102" s="52" t="str">
        <f>TEXT(Data!F2102,"mmm")</f>
        <v>Mar</v>
      </c>
      <c r="D2102" s="52" t="str">
        <f>Data!O2102</f>
        <v>Female</v>
      </c>
      <c r="E2102" s="52">
        <f>Data!G2102-Data!F2102</f>
        <v>1</v>
      </c>
      <c r="F2102" s="52">
        <f>IF(Data!J2102&lt;=5,Data!J2102,IF(Data!J2102&lt;=10,"6 TO 10","More than 10"))</f>
        <v>5</v>
      </c>
      <c r="G2102" s="52">
        <f t="shared" si="32"/>
        <v>1</v>
      </c>
      <c r="H2102" s="52">
        <f>ROUND(Data!C2102*Data!D2102-Data!E2102,2)</f>
        <v>0</v>
      </c>
      <c r="I2102" s="52">
        <f>IF(AND(OR(Sel_Mode="All",Data!I2102=Sel_Mode),OR(Sel_Gender="All",D2102=Sel_Gender),OR(Sel_Category="All",Data!B2102=Sel_Category),OR(Sel_Month="All",C2102=Sel_Month),OR(Sel_County="All",Data!L2102=Sel_County)),1,0)</f>
        <v>1</v>
      </c>
    </row>
    <row r="2103" spans="1:9" x14ac:dyDescent="0.25">
      <c r="A2103" s="52" t="str">
        <f>Data!A2103</f>
        <v>TX502102</v>
      </c>
      <c r="B2103" s="52">
        <f>MONTH(Data!F2103)</f>
        <v>3</v>
      </c>
      <c r="C2103" s="52" t="str">
        <f>TEXT(Data!F2103,"mmm")</f>
        <v>Mar</v>
      </c>
      <c r="D2103" s="52" t="str">
        <f>Data!O2103</f>
        <v>Male</v>
      </c>
      <c r="E2103" s="52">
        <f>Data!G2103-Data!F2103</f>
        <v>1</v>
      </c>
      <c r="F2103" s="52">
        <f>IF(Data!J2103&lt;=5,Data!J2103,IF(Data!J2103&lt;=10,"6 TO 10","More than 10"))</f>
        <v>4</v>
      </c>
      <c r="G2103" s="52">
        <f t="shared" si="32"/>
        <v>1</v>
      </c>
      <c r="H2103" s="52">
        <f>ROUND(Data!C2103*Data!D2103-Data!E2103,2)</f>
        <v>0</v>
      </c>
      <c r="I2103" s="52">
        <f>IF(AND(OR(Sel_Mode="All",Data!I2103=Sel_Mode),OR(Sel_Gender="All",D2103=Sel_Gender),OR(Sel_Category="All",Data!B2103=Sel_Category),OR(Sel_Month="All",C2103=Sel_Month),OR(Sel_County="All",Data!L2103=Sel_County)),1,0)</f>
        <v>1</v>
      </c>
    </row>
    <row r="2104" spans="1:9" x14ac:dyDescent="0.25">
      <c r="A2104" s="52" t="str">
        <f>Data!A2104</f>
        <v>TX502103</v>
      </c>
      <c r="B2104" s="52">
        <f>MONTH(Data!F2104)</f>
        <v>3</v>
      </c>
      <c r="C2104" s="52" t="str">
        <f>TEXT(Data!F2104,"mmm")</f>
        <v>Mar</v>
      </c>
      <c r="D2104" s="52" t="str">
        <f>Data!O2104</f>
        <v>Female</v>
      </c>
      <c r="E2104" s="52">
        <f>Data!G2104-Data!F2104</f>
        <v>1</v>
      </c>
      <c r="F2104" s="52">
        <f>IF(Data!J2104&lt;=5,Data!J2104,IF(Data!J2104&lt;=10,"6 TO 10","More than 10"))</f>
        <v>4</v>
      </c>
      <c r="G2104" s="52">
        <f t="shared" si="32"/>
        <v>1</v>
      </c>
      <c r="H2104" s="52">
        <f>ROUND(Data!C2104*Data!D2104-Data!E2104,2)</f>
        <v>0</v>
      </c>
      <c r="I2104" s="52">
        <f>IF(AND(OR(Sel_Mode="All",Data!I2104=Sel_Mode),OR(Sel_Gender="All",D2104=Sel_Gender),OR(Sel_Category="All",Data!B2104=Sel_Category),OR(Sel_Month="All",C2104=Sel_Month),OR(Sel_County="All",Data!L2104=Sel_County)),1,0)</f>
        <v>1</v>
      </c>
    </row>
    <row r="2105" spans="1:9" x14ac:dyDescent="0.25">
      <c r="A2105" s="52" t="str">
        <f>Data!A2105</f>
        <v>TX502104</v>
      </c>
      <c r="B2105" s="52">
        <f>MONTH(Data!F2105)</f>
        <v>3</v>
      </c>
      <c r="C2105" s="52" t="str">
        <f>TEXT(Data!F2105,"mmm")</f>
        <v>Mar</v>
      </c>
      <c r="D2105" s="52" t="str">
        <f>Data!O2105</f>
        <v>Female</v>
      </c>
      <c r="E2105" s="52">
        <f>Data!G2105-Data!F2105</f>
        <v>2</v>
      </c>
      <c r="F2105" s="52">
        <f>IF(Data!J2105&lt;=5,Data!J2105,IF(Data!J2105&lt;=10,"6 TO 10","More than 10"))</f>
        <v>4</v>
      </c>
      <c r="G2105" s="52">
        <f t="shared" si="32"/>
        <v>2</v>
      </c>
      <c r="H2105" s="52">
        <f>ROUND(Data!C2105*Data!D2105-Data!E2105,2)</f>
        <v>0</v>
      </c>
      <c r="I2105" s="52">
        <f>IF(AND(OR(Sel_Mode="All",Data!I2105=Sel_Mode),OR(Sel_Gender="All",D2105=Sel_Gender),OR(Sel_Category="All",Data!B2105=Sel_Category),OR(Sel_Month="All",C2105=Sel_Month),OR(Sel_County="All",Data!L2105=Sel_County)),1,0)</f>
        <v>1</v>
      </c>
    </row>
    <row r="2106" spans="1:9" x14ac:dyDescent="0.25">
      <c r="A2106" s="52" t="str">
        <f>Data!A2106</f>
        <v>TX502105</v>
      </c>
      <c r="B2106" s="52">
        <f>MONTH(Data!F2106)</f>
        <v>3</v>
      </c>
      <c r="C2106" s="52" t="str">
        <f>TEXT(Data!F2106,"mmm")</f>
        <v>Mar</v>
      </c>
      <c r="D2106" s="52" t="str">
        <f>Data!O2106</f>
        <v>Female</v>
      </c>
      <c r="E2106" s="52">
        <f>Data!G2106-Data!F2106</f>
        <v>4</v>
      </c>
      <c r="F2106" s="52">
        <f>IF(Data!J2106&lt;=5,Data!J2106,IF(Data!J2106&lt;=10,"6 TO 10","More than 10"))</f>
        <v>4</v>
      </c>
      <c r="G2106" s="52">
        <f t="shared" si="32"/>
        <v>4</v>
      </c>
      <c r="H2106" s="52">
        <f>ROUND(Data!C2106*Data!D2106-Data!E2106,2)</f>
        <v>0</v>
      </c>
      <c r="I2106" s="52">
        <f>IF(AND(OR(Sel_Mode="All",Data!I2106=Sel_Mode),OR(Sel_Gender="All",D2106=Sel_Gender),OR(Sel_Category="All",Data!B2106=Sel_Category),OR(Sel_Month="All",C2106=Sel_Month),OR(Sel_County="All",Data!L2106=Sel_County)),1,0)</f>
        <v>1</v>
      </c>
    </row>
    <row r="2107" spans="1:9" x14ac:dyDescent="0.25">
      <c r="A2107" s="52" t="str">
        <f>Data!A2107</f>
        <v>TX502106</v>
      </c>
      <c r="B2107" s="52">
        <f>MONTH(Data!F2107)</f>
        <v>3</v>
      </c>
      <c r="C2107" s="52" t="str">
        <f>TEXT(Data!F2107,"mmm")</f>
        <v>Mar</v>
      </c>
      <c r="D2107" s="52" t="str">
        <f>Data!O2107</f>
        <v>Female</v>
      </c>
      <c r="E2107" s="52">
        <f>Data!G2107-Data!F2107</f>
        <v>2</v>
      </c>
      <c r="F2107" s="52">
        <f>IF(Data!J2107&lt;=5,Data!J2107,IF(Data!J2107&lt;=10,"6 TO 10","More than 10"))</f>
        <v>5</v>
      </c>
      <c r="G2107" s="52">
        <f t="shared" si="32"/>
        <v>2</v>
      </c>
      <c r="H2107" s="52">
        <f>ROUND(Data!C2107*Data!D2107-Data!E2107,2)</f>
        <v>0</v>
      </c>
      <c r="I2107" s="52">
        <f>IF(AND(OR(Sel_Mode="All",Data!I2107=Sel_Mode),OR(Sel_Gender="All",D2107=Sel_Gender),OR(Sel_Category="All",Data!B2107=Sel_Category),OR(Sel_Month="All",C2107=Sel_Month),OR(Sel_County="All",Data!L2107=Sel_County)),1,0)</f>
        <v>1</v>
      </c>
    </row>
    <row r="2108" spans="1:9" x14ac:dyDescent="0.25">
      <c r="A2108" s="52" t="str">
        <f>Data!A2108</f>
        <v>TX502107</v>
      </c>
      <c r="B2108" s="52">
        <f>MONTH(Data!F2108)</f>
        <v>3</v>
      </c>
      <c r="C2108" s="52" t="str">
        <f>TEXT(Data!F2108,"mmm")</f>
        <v>Mar</v>
      </c>
      <c r="D2108" s="52" t="str">
        <f>Data!O2108</f>
        <v>Male</v>
      </c>
      <c r="E2108" s="52">
        <f>Data!G2108-Data!F2108</f>
        <v>1</v>
      </c>
      <c r="F2108" s="52">
        <f>IF(Data!J2108&lt;=5,Data!J2108,IF(Data!J2108&lt;=10,"6 TO 10","More than 10"))</f>
        <v>5</v>
      </c>
      <c r="G2108" s="52">
        <f t="shared" si="32"/>
        <v>1</v>
      </c>
      <c r="H2108" s="52">
        <f>ROUND(Data!C2108*Data!D2108-Data!E2108,2)</f>
        <v>0</v>
      </c>
      <c r="I2108" s="52">
        <f>IF(AND(OR(Sel_Mode="All",Data!I2108=Sel_Mode),OR(Sel_Gender="All",D2108=Sel_Gender),OR(Sel_Category="All",Data!B2108=Sel_Category),OR(Sel_Month="All",C2108=Sel_Month),OR(Sel_County="All",Data!L2108=Sel_County)),1,0)</f>
        <v>1</v>
      </c>
    </row>
    <row r="2109" spans="1:9" x14ac:dyDescent="0.25">
      <c r="A2109" s="52" t="str">
        <f>Data!A2109</f>
        <v>TX502108</v>
      </c>
      <c r="B2109" s="52">
        <f>MONTH(Data!F2109)</f>
        <v>3</v>
      </c>
      <c r="C2109" s="52" t="str">
        <f>TEXT(Data!F2109,"mmm")</f>
        <v>Mar</v>
      </c>
      <c r="D2109" s="52" t="str">
        <f>Data!O2109</f>
        <v>Female</v>
      </c>
      <c r="E2109" s="52">
        <f>Data!G2109-Data!F2109</f>
        <v>4</v>
      </c>
      <c r="F2109" s="52">
        <f>IF(Data!J2109&lt;=5,Data!J2109,IF(Data!J2109&lt;=10,"6 TO 10","More than 10"))</f>
        <v>3</v>
      </c>
      <c r="G2109" s="52">
        <f t="shared" si="32"/>
        <v>4</v>
      </c>
      <c r="H2109" s="52">
        <f>ROUND(Data!C2109*Data!D2109-Data!E2109,2)</f>
        <v>0</v>
      </c>
      <c r="I2109" s="52">
        <f>IF(AND(OR(Sel_Mode="All",Data!I2109=Sel_Mode),OR(Sel_Gender="All",D2109=Sel_Gender),OR(Sel_Category="All",Data!B2109=Sel_Category),OR(Sel_Month="All",C2109=Sel_Month),OR(Sel_County="All",Data!L2109=Sel_County)),1,0)</f>
        <v>1</v>
      </c>
    </row>
    <row r="2110" spans="1:9" x14ac:dyDescent="0.25">
      <c r="A2110" s="52" t="str">
        <f>Data!A2110</f>
        <v>TX502109</v>
      </c>
      <c r="B2110" s="52">
        <f>MONTH(Data!F2110)</f>
        <v>3</v>
      </c>
      <c r="C2110" s="52" t="str">
        <f>TEXT(Data!F2110,"mmm")</f>
        <v>Mar</v>
      </c>
      <c r="D2110" s="52" t="str">
        <f>Data!O2110</f>
        <v>Male</v>
      </c>
      <c r="E2110" s="52">
        <f>Data!G2110-Data!F2110</f>
        <v>1</v>
      </c>
      <c r="F2110" s="52">
        <f>IF(Data!J2110&lt;=5,Data!J2110,IF(Data!J2110&lt;=10,"6 TO 10","More than 10"))</f>
        <v>2</v>
      </c>
      <c r="G2110" s="52">
        <f t="shared" si="32"/>
        <v>1</v>
      </c>
      <c r="H2110" s="52">
        <f>ROUND(Data!C2110*Data!D2110-Data!E2110,2)</f>
        <v>0</v>
      </c>
      <c r="I2110" s="52">
        <f>IF(AND(OR(Sel_Mode="All",Data!I2110=Sel_Mode),OR(Sel_Gender="All",D2110=Sel_Gender),OR(Sel_Category="All",Data!B2110=Sel_Category),OR(Sel_Month="All",C2110=Sel_Month),OR(Sel_County="All",Data!L2110=Sel_County)),1,0)</f>
        <v>1</v>
      </c>
    </row>
    <row r="2111" spans="1:9" x14ac:dyDescent="0.25">
      <c r="A2111" s="52" t="str">
        <f>Data!A2111</f>
        <v>TX502110</v>
      </c>
      <c r="B2111" s="52">
        <f>MONTH(Data!F2111)</f>
        <v>3</v>
      </c>
      <c r="C2111" s="52" t="str">
        <f>TEXT(Data!F2111,"mmm")</f>
        <v>Mar</v>
      </c>
      <c r="D2111" s="52" t="str">
        <f>Data!O2111</f>
        <v>Male</v>
      </c>
      <c r="E2111" s="52">
        <f>Data!G2111-Data!F2111</f>
        <v>2</v>
      </c>
      <c r="F2111" s="52">
        <f>IF(Data!J2111&lt;=5,Data!J2111,IF(Data!J2111&lt;=10,"6 TO 10","More than 10"))</f>
        <v>4</v>
      </c>
      <c r="G2111" s="52">
        <f t="shared" si="32"/>
        <v>2</v>
      </c>
      <c r="H2111" s="52">
        <f>ROUND(Data!C2111*Data!D2111-Data!E2111,2)</f>
        <v>0</v>
      </c>
      <c r="I2111" s="52">
        <f>IF(AND(OR(Sel_Mode="All",Data!I2111=Sel_Mode),OR(Sel_Gender="All",D2111=Sel_Gender),OR(Sel_Category="All",Data!B2111=Sel_Category),OR(Sel_Month="All",C2111=Sel_Month),OR(Sel_County="All",Data!L2111=Sel_County)),1,0)</f>
        <v>1</v>
      </c>
    </row>
    <row r="2112" spans="1:9" x14ac:dyDescent="0.25">
      <c r="A2112" s="52" t="str">
        <f>Data!A2112</f>
        <v>TX502111</v>
      </c>
      <c r="B2112" s="52">
        <f>MONTH(Data!F2112)</f>
        <v>3</v>
      </c>
      <c r="C2112" s="52" t="str">
        <f>TEXT(Data!F2112,"mmm")</f>
        <v>Mar</v>
      </c>
      <c r="D2112" s="52" t="str">
        <f>Data!O2112</f>
        <v>Female</v>
      </c>
      <c r="E2112" s="52">
        <f>Data!G2112-Data!F2112</f>
        <v>1</v>
      </c>
      <c r="F2112" s="52">
        <f>IF(Data!J2112&lt;=5,Data!J2112,IF(Data!J2112&lt;=10,"6 TO 10","More than 10"))</f>
        <v>5</v>
      </c>
      <c r="G2112" s="52">
        <f t="shared" si="32"/>
        <v>1</v>
      </c>
      <c r="H2112" s="52">
        <f>ROUND(Data!C2112*Data!D2112-Data!E2112,2)</f>
        <v>0</v>
      </c>
      <c r="I2112" s="52">
        <f>IF(AND(OR(Sel_Mode="All",Data!I2112=Sel_Mode),OR(Sel_Gender="All",D2112=Sel_Gender),OR(Sel_Category="All",Data!B2112=Sel_Category),OR(Sel_Month="All",C2112=Sel_Month),OR(Sel_County="All",Data!L2112=Sel_County)),1,0)</f>
        <v>1</v>
      </c>
    </row>
    <row r="2113" spans="1:9" x14ac:dyDescent="0.25">
      <c r="A2113" s="52" t="str">
        <f>Data!A2113</f>
        <v>TX502112</v>
      </c>
      <c r="B2113" s="52">
        <f>MONTH(Data!F2113)</f>
        <v>3</v>
      </c>
      <c r="C2113" s="52" t="str">
        <f>TEXT(Data!F2113,"mmm")</f>
        <v>Mar</v>
      </c>
      <c r="D2113" s="52" t="str">
        <f>Data!O2113</f>
        <v>Other</v>
      </c>
      <c r="E2113" s="52">
        <f>Data!G2113-Data!F2113</f>
        <v>1</v>
      </c>
      <c r="F2113" s="52">
        <f>IF(Data!J2113&lt;=5,Data!J2113,IF(Data!J2113&lt;=10,"6 TO 10","More than 10"))</f>
        <v>4</v>
      </c>
      <c r="G2113" s="52">
        <f t="shared" si="32"/>
        <v>1</v>
      </c>
      <c r="H2113" s="52">
        <f>ROUND(Data!C2113*Data!D2113-Data!E2113,2)</f>
        <v>0</v>
      </c>
      <c r="I2113" s="52">
        <f>IF(AND(OR(Sel_Mode="All",Data!I2113=Sel_Mode),OR(Sel_Gender="All",D2113=Sel_Gender),OR(Sel_Category="All",Data!B2113=Sel_Category),OR(Sel_Month="All",C2113=Sel_Month),OR(Sel_County="All",Data!L2113=Sel_County)),1,0)</f>
        <v>1</v>
      </c>
    </row>
    <row r="2114" spans="1:9" x14ac:dyDescent="0.25">
      <c r="A2114" s="52" t="str">
        <f>Data!A2114</f>
        <v>TX502113</v>
      </c>
      <c r="B2114" s="52">
        <f>MONTH(Data!F2114)</f>
        <v>3</v>
      </c>
      <c r="C2114" s="52" t="str">
        <f>TEXT(Data!F2114,"mmm")</f>
        <v>Mar</v>
      </c>
      <c r="D2114" s="52" t="str">
        <f>Data!O2114</f>
        <v>Male</v>
      </c>
      <c r="E2114" s="52">
        <f>Data!G2114-Data!F2114</f>
        <v>1</v>
      </c>
      <c r="F2114" s="52">
        <f>IF(Data!J2114&lt;=5,Data!J2114,IF(Data!J2114&lt;=10,"6 TO 10","More than 10"))</f>
        <v>5</v>
      </c>
      <c r="G2114" s="52">
        <f t="shared" ref="G2114:G2177" si="33">IF(E2114&gt;=8,"8+",E2114)</f>
        <v>1</v>
      </c>
      <c r="H2114" s="52">
        <f>ROUND(Data!C2114*Data!D2114-Data!E2114,2)</f>
        <v>0</v>
      </c>
      <c r="I2114" s="52">
        <f>IF(AND(OR(Sel_Mode="All",Data!I2114=Sel_Mode),OR(Sel_Gender="All",D2114=Sel_Gender),OR(Sel_Category="All",Data!B2114=Sel_Category),OR(Sel_Month="All",C2114=Sel_Month),OR(Sel_County="All",Data!L2114=Sel_County)),1,0)</f>
        <v>1</v>
      </c>
    </row>
    <row r="2115" spans="1:9" x14ac:dyDescent="0.25">
      <c r="A2115" s="52" t="str">
        <f>Data!A2115</f>
        <v>TX502114</v>
      </c>
      <c r="B2115" s="52">
        <f>MONTH(Data!F2115)</f>
        <v>3</v>
      </c>
      <c r="C2115" s="52" t="str">
        <f>TEXT(Data!F2115,"mmm")</f>
        <v>Mar</v>
      </c>
      <c r="D2115" s="52" t="str">
        <f>Data!O2115</f>
        <v>Female</v>
      </c>
      <c r="E2115" s="52">
        <f>Data!G2115-Data!F2115</f>
        <v>3</v>
      </c>
      <c r="F2115" s="52">
        <f>IF(Data!J2115&lt;=5,Data!J2115,IF(Data!J2115&lt;=10,"6 TO 10","More than 10"))</f>
        <v>4</v>
      </c>
      <c r="G2115" s="52">
        <f t="shared" si="33"/>
        <v>3</v>
      </c>
      <c r="H2115" s="52">
        <f>ROUND(Data!C2115*Data!D2115-Data!E2115,2)</f>
        <v>0</v>
      </c>
      <c r="I2115" s="52">
        <f>IF(AND(OR(Sel_Mode="All",Data!I2115=Sel_Mode),OR(Sel_Gender="All",D2115=Sel_Gender),OR(Sel_Category="All",Data!B2115=Sel_Category),OR(Sel_Month="All",C2115=Sel_Month),OR(Sel_County="All",Data!L2115=Sel_County)),1,0)</f>
        <v>1</v>
      </c>
    </row>
    <row r="2116" spans="1:9" x14ac:dyDescent="0.25">
      <c r="A2116" s="52" t="str">
        <f>Data!A2116</f>
        <v>TX502115</v>
      </c>
      <c r="B2116" s="52">
        <f>MONTH(Data!F2116)</f>
        <v>3</v>
      </c>
      <c r="C2116" s="52" t="str">
        <f>TEXT(Data!F2116,"mmm")</f>
        <v>Mar</v>
      </c>
      <c r="D2116" s="52" t="str">
        <f>Data!O2116</f>
        <v>Female</v>
      </c>
      <c r="E2116" s="52">
        <f>Data!G2116-Data!F2116</f>
        <v>5</v>
      </c>
      <c r="F2116" s="52">
        <f>IF(Data!J2116&lt;=5,Data!J2116,IF(Data!J2116&lt;=10,"6 TO 10","More than 10"))</f>
        <v>4</v>
      </c>
      <c r="G2116" s="52">
        <f t="shared" si="33"/>
        <v>5</v>
      </c>
      <c r="H2116" s="52">
        <f>ROUND(Data!C2116*Data!D2116-Data!E2116,2)</f>
        <v>0</v>
      </c>
      <c r="I2116" s="52">
        <f>IF(AND(OR(Sel_Mode="All",Data!I2116=Sel_Mode),OR(Sel_Gender="All",D2116=Sel_Gender),OR(Sel_Category="All",Data!B2116=Sel_Category),OR(Sel_Month="All",C2116=Sel_Month),OR(Sel_County="All",Data!L2116=Sel_County)),1,0)</f>
        <v>1</v>
      </c>
    </row>
    <row r="2117" spans="1:9" x14ac:dyDescent="0.25">
      <c r="A2117" s="52" t="str">
        <f>Data!A2117</f>
        <v>TX502116</v>
      </c>
      <c r="B2117" s="52">
        <f>MONTH(Data!F2117)</f>
        <v>3</v>
      </c>
      <c r="C2117" s="52" t="str">
        <f>TEXT(Data!F2117,"mmm")</f>
        <v>Mar</v>
      </c>
      <c r="D2117" s="52" t="str">
        <f>Data!O2117</f>
        <v>Female</v>
      </c>
      <c r="E2117" s="52">
        <f>Data!G2117-Data!F2117</f>
        <v>1</v>
      </c>
      <c r="F2117" s="52">
        <f>IF(Data!J2117&lt;=5,Data!J2117,IF(Data!J2117&lt;=10,"6 TO 10","More than 10"))</f>
        <v>4</v>
      </c>
      <c r="G2117" s="52">
        <f t="shared" si="33"/>
        <v>1</v>
      </c>
      <c r="H2117" s="52">
        <f>ROUND(Data!C2117*Data!D2117-Data!E2117,2)</f>
        <v>0</v>
      </c>
      <c r="I2117" s="52">
        <f>IF(AND(OR(Sel_Mode="All",Data!I2117=Sel_Mode),OR(Sel_Gender="All",D2117=Sel_Gender),OR(Sel_Category="All",Data!B2117=Sel_Category),OR(Sel_Month="All",C2117=Sel_Month),OR(Sel_County="All",Data!L2117=Sel_County)),1,0)</f>
        <v>1</v>
      </c>
    </row>
    <row r="2118" spans="1:9" x14ac:dyDescent="0.25">
      <c r="A2118" s="52" t="str">
        <f>Data!A2118</f>
        <v>TX502117</v>
      </c>
      <c r="B2118" s="52">
        <f>MONTH(Data!F2118)</f>
        <v>3</v>
      </c>
      <c r="C2118" s="52" t="str">
        <f>TEXT(Data!F2118,"mmm")</f>
        <v>Mar</v>
      </c>
      <c r="D2118" s="52" t="str">
        <f>Data!O2118</f>
        <v>Male</v>
      </c>
      <c r="E2118" s="52">
        <f>Data!G2118-Data!F2118</f>
        <v>4</v>
      </c>
      <c r="F2118" s="52">
        <f>IF(Data!J2118&lt;=5,Data!J2118,IF(Data!J2118&lt;=10,"6 TO 10","More than 10"))</f>
        <v>5</v>
      </c>
      <c r="G2118" s="52">
        <f t="shared" si="33"/>
        <v>4</v>
      </c>
      <c r="H2118" s="52">
        <f>ROUND(Data!C2118*Data!D2118-Data!E2118,2)</f>
        <v>0</v>
      </c>
      <c r="I2118" s="52">
        <f>IF(AND(OR(Sel_Mode="All",Data!I2118=Sel_Mode),OR(Sel_Gender="All",D2118=Sel_Gender),OR(Sel_Category="All",Data!B2118=Sel_Category),OR(Sel_Month="All",C2118=Sel_Month),OR(Sel_County="All",Data!L2118=Sel_County)),1,0)</f>
        <v>1</v>
      </c>
    </row>
    <row r="2119" spans="1:9" x14ac:dyDescent="0.25">
      <c r="A2119" s="52" t="str">
        <f>Data!A2119</f>
        <v>TX502118</v>
      </c>
      <c r="B2119" s="52">
        <f>MONTH(Data!F2119)</f>
        <v>3</v>
      </c>
      <c r="C2119" s="52" t="str">
        <f>TEXT(Data!F2119,"mmm")</f>
        <v>Mar</v>
      </c>
      <c r="D2119" s="52" t="str">
        <f>Data!O2119</f>
        <v>Male</v>
      </c>
      <c r="E2119" s="52">
        <f>Data!G2119-Data!F2119</f>
        <v>1</v>
      </c>
      <c r="F2119" s="52">
        <f>IF(Data!J2119&lt;=5,Data!J2119,IF(Data!J2119&lt;=10,"6 TO 10","More than 10"))</f>
        <v>5</v>
      </c>
      <c r="G2119" s="52">
        <f t="shared" si="33"/>
        <v>1</v>
      </c>
      <c r="H2119" s="52">
        <f>ROUND(Data!C2119*Data!D2119-Data!E2119,2)</f>
        <v>0</v>
      </c>
      <c r="I2119" s="52">
        <f>IF(AND(OR(Sel_Mode="All",Data!I2119=Sel_Mode),OR(Sel_Gender="All",D2119=Sel_Gender),OR(Sel_Category="All",Data!B2119=Sel_Category),OR(Sel_Month="All",C2119=Sel_Month),OR(Sel_County="All",Data!L2119=Sel_County)),1,0)</f>
        <v>1</v>
      </c>
    </row>
    <row r="2120" spans="1:9" x14ac:dyDescent="0.25">
      <c r="A2120" s="52" t="str">
        <f>Data!A2120</f>
        <v>TX502119</v>
      </c>
      <c r="B2120" s="52">
        <f>MONTH(Data!F2120)</f>
        <v>3</v>
      </c>
      <c r="C2120" s="52" t="str">
        <f>TEXT(Data!F2120,"mmm")</f>
        <v>Mar</v>
      </c>
      <c r="D2120" s="52" t="str">
        <f>Data!O2120</f>
        <v>Male</v>
      </c>
      <c r="E2120" s="52">
        <f>Data!G2120-Data!F2120</f>
        <v>1</v>
      </c>
      <c r="F2120" s="52">
        <f>IF(Data!J2120&lt;=5,Data!J2120,IF(Data!J2120&lt;=10,"6 TO 10","More than 10"))</f>
        <v>4</v>
      </c>
      <c r="G2120" s="52">
        <f t="shared" si="33"/>
        <v>1</v>
      </c>
      <c r="H2120" s="52">
        <f>ROUND(Data!C2120*Data!D2120-Data!E2120,2)</f>
        <v>0</v>
      </c>
      <c r="I2120" s="52">
        <f>IF(AND(OR(Sel_Mode="All",Data!I2120=Sel_Mode),OR(Sel_Gender="All",D2120=Sel_Gender),OR(Sel_Category="All",Data!B2120=Sel_Category),OR(Sel_Month="All",C2120=Sel_Month),OR(Sel_County="All",Data!L2120=Sel_County)),1,0)</f>
        <v>1</v>
      </c>
    </row>
    <row r="2121" spans="1:9" x14ac:dyDescent="0.25">
      <c r="A2121" s="52" t="str">
        <f>Data!A2121</f>
        <v>TX502120</v>
      </c>
      <c r="B2121" s="52">
        <f>MONTH(Data!F2121)</f>
        <v>3</v>
      </c>
      <c r="C2121" s="52" t="str">
        <f>TEXT(Data!F2121,"mmm")</f>
        <v>Mar</v>
      </c>
      <c r="D2121" s="52" t="str">
        <f>Data!O2121</f>
        <v>Male</v>
      </c>
      <c r="E2121" s="52">
        <f>Data!G2121-Data!F2121</f>
        <v>0</v>
      </c>
      <c r="F2121" s="52">
        <f>IF(Data!J2121&lt;=5,Data!J2121,IF(Data!J2121&lt;=10,"6 TO 10","More than 10"))</f>
        <v>3</v>
      </c>
      <c r="G2121" s="52">
        <f t="shared" si="33"/>
        <v>0</v>
      </c>
      <c r="H2121" s="52">
        <f>ROUND(Data!C2121*Data!D2121-Data!E2121,2)</f>
        <v>0</v>
      </c>
      <c r="I2121" s="52">
        <f>IF(AND(OR(Sel_Mode="All",Data!I2121=Sel_Mode),OR(Sel_Gender="All",D2121=Sel_Gender),OR(Sel_Category="All",Data!B2121=Sel_Category),OR(Sel_Month="All",C2121=Sel_Month),OR(Sel_County="All",Data!L2121=Sel_County)),1,0)</f>
        <v>1</v>
      </c>
    </row>
    <row r="2122" spans="1:9" x14ac:dyDescent="0.25">
      <c r="A2122" s="52" t="str">
        <f>Data!A2122</f>
        <v>TX502121</v>
      </c>
      <c r="B2122" s="52">
        <f>MONTH(Data!F2122)</f>
        <v>3</v>
      </c>
      <c r="C2122" s="52" t="str">
        <f>TEXT(Data!F2122,"mmm")</f>
        <v>Mar</v>
      </c>
      <c r="D2122" s="52" t="str">
        <f>Data!O2122</f>
        <v>Female</v>
      </c>
      <c r="E2122" s="52">
        <f>Data!G2122-Data!F2122</f>
        <v>1</v>
      </c>
      <c r="F2122" s="52">
        <f>IF(Data!J2122&lt;=5,Data!J2122,IF(Data!J2122&lt;=10,"6 TO 10","More than 10"))</f>
        <v>4</v>
      </c>
      <c r="G2122" s="52">
        <f t="shared" si="33"/>
        <v>1</v>
      </c>
      <c r="H2122" s="52">
        <f>ROUND(Data!C2122*Data!D2122-Data!E2122,2)</f>
        <v>0</v>
      </c>
      <c r="I2122" s="52">
        <f>IF(AND(OR(Sel_Mode="All",Data!I2122=Sel_Mode),OR(Sel_Gender="All",D2122=Sel_Gender),OR(Sel_Category="All",Data!B2122=Sel_Category),OR(Sel_Month="All",C2122=Sel_Month),OR(Sel_County="All",Data!L2122=Sel_County)),1,0)</f>
        <v>1</v>
      </c>
    </row>
    <row r="2123" spans="1:9" x14ac:dyDescent="0.25">
      <c r="A2123" s="52" t="str">
        <f>Data!A2123</f>
        <v>TX502122</v>
      </c>
      <c r="B2123" s="52">
        <f>MONTH(Data!F2123)</f>
        <v>3</v>
      </c>
      <c r="C2123" s="52" t="str">
        <f>TEXT(Data!F2123,"mmm")</f>
        <v>Mar</v>
      </c>
      <c r="D2123" s="52" t="str">
        <f>Data!O2123</f>
        <v>Female</v>
      </c>
      <c r="E2123" s="52">
        <f>Data!G2123-Data!F2123</f>
        <v>13</v>
      </c>
      <c r="F2123" s="52">
        <f>IF(Data!J2123&lt;=5,Data!J2123,IF(Data!J2123&lt;=10,"6 TO 10","More than 10"))</f>
        <v>5</v>
      </c>
      <c r="G2123" s="52" t="str">
        <f t="shared" si="33"/>
        <v>8+</v>
      </c>
      <c r="H2123" s="52">
        <f>ROUND(Data!C2123*Data!D2123-Data!E2123,2)</f>
        <v>0</v>
      </c>
      <c r="I2123" s="52">
        <f>IF(AND(OR(Sel_Mode="All",Data!I2123=Sel_Mode),OR(Sel_Gender="All",D2123=Sel_Gender),OR(Sel_Category="All",Data!B2123=Sel_Category),OR(Sel_Month="All",C2123=Sel_Month),OR(Sel_County="All",Data!L2123=Sel_County)),1,0)</f>
        <v>1</v>
      </c>
    </row>
    <row r="2124" spans="1:9" x14ac:dyDescent="0.25">
      <c r="A2124" s="52" t="str">
        <f>Data!A2124</f>
        <v>TX502123</v>
      </c>
      <c r="B2124" s="52">
        <f>MONTH(Data!F2124)</f>
        <v>3</v>
      </c>
      <c r="C2124" s="52" t="str">
        <f>TEXT(Data!F2124,"mmm")</f>
        <v>Mar</v>
      </c>
      <c r="D2124" s="52" t="str">
        <f>Data!O2124</f>
        <v>Unknown</v>
      </c>
      <c r="E2124" s="52">
        <f>Data!G2124-Data!F2124</f>
        <v>1</v>
      </c>
      <c r="F2124" s="52">
        <f>IF(Data!J2124&lt;=5,Data!J2124,IF(Data!J2124&lt;=10,"6 TO 10","More than 10"))</f>
        <v>5</v>
      </c>
      <c r="G2124" s="52">
        <f t="shared" si="33"/>
        <v>1</v>
      </c>
      <c r="H2124" s="52">
        <f>ROUND(Data!C2124*Data!D2124-Data!E2124,2)</f>
        <v>0</v>
      </c>
      <c r="I2124" s="52">
        <f>IF(AND(OR(Sel_Mode="All",Data!I2124=Sel_Mode),OR(Sel_Gender="All",D2124=Sel_Gender),OR(Sel_Category="All",Data!B2124=Sel_Category),OR(Sel_Month="All",C2124=Sel_Month),OR(Sel_County="All",Data!L2124=Sel_County)),1,0)</f>
        <v>1</v>
      </c>
    </row>
    <row r="2125" spans="1:9" x14ac:dyDescent="0.25">
      <c r="A2125" s="52" t="str">
        <f>Data!A2125</f>
        <v>TX502124</v>
      </c>
      <c r="B2125" s="52">
        <f>MONTH(Data!F2125)</f>
        <v>3</v>
      </c>
      <c r="C2125" s="52" t="str">
        <f>TEXT(Data!F2125,"mmm")</f>
        <v>Mar</v>
      </c>
      <c r="D2125" s="52" t="str">
        <f>Data!O2125</f>
        <v>Male</v>
      </c>
      <c r="E2125" s="52">
        <f>Data!G2125-Data!F2125</f>
        <v>1</v>
      </c>
      <c r="F2125" s="52">
        <f>IF(Data!J2125&lt;=5,Data!J2125,IF(Data!J2125&lt;=10,"6 TO 10","More than 10"))</f>
        <v>5</v>
      </c>
      <c r="G2125" s="52">
        <f t="shared" si="33"/>
        <v>1</v>
      </c>
      <c r="H2125" s="52">
        <f>ROUND(Data!C2125*Data!D2125-Data!E2125,2)</f>
        <v>0</v>
      </c>
      <c r="I2125" s="52">
        <f>IF(AND(OR(Sel_Mode="All",Data!I2125=Sel_Mode),OR(Sel_Gender="All",D2125=Sel_Gender),OR(Sel_Category="All",Data!B2125=Sel_Category),OR(Sel_Month="All",C2125=Sel_Month),OR(Sel_County="All",Data!L2125=Sel_County)),1,0)</f>
        <v>1</v>
      </c>
    </row>
    <row r="2126" spans="1:9" x14ac:dyDescent="0.25">
      <c r="A2126" s="52" t="str">
        <f>Data!A2126</f>
        <v>TX502125</v>
      </c>
      <c r="B2126" s="52">
        <f>MONTH(Data!F2126)</f>
        <v>3</v>
      </c>
      <c r="C2126" s="52" t="str">
        <f>TEXT(Data!F2126,"mmm")</f>
        <v>Mar</v>
      </c>
      <c r="D2126" s="52" t="str">
        <f>Data!O2126</f>
        <v>Female</v>
      </c>
      <c r="E2126" s="52">
        <f>Data!G2126-Data!F2126</f>
        <v>3</v>
      </c>
      <c r="F2126" s="52">
        <f>IF(Data!J2126&lt;=5,Data!J2126,IF(Data!J2126&lt;=10,"6 TO 10","More than 10"))</f>
        <v>4</v>
      </c>
      <c r="G2126" s="52">
        <f t="shared" si="33"/>
        <v>3</v>
      </c>
      <c r="H2126" s="52">
        <f>ROUND(Data!C2126*Data!D2126-Data!E2126,2)</f>
        <v>0</v>
      </c>
      <c r="I2126" s="52">
        <f>IF(AND(OR(Sel_Mode="All",Data!I2126=Sel_Mode),OR(Sel_Gender="All",D2126=Sel_Gender),OR(Sel_Category="All",Data!B2126=Sel_Category),OR(Sel_Month="All",C2126=Sel_Month),OR(Sel_County="All",Data!L2126=Sel_County)),1,0)</f>
        <v>1</v>
      </c>
    </row>
    <row r="2127" spans="1:9" x14ac:dyDescent="0.25">
      <c r="A2127" s="52" t="str">
        <f>Data!A2127</f>
        <v>TX502126</v>
      </c>
      <c r="B2127" s="52">
        <f>MONTH(Data!F2127)</f>
        <v>3</v>
      </c>
      <c r="C2127" s="52" t="str">
        <f>TEXT(Data!F2127,"mmm")</f>
        <v>Mar</v>
      </c>
      <c r="D2127" s="52" t="str">
        <f>Data!O2127</f>
        <v>Female</v>
      </c>
      <c r="E2127" s="52">
        <f>Data!G2127-Data!F2127</f>
        <v>3</v>
      </c>
      <c r="F2127" s="52">
        <f>IF(Data!J2127&lt;=5,Data!J2127,IF(Data!J2127&lt;=10,"6 TO 10","More than 10"))</f>
        <v>5</v>
      </c>
      <c r="G2127" s="52">
        <f t="shared" si="33"/>
        <v>3</v>
      </c>
      <c r="H2127" s="52">
        <f>ROUND(Data!C2127*Data!D2127-Data!E2127,2)</f>
        <v>0</v>
      </c>
      <c r="I2127" s="52">
        <f>IF(AND(OR(Sel_Mode="All",Data!I2127=Sel_Mode),OR(Sel_Gender="All",D2127=Sel_Gender),OR(Sel_Category="All",Data!B2127=Sel_Category),OR(Sel_Month="All",C2127=Sel_Month),OR(Sel_County="All",Data!L2127=Sel_County)),1,0)</f>
        <v>1</v>
      </c>
    </row>
    <row r="2128" spans="1:9" x14ac:dyDescent="0.25">
      <c r="A2128" s="52" t="str">
        <f>Data!A2128</f>
        <v>TX502127</v>
      </c>
      <c r="B2128" s="52">
        <f>MONTH(Data!F2128)</f>
        <v>3</v>
      </c>
      <c r="C2128" s="52" t="str">
        <f>TEXT(Data!F2128,"mmm")</f>
        <v>Mar</v>
      </c>
      <c r="D2128" s="52" t="str">
        <f>Data!O2128</f>
        <v>Female</v>
      </c>
      <c r="E2128" s="52">
        <f>Data!G2128-Data!F2128</f>
        <v>0</v>
      </c>
      <c r="F2128" s="52">
        <f>IF(Data!J2128&lt;=5,Data!J2128,IF(Data!J2128&lt;=10,"6 TO 10","More than 10"))</f>
        <v>5</v>
      </c>
      <c r="G2128" s="52">
        <f t="shared" si="33"/>
        <v>0</v>
      </c>
      <c r="H2128" s="52">
        <f>ROUND(Data!C2128*Data!D2128-Data!E2128,2)</f>
        <v>0</v>
      </c>
      <c r="I2128" s="52">
        <f>IF(AND(OR(Sel_Mode="All",Data!I2128=Sel_Mode),OR(Sel_Gender="All",D2128=Sel_Gender),OR(Sel_Category="All",Data!B2128=Sel_Category),OR(Sel_Month="All",C2128=Sel_Month),OR(Sel_County="All",Data!L2128=Sel_County)),1,0)</f>
        <v>1</v>
      </c>
    </row>
    <row r="2129" spans="1:9" x14ac:dyDescent="0.25">
      <c r="A2129" s="52" t="str">
        <f>Data!A2129</f>
        <v>TX502128</v>
      </c>
      <c r="B2129" s="52">
        <f>MONTH(Data!F2129)</f>
        <v>3</v>
      </c>
      <c r="C2129" s="52" t="str">
        <f>TEXT(Data!F2129,"mmm")</f>
        <v>Mar</v>
      </c>
      <c r="D2129" s="52" t="str">
        <f>Data!O2129</f>
        <v>Female</v>
      </c>
      <c r="E2129" s="52">
        <f>Data!G2129-Data!F2129</f>
        <v>6</v>
      </c>
      <c r="F2129" s="52">
        <f>IF(Data!J2129&lt;=5,Data!J2129,IF(Data!J2129&lt;=10,"6 TO 10","More than 10"))</f>
        <v>5</v>
      </c>
      <c r="G2129" s="52">
        <f t="shared" si="33"/>
        <v>6</v>
      </c>
      <c r="H2129" s="52">
        <f>ROUND(Data!C2129*Data!D2129-Data!E2129,2)</f>
        <v>0</v>
      </c>
      <c r="I2129" s="52">
        <f>IF(AND(OR(Sel_Mode="All",Data!I2129=Sel_Mode),OR(Sel_Gender="All",D2129=Sel_Gender),OR(Sel_Category="All",Data!B2129=Sel_Category),OR(Sel_Month="All",C2129=Sel_Month),OR(Sel_County="All",Data!L2129=Sel_County)),1,0)</f>
        <v>1</v>
      </c>
    </row>
    <row r="2130" spans="1:9" x14ac:dyDescent="0.25">
      <c r="A2130" s="52" t="str">
        <f>Data!A2130</f>
        <v>TX502129</v>
      </c>
      <c r="B2130" s="52">
        <f>MONTH(Data!F2130)</f>
        <v>3</v>
      </c>
      <c r="C2130" s="52" t="str">
        <f>TEXT(Data!F2130,"mmm")</f>
        <v>Mar</v>
      </c>
      <c r="D2130" s="52" t="str">
        <f>Data!O2130</f>
        <v>Male</v>
      </c>
      <c r="E2130" s="52">
        <f>Data!G2130-Data!F2130</f>
        <v>1</v>
      </c>
      <c r="F2130" s="52">
        <f>IF(Data!J2130&lt;=5,Data!J2130,IF(Data!J2130&lt;=10,"6 TO 10","More than 10"))</f>
        <v>4</v>
      </c>
      <c r="G2130" s="52">
        <f t="shared" si="33"/>
        <v>1</v>
      </c>
      <c r="H2130" s="52">
        <f>ROUND(Data!C2130*Data!D2130-Data!E2130,2)</f>
        <v>0</v>
      </c>
      <c r="I2130" s="52">
        <f>IF(AND(OR(Sel_Mode="All",Data!I2130=Sel_Mode),OR(Sel_Gender="All",D2130=Sel_Gender),OR(Sel_Category="All",Data!B2130=Sel_Category),OR(Sel_Month="All",C2130=Sel_Month),OR(Sel_County="All",Data!L2130=Sel_County)),1,0)</f>
        <v>1</v>
      </c>
    </row>
    <row r="2131" spans="1:9" x14ac:dyDescent="0.25">
      <c r="A2131" s="52" t="str">
        <f>Data!A2131</f>
        <v>TX502130</v>
      </c>
      <c r="B2131" s="52">
        <f>MONTH(Data!F2131)</f>
        <v>3</v>
      </c>
      <c r="C2131" s="52" t="str">
        <f>TEXT(Data!F2131,"mmm")</f>
        <v>Mar</v>
      </c>
      <c r="D2131" s="52" t="str">
        <f>Data!O2131</f>
        <v>Female</v>
      </c>
      <c r="E2131" s="52">
        <f>Data!G2131-Data!F2131</f>
        <v>1</v>
      </c>
      <c r="F2131" s="52">
        <f>IF(Data!J2131&lt;=5,Data!J2131,IF(Data!J2131&lt;=10,"6 TO 10","More than 10"))</f>
        <v>5</v>
      </c>
      <c r="G2131" s="52">
        <f t="shared" si="33"/>
        <v>1</v>
      </c>
      <c r="H2131" s="52">
        <f>ROUND(Data!C2131*Data!D2131-Data!E2131,2)</f>
        <v>0</v>
      </c>
      <c r="I2131" s="52">
        <f>IF(AND(OR(Sel_Mode="All",Data!I2131=Sel_Mode),OR(Sel_Gender="All",D2131=Sel_Gender),OR(Sel_Category="All",Data!B2131=Sel_Category),OR(Sel_Month="All",C2131=Sel_Month),OR(Sel_County="All",Data!L2131=Sel_County)),1,0)</f>
        <v>1</v>
      </c>
    </row>
    <row r="2132" spans="1:9" x14ac:dyDescent="0.25">
      <c r="A2132" s="52" t="str">
        <f>Data!A2132</f>
        <v>TX502131</v>
      </c>
      <c r="B2132" s="52">
        <f>MONTH(Data!F2132)</f>
        <v>3</v>
      </c>
      <c r="C2132" s="52" t="str">
        <f>TEXT(Data!F2132,"mmm")</f>
        <v>Mar</v>
      </c>
      <c r="D2132" s="52" t="str">
        <f>Data!O2132</f>
        <v>Unknown</v>
      </c>
      <c r="E2132" s="52">
        <f>Data!G2132-Data!F2132</f>
        <v>4</v>
      </c>
      <c r="F2132" s="52">
        <f>IF(Data!J2132&lt;=5,Data!J2132,IF(Data!J2132&lt;=10,"6 TO 10","More than 10"))</f>
        <v>3</v>
      </c>
      <c r="G2132" s="52">
        <f t="shared" si="33"/>
        <v>4</v>
      </c>
      <c r="H2132" s="52">
        <f>ROUND(Data!C2132*Data!D2132-Data!E2132,2)</f>
        <v>0</v>
      </c>
      <c r="I2132" s="52">
        <f>IF(AND(OR(Sel_Mode="All",Data!I2132=Sel_Mode),OR(Sel_Gender="All",D2132=Sel_Gender),OR(Sel_Category="All",Data!B2132=Sel_Category),OR(Sel_Month="All",C2132=Sel_Month),OR(Sel_County="All",Data!L2132=Sel_County)),1,0)</f>
        <v>1</v>
      </c>
    </row>
    <row r="2133" spans="1:9" x14ac:dyDescent="0.25">
      <c r="A2133" s="52" t="str">
        <f>Data!A2133</f>
        <v>TX502132</v>
      </c>
      <c r="B2133" s="52">
        <f>MONTH(Data!F2133)</f>
        <v>3</v>
      </c>
      <c r="C2133" s="52" t="str">
        <f>TEXT(Data!F2133,"mmm")</f>
        <v>Mar</v>
      </c>
      <c r="D2133" s="52" t="str">
        <f>Data!O2133</f>
        <v>Female</v>
      </c>
      <c r="E2133" s="52">
        <f>Data!G2133-Data!F2133</f>
        <v>3</v>
      </c>
      <c r="F2133" s="52">
        <f>IF(Data!J2133&lt;=5,Data!J2133,IF(Data!J2133&lt;=10,"6 TO 10","More than 10"))</f>
        <v>4</v>
      </c>
      <c r="G2133" s="52">
        <f t="shared" si="33"/>
        <v>3</v>
      </c>
      <c r="H2133" s="52">
        <f>ROUND(Data!C2133*Data!D2133-Data!E2133,2)</f>
        <v>0</v>
      </c>
      <c r="I2133" s="52">
        <f>IF(AND(OR(Sel_Mode="All",Data!I2133=Sel_Mode),OR(Sel_Gender="All",D2133=Sel_Gender),OR(Sel_Category="All",Data!B2133=Sel_Category),OR(Sel_Month="All",C2133=Sel_Month),OR(Sel_County="All",Data!L2133=Sel_County)),1,0)</f>
        <v>1</v>
      </c>
    </row>
    <row r="2134" spans="1:9" x14ac:dyDescent="0.25">
      <c r="A2134" s="52" t="str">
        <f>Data!A2134</f>
        <v>TX502133</v>
      </c>
      <c r="B2134" s="52">
        <f>MONTH(Data!F2134)</f>
        <v>3</v>
      </c>
      <c r="C2134" s="52" t="str">
        <f>TEXT(Data!F2134,"mmm")</f>
        <v>Mar</v>
      </c>
      <c r="D2134" s="52" t="str">
        <f>Data!O2134</f>
        <v>Male</v>
      </c>
      <c r="E2134" s="52">
        <f>Data!G2134-Data!F2134</f>
        <v>1</v>
      </c>
      <c r="F2134" s="52">
        <f>IF(Data!J2134&lt;=5,Data!J2134,IF(Data!J2134&lt;=10,"6 TO 10","More than 10"))</f>
        <v>4</v>
      </c>
      <c r="G2134" s="52">
        <f t="shared" si="33"/>
        <v>1</v>
      </c>
      <c r="H2134" s="52">
        <f>ROUND(Data!C2134*Data!D2134-Data!E2134,2)</f>
        <v>0</v>
      </c>
      <c r="I2134" s="52">
        <f>IF(AND(OR(Sel_Mode="All",Data!I2134=Sel_Mode),OR(Sel_Gender="All",D2134=Sel_Gender),OR(Sel_Category="All",Data!B2134=Sel_Category),OR(Sel_Month="All",C2134=Sel_Month),OR(Sel_County="All",Data!L2134=Sel_County)),1,0)</f>
        <v>1</v>
      </c>
    </row>
    <row r="2135" spans="1:9" x14ac:dyDescent="0.25">
      <c r="A2135" s="52" t="str">
        <f>Data!A2135</f>
        <v>TX502134</v>
      </c>
      <c r="B2135" s="52">
        <f>MONTH(Data!F2135)</f>
        <v>3</v>
      </c>
      <c r="C2135" s="52" t="str">
        <f>TEXT(Data!F2135,"mmm")</f>
        <v>Mar</v>
      </c>
      <c r="D2135" s="52" t="str">
        <f>Data!O2135</f>
        <v>Male</v>
      </c>
      <c r="E2135" s="52">
        <f>Data!G2135-Data!F2135</f>
        <v>6</v>
      </c>
      <c r="F2135" s="52">
        <f>IF(Data!J2135&lt;=5,Data!J2135,IF(Data!J2135&lt;=10,"6 TO 10","More than 10"))</f>
        <v>2</v>
      </c>
      <c r="G2135" s="52">
        <f t="shared" si="33"/>
        <v>6</v>
      </c>
      <c r="H2135" s="52">
        <f>ROUND(Data!C2135*Data!D2135-Data!E2135,2)</f>
        <v>0</v>
      </c>
      <c r="I2135" s="52">
        <f>IF(AND(OR(Sel_Mode="All",Data!I2135=Sel_Mode),OR(Sel_Gender="All",D2135=Sel_Gender),OR(Sel_Category="All",Data!B2135=Sel_Category),OR(Sel_Month="All",C2135=Sel_Month),OR(Sel_County="All",Data!L2135=Sel_County)),1,0)</f>
        <v>1</v>
      </c>
    </row>
    <row r="2136" spans="1:9" x14ac:dyDescent="0.25">
      <c r="A2136" s="52" t="str">
        <f>Data!A2136</f>
        <v>TX502135</v>
      </c>
      <c r="B2136" s="52">
        <f>MONTH(Data!F2136)</f>
        <v>3</v>
      </c>
      <c r="C2136" s="52" t="str">
        <f>TEXT(Data!F2136,"mmm")</f>
        <v>Mar</v>
      </c>
      <c r="D2136" s="52" t="str">
        <f>Data!O2136</f>
        <v>Male</v>
      </c>
      <c r="E2136" s="52">
        <f>Data!G2136-Data!F2136</f>
        <v>1</v>
      </c>
      <c r="F2136" s="52">
        <f>IF(Data!J2136&lt;=5,Data!J2136,IF(Data!J2136&lt;=10,"6 TO 10","More than 10"))</f>
        <v>3</v>
      </c>
      <c r="G2136" s="52">
        <f t="shared" si="33"/>
        <v>1</v>
      </c>
      <c r="H2136" s="52">
        <f>ROUND(Data!C2136*Data!D2136-Data!E2136,2)</f>
        <v>0</v>
      </c>
      <c r="I2136" s="52">
        <f>IF(AND(OR(Sel_Mode="All",Data!I2136=Sel_Mode),OR(Sel_Gender="All",D2136=Sel_Gender),OR(Sel_Category="All",Data!B2136=Sel_Category),OR(Sel_Month="All",C2136=Sel_Month),OR(Sel_County="All",Data!L2136=Sel_County)),1,0)</f>
        <v>1</v>
      </c>
    </row>
    <row r="2137" spans="1:9" x14ac:dyDescent="0.25">
      <c r="A2137" s="52" t="str">
        <f>Data!A2137</f>
        <v>TX502136</v>
      </c>
      <c r="B2137" s="52">
        <f>MONTH(Data!F2137)</f>
        <v>3</v>
      </c>
      <c r="C2137" s="52" t="str">
        <f>TEXT(Data!F2137,"mmm")</f>
        <v>Mar</v>
      </c>
      <c r="D2137" s="52" t="str">
        <f>Data!O2137</f>
        <v>Male</v>
      </c>
      <c r="E2137" s="52">
        <f>Data!G2137-Data!F2137</f>
        <v>2</v>
      </c>
      <c r="F2137" s="52">
        <f>IF(Data!J2137&lt;=5,Data!J2137,IF(Data!J2137&lt;=10,"6 TO 10","More than 10"))</f>
        <v>3</v>
      </c>
      <c r="G2137" s="52">
        <f t="shared" si="33"/>
        <v>2</v>
      </c>
      <c r="H2137" s="52">
        <f>ROUND(Data!C2137*Data!D2137-Data!E2137,2)</f>
        <v>0</v>
      </c>
      <c r="I2137" s="52">
        <f>IF(AND(OR(Sel_Mode="All",Data!I2137=Sel_Mode),OR(Sel_Gender="All",D2137=Sel_Gender),OR(Sel_Category="All",Data!B2137=Sel_Category),OR(Sel_Month="All",C2137=Sel_Month),OR(Sel_County="All",Data!L2137=Sel_County)),1,0)</f>
        <v>1</v>
      </c>
    </row>
    <row r="2138" spans="1:9" x14ac:dyDescent="0.25">
      <c r="A2138" s="52" t="str">
        <f>Data!A2138</f>
        <v>TX502137</v>
      </c>
      <c r="B2138" s="52">
        <f>MONTH(Data!F2138)</f>
        <v>3</v>
      </c>
      <c r="C2138" s="52" t="str">
        <f>TEXT(Data!F2138,"mmm")</f>
        <v>Mar</v>
      </c>
      <c r="D2138" s="52" t="str">
        <f>Data!O2138</f>
        <v>Male</v>
      </c>
      <c r="E2138" s="52">
        <f>Data!G2138-Data!F2138</f>
        <v>1</v>
      </c>
      <c r="F2138" s="52">
        <f>IF(Data!J2138&lt;=5,Data!J2138,IF(Data!J2138&lt;=10,"6 TO 10","More than 10"))</f>
        <v>2</v>
      </c>
      <c r="G2138" s="52">
        <f t="shared" si="33"/>
        <v>1</v>
      </c>
      <c r="H2138" s="52">
        <f>ROUND(Data!C2138*Data!D2138-Data!E2138,2)</f>
        <v>0</v>
      </c>
      <c r="I2138" s="52">
        <f>IF(AND(OR(Sel_Mode="All",Data!I2138=Sel_Mode),OR(Sel_Gender="All",D2138=Sel_Gender),OR(Sel_Category="All",Data!B2138=Sel_Category),OR(Sel_Month="All",C2138=Sel_Month),OR(Sel_County="All",Data!L2138=Sel_County)),1,0)</f>
        <v>1</v>
      </c>
    </row>
    <row r="2139" spans="1:9" x14ac:dyDescent="0.25">
      <c r="A2139" s="52" t="str">
        <f>Data!A2139</f>
        <v>TX502138</v>
      </c>
      <c r="B2139" s="52">
        <f>MONTH(Data!F2139)</f>
        <v>3</v>
      </c>
      <c r="C2139" s="52" t="str">
        <f>TEXT(Data!F2139,"mmm")</f>
        <v>Mar</v>
      </c>
      <c r="D2139" s="52" t="str">
        <f>Data!O2139</f>
        <v>Male</v>
      </c>
      <c r="E2139" s="52">
        <f>Data!G2139-Data!F2139</f>
        <v>3</v>
      </c>
      <c r="F2139" s="52">
        <f>IF(Data!J2139&lt;=5,Data!J2139,IF(Data!J2139&lt;=10,"6 TO 10","More than 10"))</f>
        <v>4</v>
      </c>
      <c r="G2139" s="52">
        <f t="shared" si="33"/>
        <v>3</v>
      </c>
      <c r="H2139" s="52">
        <f>ROUND(Data!C2139*Data!D2139-Data!E2139,2)</f>
        <v>0</v>
      </c>
      <c r="I2139" s="52">
        <f>IF(AND(OR(Sel_Mode="All",Data!I2139=Sel_Mode),OR(Sel_Gender="All",D2139=Sel_Gender),OR(Sel_Category="All",Data!B2139=Sel_Category),OR(Sel_Month="All",C2139=Sel_Month),OR(Sel_County="All",Data!L2139=Sel_County)),1,0)</f>
        <v>1</v>
      </c>
    </row>
    <row r="2140" spans="1:9" x14ac:dyDescent="0.25">
      <c r="A2140" s="52" t="str">
        <f>Data!A2140</f>
        <v>TX502139</v>
      </c>
      <c r="B2140" s="52">
        <f>MONTH(Data!F2140)</f>
        <v>3</v>
      </c>
      <c r="C2140" s="52" t="str">
        <f>TEXT(Data!F2140,"mmm")</f>
        <v>Mar</v>
      </c>
      <c r="D2140" s="52" t="str">
        <f>Data!O2140</f>
        <v>Female</v>
      </c>
      <c r="E2140" s="52">
        <f>Data!G2140-Data!F2140</f>
        <v>1</v>
      </c>
      <c r="F2140" s="52">
        <f>IF(Data!J2140&lt;=5,Data!J2140,IF(Data!J2140&lt;=10,"6 TO 10","More than 10"))</f>
        <v>5</v>
      </c>
      <c r="G2140" s="52">
        <f t="shared" si="33"/>
        <v>1</v>
      </c>
      <c r="H2140" s="52">
        <f>ROUND(Data!C2140*Data!D2140-Data!E2140,2)</f>
        <v>0</v>
      </c>
      <c r="I2140" s="52">
        <f>IF(AND(OR(Sel_Mode="All",Data!I2140=Sel_Mode),OR(Sel_Gender="All",D2140=Sel_Gender),OR(Sel_Category="All",Data!B2140=Sel_Category),OR(Sel_Month="All",C2140=Sel_Month),OR(Sel_County="All",Data!L2140=Sel_County)),1,0)</f>
        <v>1</v>
      </c>
    </row>
    <row r="2141" spans="1:9" x14ac:dyDescent="0.25">
      <c r="A2141" s="52" t="str">
        <f>Data!A2141</f>
        <v>TX502140</v>
      </c>
      <c r="B2141" s="52">
        <f>MONTH(Data!F2141)</f>
        <v>3</v>
      </c>
      <c r="C2141" s="52" t="str">
        <f>TEXT(Data!F2141,"mmm")</f>
        <v>Mar</v>
      </c>
      <c r="D2141" s="52" t="str">
        <f>Data!O2141</f>
        <v>Female</v>
      </c>
      <c r="E2141" s="52">
        <f>Data!G2141-Data!F2141</f>
        <v>1</v>
      </c>
      <c r="F2141" s="52">
        <f>IF(Data!J2141&lt;=5,Data!J2141,IF(Data!J2141&lt;=10,"6 TO 10","More than 10"))</f>
        <v>5</v>
      </c>
      <c r="G2141" s="52">
        <f t="shared" si="33"/>
        <v>1</v>
      </c>
      <c r="H2141" s="52">
        <f>ROUND(Data!C2141*Data!D2141-Data!E2141,2)</f>
        <v>0</v>
      </c>
      <c r="I2141" s="52">
        <f>IF(AND(OR(Sel_Mode="All",Data!I2141=Sel_Mode),OR(Sel_Gender="All",D2141=Sel_Gender),OR(Sel_Category="All",Data!B2141=Sel_Category),OR(Sel_Month="All",C2141=Sel_Month),OR(Sel_County="All",Data!L2141=Sel_County)),1,0)</f>
        <v>1</v>
      </c>
    </row>
    <row r="2142" spans="1:9" x14ac:dyDescent="0.25">
      <c r="A2142" s="52" t="str">
        <f>Data!A2142</f>
        <v>TX502141</v>
      </c>
      <c r="B2142" s="52">
        <f>MONTH(Data!F2142)</f>
        <v>3</v>
      </c>
      <c r="C2142" s="52" t="str">
        <f>TEXT(Data!F2142,"mmm")</f>
        <v>Mar</v>
      </c>
      <c r="D2142" s="52" t="str">
        <f>Data!O2142</f>
        <v>Male</v>
      </c>
      <c r="E2142" s="52">
        <f>Data!G2142-Data!F2142</f>
        <v>1</v>
      </c>
      <c r="F2142" s="52">
        <f>IF(Data!J2142&lt;=5,Data!J2142,IF(Data!J2142&lt;=10,"6 TO 10","More than 10"))</f>
        <v>3</v>
      </c>
      <c r="G2142" s="52">
        <f t="shared" si="33"/>
        <v>1</v>
      </c>
      <c r="H2142" s="52">
        <f>ROUND(Data!C2142*Data!D2142-Data!E2142,2)</f>
        <v>0</v>
      </c>
      <c r="I2142" s="52">
        <f>IF(AND(OR(Sel_Mode="All",Data!I2142=Sel_Mode),OR(Sel_Gender="All",D2142=Sel_Gender),OR(Sel_Category="All",Data!B2142=Sel_Category),OR(Sel_Month="All",C2142=Sel_Month),OR(Sel_County="All",Data!L2142=Sel_County)),1,0)</f>
        <v>1</v>
      </c>
    </row>
    <row r="2143" spans="1:9" x14ac:dyDescent="0.25">
      <c r="A2143" s="52" t="str">
        <f>Data!A2143</f>
        <v>TX502142</v>
      </c>
      <c r="B2143" s="52">
        <f>MONTH(Data!F2143)</f>
        <v>3</v>
      </c>
      <c r="C2143" s="52" t="str">
        <f>TEXT(Data!F2143,"mmm")</f>
        <v>Mar</v>
      </c>
      <c r="D2143" s="52" t="str">
        <f>Data!O2143</f>
        <v>Male</v>
      </c>
      <c r="E2143" s="52">
        <f>Data!G2143-Data!F2143</f>
        <v>3</v>
      </c>
      <c r="F2143" s="52">
        <f>IF(Data!J2143&lt;=5,Data!J2143,IF(Data!J2143&lt;=10,"6 TO 10","More than 10"))</f>
        <v>4</v>
      </c>
      <c r="G2143" s="52">
        <f t="shared" si="33"/>
        <v>3</v>
      </c>
      <c r="H2143" s="52">
        <f>ROUND(Data!C2143*Data!D2143-Data!E2143,2)</f>
        <v>0</v>
      </c>
      <c r="I2143" s="52">
        <f>IF(AND(OR(Sel_Mode="All",Data!I2143=Sel_Mode),OR(Sel_Gender="All",D2143=Sel_Gender),OR(Sel_Category="All",Data!B2143=Sel_Category),OR(Sel_Month="All",C2143=Sel_Month),OR(Sel_County="All",Data!L2143=Sel_County)),1,0)</f>
        <v>1</v>
      </c>
    </row>
    <row r="2144" spans="1:9" x14ac:dyDescent="0.25">
      <c r="A2144" s="52" t="str">
        <f>Data!A2144</f>
        <v>TX502143</v>
      </c>
      <c r="B2144" s="52">
        <f>MONTH(Data!F2144)</f>
        <v>3</v>
      </c>
      <c r="C2144" s="52" t="str">
        <f>TEXT(Data!F2144,"mmm")</f>
        <v>Mar</v>
      </c>
      <c r="D2144" s="52" t="str">
        <f>Data!O2144</f>
        <v>Male</v>
      </c>
      <c r="E2144" s="52">
        <f>Data!G2144-Data!F2144</f>
        <v>1</v>
      </c>
      <c r="F2144" s="52">
        <f>IF(Data!J2144&lt;=5,Data!J2144,IF(Data!J2144&lt;=10,"6 TO 10","More than 10"))</f>
        <v>5</v>
      </c>
      <c r="G2144" s="52">
        <f t="shared" si="33"/>
        <v>1</v>
      </c>
      <c r="H2144" s="52">
        <f>ROUND(Data!C2144*Data!D2144-Data!E2144,2)</f>
        <v>0</v>
      </c>
      <c r="I2144" s="52">
        <f>IF(AND(OR(Sel_Mode="All",Data!I2144=Sel_Mode),OR(Sel_Gender="All",D2144=Sel_Gender),OR(Sel_Category="All",Data!B2144=Sel_Category),OR(Sel_Month="All",C2144=Sel_Month),OR(Sel_County="All",Data!L2144=Sel_County)),1,0)</f>
        <v>1</v>
      </c>
    </row>
    <row r="2145" spans="1:9" x14ac:dyDescent="0.25">
      <c r="A2145" s="52" t="str">
        <f>Data!A2145</f>
        <v>TX502144</v>
      </c>
      <c r="B2145" s="52">
        <f>MONTH(Data!F2145)</f>
        <v>3</v>
      </c>
      <c r="C2145" s="52" t="str">
        <f>TEXT(Data!F2145,"mmm")</f>
        <v>Mar</v>
      </c>
      <c r="D2145" s="52" t="str">
        <f>Data!O2145</f>
        <v>Female</v>
      </c>
      <c r="E2145" s="52">
        <f>Data!G2145-Data!F2145</f>
        <v>1</v>
      </c>
      <c r="F2145" s="52">
        <f>IF(Data!J2145&lt;=5,Data!J2145,IF(Data!J2145&lt;=10,"6 TO 10","More than 10"))</f>
        <v>3</v>
      </c>
      <c r="G2145" s="52">
        <f t="shared" si="33"/>
        <v>1</v>
      </c>
      <c r="H2145" s="52">
        <f>ROUND(Data!C2145*Data!D2145-Data!E2145,2)</f>
        <v>0</v>
      </c>
      <c r="I2145" s="52">
        <f>IF(AND(OR(Sel_Mode="All",Data!I2145=Sel_Mode),OR(Sel_Gender="All",D2145=Sel_Gender),OR(Sel_Category="All",Data!B2145=Sel_Category),OR(Sel_Month="All",C2145=Sel_Month),OR(Sel_County="All",Data!L2145=Sel_County)),1,0)</f>
        <v>1</v>
      </c>
    </row>
    <row r="2146" spans="1:9" x14ac:dyDescent="0.25">
      <c r="A2146" s="52" t="str">
        <f>Data!A2146</f>
        <v>TX502145</v>
      </c>
      <c r="B2146" s="52">
        <f>MONTH(Data!F2146)</f>
        <v>3</v>
      </c>
      <c r="C2146" s="52" t="str">
        <f>TEXT(Data!F2146,"mmm")</f>
        <v>Mar</v>
      </c>
      <c r="D2146" s="52" t="str">
        <f>Data!O2146</f>
        <v>Male</v>
      </c>
      <c r="E2146" s="52">
        <f>Data!G2146-Data!F2146</f>
        <v>1</v>
      </c>
      <c r="F2146" s="52">
        <f>IF(Data!J2146&lt;=5,Data!J2146,IF(Data!J2146&lt;=10,"6 TO 10","More than 10"))</f>
        <v>4</v>
      </c>
      <c r="G2146" s="52">
        <f t="shared" si="33"/>
        <v>1</v>
      </c>
      <c r="H2146" s="52">
        <f>ROUND(Data!C2146*Data!D2146-Data!E2146,2)</f>
        <v>0</v>
      </c>
      <c r="I2146" s="52">
        <f>IF(AND(OR(Sel_Mode="All",Data!I2146=Sel_Mode),OR(Sel_Gender="All",D2146=Sel_Gender),OR(Sel_Category="All",Data!B2146=Sel_Category),OR(Sel_Month="All",C2146=Sel_Month),OR(Sel_County="All",Data!L2146=Sel_County)),1,0)</f>
        <v>1</v>
      </c>
    </row>
    <row r="2147" spans="1:9" x14ac:dyDescent="0.25">
      <c r="A2147" s="52" t="str">
        <f>Data!A2147</f>
        <v>TX502146</v>
      </c>
      <c r="B2147" s="52">
        <f>MONTH(Data!F2147)</f>
        <v>3</v>
      </c>
      <c r="C2147" s="52" t="str">
        <f>TEXT(Data!F2147,"mmm")</f>
        <v>Mar</v>
      </c>
      <c r="D2147" s="52" t="str">
        <f>Data!O2147</f>
        <v>Female</v>
      </c>
      <c r="E2147" s="52">
        <f>Data!G2147-Data!F2147</f>
        <v>3</v>
      </c>
      <c r="F2147" s="52">
        <f>IF(Data!J2147&lt;=5,Data!J2147,IF(Data!J2147&lt;=10,"6 TO 10","More than 10"))</f>
        <v>5</v>
      </c>
      <c r="G2147" s="52">
        <f t="shared" si="33"/>
        <v>3</v>
      </c>
      <c r="H2147" s="52">
        <f>ROUND(Data!C2147*Data!D2147-Data!E2147,2)</f>
        <v>0</v>
      </c>
      <c r="I2147" s="52">
        <f>IF(AND(OR(Sel_Mode="All",Data!I2147=Sel_Mode),OR(Sel_Gender="All",D2147=Sel_Gender),OR(Sel_Category="All",Data!B2147=Sel_Category),OR(Sel_Month="All",C2147=Sel_Month),OR(Sel_County="All",Data!L2147=Sel_County)),1,0)</f>
        <v>1</v>
      </c>
    </row>
    <row r="2148" spans="1:9" x14ac:dyDescent="0.25">
      <c r="A2148" s="52" t="str">
        <f>Data!A2148</f>
        <v>TX502147</v>
      </c>
      <c r="B2148" s="52">
        <f>MONTH(Data!F2148)</f>
        <v>3</v>
      </c>
      <c r="C2148" s="52" t="str">
        <f>TEXT(Data!F2148,"mmm")</f>
        <v>Mar</v>
      </c>
      <c r="D2148" s="52" t="str">
        <f>Data!O2148</f>
        <v>Female</v>
      </c>
      <c r="E2148" s="52">
        <f>Data!G2148-Data!F2148</f>
        <v>14</v>
      </c>
      <c r="F2148" s="52">
        <f>IF(Data!J2148&lt;=5,Data!J2148,IF(Data!J2148&lt;=10,"6 TO 10","More than 10"))</f>
        <v>4</v>
      </c>
      <c r="G2148" s="52" t="str">
        <f t="shared" si="33"/>
        <v>8+</v>
      </c>
      <c r="H2148" s="52">
        <f>ROUND(Data!C2148*Data!D2148-Data!E2148,2)</f>
        <v>0</v>
      </c>
      <c r="I2148" s="52">
        <f>IF(AND(OR(Sel_Mode="All",Data!I2148=Sel_Mode),OR(Sel_Gender="All",D2148=Sel_Gender),OR(Sel_Category="All",Data!B2148=Sel_Category),OR(Sel_Month="All",C2148=Sel_Month),OR(Sel_County="All",Data!L2148=Sel_County)),1,0)</f>
        <v>1</v>
      </c>
    </row>
    <row r="2149" spans="1:9" x14ac:dyDescent="0.25">
      <c r="A2149" s="52" t="str">
        <f>Data!A2149</f>
        <v>TX502148</v>
      </c>
      <c r="B2149" s="52">
        <f>MONTH(Data!F2149)</f>
        <v>3</v>
      </c>
      <c r="C2149" s="52" t="str">
        <f>TEXT(Data!F2149,"mmm")</f>
        <v>Mar</v>
      </c>
      <c r="D2149" s="52" t="str">
        <f>Data!O2149</f>
        <v>Male</v>
      </c>
      <c r="E2149" s="52">
        <f>Data!G2149-Data!F2149</f>
        <v>0</v>
      </c>
      <c r="F2149" s="52">
        <f>IF(Data!J2149&lt;=5,Data!J2149,IF(Data!J2149&lt;=10,"6 TO 10","More than 10"))</f>
        <v>5</v>
      </c>
      <c r="G2149" s="52">
        <f t="shared" si="33"/>
        <v>0</v>
      </c>
      <c r="H2149" s="52">
        <f>ROUND(Data!C2149*Data!D2149-Data!E2149,2)</f>
        <v>0</v>
      </c>
      <c r="I2149" s="52">
        <f>IF(AND(OR(Sel_Mode="All",Data!I2149=Sel_Mode),OR(Sel_Gender="All",D2149=Sel_Gender),OR(Sel_Category="All",Data!B2149=Sel_Category),OR(Sel_Month="All",C2149=Sel_Month),OR(Sel_County="All",Data!L2149=Sel_County)),1,0)</f>
        <v>1</v>
      </c>
    </row>
    <row r="2150" spans="1:9" x14ac:dyDescent="0.25">
      <c r="A2150" s="52" t="str">
        <f>Data!A2150</f>
        <v>TX502149</v>
      </c>
      <c r="B2150" s="52">
        <f>MONTH(Data!F2150)</f>
        <v>3</v>
      </c>
      <c r="C2150" s="52" t="str">
        <f>TEXT(Data!F2150,"mmm")</f>
        <v>Mar</v>
      </c>
      <c r="D2150" s="52" t="str">
        <f>Data!O2150</f>
        <v>Female</v>
      </c>
      <c r="E2150" s="52">
        <f>Data!G2150-Data!F2150</f>
        <v>8</v>
      </c>
      <c r="F2150" s="52">
        <f>IF(Data!J2150&lt;=5,Data!J2150,IF(Data!J2150&lt;=10,"6 TO 10","More than 10"))</f>
        <v>5</v>
      </c>
      <c r="G2150" s="52" t="str">
        <f t="shared" si="33"/>
        <v>8+</v>
      </c>
      <c r="H2150" s="52">
        <f>ROUND(Data!C2150*Data!D2150-Data!E2150,2)</f>
        <v>0</v>
      </c>
      <c r="I2150" s="52">
        <f>IF(AND(OR(Sel_Mode="All",Data!I2150=Sel_Mode),OR(Sel_Gender="All",D2150=Sel_Gender),OR(Sel_Category="All",Data!B2150=Sel_Category),OR(Sel_Month="All",C2150=Sel_Month),OR(Sel_County="All",Data!L2150=Sel_County)),1,0)</f>
        <v>1</v>
      </c>
    </row>
    <row r="2151" spans="1:9" x14ac:dyDescent="0.25">
      <c r="A2151" s="52" t="str">
        <f>Data!A2151</f>
        <v>TX502150</v>
      </c>
      <c r="B2151" s="52">
        <f>MONTH(Data!F2151)</f>
        <v>3</v>
      </c>
      <c r="C2151" s="52" t="str">
        <f>TEXT(Data!F2151,"mmm")</f>
        <v>Mar</v>
      </c>
      <c r="D2151" s="52" t="str">
        <f>Data!O2151</f>
        <v>Male</v>
      </c>
      <c r="E2151" s="52">
        <f>Data!G2151-Data!F2151</f>
        <v>3</v>
      </c>
      <c r="F2151" s="52">
        <f>IF(Data!J2151&lt;=5,Data!J2151,IF(Data!J2151&lt;=10,"6 TO 10","More than 10"))</f>
        <v>4</v>
      </c>
      <c r="G2151" s="52">
        <f t="shared" si="33"/>
        <v>3</v>
      </c>
      <c r="H2151" s="52">
        <f>ROUND(Data!C2151*Data!D2151-Data!E2151,2)</f>
        <v>0</v>
      </c>
      <c r="I2151" s="52">
        <f>IF(AND(OR(Sel_Mode="All",Data!I2151=Sel_Mode),OR(Sel_Gender="All",D2151=Sel_Gender),OR(Sel_Category="All",Data!B2151=Sel_Category),OR(Sel_Month="All",C2151=Sel_Month),OR(Sel_County="All",Data!L2151=Sel_County)),1,0)</f>
        <v>1</v>
      </c>
    </row>
    <row r="2152" spans="1:9" x14ac:dyDescent="0.25">
      <c r="A2152" s="52" t="str">
        <f>Data!A2152</f>
        <v>TX502151</v>
      </c>
      <c r="B2152" s="52">
        <f>MONTH(Data!F2152)</f>
        <v>3</v>
      </c>
      <c r="C2152" s="52" t="str">
        <f>TEXT(Data!F2152,"mmm")</f>
        <v>Mar</v>
      </c>
      <c r="D2152" s="52" t="str">
        <f>Data!O2152</f>
        <v>Female</v>
      </c>
      <c r="E2152" s="52">
        <f>Data!G2152-Data!F2152</f>
        <v>1</v>
      </c>
      <c r="F2152" s="52">
        <f>IF(Data!J2152&lt;=5,Data!J2152,IF(Data!J2152&lt;=10,"6 TO 10","More than 10"))</f>
        <v>3</v>
      </c>
      <c r="G2152" s="52">
        <f t="shared" si="33"/>
        <v>1</v>
      </c>
      <c r="H2152" s="52">
        <f>ROUND(Data!C2152*Data!D2152-Data!E2152,2)</f>
        <v>0</v>
      </c>
      <c r="I2152" s="52">
        <f>IF(AND(OR(Sel_Mode="All",Data!I2152=Sel_Mode),OR(Sel_Gender="All",D2152=Sel_Gender),OR(Sel_Category="All",Data!B2152=Sel_Category),OR(Sel_Month="All",C2152=Sel_Month),OR(Sel_County="All",Data!L2152=Sel_County)),1,0)</f>
        <v>1</v>
      </c>
    </row>
    <row r="2153" spans="1:9" x14ac:dyDescent="0.25">
      <c r="A2153" s="52" t="str">
        <f>Data!A2153</f>
        <v>TX502152</v>
      </c>
      <c r="B2153" s="52">
        <f>MONTH(Data!F2153)</f>
        <v>3</v>
      </c>
      <c r="C2153" s="52" t="str">
        <f>TEXT(Data!F2153,"mmm")</f>
        <v>Mar</v>
      </c>
      <c r="D2153" s="52" t="str">
        <f>Data!O2153</f>
        <v>Female</v>
      </c>
      <c r="E2153" s="52">
        <f>Data!G2153-Data!F2153</f>
        <v>0</v>
      </c>
      <c r="F2153" s="52">
        <f>IF(Data!J2153&lt;=5,Data!J2153,IF(Data!J2153&lt;=10,"6 TO 10","More than 10"))</f>
        <v>5</v>
      </c>
      <c r="G2153" s="52">
        <f t="shared" si="33"/>
        <v>0</v>
      </c>
      <c r="H2153" s="52">
        <f>ROUND(Data!C2153*Data!D2153-Data!E2153,2)</f>
        <v>0</v>
      </c>
      <c r="I2153" s="52">
        <f>IF(AND(OR(Sel_Mode="All",Data!I2153=Sel_Mode),OR(Sel_Gender="All",D2153=Sel_Gender),OR(Sel_Category="All",Data!B2153=Sel_Category),OR(Sel_Month="All",C2153=Sel_Month),OR(Sel_County="All",Data!L2153=Sel_County)),1,0)</f>
        <v>1</v>
      </c>
    </row>
    <row r="2154" spans="1:9" x14ac:dyDescent="0.25">
      <c r="A2154" s="52" t="str">
        <f>Data!A2154</f>
        <v>TX502153</v>
      </c>
      <c r="B2154" s="52">
        <f>MONTH(Data!F2154)</f>
        <v>3</v>
      </c>
      <c r="C2154" s="52" t="str">
        <f>TEXT(Data!F2154,"mmm")</f>
        <v>Mar</v>
      </c>
      <c r="D2154" s="52" t="str">
        <f>Data!O2154</f>
        <v>Female</v>
      </c>
      <c r="E2154" s="52">
        <f>Data!G2154-Data!F2154</f>
        <v>1</v>
      </c>
      <c r="F2154" s="52">
        <f>IF(Data!J2154&lt;=5,Data!J2154,IF(Data!J2154&lt;=10,"6 TO 10","More than 10"))</f>
        <v>5</v>
      </c>
      <c r="G2154" s="52">
        <f t="shared" si="33"/>
        <v>1</v>
      </c>
      <c r="H2154" s="52">
        <f>ROUND(Data!C2154*Data!D2154-Data!E2154,2)</f>
        <v>0</v>
      </c>
      <c r="I2154" s="52">
        <f>IF(AND(OR(Sel_Mode="All",Data!I2154=Sel_Mode),OR(Sel_Gender="All",D2154=Sel_Gender),OR(Sel_Category="All",Data!B2154=Sel_Category),OR(Sel_Month="All",C2154=Sel_Month),OR(Sel_County="All",Data!L2154=Sel_County)),1,0)</f>
        <v>1</v>
      </c>
    </row>
    <row r="2155" spans="1:9" x14ac:dyDescent="0.25">
      <c r="A2155" s="52" t="str">
        <f>Data!A2155</f>
        <v>TX502154</v>
      </c>
      <c r="B2155" s="52">
        <f>MONTH(Data!F2155)</f>
        <v>3</v>
      </c>
      <c r="C2155" s="52" t="str">
        <f>TEXT(Data!F2155,"mmm")</f>
        <v>Mar</v>
      </c>
      <c r="D2155" s="52" t="str">
        <f>Data!O2155</f>
        <v>Female</v>
      </c>
      <c r="E2155" s="52">
        <f>Data!G2155-Data!F2155</f>
        <v>1</v>
      </c>
      <c r="F2155" s="52">
        <f>IF(Data!J2155&lt;=5,Data!J2155,IF(Data!J2155&lt;=10,"6 TO 10","More than 10"))</f>
        <v>5</v>
      </c>
      <c r="G2155" s="52">
        <f t="shared" si="33"/>
        <v>1</v>
      </c>
      <c r="H2155" s="52">
        <f>ROUND(Data!C2155*Data!D2155-Data!E2155,2)</f>
        <v>0</v>
      </c>
      <c r="I2155" s="52">
        <f>IF(AND(OR(Sel_Mode="All",Data!I2155=Sel_Mode),OR(Sel_Gender="All",D2155=Sel_Gender),OR(Sel_Category="All",Data!B2155=Sel_Category),OR(Sel_Month="All",C2155=Sel_Month),OR(Sel_County="All",Data!L2155=Sel_County)),1,0)</f>
        <v>1</v>
      </c>
    </row>
    <row r="2156" spans="1:9" x14ac:dyDescent="0.25">
      <c r="A2156" s="52" t="str">
        <f>Data!A2156</f>
        <v>TX502155</v>
      </c>
      <c r="B2156" s="52">
        <f>MONTH(Data!F2156)</f>
        <v>3</v>
      </c>
      <c r="C2156" s="52" t="str">
        <f>TEXT(Data!F2156,"mmm")</f>
        <v>Mar</v>
      </c>
      <c r="D2156" s="52" t="str">
        <f>Data!O2156</f>
        <v>Male</v>
      </c>
      <c r="E2156" s="52">
        <f>Data!G2156-Data!F2156</f>
        <v>3</v>
      </c>
      <c r="F2156" s="52">
        <f>IF(Data!J2156&lt;=5,Data!J2156,IF(Data!J2156&lt;=10,"6 TO 10","More than 10"))</f>
        <v>5</v>
      </c>
      <c r="G2156" s="52">
        <f t="shared" si="33"/>
        <v>3</v>
      </c>
      <c r="H2156" s="52">
        <f>ROUND(Data!C2156*Data!D2156-Data!E2156,2)</f>
        <v>0</v>
      </c>
      <c r="I2156" s="52">
        <f>IF(AND(OR(Sel_Mode="All",Data!I2156=Sel_Mode),OR(Sel_Gender="All",D2156=Sel_Gender),OR(Sel_Category="All",Data!B2156=Sel_Category),OR(Sel_Month="All",C2156=Sel_Month),OR(Sel_County="All",Data!L2156=Sel_County)),1,0)</f>
        <v>1</v>
      </c>
    </row>
    <row r="2157" spans="1:9" x14ac:dyDescent="0.25">
      <c r="A2157" s="52" t="str">
        <f>Data!A2157</f>
        <v>TX502156</v>
      </c>
      <c r="B2157" s="52">
        <f>MONTH(Data!F2157)</f>
        <v>3</v>
      </c>
      <c r="C2157" s="52" t="str">
        <f>TEXT(Data!F2157,"mmm")</f>
        <v>Mar</v>
      </c>
      <c r="D2157" s="52" t="str">
        <f>Data!O2157</f>
        <v>Male</v>
      </c>
      <c r="E2157" s="52">
        <f>Data!G2157-Data!F2157</f>
        <v>1</v>
      </c>
      <c r="F2157" s="52">
        <f>IF(Data!J2157&lt;=5,Data!J2157,IF(Data!J2157&lt;=10,"6 TO 10","More than 10"))</f>
        <v>4</v>
      </c>
      <c r="G2157" s="52">
        <f t="shared" si="33"/>
        <v>1</v>
      </c>
      <c r="H2157" s="52">
        <f>ROUND(Data!C2157*Data!D2157-Data!E2157,2)</f>
        <v>0</v>
      </c>
      <c r="I2157" s="52">
        <f>IF(AND(OR(Sel_Mode="All",Data!I2157=Sel_Mode),OR(Sel_Gender="All",D2157=Sel_Gender),OR(Sel_Category="All",Data!B2157=Sel_Category),OR(Sel_Month="All",C2157=Sel_Month),OR(Sel_County="All",Data!L2157=Sel_County)),1,0)</f>
        <v>1</v>
      </c>
    </row>
    <row r="2158" spans="1:9" x14ac:dyDescent="0.25">
      <c r="A2158" s="52" t="str">
        <f>Data!A2158</f>
        <v>TX502157</v>
      </c>
      <c r="B2158" s="52">
        <f>MONTH(Data!F2158)</f>
        <v>3</v>
      </c>
      <c r="C2158" s="52" t="str">
        <f>TEXT(Data!F2158,"mmm")</f>
        <v>Mar</v>
      </c>
      <c r="D2158" s="52" t="str">
        <f>Data!O2158</f>
        <v>Female</v>
      </c>
      <c r="E2158" s="52">
        <f>Data!G2158-Data!F2158</f>
        <v>2</v>
      </c>
      <c r="F2158" s="52">
        <f>IF(Data!J2158&lt;=5,Data!J2158,IF(Data!J2158&lt;=10,"6 TO 10","More than 10"))</f>
        <v>4</v>
      </c>
      <c r="G2158" s="52">
        <f t="shared" si="33"/>
        <v>2</v>
      </c>
      <c r="H2158" s="52">
        <f>ROUND(Data!C2158*Data!D2158-Data!E2158,2)</f>
        <v>0</v>
      </c>
      <c r="I2158" s="52">
        <f>IF(AND(OR(Sel_Mode="All",Data!I2158=Sel_Mode),OR(Sel_Gender="All",D2158=Sel_Gender),OR(Sel_Category="All",Data!B2158=Sel_Category),OR(Sel_Month="All",C2158=Sel_Month),OR(Sel_County="All",Data!L2158=Sel_County)),1,0)</f>
        <v>1</v>
      </c>
    </row>
    <row r="2159" spans="1:9" x14ac:dyDescent="0.25">
      <c r="A2159" s="52" t="str">
        <f>Data!A2159</f>
        <v>TX502158</v>
      </c>
      <c r="B2159" s="52">
        <f>MONTH(Data!F2159)</f>
        <v>3</v>
      </c>
      <c r="C2159" s="52" t="str">
        <f>TEXT(Data!F2159,"mmm")</f>
        <v>Mar</v>
      </c>
      <c r="D2159" s="52" t="str">
        <f>Data!O2159</f>
        <v>Female</v>
      </c>
      <c r="E2159" s="52">
        <f>Data!G2159-Data!F2159</f>
        <v>1</v>
      </c>
      <c r="F2159" s="52">
        <f>IF(Data!J2159&lt;=5,Data!J2159,IF(Data!J2159&lt;=10,"6 TO 10","More than 10"))</f>
        <v>5</v>
      </c>
      <c r="G2159" s="52">
        <f t="shared" si="33"/>
        <v>1</v>
      </c>
      <c r="H2159" s="52">
        <f>ROUND(Data!C2159*Data!D2159-Data!E2159,2)</f>
        <v>0</v>
      </c>
      <c r="I2159" s="52">
        <f>IF(AND(OR(Sel_Mode="All",Data!I2159=Sel_Mode),OR(Sel_Gender="All",D2159=Sel_Gender),OR(Sel_Category="All",Data!B2159=Sel_Category),OR(Sel_Month="All",C2159=Sel_Month),OR(Sel_County="All",Data!L2159=Sel_County)),1,0)</f>
        <v>1</v>
      </c>
    </row>
    <row r="2160" spans="1:9" x14ac:dyDescent="0.25">
      <c r="A2160" s="52" t="str">
        <f>Data!A2160</f>
        <v>TX502159</v>
      </c>
      <c r="B2160" s="52">
        <f>MONTH(Data!F2160)</f>
        <v>3</v>
      </c>
      <c r="C2160" s="52" t="str">
        <f>TEXT(Data!F2160,"mmm")</f>
        <v>Mar</v>
      </c>
      <c r="D2160" s="52" t="str">
        <f>Data!O2160</f>
        <v>Unknown</v>
      </c>
      <c r="E2160" s="52">
        <f>Data!G2160-Data!F2160</f>
        <v>3</v>
      </c>
      <c r="F2160" s="52">
        <f>IF(Data!J2160&lt;=5,Data!J2160,IF(Data!J2160&lt;=10,"6 TO 10","More than 10"))</f>
        <v>5</v>
      </c>
      <c r="G2160" s="52">
        <f t="shared" si="33"/>
        <v>3</v>
      </c>
      <c r="H2160" s="52">
        <f>ROUND(Data!C2160*Data!D2160-Data!E2160,2)</f>
        <v>0</v>
      </c>
      <c r="I2160" s="52">
        <f>IF(AND(OR(Sel_Mode="All",Data!I2160=Sel_Mode),OR(Sel_Gender="All",D2160=Sel_Gender),OR(Sel_Category="All",Data!B2160=Sel_Category),OR(Sel_Month="All",C2160=Sel_Month),OR(Sel_County="All",Data!L2160=Sel_County)),1,0)</f>
        <v>1</v>
      </c>
    </row>
    <row r="2161" spans="1:9" x14ac:dyDescent="0.25">
      <c r="A2161" s="52" t="str">
        <f>Data!A2161</f>
        <v>TX502160</v>
      </c>
      <c r="B2161" s="52">
        <f>MONTH(Data!F2161)</f>
        <v>3</v>
      </c>
      <c r="C2161" s="52" t="str">
        <f>TEXT(Data!F2161,"mmm")</f>
        <v>Mar</v>
      </c>
      <c r="D2161" s="52" t="str">
        <f>Data!O2161</f>
        <v>Male</v>
      </c>
      <c r="E2161" s="52">
        <f>Data!G2161-Data!F2161</f>
        <v>1</v>
      </c>
      <c r="F2161" s="52">
        <f>IF(Data!J2161&lt;=5,Data!J2161,IF(Data!J2161&lt;=10,"6 TO 10","More than 10"))</f>
        <v>4</v>
      </c>
      <c r="G2161" s="52">
        <f t="shared" si="33"/>
        <v>1</v>
      </c>
      <c r="H2161" s="52">
        <f>ROUND(Data!C2161*Data!D2161-Data!E2161,2)</f>
        <v>0</v>
      </c>
      <c r="I2161" s="52">
        <f>IF(AND(OR(Sel_Mode="All",Data!I2161=Sel_Mode),OR(Sel_Gender="All",D2161=Sel_Gender),OR(Sel_Category="All",Data!B2161=Sel_Category),OR(Sel_Month="All",C2161=Sel_Month),OR(Sel_County="All",Data!L2161=Sel_County)),1,0)</f>
        <v>1</v>
      </c>
    </row>
    <row r="2162" spans="1:9" x14ac:dyDescent="0.25">
      <c r="A2162" s="52" t="str">
        <f>Data!A2162</f>
        <v>TX502161</v>
      </c>
      <c r="B2162" s="52">
        <f>MONTH(Data!F2162)</f>
        <v>3</v>
      </c>
      <c r="C2162" s="52" t="str">
        <f>TEXT(Data!F2162,"mmm")</f>
        <v>Mar</v>
      </c>
      <c r="D2162" s="52" t="str">
        <f>Data!O2162</f>
        <v>Female</v>
      </c>
      <c r="E2162" s="52">
        <f>Data!G2162-Data!F2162</f>
        <v>1</v>
      </c>
      <c r="F2162" s="52">
        <f>IF(Data!J2162&lt;=5,Data!J2162,IF(Data!J2162&lt;=10,"6 TO 10","More than 10"))</f>
        <v>4</v>
      </c>
      <c r="G2162" s="52">
        <f t="shared" si="33"/>
        <v>1</v>
      </c>
      <c r="H2162" s="52">
        <f>ROUND(Data!C2162*Data!D2162-Data!E2162,2)</f>
        <v>0</v>
      </c>
      <c r="I2162" s="52">
        <f>IF(AND(OR(Sel_Mode="All",Data!I2162=Sel_Mode),OR(Sel_Gender="All",D2162=Sel_Gender),OR(Sel_Category="All",Data!B2162=Sel_Category),OR(Sel_Month="All",C2162=Sel_Month),OR(Sel_County="All",Data!L2162=Sel_County)),1,0)</f>
        <v>1</v>
      </c>
    </row>
    <row r="2163" spans="1:9" x14ac:dyDescent="0.25">
      <c r="A2163" s="52" t="str">
        <f>Data!A2163</f>
        <v>TX502162</v>
      </c>
      <c r="B2163" s="52">
        <f>MONTH(Data!F2163)</f>
        <v>3</v>
      </c>
      <c r="C2163" s="52" t="str">
        <f>TEXT(Data!F2163,"mmm")</f>
        <v>Mar</v>
      </c>
      <c r="D2163" s="52" t="str">
        <f>Data!O2163</f>
        <v>Male</v>
      </c>
      <c r="E2163" s="52">
        <f>Data!G2163-Data!F2163</f>
        <v>1</v>
      </c>
      <c r="F2163" s="52">
        <f>IF(Data!J2163&lt;=5,Data!J2163,IF(Data!J2163&lt;=10,"6 TO 10","More than 10"))</f>
        <v>4</v>
      </c>
      <c r="G2163" s="52">
        <f t="shared" si="33"/>
        <v>1</v>
      </c>
      <c r="H2163" s="52">
        <f>ROUND(Data!C2163*Data!D2163-Data!E2163,2)</f>
        <v>0</v>
      </c>
      <c r="I2163" s="52">
        <f>IF(AND(OR(Sel_Mode="All",Data!I2163=Sel_Mode),OR(Sel_Gender="All",D2163=Sel_Gender),OR(Sel_Category="All",Data!B2163=Sel_Category),OR(Sel_Month="All",C2163=Sel_Month),OR(Sel_County="All",Data!L2163=Sel_County)),1,0)</f>
        <v>1</v>
      </c>
    </row>
    <row r="2164" spans="1:9" x14ac:dyDescent="0.25">
      <c r="A2164" s="52" t="str">
        <f>Data!A2164</f>
        <v>TX502163</v>
      </c>
      <c r="B2164" s="52">
        <f>MONTH(Data!F2164)</f>
        <v>3</v>
      </c>
      <c r="C2164" s="52" t="str">
        <f>TEXT(Data!F2164,"mmm")</f>
        <v>Mar</v>
      </c>
      <c r="D2164" s="52" t="str">
        <f>Data!O2164</f>
        <v>Male</v>
      </c>
      <c r="E2164" s="52">
        <f>Data!G2164-Data!F2164</f>
        <v>2</v>
      </c>
      <c r="F2164" s="52">
        <f>IF(Data!J2164&lt;=5,Data!J2164,IF(Data!J2164&lt;=10,"6 TO 10","More than 10"))</f>
        <v>5</v>
      </c>
      <c r="G2164" s="52">
        <f t="shared" si="33"/>
        <v>2</v>
      </c>
      <c r="H2164" s="52">
        <f>ROUND(Data!C2164*Data!D2164-Data!E2164,2)</f>
        <v>0</v>
      </c>
      <c r="I2164" s="52">
        <f>IF(AND(OR(Sel_Mode="All",Data!I2164=Sel_Mode),OR(Sel_Gender="All",D2164=Sel_Gender),OR(Sel_Category="All",Data!B2164=Sel_Category),OR(Sel_Month="All",C2164=Sel_Month),OR(Sel_County="All",Data!L2164=Sel_County)),1,0)</f>
        <v>1</v>
      </c>
    </row>
    <row r="2165" spans="1:9" x14ac:dyDescent="0.25">
      <c r="A2165" s="52" t="str">
        <f>Data!A2165</f>
        <v>TX502164</v>
      </c>
      <c r="B2165" s="52">
        <f>MONTH(Data!F2165)</f>
        <v>3</v>
      </c>
      <c r="C2165" s="52" t="str">
        <f>TEXT(Data!F2165,"mmm")</f>
        <v>Mar</v>
      </c>
      <c r="D2165" s="52" t="str">
        <f>Data!O2165</f>
        <v>Male</v>
      </c>
      <c r="E2165" s="52">
        <f>Data!G2165-Data!F2165</f>
        <v>0</v>
      </c>
      <c r="F2165" s="52">
        <f>IF(Data!J2165&lt;=5,Data!J2165,IF(Data!J2165&lt;=10,"6 TO 10","More than 10"))</f>
        <v>5</v>
      </c>
      <c r="G2165" s="52">
        <f t="shared" si="33"/>
        <v>0</v>
      </c>
      <c r="H2165" s="52">
        <f>ROUND(Data!C2165*Data!D2165-Data!E2165,2)</f>
        <v>0</v>
      </c>
      <c r="I2165" s="52">
        <f>IF(AND(OR(Sel_Mode="All",Data!I2165=Sel_Mode),OR(Sel_Gender="All",D2165=Sel_Gender),OR(Sel_Category="All",Data!B2165=Sel_Category),OR(Sel_Month="All",C2165=Sel_Month),OR(Sel_County="All",Data!L2165=Sel_County)),1,0)</f>
        <v>1</v>
      </c>
    </row>
    <row r="2166" spans="1:9" x14ac:dyDescent="0.25">
      <c r="A2166" s="52" t="str">
        <f>Data!A2166</f>
        <v>TX502165</v>
      </c>
      <c r="B2166" s="52">
        <f>MONTH(Data!F2166)</f>
        <v>3</v>
      </c>
      <c r="C2166" s="52" t="str">
        <f>TEXT(Data!F2166,"mmm")</f>
        <v>Mar</v>
      </c>
      <c r="D2166" s="52" t="str">
        <f>Data!O2166</f>
        <v>Male</v>
      </c>
      <c r="E2166" s="52">
        <f>Data!G2166-Data!F2166</f>
        <v>1</v>
      </c>
      <c r="F2166" s="52">
        <f>IF(Data!J2166&lt;=5,Data!J2166,IF(Data!J2166&lt;=10,"6 TO 10","More than 10"))</f>
        <v>4</v>
      </c>
      <c r="G2166" s="52">
        <f t="shared" si="33"/>
        <v>1</v>
      </c>
      <c r="H2166" s="52">
        <f>ROUND(Data!C2166*Data!D2166-Data!E2166,2)</f>
        <v>0</v>
      </c>
      <c r="I2166" s="52">
        <f>IF(AND(OR(Sel_Mode="All",Data!I2166=Sel_Mode),OR(Sel_Gender="All",D2166=Sel_Gender),OR(Sel_Category="All",Data!B2166=Sel_Category),OR(Sel_Month="All",C2166=Sel_Month),OR(Sel_County="All",Data!L2166=Sel_County)),1,0)</f>
        <v>1</v>
      </c>
    </row>
    <row r="2167" spans="1:9" x14ac:dyDescent="0.25">
      <c r="A2167" s="52" t="str">
        <f>Data!A2167</f>
        <v>TX502166</v>
      </c>
      <c r="B2167" s="52">
        <f>MONTH(Data!F2167)</f>
        <v>3</v>
      </c>
      <c r="C2167" s="52" t="str">
        <f>TEXT(Data!F2167,"mmm")</f>
        <v>Mar</v>
      </c>
      <c r="D2167" s="52" t="str">
        <f>Data!O2167</f>
        <v>Male</v>
      </c>
      <c r="E2167" s="52">
        <f>Data!G2167-Data!F2167</f>
        <v>2</v>
      </c>
      <c r="F2167" s="52">
        <f>IF(Data!J2167&lt;=5,Data!J2167,IF(Data!J2167&lt;=10,"6 TO 10","More than 10"))</f>
        <v>5</v>
      </c>
      <c r="G2167" s="52">
        <f t="shared" si="33"/>
        <v>2</v>
      </c>
      <c r="H2167" s="52">
        <f>ROUND(Data!C2167*Data!D2167-Data!E2167,2)</f>
        <v>0</v>
      </c>
      <c r="I2167" s="52">
        <f>IF(AND(OR(Sel_Mode="All",Data!I2167=Sel_Mode),OR(Sel_Gender="All",D2167=Sel_Gender),OR(Sel_Category="All",Data!B2167=Sel_Category),OR(Sel_Month="All",C2167=Sel_Month),OR(Sel_County="All",Data!L2167=Sel_County)),1,0)</f>
        <v>1</v>
      </c>
    </row>
    <row r="2168" spans="1:9" x14ac:dyDescent="0.25">
      <c r="A2168" s="52" t="str">
        <f>Data!A2168</f>
        <v>TX502167</v>
      </c>
      <c r="B2168" s="52">
        <f>MONTH(Data!F2168)</f>
        <v>3</v>
      </c>
      <c r="C2168" s="52" t="str">
        <f>TEXT(Data!F2168,"mmm")</f>
        <v>Mar</v>
      </c>
      <c r="D2168" s="52" t="str">
        <f>Data!O2168</f>
        <v>Unknown</v>
      </c>
      <c r="E2168" s="52">
        <f>Data!G2168-Data!F2168</f>
        <v>6</v>
      </c>
      <c r="F2168" s="52">
        <f>IF(Data!J2168&lt;=5,Data!J2168,IF(Data!J2168&lt;=10,"6 TO 10","More than 10"))</f>
        <v>3</v>
      </c>
      <c r="G2168" s="52">
        <f t="shared" si="33"/>
        <v>6</v>
      </c>
      <c r="H2168" s="52">
        <f>ROUND(Data!C2168*Data!D2168-Data!E2168,2)</f>
        <v>0</v>
      </c>
      <c r="I2168" s="52">
        <f>IF(AND(OR(Sel_Mode="All",Data!I2168=Sel_Mode),OR(Sel_Gender="All",D2168=Sel_Gender),OR(Sel_Category="All",Data!B2168=Sel_Category),OR(Sel_Month="All",C2168=Sel_Month),OR(Sel_County="All",Data!L2168=Sel_County)),1,0)</f>
        <v>1</v>
      </c>
    </row>
    <row r="2169" spans="1:9" x14ac:dyDescent="0.25">
      <c r="A2169" s="52" t="str">
        <f>Data!A2169</f>
        <v>TX502168</v>
      </c>
      <c r="B2169" s="52">
        <f>MONTH(Data!F2169)</f>
        <v>3</v>
      </c>
      <c r="C2169" s="52" t="str">
        <f>TEXT(Data!F2169,"mmm")</f>
        <v>Mar</v>
      </c>
      <c r="D2169" s="52" t="str">
        <f>Data!O2169</f>
        <v>Female</v>
      </c>
      <c r="E2169" s="52">
        <f>Data!G2169-Data!F2169</f>
        <v>1</v>
      </c>
      <c r="F2169" s="52">
        <f>IF(Data!J2169&lt;=5,Data!J2169,IF(Data!J2169&lt;=10,"6 TO 10","More than 10"))</f>
        <v>4</v>
      </c>
      <c r="G2169" s="52">
        <f t="shared" si="33"/>
        <v>1</v>
      </c>
      <c r="H2169" s="52">
        <f>ROUND(Data!C2169*Data!D2169-Data!E2169,2)</f>
        <v>0</v>
      </c>
      <c r="I2169" s="52">
        <f>IF(AND(OR(Sel_Mode="All",Data!I2169=Sel_Mode),OR(Sel_Gender="All",D2169=Sel_Gender),OR(Sel_Category="All",Data!B2169=Sel_Category),OR(Sel_Month="All",C2169=Sel_Month),OR(Sel_County="All",Data!L2169=Sel_County)),1,0)</f>
        <v>1</v>
      </c>
    </row>
    <row r="2170" spans="1:9" x14ac:dyDescent="0.25">
      <c r="A2170" s="52" t="str">
        <f>Data!A2170</f>
        <v>TX502169</v>
      </c>
      <c r="B2170" s="52">
        <f>MONTH(Data!F2170)</f>
        <v>3</v>
      </c>
      <c r="C2170" s="52" t="str">
        <f>TEXT(Data!F2170,"mmm")</f>
        <v>Mar</v>
      </c>
      <c r="D2170" s="52" t="str">
        <f>Data!O2170</f>
        <v>Male</v>
      </c>
      <c r="E2170" s="52">
        <f>Data!G2170-Data!F2170</f>
        <v>1</v>
      </c>
      <c r="F2170" s="52">
        <f>IF(Data!J2170&lt;=5,Data!J2170,IF(Data!J2170&lt;=10,"6 TO 10","More than 10"))</f>
        <v>5</v>
      </c>
      <c r="G2170" s="52">
        <f t="shared" si="33"/>
        <v>1</v>
      </c>
      <c r="H2170" s="52">
        <f>ROUND(Data!C2170*Data!D2170-Data!E2170,2)</f>
        <v>0</v>
      </c>
      <c r="I2170" s="52">
        <f>IF(AND(OR(Sel_Mode="All",Data!I2170=Sel_Mode),OR(Sel_Gender="All",D2170=Sel_Gender),OR(Sel_Category="All",Data!B2170=Sel_Category),OR(Sel_Month="All",C2170=Sel_Month),OR(Sel_County="All",Data!L2170=Sel_County)),1,0)</f>
        <v>1</v>
      </c>
    </row>
    <row r="2171" spans="1:9" x14ac:dyDescent="0.25">
      <c r="A2171" s="52" t="str">
        <f>Data!A2171</f>
        <v>TX502170</v>
      </c>
      <c r="B2171" s="52">
        <f>MONTH(Data!F2171)</f>
        <v>3</v>
      </c>
      <c r="C2171" s="52" t="str">
        <f>TEXT(Data!F2171,"mmm")</f>
        <v>Mar</v>
      </c>
      <c r="D2171" s="52" t="str">
        <f>Data!O2171</f>
        <v>Male</v>
      </c>
      <c r="E2171" s="52">
        <f>Data!G2171-Data!F2171</f>
        <v>0</v>
      </c>
      <c r="F2171" s="52">
        <f>IF(Data!J2171&lt;=5,Data!J2171,IF(Data!J2171&lt;=10,"6 TO 10","More than 10"))</f>
        <v>4</v>
      </c>
      <c r="G2171" s="52">
        <f t="shared" si="33"/>
        <v>0</v>
      </c>
      <c r="H2171" s="52">
        <f>ROUND(Data!C2171*Data!D2171-Data!E2171,2)</f>
        <v>0</v>
      </c>
      <c r="I2171" s="52">
        <f>IF(AND(OR(Sel_Mode="All",Data!I2171=Sel_Mode),OR(Sel_Gender="All",D2171=Sel_Gender),OR(Sel_Category="All",Data!B2171=Sel_Category),OR(Sel_Month="All",C2171=Sel_Month),OR(Sel_County="All",Data!L2171=Sel_County)),1,0)</f>
        <v>1</v>
      </c>
    </row>
    <row r="2172" spans="1:9" x14ac:dyDescent="0.25">
      <c r="A2172" s="52" t="str">
        <f>Data!A2172</f>
        <v>TX502171</v>
      </c>
      <c r="B2172" s="52">
        <f>MONTH(Data!F2172)</f>
        <v>3</v>
      </c>
      <c r="C2172" s="52" t="str">
        <f>TEXT(Data!F2172,"mmm")</f>
        <v>Mar</v>
      </c>
      <c r="D2172" s="52" t="str">
        <f>Data!O2172</f>
        <v>Female</v>
      </c>
      <c r="E2172" s="52">
        <f>Data!G2172-Data!F2172</f>
        <v>1</v>
      </c>
      <c r="F2172" s="52">
        <f>IF(Data!J2172&lt;=5,Data!J2172,IF(Data!J2172&lt;=10,"6 TO 10","More than 10"))</f>
        <v>3</v>
      </c>
      <c r="G2172" s="52">
        <f t="shared" si="33"/>
        <v>1</v>
      </c>
      <c r="H2172" s="52">
        <f>ROUND(Data!C2172*Data!D2172-Data!E2172,2)</f>
        <v>0</v>
      </c>
      <c r="I2172" s="52">
        <f>IF(AND(OR(Sel_Mode="All",Data!I2172=Sel_Mode),OR(Sel_Gender="All",D2172=Sel_Gender),OR(Sel_Category="All",Data!B2172=Sel_Category),OR(Sel_Month="All",C2172=Sel_Month),OR(Sel_County="All",Data!L2172=Sel_County)),1,0)</f>
        <v>1</v>
      </c>
    </row>
    <row r="2173" spans="1:9" x14ac:dyDescent="0.25">
      <c r="A2173" s="52" t="str">
        <f>Data!A2173</f>
        <v>TX502172</v>
      </c>
      <c r="B2173" s="52">
        <f>MONTH(Data!F2173)</f>
        <v>3</v>
      </c>
      <c r="C2173" s="52" t="str">
        <f>TEXT(Data!F2173,"mmm")</f>
        <v>Mar</v>
      </c>
      <c r="D2173" s="52" t="str">
        <f>Data!O2173</f>
        <v>Male</v>
      </c>
      <c r="E2173" s="52">
        <f>Data!G2173-Data!F2173</f>
        <v>1</v>
      </c>
      <c r="F2173" s="52">
        <f>IF(Data!J2173&lt;=5,Data!J2173,IF(Data!J2173&lt;=10,"6 TO 10","More than 10"))</f>
        <v>3</v>
      </c>
      <c r="G2173" s="52">
        <f t="shared" si="33"/>
        <v>1</v>
      </c>
      <c r="H2173" s="52">
        <f>ROUND(Data!C2173*Data!D2173-Data!E2173,2)</f>
        <v>0</v>
      </c>
      <c r="I2173" s="52">
        <f>IF(AND(OR(Sel_Mode="All",Data!I2173=Sel_Mode),OR(Sel_Gender="All",D2173=Sel_Gender),OR(Sel_Category="All",Data!B2173=Sel_Category),OR(Sel_Month="All",C2173=Sel_Month),OR(Sel_County="All",Data!L2173=Sel_County)),1,0)</f>
        <v>1</v>
      </c>
    </row>
    <row r="2174" spans="1:9" x14ac:dyDescent="0.25">
      <c r="A2174" s="52" t="str">
        <f>Data!A2174</f>
        <v>TX502173</v>
      </c>
      <c r="B2174" s="52">
        <f>MONTH(Data!F2174)</f>
        <v>3</v>
      </c>
      <c r="C2174" s="52" t="str">
        <f>TEXT(Data!F2174,"mmm")</f>
        <v>Mar</v>
      </c>
      <c r="D2174" s="52" t="str">
        <f>Data!O2174</f>
        <v>Male</v>
      </c>
      <c r="E2174" s="52">
        <f>Data!G2174-Data!F2174</f>
        <v>2</v>
      </c>
      <c r="F2174" s="52">
        <f>IF(Data!J2174&lt;=5,Data!J2174,IF(Data!J2174&lt;=10,"6 TO 10","More than 10"))</f>
        <v>4</v>
      </c>
      <c r="G2174" s="52">
        <f t="shared" si="33"/>
        <v>2</v>
      </c>
      <c r="H2174" s="52">
        <f>ROUND(Data!C2174*Data!D2174-Data!E2174,2)</f>
        <v>0</v>
      </c>
      <c r="I2174" s="52">
        <f>IF(AND(OR(Sel_Mode="All",Data!I2174=Sel_Mode),OR(Sel_Gender="All",D2174=Sel_Gender),OR(Sel_Category="All",Data!B2174=Sel_Category),OR(Sel_Month="All",C2174=Sel_Month),OR(Sel_County="All",Data!L2174=Sel_County)),1,0)</f>
        <v>1</v>
      </c>
    </row>
    <row r="2175" spans="1:9" x14ac:dyDescent="0.25">
      <c r="A2175" s="52" t="str">
        <f>Data!A2175</f>
        <v>TX502174</v>
      </c>
      <c r="B2175" s="52">
        <f>MONTH(Data!F2175)</f>
        <v>3</v>
      </c>
      <c r="C2175" s="52" t="str">
        <f>TEXT(Data!F2175,"mmm")</f>
        <v>Mar</v>
      </c>
      <c r="D2175" s="52" t="str">
        <f>Data!O2175</f>
        <v>Female</v>
      </c>
      <c r="E2175" s="52">
        <f>Data!G2175-Data!F2175</f>
        <v>1</v>
      </c>
      <c r="F2175" s="52">
        <f>IF(Data!J2175&lt;=5,Data!J2175,IF(Data!J2175&lt;=10,"6 TO 10","More than 10"))</f>
        <v>5</v>
      </c>
      <c r="G2175" s="52">
        <f t="shared" si="33"/>
        <v>1</v>
      </c>
      <c r="H2175" s="52">
        <f>ROUND(Data!C2175*Data!D2175-Data!E2175,2)</f>
        <v>0</v>
      </c>
      <c r="I2175" s="52">
        <f>IF(AND(OR(Sel_Mode="All",Data!I2175=Sel_Mode),OR(Sel_Gender="All",D2175=Sel_Gender),OR(Sel_Category="All",Data!B2175=Sel_Category),OR(Sel_Month="All",C2175=Sel_Month),OR(Sel_County="All",Data!L2175=Sel_County)),1,0)</f>
        <v>1</v>
      </c>
    </row>
    <row r="2176" spans="1:9" x14ac:dyDescent="0.25">
      <c r="A2176" s="52" t="str">
        <f>Data!A2176</f>
        <v>TX502175</v>
      </c>
      <c r="B2176" s="52">
        <f>MONTH(Data!F2176)</f>
        <v>3</v>
      </c>
      <c r="C2176" s="52" t="str">
        <f>TEXT(Data!F2176,"mmm")</f>
        <v>Mar</v>
      </c>
      <c r="D2176" s="52" t="str">
        <f>Data!O2176</f>
        <v>Female</v>
      </c>
      <c r="E2176" s="52">
        <f>Data!G2176-Data!F2176</f>
        <v>3</v>
      </c>
      <c r="F2176" s="52">
        <f>IF(Data!J2176&lt;=5,Data!J2176,IF(Data!J2176&lt;=10,"6 TO 10","More than 10"))</f>
        <v>4</v>
      </c>
      <c r="G2176" s="52">
        <f t="shared" si="33"/>
        <v>3</v>
      </c>
      <c r="H2176" s="52">
        <f>ROUND(Data!C2176*Data!D2176-Data!E2176,2)</f>
        <v>0</v>
      </c>
      <c r="I2176" s="52">
        <f>IF(AND(OR(Sel_Mode="All",Data!I2176=Sel_Mode),OR(Sel_Gender="All",D2176=Sel_Gender),OR(Sel_Category="All",Data!B2176=Sel_Category),OR(Sel_Month="All",C2176=Sel_Month),OR(Sel_County="All",Data!L2176=Sel_County)),1,0)</f>
        <v>1</v>
      </c>
    </row>
    <row r="2177" spans="1:9" x14ac:dyDescent="0.25">
      <c r="A2177" s="52" t="str">
        <f>Data!A2177</f>
        <v>TX502176</v>
      </c>
      <c r="B2177" s="52">
        <f>MONTH(Data!F2177)</f>
        <v>3</v>
      </c>
      <c r="C2177" s="52" t="str">
        <f>TEXT(Data!F2177,"mmm")</f>
        <v>Mar</v>
      </c>
      <c r="D2177" s="52" t="str">
        <f>Data!O2177</f>
        <v>Male</v>
      </c>
      <c r="E2177" s="52">
        <f>Data!G2177-Data!F2177</f>
        <v>3</v>
      </c>
      <c r="F2177" s="52">
        <f>IF(Data!J2177&lt;=5,Data!J2177,IF(Data!J2177&lt;=10,"6 TO 10","More than 10"))</f>
        <v>5</v>
      </c>
      <c r="G2177" s="52">
        <f t="shared" si="33"/>
        <v>3</v>
      </c>
      <c r="H2177" s="52">
        <f>ROUND(Data!C2177*Data!D2177-Data!E2177,2)</f>
        <v>0</v>
      </c>
      <c r="I2177" s="52">
        <f>IF(AND(OR(Sel_Mode="All",Data!I2177=Sel_Mode),OR(Sel_Gender="All",D2177=Sel_Gender),OR(Sel_Category="All",Data!B2177=Sel_Category),OR(Sel_Month="All",C2177=Sel_Month),OR(Sel_County="All",Data!L2177=Sel_County)),1,0)</f>
        <v>1</v>
      </c>
    </row>
    <row r="2178" spans="1:9" x14ac:dyDescent="0.25">
      <c r="A2178" s="52" t="str">
        <f>Data!A2178</f>
        <v>TX502177</v>
      </c>
      <c r="B2178" s="52">
        <f>MONTH(Data!F2178)</f>
        <v>3</v>
      </c>
      <c r="C2178" s="52" t="str">
        <f>TEXT(Data!F2178,"mmm")</f>
        <v>Mar</v>
      </c>
      <c r="D2178" s="52" t="str">
        <f>Data!O2178</f>
        <v>Female</v>
      </c>
      <c r="E2178" s="52">
        <f>Data!G2178-Data!F2178</f>
        <v>1</v>
      </c>
      <c r="F2178" s="52">
        <f>IF(Data!J2178&lt;=5,Data!J2178,IF(Data!J2178&lt;=10,"6 TO 10","More than 10"))</f>
        <v>3</v>
      </c>
      <c r="G2178" s="52">
        <f t="shared" ref="G2178:G2241" si="34">IF(E2178&gt;=8,"8+",E2178)</f>
        <v>1</v>
      </c>
      <c r="H2178" s="52">
        <f>ROUND(Data!C2178*Data!D2178-Data!E2178,2)</f>
        <v>0</v>
      </c>
      <c r="I2178" s="52">
        <f>IF(AND(OR(Sel_Mode="All",Data!I2178=Sel_Mode),OR(Sel_Gender="All",D2178=Sel_Gender),OR(Sel_Category="All",Data!B2178=Sel_Category),OR(Sel_Month="All",C2178=Sel_Month),OR(Sel_County="All",Data!L2178=Sel_County)),1,0)</f>
        <v>1</v>
      </c>
    </row>
    <row r="2179" spans="1:9" x14ac:dyDescent="0.25">
      <c r="A2179" s="52" t="str">
        <f>Data!A2179</f>
        <v>TX502178</v>
      </c>
      <c r="B2179" s="52">
        <f>MONTH(Data!F2179)</f>
        <v>3</v>
      </c>
      <c r="C2179" s="52" t="str">
        <f>TEXT(Data!F2179,"mmm")</f>
        <v>Mar</v>
      </c>
      <c r="D2179" s="52" t="str">
        <f>Data!O2179</f>
        <v>Female</v>
      </c>
      <c r="E2179" s="52">
        <f>Data!G2179-Data!F2179</f>
        <v>1</v>
      </c>
      <c r="F2179" s="52">
        <f>IF(Data!J2179&lt;=5,Data!J2179,IF(Data!J2179&lt;=10,"6 TO 10","More than 10"))</f>
        <v>5</v>
      </c>
      <c r="G2179" s="52">
        <f t="shared" si="34"/>
        <v>1</v>
      </c>
      <c r="H2179" s="52">
        <f>ROUND(Data!C2179*Data!D2179-Data!E2179,2)</f>
        <v>0</v>
      </c>
      <c r="I2179" s="52">
        <f>IF(AND(OR(Sel_Mode="All",Data!I2179=Sel_Mode),OR(Sel_Gender="All",D2179=Sel_Gender),OR(Sel_Category="All",Data!B2179=Sel_Category),OR(Sel_Month="All",C2179=Sel_Month),OR(Sel_County="All",Data!L2179=Sel_County)),1,0)</f>
        <v>1</v>
      </c>
    </row>
    <row r="2180" spans="1:9" x14ac:dyDescent="0.25">
      <c r="A2180" s="52" t="str">
        <f>Data!A2180</f>
        <v>TX502179</v>
      </c>
      <c r="B2180" s="52">
        <f>MONTH(Data!F2180)</f>
        <v>3</v>
      </c>
      <c r="C2180" s="52" t="str">
        <f>TEXT(Data!F2180,"mmm")</f>
        <v>Mar</v>
      </c>
      <c r="D2180" s="52" t="str">
        <f>Data!O2180</f>
        <v>Female</v>
      </c>
      <c r="E2180" s="52">
        <f>Data!G2180-Data!F2180</f>
        <v>1</v>
      </c>
      <c r="F2180" s="52">
        <f>IF(Data!J2180&lt;=5,Data!J2180,IF(Data!J2180&lt;=10,"6 TO 10","More than 10"))</f>
        <v>4</v>
      </c>
      <c r="G2180" s="52">
        <f t="shared" si="34"/>
        <v>1</v>
      </c>
      <c r="H2180" s="52">
        <f>ROUND(Data!C2180*Data!D2180-Data!E2180,2)</f>
        <v>0</v>
      </c>
      <c r="I2180" s="52">
        <f>IF(AND(OR(Sel_Mode="All",Data!I2180=Sel_Mode),OR(Sel_Gender="All",D2180=Sel_Gender),OR(Sel_Category="All",Data!B2180=Sel_Category),OR(Sel_Month="All",C2180=Sel_Month),OR(Sel_County="All",Data!L2180=Sel_County)),1,0)</f>
        <v>1</v>
      </c>
    </row>
    <row r="2181" spans="1:9" x14ac:dyDescent="0.25">
      <c r="A2181" s="52" t="str">
        <f>Data!A2181</f>
        <v>TX502180</v>
      </c>
      <c r="B2181" s="52">
        <f>MONTH(Data!F2181)</f>
        <v>3</v>
      </c>
      <c r="C2181" s="52" t="str">
        <f>TEXT(Data!F2181,"mmm")</f>
        <v>Mar</v>
      </c>
      <c r="D2181" s="52" t="str">
        <f>Data!O2181</f>
        <v>Male</v>
      </c>
      <c r="E2181" s="52">
        <f>Data!G2181-Data!F2181</f>
        <v>1</v>
      </c>
      <c r="F2181" s="52">
        <f>IF(Data!J2181&lt;=5,Data!J2181,IF(Data!J2181&lt;=10,"6 TO 10","More than 10"))</f>
        <v>5</v>
      </c>
      <c r="G2181" s="52">
        <f t="shared" si="34"/>
        <v>1</v>
      </c>
      <c r="H2181" s="52">
        <f>ROUND(Data!C2181*Data!D2181-Data!E2181,2)</f>
        <v>0</v>
      </c>
      <c r="I2181" s="52">
        <f>IF(AND(OR(Sel_Mode="All",Data!I2181=Sel_Mode),OR(Sel_Gender="All",D2181=Sel_Gender),OR(Sel_Category="All",Data!B2181=Sel_Category),OR(Sel_Month="All",C2181=Sel_Month),OR(Sel_County="All",Data!L2181=Sel_County)),1,0)</f>
        <v>1</v>
      </c>
    </row>
    <row r="2182" spans="1:9" x14ac:dyDescent="0.25">
      <c r="A2182" s="52" t="str">
        <f>Data!A2182</f>
        <v>TX502181</v>
      </c>
      <c r="B2182" s="52">
        <f>MONTH(Data!F2182)</f>
        <v>3</v>
      </c>
      <c r="C2182" s="52" t="str">
        <f>TEXT(Data!F2182,"mmm")</f>
        <v>Mar</v>
      </c>
      <c r="D2182" s="52" t="str">
        <f>Data!O2182</f>
        <v>Male</v>
      </c>
      <c r="E2182" s="52">
        <f>Data!G2182-Data!F2182</f>
        <v>10</v>
      </c>
      <c r="F2182" s="52">
        <f>IF(Data!J2182&lt;=5,Data!J2182,IF(Data!J2182&lt;=10,"6 TO 10","More than 10"))</f>
        <v>3</v>
      </c>
      <c r="G2182" s="52" t="str">
        <f t="shared" si="34"/>
        <v>8+</v>
      </c>
      <c r="H2182" s="52">
        <f>ROUND(Data!C2182*Data!D2182-Data!E2182,2)</f>
        <v>0</v>
      </c>
      <c r="I2182" s="52">
        <f>IF(AND(OR(Sel_Mode="All",Data!I2182=Sel_Mode),OR(Sel_Gender="All",D2182=Sel_Gender),OR(Sel_Category="All",Data!B2182=Sel_Category),OR(Sel_Month="All",C2182=Sel_Month),OR(Sel_County="All",Data!L2182=Sel_County)),1,0)</f>
        <v>1</v>
      </c>
    </row>
    <row r="2183" spans="1:9" x14ac:dyDescent="0.25">
      <c r="A2183" s="52" t="str">
        <f>Data!A2183</f>
        <v>TX502182</v>
      </c>
      <c r="B2183" s="52">
        <f>MONTH(Data!F2183)</f>
        <v>3</v>
      </c>
      <c r="C2183" s="52" t="str">
        <f>TEXT(Data!F2183,"mmm")</f>
        <v>Mar</v>
      </c>
      <c r="D2183" s="52" t="str">
        <f>Data!O2183</f>
        <v>Male</v>
      </c>
      <c r="E2183" s="52">
        <f>Data!G2183-Data!F2183</f>
        <v>1</v>
      </c>
      <c r="F2183" s="52">
        <f>IF(Data!J2183&lt;=5,Data!J2183,IF(Data!J2183&lt;=10,"6 TO 10","More than 10"))</f>
        <v>4</v>
      </c>
      <c r="G2183" s="52">
        <f t="shared" si="34"/>
        <v>1</v>
      </c>
      <c r="H2183" s="52">
        <f>ROUND(Data!C2183*Data!D2183-Data!E2183,2)</f>
        <v>0</v>
      </c>
      <c r="I2183" s="52">
        <f>IF(AND(OR(Sel_Mode="All",Data!I2183=Sel_Mode),OR(Sel_Gender="All",D2183=Sel_Gender),OR(Sel_Category="All",Data!B2183=Sel_Category),OR(Sel_Month="All",C2183=Sel_Month),OR(Sel_County="All",Data!L2183=Sel_County)),1,0)</f>
        <v>1</v>
      </c>
    </row>
    <row r="2184" spans="1:9" x14ac:dyDescent="0.25">
      <c r="A2184" s="52" t="str">
        <f>Data!A2184</f>
        <v>TX502183</v>
      </c>
      <c r="B2184" s="52">
        <f>MONTH(Data!F2184)</f>
        <v>3</v>
      </c>
      <c r="C2184" s="52" t="str">
        <f>TEXT(Data!F2184,"mmm")</f>
        <v>Mar</v>
      </c>
      <c r="D2184" s="52" t="str">
        <f>Data!O2184</f>
        <v>Other</v>
      </c>
      <c r="E2184" s="52">
        <f>Data!G2184-Data!F2184</f>
        <v>3</v>
      </c>
      <c r="F2184" s="52">
        <f>IF(Data!J2184&lt;=5,Data!J2184,IF(Data!J2184&lt;=10,"6 TO 10","More than 10"))</f>
        <v>5</v>
      </c>
      <c r="G2184" s="52">
        <f t="shared" si="34"/>
        <v>3</v>
      </c>
      <c r="H2184" s="52">
        <f>ROUND(Data!C2184*Data!D2184-Data!E2184,2)</f>
        <v>0</v>
      </c>
      <c r="I2184" s="52">
        <f>IF(AND(OR(Sel_Mode="All",Data!I2184=Sel_Mode),OR(Sel_Gender="All",D2184=Sel_Gender),OR(Sel_Category="All",Data!B2184=Sel_Category),OR(Sel_Month="All",C2184=Sel_Month),OR(Sel_County="All",Data!L2184=Sel_County)),1,0)</f>
        <v>1</v>
      </c>
    </row>
    <row r="2185" spans="1:9" x14ac:dyDescent="0.25">
      <c r="A2185" s="52" t="str">
        <f>Data!A2185</f>
        <v>TX502184</v>
      </c>
      <c r="B2185" s="52">
        <f>MONTH(Data!F2185)</f>
        <v>3</v>
      </c>
      <c r="C2185" s="52" t="str">
        <f>TEXT(Data!F2185,"mmm")</f>
        <v>Mar</v>
      </c>
      <c r="D2185" s="52" t="str">
        <f>Data!O2185</f>
        <v>Female</v>
      </c>
      <c r="E2185" s="52">
        <f>Data!G2185-Data!F2185</f>
        <v>4</v>
      </c>
      <c r="F2185" s="52">
        <f>IF(Data!J2185&lt;=5,Data!J2185,IF(Data!J2185&lt;=10,"6 TO 10","More than 10"))</f>
        <v>5</v>
      </c>
      <c r="G2185" s="52">
        <f t="shared" si="34"/>
        <v>4</v>
      </c>
      <c r="H2185" s="52">
        <f>ROUND(Data!C2185*Data!D2185-Data!E2185,2)</f>
        <v>0</v>
      </c>
      <c r="I2185" s="52">
        <f>IF(AND(OR(Sel_Mode="All",Data!I2185=Sel_Mode),OR(Sel_Gender="All",D2185=Sel_Gender),OR(Sel_Category="All",Data!B2185=Sel_Category),OR(Sel_Month="All",C2185=Sel_Month),OR(Sel_County="All",Data!L2185=Sel_County)),1,0)</f>
        <v>1</v>
      </c>
    </row>
    <row r="2186" spans="1:9" x14ac:dyDescent="0.25">
      <c r="A2186" s="52" t="str">
        <f>Data!A2186</f>
        <v>TX502185</v>
      </c>
      <c r="B2186" s="52">
        <f>MONTH(Data!F2186)</f>
        <v>3</v>
      </c>
      <c r="C2186" s="52" t="str">
        <f>TEXT(Data!F2186,"mmm")</f>
        <v>Mar</v>
      </c>
      <c r="D2186" s="52" t="str">
        <f>Data!O2186</f>
        <v>Male</v>
      </c>
      <c r="E2186" s="52">
        <f>Data!G2186-Data!F2186</f>
        <v>1</v>
      </c>
      <c r="F2186" s="52">
        <f>IF(Data!J2186&lt;=5,Data!J2186,IF(Data!J2186&lt;=10,"6 TO 10","More than 10"))</f>
        <v>4</v>
      </c>
      <c r="G2186" s="52">
        <f t="shared" si="34"/>
        <v>1</v>
      </c>
      <c r="H2186" s="52">
        <f>ROUND(Data!C2186*Data!D2186-Data!E2186,2)</f>
        <v>0</v>
      </c>
      <c r="I2186" s="52">
        <f>IF(AND(OR(Sel_Mode="All",Data!I2186=Sel_Mode),OR(Sel_Gender="All",D2186=Sel_Gender),OR(Sel_Category="All",Data!B2186=Sel_Category),OR(Sel_Month="All",C2186=Sel_Month),OR(Sel_County="All",Data!L2186=Sel_County)),1,0)</f>
        <v>1</v>
      </c>
    </row>
    <row r="2187" spans="1:9" x14ac:dyDescent="0.25">
      <c r="A2187" s="52" t="str">
        <f>Data!A2187</f>
        <v>TX502186</v>
      </c>
      <c r="B2187" s="52">
        <f>MONTH(Data!F2187)</f>
        <v>3</v>
      </c>
      <c r="C2187" s="52" t="str">
        <f>TEXT(Data!F2187,"mmm")</f>
        <v>Mar</v>
      </c>
      <c r="D2187" s="52" t="str">
        <f>Data!O2187</f>
        <v>Male</v>
      </c>
      <c r="E2187" s="52">
        <f>Data!G2187-Data!F2187</f>
        <v>3</v>
      </c>
      <c r="F2187" s="52">
        <f>IF(Data!J2187&lt;=5,Data!J2187,IF(Data!J2187&lt;=10,"6 TO 10","More than 10"))</f>
        <v>4</v>
      </c>
      <c r="G2187" s="52">
        <f t="shared" si="34"/>
        <v>3</v>
      </c>
      <c r="H2187" s="52">
        <f>ROUND(Data!C2187*Data!D2187-Data!E2187,2)</f>
        <v>0</v>
      </c>
      <c r="I2187" s="52">
        <f>IF(AND(OR(Sel_Mode="All",Data!I2187=Sel_Mode),OR(Sel_Gender="All",D2187=Sel_Gender),OR(Sel_Category="All",Data!B2187=Sel_Category),OR(Sel_Month="All",C2187=Sel_Month),OR(Sel_County="All",Data!L2187=Sel_County)),1,0)</f>
        <v>1</v>
      </c>
    </row>
    <row r="2188" spans="1:9" x14ac:dyDescent="0.25">
      <c r="A2188" s="52" t="str">
        <f>Data!A2188</f>
        <v>TX502187</v>
      </c>
      <c r="B2188" s="52">
        <f>MONTH(Data!F2188)</f>
        <v>3</v>
      </c>
      <c r="C2188" s="52" t="str">
        <f>TEXT(Data!F2188,"mmm")</f>
        <v>Mar</v>
      </c>
      <c r="D2188" s="52" t="str">
        <f>Data!O2188</f>
        <v>Female</v>
      </c>
      <c r="E2188" s="52">
        <f>Data!G2188-Data!F2188</f>
        <v>1</v>
      </c>
      <c r="F2188" s="52">
        <f>IF(Data!J2188&lt;=5,Data!J2188,IF(Data!J2188&lt;=10,"6 TO 10","More than 10"))</f>
        <v>5</v>
      </c>
      <c r="G2188" s="52">
        <f t="shared" si="34"/>
        <v>1</v>
      </c>
      <c r="H2188" s="52">
        <f>ROUND(Data!C2188*Data!D2188-Data!E2188,2)</f>
        <v>0</v>
      </c>
      <c r="I2188" s="52">
        <f>IF(AND(OR(Sel_Mode="All",Data!I2188=Sel_Mode),OR(Sel_Gender="All",D2188=Sel_Gender),OR(Sel_Category="All",Data!B2188=Sel_Category),OR(Sel_Month="All",C2188=Sel_Month),OR(Sel_County="All",Data!L2188=Sel_County)),1,0)</f>
        <v>1</v>
      </c>
    </row>
    <row r="2189" spans="1:9" x14ac:dyDescent="0.25">
      <c r="A2189" s="52" t="str">
        <f>Data!A2189</f>
        <v>TX502188</v>
      </c>
      <c r="B2189" s="52">
        <f>MONTH(Data!F2189)</f>
        <v>3</v>
      </c>
      <c r="C2189" s="52" t="str">
        <f>TEXT(Data!F2189,"mmm")</f>
        <v>Mar</v>
      </c>
      <c r="D2189" s="52" t="str">
        <f>Data!O2189</f>
        <v>Female</v>
      </c>
      <c r="E2189" s="52">
        <f>Data!G2189-Data!F2189</f>
        <v>1</v>
      </c>
      <c r="F2189" s="52">
        <f>IF(Data!J2189&lt;=5,Data!J2189,IF(Data!J2189&lt;=10,"6 TO 10","More than 10"))</f>
        <v>2</v>
      </c>
      <c r="G2189" s="52">
        <f t="shared" si="34"/>
        <v>1</v>
      </c>
      <c r="H2189" s="52">
        <f>ROUND(Data!C2189*Data!D2189-Data!E2189,2)</f>
        <v>0</v>
      </c>
      <c r="I2189" s="52">
        <f>IF(AND(OR(Sel_Mode="All",Data!I2189=Sel_Mode),OR(Sel_Gender="All",D2189=Sel_Gender),OR(Sel_Category="All",Data!B2189=Sel_Category),OR(Sel_Month="All",C2189=Sel_Month),OR(Sel_County="All",Data!L2189=Sel_County)),1,0)</f>
        <v>1</v>
      </c>
    </row>
    <row r="2190" spans="1:9" x14ac:dyDescent="0.25">
      <c r="A2190" s="52" t="str">
        <f>Data!A2190</f>
        <v>TX502189</v>
      </c>
      <c r="B2190" s="52">
        <f>MONTH(Data!F2190)</f>
        <v>3</v>
      </c>
      <c r="C2190" s="52" t="str">
        <f>TEXT(Data!F2190,"mmm")</f>
        <v>Mar</v>
      </c>
      <c r="D2190" s="52" t="str">
        <f>Data!O2190</f>
        <v>Male</v>
      </c>
      <c r="E2190" s="52">
        <f>Data!G2190-Data!F2190</f>
        <v>1</v>
      </c>
      <c r="F2190" s="52">
        <f>IF(Data!J2190&lt;=5,Data!J2190,IF(Data!J2190&lt;=10,"6 TO 10","More than 10"))</f>
        <v>5</v>
      </c>
      <c r="G2190" s="52">
        <f t="shared" si="34"/>
        <v>1</v>
      </c>
      <c r="H2190" s="52">
        <f>ROUND(Data!C2190*Data!D2190-Data!E2190,2)</f>
        <v>0</v>
      </c>
      <c r="I2190" s="52">
        <f>IF(AND(OR(Sel_Mode="All",Data!I2190=Sel_Mode),OR(Sel_Gender="All",D2190=Sel_Gender),OR(Sel_Category="All",Data!B2190=Sel_Category),OR(Sel_Month="All",C2190=Sel_Month),OR(Sel_County="All",Data!L2190=Sel_County)),1,0)</f>
        <v>1</v>
      </c>
    </row>
    <row r="2191" spans="1:9" x14ac:dyDescent="0.25">
      <c r="A2191" s="52" t="str">
        <f>Data!A2191</f>
        <v>TX502190</v>
      </c>
      <c r="B2191" s="52">
        <f>MONTH(Data!F2191)</f>
        <v>3</v>
      </c>
      <c r="C2191" s="52" t="str">
        <f>TEXT(Data!F2191,"mmm")</f>
        <v>Mar</v>
      </c>
      <c r="D2191" s="52" t="str">
        <f>Data!O2191</f>
        <v>Male</v>
      </c>
      <c r="E2191" s="52">
        <f>Data!G2191-Data!F2191</f>
        <v>1</v>
      </c>
      <c r="F2191" s="52">
        <f>IF(Data!J2191&lt;=5,Data!J2191,IF(Data!J2191&lt;=10,"6 TO 10","More than 10"))</f>
        <v>4</v>
      </c>
      <c r="G2191" s="52">
        <f t="shared" si="34"/>
        <v>1</v>
      </c>
      <c r="H2191" s="52">
        <f>ROUND(Data!C2191*Data!D2191-Data!E2191,2)</f>
        <v>0</v>
      </c>
      <c r="I2191" s="52">
        <f>IF(AND(OR(Sel_Mode="All",Data!I2191=Sel_Mode),OR(Sel_Gender="All",D2191=Sel_Gender),OR(Sel_Category="All",Data!B2191=Sel_Category),OR(Sel_Month="All",C2191=Sel_Month),OR(Sel_County="All",Data!L2191=Sel_County)),1,0)</f>
        <v>1</v>
      </c>
    </row>
    <row r="2192" spans="1:9" x14ac:dyDescent="0.25">
      <c r="A2192" s="52" t="str">
        <f>Data!A2192</f>
        <v>TX502191</v>
      </c>
      <c r="B2192" s="52">
        <f>MONTH(Data!F2192)</f>
        <v>3</v>
      </c>
      <c r="C2192" s="52" t="str">
        <f>TEXT(Data!F2192,"mmm")</f>
        <v>Mar</v>
      </c>
      <c r="D2192" s="52" t="str">
        <f>Data!O2192</f>
        <v>Male</v>
      </c>
      <c r="E2192" s="52">
        <f>Data!G2192-Data!F2192</f>
        <v>5</v>
      </c>
      <c r="F2192" s="52">
        <f>IF(Data!J2192&lt;=5,Data!J2192,IF(Data!J2192&lt;=10,"6 TO 10","More than 10"))</f>
        <v>4</v>
      </c>
      <c r="G2192" s="52">
        <f t="shared" si="34"/>
        <v>5</v>
      </c>
      <c r="H2192" s="52">
        <f>ROUND(Data!C2192*Data!D2192-Data!E2192,2)</f>
        <v>0</v>
      </c>
      <c r="I2192" s="52">
        <f>IF(AND(OR(Sel_Mode="All",Data!I2192=Sel_Mode),OR(Sel_Gender="All",D2192=Sel_Gender),OR(Sel_Category="All",Data!B2192=Sel_Category),OR(Sel_Month="All",C2192=Sel_Month),OR(Sel_County="All",Data!L2192=Sel_County)),1,0)</f>
        <v>1</v>
      </c>
    </row>
    <row r="2193" spans="1:9" x14ac:dyDescent="0.25">
      <c r="A2193" s="52" t="str">
        <f>Data!A2193</f>
        <v>TX502192</v>
      </c>
      <c r="B2193" s="52">
        <f>MONTH(Data!F2193)</f>
        <v>3</v>
      </c>
      <c r="C2193" s="52" t="str">
        <f>TEXT(Data!F2193,"mmm")</f>
        <v>Mar</v>
      </c>
      <c r="D2193" s="52" t="str">
        <f>Data!O2193</f>
        <v>Male</v>
      </c>
      <c r="E2193" s="52">
        <f>Data!G2193-Data!F2193</f>
        <v>7</v>
      </c>
      <c r="F2193" s="52">
        <f>IF(Data!J2193&lt;=5,Data!J2193,IF(Data!J2193&lt;=10,"6 TO 10","More than 10"))</f>
        <v>4</v>
      </c>
      <c r="G2193" s="52">
        <f t="shared" si="34"/>
        <v>7</v>
      </c>
      <c r="H2193" s="52">
        <f>ROUND(Data!C2193*Data!D2193-Data!E2193,2)</f>
        <v>0</v>
      </c>
      <c r="I2193" s="52">
        <f>IF(AND(OR(Sel_Mode="All",Data!I2193=Sel_Mode),OR(Sel_Gender="All",D2193=Sel_Gender),OR(Sel_Category="All",Data!B2193=Sel_Category),OR(Sel_Month="All",C2193=Sel_Month),OR(Sel_County="All",Data!L2193=Sel_County)),1,0)</f>
        <v>1</v>
      </c>
    </row>
    <row r="2194" spans="1:9" x14ac:dyDescent="0.25">
      <c r="A2194" s="52" t="str">
        <f>Data!A2194</f>
        <v>TX502193</v>
      </c>
      <c r="B2194" s="52">
        <f>MONTH(Data!F2194)</f>
        <v>3</v>
      </c>
      <c r="C2194" s="52" t="str">
        <f>TEXT(Data!F2194,"mmm")</f>
        <v>Mar</v>
      </c>
      <c r="D2194" s="52" t="str">
        <f>Data!O2194</f>
        <v>Male</v>
      </c>
      <c r="E2194" s="52">
        <f>Data!G2194-Data!F2194</f>
        <v>2</v>
      </c>
      <c r="F2194" s="52">
        <f>IF(Data!J2194&lt;=5,Data!J2194,IF(Data!J2194&lt;=10,"6 TO 10","More than 10"))</f>
        <v>4</v>
      </c>
      <c r="G2194" s="52">
        <f t="shared" si="34"/>
        <v>2</v>
      </c>
      <c r="H2194" s="52">
        <f>ROUND(Data!C2194*Data!D2194-Data!E2194,2)</f>
        <v>0</v>
      </c>
      <c r="I2194" s="52">
        <f>IF(AND(OR(Sel_Mode="All",Data!I2194=Sel_Mode),OR(Sel_Gender="All",D2194=Sel_Gender),OR(Sel_Category="All",Data!B2194=Sel_Category),OR(Sel_Month="All",C2194=Sel_Month),OR(Sel_County="All",Data!L2194=Sel_County)),1,0)</f>
        <v>1</v>
      </c>
    </row>
    <row r="2195" spans="1:9" x14ac:dyDescent="0.25">
      <c r="A2195" s="52" t="str">
        <f>Data!A2195</f>
        <v>TX502194</v>
      </c>
      <c r="B2195" s="52">
        <f>MONTH(Data!F2195)</f>
        <v>3</v>
      </c>
      <c r="C2195" s="52" t="str">
        <f>TEXT(Data!F2195,"mmm")</f>
        <v>Mar</v>
      </c>
      <c r="D2195" s="52" t="str">
        <f>Data!O2195</f>
        <v>Female</v>
      </c>
      <c r="E2195" s="52">
        <f>Data!G2195-Data!F2195</f>
        <v>0</v>
      </c>
      <c r="F2195" s="52">
        <f>IF(Data!J2195&lt;=5,Data!J2195,IF(Data!J2195&lt;=10,"6 TO 10","More than 10"))</f>
        <v>3</v>
      </c>
      <c r="G2195" s="52">
        <f t="shared" si="34"/>
        <v>0</v>
      </c>
      <c r="H2195" s="52">
        <f>ROUND(Data!C2195*Data!D2195-Data!E2195,2)</f>
        <v>0</v>
      </c>
      <c r="I2195" s="52">
        <f>IF(AND(OR(Sel_Mode="All",Data!I2195=Sel_Mode),OR(Sel_Gender="All",D2195=Sel_Gender),OR(Sel_Category="All",Data!B2195=Sel_Category),OR(Sel_Month="All",C2195=Sel_Month),OR(Sel_County="All",Data!L2195=Sel_County)),1,0)</f>
        <v>1</v>
      </c>
    </row>
    <row r="2196" spans="1:9" x14ac:dyDescent="0.25">
      <c r="A2196" s="52" t="str">
        <f>Data!A2196</f>
        <v>TX502195</v>
      </c>
      <c r="B2196" s="52">
        <f>MONTH(Data!F2196)</f>
        <v>3</v>
      </c>
      <c r="C2196" s="52" t="str">
        <f>TEXT(Data!F2196,"mmm")</f>
        <v>Mar</v>
      </c>
      <c r="D2196" s="52" t="str">
        <f>Data!O2196</f>
        <v>Male</v>
      </c>
      <c r="E2196" s="52">
        <f>Data!G2196-Data!F2196</f>
        <v>2</v>
      </c>
      <c r="F2196" s="52">
        <f>IF(Data!J2196&lt;=5,Data!J2196,IF(Data!J2196&lt;=10,"6 TO 10","More than 10"))</f>
        <v>4</v>
      </c>
      <c r="G2196" s="52">
        <f t="shared" si="34"/>
        <v>2</v>
      </c>
      <c r="H2196" s="52">
        <f>ROUND(Data!C2196*Data!D2196-Data!E2196,2)</f>
        <v>0</v>
      </c>
      <c r="I2196" s="52">
        <f>IF(AND(OR(Sel_Mode="All",Data!I2196=Sel_Mode),OR(Sel_Gender="All",D2196=Sel_Gender),OR(Sel_Category="All",Data!B2196=Sel_Category),OR(Sel_Month="All",C2196=Sel_Month),OR(Sel_County="All",Data!L2196=Sel_County)),1,0)</f>
        <v>1</v>
      </c>
    </row>
    <row r="2197" spans="1:9" x14ac:dyDescent="0.25">
      <c r="A2197" s="52" t="str">
        <f>Data!A2197</f>
        <v>TX502196</v>
      </c>
      <c r="B2197" s="52">
        <f>MONTH(Data!F2197)</f>
        <v>3</v>
      </c>
      <c r="C2197" s="52" t="str">
        <f>TEXT(Data!F2197,"mmm")</f>
        <v>Mar</v>
      </c>
      <c r="D2197" s="52" t="str">
        <f>Data!O2197</f>
        <v>Male</v>
      </c>
      <c r="E2197" s="52">
        <f>Data!G2197-Data!F2197</f>
        <v>4</v>
      </c>
      <c r="F2197" s="52">
        <f>IF(Data!J2197&lt;=5,Data!J2197,IF(Data!J2197&lt;=10,"6 TO 10","More than 10"))</f>
        <v>4</v>
      </c>
      <c r="G2197" s="52">
        <f t="shared" si="34"/>
        <v>4</v>
      </c>
      <c r="H2197" s="52">
        <f>ROUND(Data!C2197*Data!D2197-Data!E2197,2)</f>
        <v>0</v>
      </c>
      <c r="I2197" s="52">
        <f>IF(AND(OR(Sel_Mode="All",Data!I2197=Sel_Mode),OR(Sel_Gender="All",D2197=Sel_Gender),OR(Sel_Category="All",Data!B2197=Sel_Category),OR(Sel_Month="All",C2197=Sel_Month),OR(Sel_County="All",Data!L2197=Sel_County)),1,0)</f>
        <v>1</v>
      </c>
    </row>
    <row r="2198" spans="1:9" x14ac:dyDescent="0.25">
      <c r="A2198" s="52" t="str">
        <f>Data!A2198</f>
        <v>TX502197</v>
      </c>
      <c r="B2198" s="52">
        <f>MONTH(Data!F2198)</f>
        <v>3</v>
      </c>
      <c r="C2198" s="52" t="str">
        <f>TEXT(Data!F2198,"mmm")</f>
        <v>Mar</v>
      </c>
      <c r="D2198" s="52" t="str">
        <f>Data!O2198</f>
        <v>Female</v>
      </c>
      <c r="E2198" s="52">
        <f>Data!G2198-Data!F2198</f>
        <v>1</v>
      </c>
      <c r="F2198" s="52">
        <f>IF(Data!J2198&lt;=5,Data!J2198,IF(Data!J2198&lt;=10,"6 TO 10","More than 10"))</f>
        <v>3</v>
      </c>
      <c r="G2198" s="52">
        <f t="shared" si="34"/>
        <v>1</v>
      </c>
      <c r="H2198" s="52">
        <f>ROUND(Data!C2198*Data!D2198-Data!E2198,2)</f>
        <v>0</v>
      </c>
      <c r="I2198" s="52">
        <f>IF(AND(OR(Sel_Mode="All",Data!I2198=Sel_Mode),OR(Sel_Gender="All",D2198=Sel_Gender),OR(Sel_Category="All",Data!B2198=Sel_Category),OR(Sel_Month="All",C2198=Sel_Month),OR(Sel_County="All",Data!L2198=Sel_County)),1,0)</f>
        <v>1</v>
      </c>
    </row>
    <row r="2199" spans="1:9" x14ac:dyDescent="0.25">
      <c r="A2199" s="52" t="str">
        <f>Data!A2199</f>
        <v>TX502198</v>
      </c>
      <c r="B2199" s="52">
        <f>MONTH(Data!F2199)</f>
        <v>3</v>
      </c>
      <c r="C2199" s="52" t="str">
        <f>TEXT(Data!F2199,"mmm")</f>
        <v>Mar</v>
      </c>
      <c r="D2199" s="52" t="str">
        <f>Data!O2199</f>
        <v>Female</v>
      </c>
      <c r="E2199" s="52">
        <f>Data!G2199-Data!F2199</f>
        <v>1</v>
      </c>
      <c r="F2199" s="52">
        <f>IF(Data!J2199&lt;=5,Data!J2199,IF(Data!J2199&lt;=10,"6 TO 10","More than 10"))</f>
        <v>2</v>
      </c>
      <c r="G2199" s="52">
        <f t="shared" si="34"/>
        <v>1</v>
      </c>
      <c r="H2199" s="52">
        <f>ROUND(Data!C2199*Data!D2199-Data!E2199,2)</f>
        <v>0</v>
      </c>
      <c r="I2199" s="52">
        <f>IF(AND(OR(Sel_Mode="All",Data!I2199=Sel_Mode),OR(Sel_Gender="All",D2199=Sel_Gender),OR(Sel_Category="All",Data!B2199=Sel_Category),OR(Sel_Month="All",C2199=Sel_Month),OR(Sel_County="All",Data!L2199=Sel_County)),1,0)</f>
        <v>1</v>
      </c>
    </row>
    <row r="2200" spans="1:9" x14ac:dyDescent="0.25">
      <c r="A2200" s="52" t="str">
        <f>Data!A2200</f>
        <v>TX502199</v>
      </c>
      <c r="B2200" s="52">
        <f>MONTH(Data!F2200)</f>
        <v>3</v>
      </c>
      <c r="C2200" s="52" t="str">
        <f>TEXT(Data!F2200,"mmm")</f>
        <v>Mar</v>
      </c>
      <c r="D2200" s="52" t="str">
        <f>Data!O2200</f>
        <v>Male</v>
      </c>
      <c r="E2200" s="52">
        <f>Data!G2200-Data!F2200</f>
        <v>1</v>
      </c>
      <c r="F2200" s="52">
        <f>IF(Data!J2200&lt;=5,Data!J2200,IF(Data!J2200&lt;=10,"6 TO 10","More than 10"))</f>
        <v>4</v>
      </c>
      <c r="G2200" s="52">
        <f t="shared" si="34"/>
        <v>1</v>
      </c>
      <c r="H2200" s="52">
        <f>ROUND(Data!C2200*Data!D2200-Data!E2200,2)</f>
        <v>0</v>
      </c>
      <c r="I2200" s="52">
        <f>IF(AND(OR(Sel_Mode="All",Data!I2200=Sel_Mode),OR(Sel_Gender="All",D2200=Sel_Gender),OR(Sel_Category="All",Data!B2200=Sel_Category),OR(Sel_Month="All",C2200=Sel_Month),OR(Sel_County="All",Data!L2200=Sel_County)),1,0)</f>
        <v>1</v>
      </c>
    </row>
    <row r="2201" spans="1:9" x14ac:dyDescent="0.25">
      <c r="A2201" s="52" t="str">
        <f>Data!A2201</f>
        <v>TX502200</v>
      </c>
      <c r="B2201" s="52">
        <f>MONTH(Data!F2201)</f>
        <v>3</v>
      </c>
      <c r="C2201" s="52" t="str">
        <f>TEXT(Data!F2201,"mmm")</f>
        <v>Mar</v>
      </c>
      <c r="D2201" s="52" t="str">
        <f>Data!O2201</f>
        <v>Male</v>
      </c>
      <c r="E2201" s="52">
        <f>Data!G2201-Data!F2201</f>
        <v>2</v>
      </c>
      <c r="F2201" s="52">
        <f>IF(Data!J2201&lt;=5,Data!J2201,IF(Data!J2201&lt;=10,"6 TO 10","More than 10"))</f>
        <v>4</v>
      </c>
      <c r="G2201" s="52">
        <f t="shared" si="34"/>
        <v>2</v>
      </c>
      <c r="H2201" s="52">
        <f>ROUND(Data!C2201*Data!D2201-Data!E2201,2)</f>
        <v>0</v>
      </c>
      <c r="I2201" s="52">
        <f>IF(AND(OR(Sel_Mode="All",Data!I2201=Sel_Mode),OR(Sel_Gender="All",D2201=Sel_Gender),OR(Sel_Category="All",Data!B2201=Sel_Category),OR(Sel_Month="All",C2201=Sel_Month),OR(Sel_County="All",Data!L2201=Sel_County)),1,0)</f>
        <v>1</v>
      </c>
    </row>
    <row r="2202" spans="1:9" x14ac:dyDescent="0.25">
      <c r="A2202" s="52" t="str">
        <f>Data!A2202</f>
        <v>TX502201</v>
      </c>
      <c r="B2202" s="52">
        <f>MONTH(Data!F2202)</f>
        <v>3</v>
      </c>
      <c r="C2202" s="52" t="str">
        <f>TEXT(Data!F2202,"mmm")</f>
        <v>Mar</v>
      </c>
      <c r="D2202" s="52" t="str">
        <f>Data!O2202</f>
        <v>Male</v>
      </c>
      <c r="E2202" s="52">
        <f>Data!G2202-Data!F2202</f>
        <v>1</v>
      </c>
      <c r="F2202" s="52">
        <f>IF(Data!J2202&lt;=5,Data!J2202,IF(Data!J2202&lt;=10,"6 TO 10","More than 10"))</f>
        <v>4</v>
      </c>
      <c r="G2202" s="52">
        <f t="shared" si="34"/>
        <v>1</v>
      </c>
      <c r="H2202" s="52">
        <f>ROUND(Data!C2202*Data!D2202-Data!E2202,2)</f>
        <v>0</v>
      </c>
      <c r="I2202" s="52">
        <f>IF(AND(OR(Sel_Mode="All",Data!I2202=Sel_Mode),OR(Sel_Gender="All",D2202=Sel_Gender),OR(Sel_Category="All",Data!B2202=Sel_Category),OR(Sel_Month="All",C2202=Sel_Month),OR(Sel_County="All",Data!L2202=Sel_County)),1,0)</f>
        <v>1</v>
      </c>
    </row>
    <row r="2203" spans="1:9" x14ac:dyDescent="0.25">
      <c r="A2203" s="52" t="str">
        <f>Data!A2203</f>
        <v>TX502202</v>
      </c>
      <c r="B2203" s="52">
        <f>MONTH(Data!F2203)</f>
        <v>3</v>
      </c>
      <c r="C2203" s="52" t="str">
        <f>TEXT(Data!F2203,"mmm")</f>
        <v>Mar</v>
      </c>
      <c r="D2203" s="52" t="str">
        <f>Data!O2203</f>
        <v>Male</v>
      </c>
      <c r="E2203" s="52">
        <f>Data!G2203-Data!F2203</f>
        <v>1</v>
      </c>
      <c r="F2203" s="52">
        <f>IF(Data!J2203&lt;=5,Data!J2203,IF(Data!J2203&lt;=10,"6 TO 10","More than 10"))</f>
        <v>3</v>
      </c>
      <c r="G2203" s="52">
        <f t="shared" si="34"/>
        <v>1</v>
      </c>
      <c r="H2203" s="52">
        <f>ROUND(Data!C2203*Data!D2203-Data!E2203,2)</f>
        <v>0</v>
      </c>
      <c r="I2203" s="52">
        <f>IF(AND(OR(Sel_Mode="All",Data!I2203=Sel_Mode),OR(Sel_Gender="All",D2203=Sel_Gender),OR(Sel_Category="All",Data!B2203=Sel_Category),OR(Sel_Month="All",C2203=Sel_Month),OR(Sel_County="All",Data!L2203=Sel_County)),1,0)</f>
        <v>1</v>
      </c>
    </row>
    <row r="2204" spans="1:9" x14ac:dyDescent="0.25">
      <c r="A2204" s="52" t="str">
        <f>Data!A2204</f>
        <v>TX502203</v>
      </c>
      <c r="B2204" s="52">
        <f>MONTH(Data!F2204)</f>
        <v>3</v>
      </c>
      <c r="C2204" s="52" t="str">
        <f>TEXT(Data!F2204,"mmm")</f>
        <v>Mar</v>
      </c>
      <c r="D2204" s="52" t="str">
        <f>Data!O2204</f>
        <v>Male</v>
      </c>
      <c r="E2204" s="52">
        <f>Data!G2204-Data!F2204</f>
        <v>4</v>
      </c>
      <c r="F2204" s="52">
        <f>IF(Data!J2204&lt;=5,Data!J2204,IF(Data!J2204&lt;=10,"6 TO 10","More than 10"))</f>
        <v>2</v>
      </c>
      <c r="G2204" s="52">
        <f t="shared" si="34"/>
        <v>4</v>
      </c>
      <c r="H2204" s="52">
        <f>ROUND(Data!C2204*Data!D2204-Data!E2204,2)</f>
        <v>0</v>
      </c>
      <c r="I2204" s="52">
        <f>IF(AND(OR(Sel_Mode="All",Data!I2204=Sel_Mode),OR(Sel_Gender="All",D2204=Sel_Gender),OR(Sel_Category="All",Data!B2204=Sel_Category),OR(Sel_Month="All",C2204=Sel_Month),OR(Sel_County="All",Data!L2204=Sel_County)),1,0)</f>
        <v>1</v>
      </c>
    </row>
    <row r="2205" spans="1:9" x14ac:dyDescent="0.25">
      <c r="A2205" s="52" t="str">
        <f>Data!A2205</f>
        <v>TX502204</v>
      </c>
      <c r="B2205" s="52">
        <f>MONTH(Data!F2205)</f>
        <v>3</v>
      </c>
      <c r="C2205" s="52" t="str">
        <f>TEXT(Data!F2205,"mmm")</f>
        <v>Mar</v>
      </c>
      <c r="D2205" s="52" t="str">
        <f>Data!O2205</f>
        <v>Male</v>
      </c>
      <c r="E2205" s="52">
        <f>Data!G2205-Data!F2205</f>
        <v>1</v>
      </c>
      <c r="F2205" s="52">
        <f>IF(Data!J2205&lt;=5,Data!J2205,IF(Data!J2205&lt;=10,"6 TO 10","More than 10"))</f>
        <v>4</v>
      </c>
      <c r="G2205" s="52">
        <f t="shared" si="34"/>
        <v>1</v>
      </c>
      <c r="H2205" s="52">
        <f>ROUND(Data!C2205*Data!D2205-Data!E2205,2)</f>
        <v>0</v>
      </c>
      <c r="I2205" s="52">
        <f>IF(AND(OR(Sel_Mode="All",Data!I2205=Sel_Mode),OR(Sel_Gender="All",D2205=Sel_Gender),OR(Sel_Category="All",Data!B2205=Sel_Category),OR(Sel_Month="All",C2205=Sel_Month),OR(Sel_County="All",Data!L2205=Sel_County)),1,0)</f>
        <v>1</v>
      </c>
    </row>
    <row r="2206" spans="1:9" x14ac:dyDescent="0.25">
      <c r="A2206" s="52" t="str">
        <f>Data!A2206</f>
        <v>TX502205</v>
      </c>
      <c r="B2206" s="52">
        <f>MONTH(Data!F2206)</f>
        <v>3</v>
      </c>
      <c r="C2206" s="52" t="str">
        <f>TEXT(Data!F2206,"mmm")</f>
        <v>Mar</v>
      </c>
      <c r="D2206" s="52" t="str">
        <f>Data!O2206</f>
        <v>Female</v>
      </c>
      <c r="E2206" s="52">
        <f>Data!G2206-Data!F2206</f>
        <v>3</v>
      </c>
      <c r="F2206" s="52">
        <f>IF(Data!J2206&lt;=5,Data!J2206,IF(Data!J2206&lt;=10,"6 TO 10","More than 10"))</f>
        <v>5</v>
      </c>
      <c r="G2206" s="52">
        <f t="shared" si="34"/>
        <v>3</v>
      </c>
      <c r="H2206" s="52">
        <f>ROUND(Data!C2206*Data!D2206-Data!E2206,2)</f>
        <v>0</v>
      </c>
      <c r="I2206" s="52">
        <f>IF(AND(OR(Sel_Mode="All",Data!I2206=Sel_Mode),OR(Sel_Gender="All",D2206=Sel_Gender),OR(Sel_Category="All",Data!B2206=Sel_Category),OR(Sel_Month="All",C2206=Sel_Month),OR(Sel_County="All",Data!L2206=Sel_County)),1,0)</f>
        <v>1</v>
      </c>
    </row>
    <row r="2207" spans="1:9" x14ac:dyDescent="0.25">
      <c r="A2207" s="52" t="str">
        <f>Data!A2207</f>
        <v>TX502206</v>
      </c>
      <c r="B2207" s="52">
        <f>MONTH(Data!F2207)</f>
        <v>3</v>
      </c>
      <c r="C2207" s="52" t="str">
        <f>TEXT(Data!F2207,"mmm")</f>
        <v>Mar</v>
      </c>
      <c r="D2207" s="52" t="str">
        <f>Data!O2207</f>
        <v>Female</v>
      </c>
      <c r="E2207" s="52">
        <f>Data!G2207-Data!F2207</f>
        <v>2</v>
      </c>
      <c r="F2207" s="52">
        <f>IF(Data!J2207&lt;=5,Data!J2207,IF(Data!J2207&lt;=10,"6 TO 10","More than 10"))</f>
        <v>3</v>
      </c>
      <c r="G2207" s="52">
        <f t="shared" si="34"/>
        <v>2</v>
      </c>
      <c r="H2207" s="52">
        <f>ROUND(Data!C2207*Data!D2207-Data!E2207,2)</f>
        <v>0</v>
      </c>
      <c r="I2207" s="52">
        <f>IF(AND(OR(Sel_Mode="All",Data!I2207=Sel_Mode),OR(Sel_Gender="All",D2207=Sel_Gender),OR(Sel_Category="All",Data!B2207=Sel_Category),OR(Sel_Month="All",C2207=Sel_Month),OR(Sel_County="All",Data!L2207=Sel_County)),1,0)</f>
        <v>1</v>
      </c>
    </row>
    <row r="2208" spans="1:9" x14ac:dyDescent="0.25">
      <c r="A2208" s="52" t="str">
        <f>Data!A2208</f>
        <v>TX502207</v>
      </c>
      <c r="B2208" s="52">
        <f>MONTH(Data!F2208)</f>
        <v>3</v>
      </c>
      <c r="C2208" s="52" t="str">
        <f>TEXT(Data!F2208,"mmm")</f>
        <v>Mar</v>
      </c>
      <c r="D2208" s="52" t="str">
        <f>Data!O2208</f>
        <v>Female</v>
      </c>
      <c r="E2208" s="52">
        <f>Data!G2208-Data!F2208</f>
        <v>1</v>
      </c>
      <c r="F2208" s="52">
        <f>IF(Data!J2208&lt;=5,Data!J2208,IF(Data!J2208&lt;=10,"6 TO 10","More than 10"))</f>
        <v>3</v>
      </c>
      <c r="G2208" s="52">
        <f t="shared" si="34"/>
        <v>1</v>
      </c>
      <c r="H2208" s="52">
        <f>ROUND(Data!C2208*Data!D2208-Data!E2208,2)</f>
        <v>0</v>
      </c>
      <c r="I2208" s="52">
        <f>IF(AND(OR(Sel_Mode="All",Data!I2208=Sel_Mode),OR(Sel_Gender="All",D2208=Sel_Gender),OR(Sel_Category="All",Data!B2208=Sel_Category),OR(Sel_Month="All",C2208=Sel_Month),OR(Sel_County="All",Data!L2208=Sel_County)),1,0)</f>
        <v>1</v>
      </c>
    </row>
    <row r="2209" spans="1:9" x14ac:dyDescent="0.25">
      <c r="A2209" s="52" t="str">
        <f>Data!A2209</f>
        <v>TX502208</v>
      </c>
      <c r="B2209" s="52">
        <f>MONTH(Data!F2209)</f>
        <v>3</v>
      </c>
      <c r="C2209" s="52" t="str">
        <f>TEXT(Data!F2209,"mmm")</f>
        <v>Mar</v>
      </c>
      <c r="D2209" s="52" t="str">
        <f>Data!O2209</f>
        <v>Female</v>
      </c>
      <c r="E2209" s="52">
        <f>Data!G2209-Data!F2209</f>
        <v>0</v>
      </c>
      <c r="F2209" s="52">
        <f>IF(Data!J2209&lt;=5,Data!J2209,IF(Data!J2209&lt;=10,"6 TO 10","More than 10"))</f>
        <v>4</v>
      </c>
      <c r="G2209" s="52">
        <f t="shared" si="34"/>
        <v>0</v>
      </c>
      <c r="H2209" s="52">
        <f>ROUND(Data!C2209*Data!D2209-Data!E2209,2)</f>
        <v>0</v>
      </c>
      <c r="I2209" s="52">
        <f>IF(AND(OR(Sel_Mode="All",Data!I2209=Sel_Mode),OR(Sel_Gender="All",D2209=Sel_Gender),OR(Sel_Category="All",Data!B2209=Sel_Category),OR(Sel_Month="All",C2209=Sel_Month),OR(Sel_County="All",Data!L2209=Sel_County)),1,0)</f>
        <v>1</v>
      </c>
    </row>
    <row r="2210" spans="1:9" x14ac:dyDescent="0.25">
      <c r="A2210" s="52" t="str">
        <f>Data!A2210</f>
        <v>TX502209</v>
      </c>
      <c r="B2210" s="52">
        <f>MONTH(Data!F2210)</f>
        <v>3</v>
      </c>
      <c r="C2210" s="52" t="str">
        <f>TEXT(Data!F2210,"mmm")</f>
        <v>Mar</v>
      </c>
      <c r="D2210" s="52" t="str">
        <f>Data!O2210</f>
        <v>Female</v>
      </c>
      <c r="E2210" s="52">
        <f>Data!G2210-Data!F2210</f>
        <v>2</v>
      </c>
      <c r="F2210" s="52">
        <f>IF(Data!J2210&lt;=5,Data!J2210,IF(Data!J2210&lt;=10,"6 TO 10","More than 10"))</f>
        <v>3</v>
      </c>
      <c r="G2210" s="52">
        <f t="shared" si="34"/>
        <v>2</v>
      </c>
      <c r="H2210" s="52">
        <f>ROUND(Data!C2210*Data!D2210-Data!E2210,2)</f>
        <v>0</v>
      </c>
      <c r="I2210" s="52">
        <f>IF(AND(OR(Sel_Mode="All",Data!I2210=Sel_Mode),OR(Sel_Gender="All",D2210=Sel_Gender),OR(Sel_Category="All",Data!B2210=Sel_Category),OR(Sel_Month="All",C2210=Sel_Month),OR(Sel_County="All",Data!L2210=Sel_County)),1,0)</f>
        <v>1</v>
      </c>
    </row>
    <row r="2211" spans="1:9" x14ac:dyDescent="0.25">
      <c r="A2211" s="52" t="str">
        <f>Data!A2211</f>
        <v>TX502210</v>
      </c>
      <c r="B2211" s="52">
        <f>MONTH(Data!F2211)</f>
        <v>3</v>
      </c>
      <c r="C2211" s="52" t="str">
        <f>TEXT(Data!F2211,"mmm")</f>
        <v>Mar</v>
      </c>
      <c r="D2211" s="52" t="str">
        <f>Data!O2211</f>
        <v>Male</v>
      </c>
      <c r="E2211" s="52">
        <f>Data!G2211-Data!F2211</f>
        <v>1</v>
      </c>
      <c r="F2211" s="52">
        <f>IF(Data!J2211&lt;=5,Data!J2211,IF(Data!J2211&lt;=10,"6 TO 10","More than 10"))</f>
        <v>4</v>
      </c>
      <c r="G2211" s="52">
        <f t="shared" si="34"/>
        <v>1</v>
      </c>
      <c r="H2211" s="52">
        <f>ROUND(Data!C2211*Data!D2211-Data!E2211,2)</f>
        <v>0</v>
      </c>
      <c r="I2211" s="52">
        <f>IF(AND(OR(Sel_Mode="All",Data!I2211=Sel_Mode),OR(Sel_Gender="All",D2211=Sel_Gender),OR(Sel_Category="All",Data!B2211=Sel_Category),OR(Sel_Month="All",C2211=Sel_Month),OR(Sel_County="All",Data!L2211=Sel_County)),1,0)</f>
        <v>1</v>
      </c>
    </row>
    <row r="2212" spans="1:9" x14ac:dyDescent="0.25">
      <c r="A2212" s="52" t="str">
        <f>Data!A2212</f>
        <v>TX502211</v>
      </c>
      <c r="B2212" s="52">
        <f>MONTH(Data!F2212)</f>
        <v>3</v>
      </c>
      <c r="C2212" s="52" t="str">
        <f>TEXT(Data!F2212,"mmm")</f>
        <v>Mar</v>
      </c>
      <c r="D2212" s="52" t="str">
        <f>Data!O2212</f>
        <v>Unknown</v>
      </c>
      <c r="E2212" s="52">
        <f>Data!G2212-Data!F2212</f>
        <v>2</v>
      </c>
      <c r="F2212" s="52">
        <f>IF(Data!J2212&lt;=5,Data!J2212,IF(Data!J2212&lt;=10,"6 TO 10","More than 10"))</f>
        <v>5</v>
      </c>
      <c r="G2212" s="52">
        <f t="shared" si="34"/>
        <v>2</v>
      </c>
      <c r="H2212" s="52">
        <f>ROUND(Data!C2212*Data!D2212-Data!E2212,2)</f>
        <v>0</v>
      </c>
      <c r="I2212" s="52">
        <f>IF(AND(OR(Sel_Mode="All",Data!I2212=Sel_Mode),OR(Sel_Gender="All",D2212=Sel_Gender),OR(Sel_Category="All",Data!B2212=Sel_Category),OR(Sel_Month="All",C2212=Sel_Month),OR(Sel_County="All",Data!L2212=Sel_County)),1,0)</f>
        <v>1</v>
      </c>
    </row>
    <row r="2213" spans="1:9" x14ac:dyDescent="0.25">
      <c r="A2213" s="52" t="str">
        <f>Data!A2213</f>
        <v>TX502212</v>
      </c>
      <c r="B2213" s="52">
        <f>MONTH(Data!F2213)</f>
        <v>3</v>
      </c>
      <c r="C2213" s="52" t="str">
        <f>TEXT(Data!F2213,"mmm")</f>
        <v>Mar</v>
      </c>
      <c r="D2213" s="52" t="str">
        <f>Data!O2213</f>
        <v>Male</v>
      </c>
      <c r="E2213" s="52">
        <f>Data!G2213-Data!F2213</f>
        <v>1</v>
      </c>
      <c r="F2213" s="52">
        <f>IF(Data!J2213&lt;=5,Data!J2213,IF(Data!J2213&lt;=10,"6 TO 10","More than 10"))</f>
        <v>4</v>
      </c>
      <c r="G2213" s="52">
        <f t="shared" si="34"/>
        <v>1</v>
      </c>
      <c r="H2213" s="52">
        <f>ROUND(Data!C2213*Data!D2213-Data!E2213,2)</f>
        <v>0</v>
      </c>
      <c r="I2213" s="52">
        <f>IF(AND(OR(Sel_Mode="All",Data!I2213=Sel_Mode),OR(Sel_Gender="All",D2213=Sel_Gender),OR(Sel_Category="All",Data!B2213=Sel_Category),OR(Sel_Month="All",C2213=Sel_Month),OR(Sel_County="All",Data!L2213=Sel_County)),1,0)</f>
        <v>1</v>
      </c>
    </row>
    <row r="2214" spans="1:9" x14ac:dyDescent="0.25">
      <c r="A2214" s="52" t="str">
        <f>Data!A2214</f>
        <v>TX502213</v>
      </c>
      <c r="B2214" s="52">
        <f>MONTH(Data!F2214)</f>
        <v>3</v>
      </c>
      <c r="C2214" s="52" t="str">
        <f>TEXT(Data!F2214,"mmm")</f>
        <v>Mar</v>
      </c>
      <c r="D2214" s="52" t="str">
        <f>Data!O2214</f>
        <v>Female</v>
      </c>
      <c r="E2214" s="52">
        <f>Data!G2214-Data!F2214</f>
        <v>8</v>
      </c>
      <c r="F2214" s="52">
        <f>IF(Data!J2214&lt;=5,Data!J2214,IF(Data!J2214&lt;=10,"6 TO 10","More than 10"))</f>
        <v>4</v>
      </c>
      <c r="G2214" s="52" t="str">
        <f t="shared" si="34"/>
        <v>8+</v>
      </c>
      <c r="H2214" s="52">
        <f>ROUND(Data!C2214*Data!D2214-Data!E2214,2)</f>
        <v>0</v>
      </c>
      <c r="I2214" s="52">
        <f>IF(AND(OR(Sel_Mode="All",Data!I2214=Sel_Mode),OR(Sel_Gender="All",D2214=Sel_Gender),OR(Sel_Category="All",Data!B2214=Sel_Category),OR(Sel_Month="All",C2214=Sel_Month),OR(Sel_County="All",Data!L2214=Sel_County)),1,0)</f>
        <v>1</v>
      </c>
    </row>
    <row r="2215" spans="1:9" x14ac:dyDescent="0.25">
      <c r="A2215" s="52" t="str">
        <f>Data!A2215</f>
        <v>TX502214</v>
      </c>
      <c r="B2215" s="52">
        <f>MONTH(Data!F2215)</f>
        <v>3</v>
      </c>
      <c r="C2215" s="52" t="str">
        <f>TEXT(Data!F2215,"mmm")</f>
        <v>Mar</v>
      </c>
      <c r="D2215" s="52" t="str">
        <f>Data!O2215</f>
        <v>Male</v>
      </c>
      <c r="E2215" s="52">
        <f>Data!G2215-Data!F2215</f>
        <v>2</v>
      </c>
      <c r="F2215" s="52">
        <f>IF(Data!J2215&lt;=5,Data!J2215,IF(Data!J2215&lt;=10,"6 TO 10","More than 10"))</f>
        <v>4</v>
      </c>
      <c r="G2215" s="52">
        <f t="shared" si="34"/>
        <v>2</v>
      </c>
      <c r="H2215" s="52">
        <f>ROUND(Data!C2215*Data!D2215-Data!E2215,2)</f>
        <v>0</v>
      </c>
      <c r="I2215" s="52">
        <f>IF(AND(OR(Sel_Mode="All",Data!I2215=Sel_Mode),OR(Sel_Gender="All",D2215=Sel_Gender),OR(Sel_Category="All",Data!B2215=Sel_Category),OR(Sel_Month="All",C2215=Sel_Month),OR(Sel_County="All",Data!L2215=Sel_County)),1,0)</f>
        <v>1</v>
      </c>
    </row>
    <row r="2216" spans="1:9" x14ac:dyDescent="0.25">
      <c r="A2216" s="52" t="str">
        <f>Data!A2216</f>
        <v>TX502215</v>
      </c>
      <c r="B2216" s="52">
        <f>MONTH(Data!F2216)</f>
        <v>3</v>
      </c>
      <c r="C2216" s="52" t="str">
        <f>TEXT(Data!F2216,"mmm")</f>
        <v>Mar</v>
      </c>
      <c r="D2216" s="52" t="str">
        <f>Data!O2216</f>
        <v>Other</v>
      </c>
      <c r="E2216" s="52">
        <f>Data!G2216-Data!F2216</f>
        <v>3</v>
      </c>
      <c r="F2216" s="52">
        <f>IF(Data!J2216&lt;=5,Data!J2216,IF(Data!J2216&lt;=10,"6 TO 10","More than 10"))</f>
        <v>3</v>
      </c>
      <c r="G2216" s="52">
        <f t="shared" si="34"/>
        <v>3</v>
      </c>
      <c r="H2216" s="52">
        <f>ROUND(Data!C2216*Data!D2216-Data!E2216,2)</f>
        <v>0</v>
      </c>
      <c r="I2216" s="52">
        <f>IF(AND(OR(Sel_Mode="All",Data!I2216=Sel_Mode),OR(Sel_Gender="All",D2216=Sel_Gender),OR(Sel_Category="All",Data!B2216=Sel_Category),OR(Sel_Month="All",C2216=Sel_Month),OR(Sel_County="All",Data!L2216=Sel_County)),1,0)</f>
        <v>1</v>
      </c>
    </row>
    <row r="2217" spans="1:9" x14ac:dyDescent="0.25">
      <c r="A2217" s="52" t="str">
        <f>Data!A2217</f>
        <v>TX502216</v>
      </c>
      <c r="B2217" s="52">
        <f>MONTH(Data!F2217)</f>
        <v>3</v>
      </c>
      <c r="C2217" s="52" t="str">
        <f>TEXT(Data!F2217,"mmm")</f>
        <v>Mar</v>
      </c>
      <c r="D2217" s="52" t="str">
        <f>Data!O2217</f>
        <v>Female</v>
      </c>
      <c r="E2217" s="52">
        <f>Data!G2217-Data!F2217</f>
        <v>1</v>
      </c>
      <c r="F2217" s="52">
        <f>IF(Data!J2217&lt;=5,Data!J2217,IF(Data!J2217&lt;=10,"6 TO 10","More than 10"))</f>
        <v>4</v>
      </c>
      <c r="G2217" s="52">
        <f t="shared" si="34"/>
        <v>1</v>
      </c>
      <c r="H2217" s="52">
        <f>ROUND(Data!C2217*Data!D2217-Data!E2217,2)</f>
        <v>0</v>
      </c>
      <c r="I2217" s="52">
        <f>IF(AND(OR(Sel_Mode="All",Data!I2217=Sel_Mode),OR(Sel_Gender="All",D2217=Sel_Gender),OR(Sel_Category="All",Data!B2217=Sel_Category),OR(Sel_Month="All",C2217=Sel_Month),OR(Sel_County="All",Data!L2217=Sel_County)),1,0)</f>
        <v>1</v>
      </c>
    </row>
    <row r="2218" spans="1:9" x14ac:dyDescent="0.25">
      <c r="A2218" s="52" t="str">
        <f>Data!A2218</f>
        <v>TX502217</v>
      </c>
      <c r="B2218" s="52">
        <f>MONTH(Data!F2218)</f>
        <v>3</v>
      </c>
      <c r="C2218" s="52" t="str">
        <f>TEXT(Data!F2218,"mmm")</f>
        <v>Mar</v>
      </c>
      <c r="D2218" s="52" t="str">
        <f>Data!O2218</f>
        <v>Male</v>
      </c>
      <c r="E2218" s="52">
        <f>Data!G2218-Data!F2218</f>
        <v>1</v>
      </c>
      <c r="F2218" s="52">
        <f>IF(Data!J2218&lt;=5,Data!J2218,IF(Data!J2218&lt;=10,"6 TO 10","More than 10"))</f>
        <v>4</v>
      </c>
      <c r="G2218" s="52">
        <f t="shared" si="34"/>
        <v>1</v>
      </c>
      <c r="H2218" s="52">
        <f>ROUND(Data!C2218*Data!D2218-Data!E2218,2)</f>
        <v>0</v>
      </c>
      <c r="I2218" s="52">
        <f>IF(AND(OR(Sel_Mode="All",Data!I2218=Sel_Mode),OR(Sel_Gender="All",D2218=Sel_Gender),OR(Sel_Category="All",Data!B2218=Sel_Category),OR(Sel_Month="All",C2218=Sel_Month),OR(Sel_County="All",Data!L2218=Sel_County)),1,0)</f>
        <v>1</v>
      </c>
    </row>
    <row r="2219" spans="1:9" x14ac:dyDescent="0.25">
      <c r="A2219" s="52" t="str">
        <f>Data!A2219</f>
        <v>TX502218</v>
      </c>
      <c r="B2219" s="52">
        <f>MONTH(Data!F2219)</f>
        <v>3</v>
      </c>
      <c r="C2219" s="52" t="str">
        <f>TEXT(Data!F2219,"mmm")</f>
        <v>Mar</v>
      </c>
      <c r="D2219" s="52" t="str">
        <f>Data!O2219</f>
        <v>Male</v>
      </c>
      <c r="E2219" s="52">
        <f>Data!G2219-Data!F2219</f>
        <v>4</v>
      </c>
      <c r="F2219" s="52">
        <f>IF(Data!J2219&lt;=5,Data!J2219,IF(Data!J2219&lt;=10,"6 TO 10","More than 10"))</f>
        <v>4</v>
      </c>
      <c r="G2219" s="52">
        <f t="shared" si="34"/>
        <v>4</v>
      </c>
      <c r="H2219" s="52">
        <f>ROUND(Data!C2219*Data!D2219-Data!E2219,2)</f>
        <v>0</v>
      </c>
      <c r="I2219" s="52">
        <f>IF(AND(OR(Sel_Mode="All",Data!I2219=Sel_Mode),OR(Sel_Gender="All",D2219=Sel_Gender),OR(Sel_Category="All",Data!B2219=Sel_Category),OR(Sel_Month="All",C2219=Sel_Month),OR(Sel_County="All",Data!L2219=Sel_County)),1,0)</f>
        <v>1</v>
      </c>
    </row>
    <row r="2220" spans="1:9" x14ac:dyDescent="0.25">
      <c r="A2220" s="52" t="str">
        <f>Data!A2220</f>
        <v>TX502219</v>
      </c>
      <c r="B2220" s="52">
        <f>MONTH(Data!F2220)</f>
        <v>3</v>
      </c>
      <c r="C2220" s="52" t="str">
        <f>TEXT(Data!F2220,"mmm")</f>
        <v>Mar</v>
      </c>
      <c r="D2220" s="52" t="str">
        <f>Data!O2220</f>
        <v>Male</v>
      </c>
      <c r="E2220" s="52">
        <f>Data!G2220-Data!F2220</f>
        <v>1</v>
      </c>
      <c r="F2220" s="52">
        <f>IF(Data!J2220&lt;=5,Data!J2220,IF(Data!J2220&lt;=10,"6 TO 10","More than 10"))</f>
        <v>3</v>
      </c>
      <c r="G2220" s="52">
        <f t="shared" si="34"/>
        <v>1</v>
      </c>
      <c r="H2220" s="52">
        <f>ROUND(Data!C2220*Data!D2220-Data!E2220,2)</f>
        <v>0</v>
      </c>
      <c r="I2220" s="52">
        <f>IF(AND(OR(Sel_Mode="All",Data!I2220=Sel_Mode),OR(Sel_Gender="All",D2220=Sel_Gender),OR(Sel_Category="All",Data!B2220=Sel_Category),OR(Sel_Month="All",C2220=Sel_Month),OR(Sel_County="All",Data!L2220=Sel_County)),1,0)</f>
        <v>1</v>
      </c>
    </row>
    <row r="2221" spans="1:9" x14ac:dyDescent="0.25">
      <c r="A2221" s="52" t="str">
        <f>Data!A2221</f>
        <v>TX502220</v>
      </c>
      <c r="B2221" s="52">
        <f>MONTH(Data!F2221)</f>
        <v>3</v>
      </c>
      <c r="C2221" s="52" t="str">
        <f>TEXT(Data!F2221,"mmm")</f>
        <v>Mar</v>
      </c>
      <c r="D2221" s="52" t="str">
        <f>Data!O2221</f>
        <v>Male</v>
      </c>
      <c r="E2221" s="52">
        <f>Data!G2221-Data!F2221</f>
        <v>0</v>
      </c>
      <c r="F2221" s="52">
        <f>IF(Data!J2221&lt;=5,Data!J2221,IF(Data!J2221&lt;=10,"6 TO 10","More than 10"))</f>
        <v>4</v>
      </c>
      <c r="G2221" s="52">
        <f t="shared" si="34"/>
        <v>0</v>
      </c>
      <c r="H2221" s="52">
        <f>ROUND(Data!C2221*Data!D2221-Data!E2221,2)</f>
        <v>0</v>
      </c>
      <c r="I2221" s="52">
        <f>IF(AND(OR(Sel_Mode="All",Data!I2221=Sel_Mode),OR(Sel_Gender="All",D2221=Sel_Gender),OR(Sel_Category="All",Data!B2221=Sel_Category),OR(Sel_Month="All",C2221=Sel_Month),OR(Sel_County="All",Data!L2221=Sel_County)),1,0)</f>
        <v>1</v>
      </c>
    </row>
    <row r="2222" spans="1:9" x14ac:dyDescent="0.25">
      <c r="A2222" s="52" t="str">
        <f>Data!A2222</f>
        <v>TX502221</v>
      </c>
      <c r="B2222" s="52">
        <f>MONTH(Data!F2222)</f>
        <v>3</v>
      </c>
      <c r="C2222" s="52" t="str">
        <f>TEXT(Data!F2222,"mmm")</f>
        <v>Mar</v>
      </c>
      <c r="D2222" s="52" t="str">
        <f>Data!O2222</f>
        <v>Male</v>
      </c>
      <c r="E2222" s="52">
        <f>Data!G2222-Data!F2222</f>
        <v>1</v>
      </c>
      <c r="F2222" s="52">
        <f>IF(Data!J2222&lt;=5,Data!J2222,IF(Data!J2222&lt;=10,"6 TO 10","More than 10"))</f>
        <v>4</v>
      </c>
      <c r="G2222" s="52">
        <f t="shared" si="34"/>
        <v>1</v>
      </c>
      <c r="H2222" s="52">
        <f>ROUND(Data!C2222*Data!D2222-Data!E2222,2)</f>
        <v>0</v>
      </c>
      <c r="I2222" s="52">
        <f>IF(AND(OR(Sel_Mode="All",Data!I2222=Sel_Mode),OR(Sel_Gender="All",D2222=Sel_Gender),OR(Sel_Category="All",Data!B2222=Sel_Category),OR(Sel_Month="All",C2222=Sel_Month),OR(Sel_County="All",Data!L2222=Sel_County)),1,0)</f>
        <v>1</v>
      </c>
    </row>
    <row r="2223" spans="1:9" x14ac:dyDescent="0.25">
      <c r="A2223" s="52" t="str">
        <f>Data!A2223</f>
        <v>TX502222</v>
      </c>
      <c r="B2223" s="52">
        <f>MONTH(Data!F2223)</f>
        <v>3</v>
      </c>
      <c r="C2223" s="52" t="str">
        <f>TEXT(Data!F2223,"mmm")</f>
        <v>Mar</v>
      </c>
      <c r="D2223" s="52" t="str">
        <f>Data!O2223</f>
        <v>Male</v>
      </c>
      <c r="E2223" s="52">
        <f>Data!G2223-Data!F2223</f>
        <v>0</v>
      </c>
      <c r="F2223" s="52">
        <f>IF(Data!J2223&lt;=5,Data!J2223,IF(Data!J2223&lt;=10,"6 TO 10","More than 10"))</f>
        <v>4</v>
      </c>
      <c r="G2223" s="52">
        <f t="shared" si="34"/>
        <v>0</v>
      </c>
      <c r="H2223" s="52">
        <f>ROUND(Data!C2223*Data!D2223-Data!E2223,2)</f>
        <v>0</v>
      </c>
      <c r="I2223" s="52">
        <f>IF(AND(OR(Sel_Mode="All",Data!I2223=Sel_Mode),OR(Sel_Gender="All",D2223=Sel_Gender),OR(Sel_Category="All",Data!B2223=Sel_Category),OR(Sel_Month="All",C2223=Sel_Month),OR(Sel_County="All",Data!L2223=Sel_County)),1,0)</f>
        <v>1</v>
      </c>
    </row>
    <row r="2224" spans="1:9" x14ac:dyDescent="0.25">
      <c r="A2224" s="52" t="str">
        <f>Data!A2224</f>
        <v>TX502223</v>
      </c>
      <c r="B2224" s="52">
        <f>MONTH(Data!F2224)</f>
        <v>3</v>
      </c>
      <c r="C2224" s="52" t="str">
        <f>TEXT(Data!F2224,"mmm")</f>
        <v>Mar</v>
      </c>
      <c r="D2224" s="52" t="str">
        <f>Data!O2224</f>
        <v>Female</v>
      </c>
      <c r="E2224" s="52">
        <f>Data!G2224-Data!F2224</f>
        <v>3</v>
      </c>
      <c r="F2224" s="52">
        <f>IF(Data!J2224&lt;=5,Data!J2224,IF(Data!J2224&lt;=10,"6 TO 10","More than 10"))</f>
        <v>5</v>
      </c>
      <c r="G2224" s="52">
        <f t="shared" si="34"/>
        <v>3</v>
      </c>
      <c r="H2224" s="52">
        <f>ROUND(Data!C2224*Data!D2224-Data!E2224,2)</f>
        <v>0</v>
      </c>
      <c r="I2224" s="52">
        <f>IF(AND(OR(Sel_Mode="All",Data!I2224=Sel_Mode),OR(Sel_Gender="All",D2224=Sel_Gender),OR(Sel_Category="All",Data!B2224=Sel_Category),OR(Sel_Month="All",C2224=Sel_Month),OR(Sel_County="All",Data!L2224=Sel_County)),1,0)</f>
        <v>1</v>
      </c>
    </row>
    <row r="2225" spans="1:9" x14ac:dyDescent="0.25">
      <c r="A2225" s="52" t="str">
        <f>Data!A2225</f>
        <v>TX502224</v>
      </c>
      <c r="B2225" s="52">
        <f>MONTH(Data!F2225)</f>
        <v>3</v>
      </c>
      <c r="C2225" s="52" t="str">
        <f>TEXT(Data!F2225,"mmm")</f>
        <v>Mar</v>
      </c>
      <c r="D2225" s="52" t="str">
        <f>Data!O2225</f>
        <v>Female</v>
      </c>
      <c r="E2225" s="52">
        <f>Data!G2225-Data!F2225</f>
        <v>1</v>
      </c>
      <c r="F2225" s="52">
        <f>IF(Data!J2225&lt;=5,Data!J2225,IF(Data!J2225&lt;=10,"6 TO 10","More than 10"))</f>
        <v>5</v>
      </c>
      <c r="G2225" s="52">
        <f t="shared" si="34"/>
        <v>1</v>
      </c>
      <c r="H2225" s="52">
        <f>ROUND(Data!C2225*Data!D2225-Data!E2225,2)</f>
        <v>0</v>
      </c>
      <c r="I2225" s="52">
        <f>IF(AND(OR(Sel_Mode="All",Data!I2225=Sel_Mode),OR(Sel_Gender="All",D2225=Sel_Gender),OR(Sel_Category="All",Data!B2225=Sel_Category),OR(Sel_Month="All",C2225=Sel_Month),OR(Sel_County="All",Data!L2225=Sel_County)),1,0)</f>
        <v>1</v>
      </c>
    </row>
    <row r="2226" spans="1:9" x14ac:dyDescent="0.25">
      <c r="A2226" s="52" t="str">
        <f>Data!A2226</f>
        <v>TX502225</v>
      </c>
      <c r="B2226" s="52">
        <f>MONTH(Data!F2226)</f>
        <v>3</v>
      </c>
      <c r="C2226" s="52" t="str">
        <f>TEXT(Data!F2226,"mmm")</f>
        <v>Mar</v>
      </c>
      <c r="D2226" s="52" t="str">
        <f>Data!O2226</f>
        <v>Female</v>
      </c>
      <c r="E2226" s="52">
        <f>Data!G2226-Data!F2226</f>
        <v>1</v>
      </c>
      <c r="F2226" s="52">
        <f>IF(Data!J2226&lt;=5,Data!J2226,IF(Data!J2226&lt;=10,"6 TO 10","More than 10"))</f>
        <v>4</v>
      </c>
      <c r="G2226" s="52">
        <f t="shared" si="34"/>
        <v>1</v>
      </c>
      <c r="H2226" s="52">
        <f>ROUND(Data!C2226*Data!D2226-Data!E2226,2)</f>
        <v>0</v>
      </c>
      <c r="I2226" s="52">
        <f>IF(AND(OR(Sel_Mode="All",Data!I2226=Sel_Mode),OR(Sel_Gender="All",D2226=Sel_Gender),OR(Sel_Category="All",Data!B2226=Sel_Category),OR(Sel_Month="All",C2226=Sel_Month),OR(Sel_County="All",Data!L2226=Sel_County)),1,0)</f>
        <v>1</v>
      </c>
    </row>
    <row r="2227" spans="1:9" x14ac:dyDescent="0.25">
      <c r="A2227" s="52" t="str">
        <f>Data!A2227</f>
        <v>TX502226</v>
      </c>
      <c r="B2227" s="52">
        <f>MONTH(Data!F2227)</f>
        <v>3</v>
      </c>
      <c r="C2227" s="52" t="str">
        <f>TEXT(Data!F2227,"mmm")</f>
        <v>Mar</v>
      </c>
      <c r="D2227" s="52" t="str">
        <f>Data!O2227</f>
        <v>Female</v>
      </c>
      <c r="E2227" s="52">
        <f>Data!G2227-Data!F2227</f>
        <v>0</v>
      </c>
      <c r="F2227" s="52">
        <f>IF(Data!J2227&lt;=5,Data!J2227,IF(Data!J2227&lt;=10,"6 TO 10","More than 10"))</f>
        <v>5</v>
      </c>
      <c r="G2227" s="52">
        <f t="shared" si="34"/>
        <v>0</v>
      </c>
      <c r="H2227" s="52">
        <f>ROUND(Data!C2227*Data!D2227-Data!E2227,2)</f>
        <v>0</v>
      </c>
      <c r="I2227" s="52">
        <f>IF(AND(OR(Sel_Mode="All",Data!I2227=Sel_Mode),OR(Sel_Gender="All",D2227=Sel_Gender),OR(Sel_Category="All",Data!B2227=Sel_Category),OR(Sel_Month="All",C2227=Sel_Month),OR(Sel_County="All",Data!L2227=Sel_County)),1,0)</f>
        <v>1</v>
      </c>
    </row>
    <row r="2228" spans="1:9" x14ac:dyDescent="0.25">
      <c r="A2228" s="52" t="str">
        <f>Data!A2228</f>
        <v>TX502227</v>
      </c>
      <c r="B2228" s="52">
        <f>MONTH(Data!F2228)</f>
        <v>3</v>
      </c>
      <c r="C2228" s="52" t="str">
        <f>TEXT(Data!F2228,"mmm")</f>
        <v>Mar</v>
      </c>
      <c r="D2228" s="52" t="str">
        <f>Data!O2228</f>
        <v>Male</v>
      </c>
      <c r="E2228" s="52">
        <f>Data!G2228-Data!F2228</f>
        <v>3</v>
      </c>
      <c r="F2228" s="52">
        <f>IF(Data!J2228&lt;=5,Data!J2228,IF(Data!J2228&lt;=10,"6 TO 10","More than 10"))</f>
        <v>3</v>
      </c>
      <c r="G2228" s="52">
        <f t="shared" si="34"/>
        <v>3</v>
      </c>
      <c r="H2228" s="52">
        <f>ROUND(Data!C2228*Data!D2228-Data!E2228,2)</f>
        <v>0</v>
      </c>
      <c r="I2228" s="52">
        <f>IF(AND(OR(Sel_Mode="All",Data!I2228=Sel_Mode),OR(Sel_Gender="All",D2228=Sel_Gender),OR(Sel_Category="All",Data!B2228=Sel_Category),OR(Sel_Month="All",C2228=Sel_Month),OR(Sel_County="All",Data!L2228=Sel_County)),1,0)</f>
        <v>1</v>
      </c>
    </row>
    <row r="2229" spans="1:9" x14ac:dyDescent="0.25">
      <c r="A2229" s="52" t="str">
        <f>Data!A2229</f>
        <v>TX502228</v>
      </c>
      <c r="B2229" s="52">
        <f>MONTH(Data!F2229)</f>
        <v>3</v>
      </c>
      <c r="C2229" s="52" t="str">
        <f>TEXT(Data!F2229,"mmm")</f>
        <v>Mar</v>
      </c>
      <c r="D2229" s="52" t="str">
        <f>Data!O2229</f>
        <v>Male</v>
      </c>
      <c r="E2229" s="52">
        <f>Data!G2229-Data!F2229</f>
        <v>1</v>
      </c>
      <c r="F2229" s="52">
        <f>IF(Data!J2229&lt;=5,Data!J2229,IF(Data!J2229&lt;=10,"6 TO 10","More than 10"))</f>
        <v>4</v>
      </c>
      <c r="G2229" s="52">
        <f t="shared" si="34"/>
        <v>1</v>
      </c>
      <c r="H2229" s="52">
        <f>ROUND(Data!C2229*Data!D2229-Data!E2229,2)</f>
        <v>0</v>
      </c>
      <c r="I2229" s="52">
        <f>IF(AND(OR(Sel_Mode="All",Data!I2229=Sel_Mode),OR(Sel_Gender="All",D2229=Sel_Gender),OR(Sel_Category="All",Data!B2229=Sel_Category),OR(Sel_Month="All",C2229=Sel_Month),OR(Sel_County="All",Data!L2229=Sel_County)),1,0)</f>
        <v>1</v>
      </c>
    </row>
    <row r="2230" spans="1:9" x14ac:dyDescent="0.25">
      <c r="A2230" s="52" t="str">
        <f>Data!A2230</f>
        <v>TX502229</v>
      </c>
      <c r="B2230" s="52">
        <f>MONTH(Data!F2230)</f>
        <v>3</v>
      </c>
      <c r="C2230" s="52" t="str">
        <f>TEXT(Data!F2230,"mmm")</f>
        <v>Mar</v>
      </c>
      <c r="D2230" s="52" t="str">
        <f>Data!O2230</f>
        <v>Female</v>
      </c>
      <c r="E2230" s="52">
        <f>Data!G2230-Data!F2230</f>
        <v>3</v>
      </c>
      <c r="F2230" s="52">
        <f>IF(Data!J2230&lt;=5,Data!J2230,IF(Data!J2230&lt;=10,"6 TO 10","More than 10"))</f>
        <v>4</v>
      </c>
      <c r="G2230" s="52">
        <f t="shared" si="34"/>
        <v>3</v>
      </c>
      <c r="H2230" s="52">
        <f>ROUND(Data!C2230*Data!D2230-Data!E2230,2)</f>
        <v>0</v>
      </c>
      <c r="I2230" s="52">
        <f>IF(AND(OR(Sel_Mode="All",Data!I2230=Sel_Mode),OR(Sel_Gender="All",D2230=Sel_Gender),OR(Sel_Category="All",Data!B2230=Sel_Category),OR(Sel_Month="All",C2230=Sel_Month),OR(Sel_County="All",Data!L2230=Sel_County)),1,0)</f>
        <v>1</v>
      </c>
    </row>
    <row r="2231" spans="1:9" x14ac:dyDescent="0.25">
      <c r="A2231" s="52" t="str">
        <f>Data!A2231</f>
        <v>TX502230</v>
      </c>
      <c r="B2231" s="52">
        <f>MONTH(Data!F2231)</f>
        <v>3</v>
      </c>
      <c r="C2231" s="52" t="str">
        <f>TEXT(Data!F2231,"mmm")</f>
        <v>Mar</v>
      </c>
      <c r="D2231" s="52" t="str">
        <f>Data!O2231</f>
        <v>Female</v>
      </c>
      <c r="E2231" s="52">
        <f>Data!G2231-Data!F2231</f>
        <v>0</v>
      </c>
      <c r="F2231" s="52">
        <f>IF(Data!J2231&lt;=5,Data!J2231,IF(Data!J2231&lt;=10,"6 TO 10","More than 10"))</f>
        <v>4</v>
      </c>
      <c r="G2231" s="52">
        <f t="shared" si="34"/>
        <v>0</v>
      </c>
      <c r="H2231" s="52">
        <f>ROUND(Data!C2231*Data!D2231-Data!E2231,2)</f>
        <v>0</v>
      </c>
      <c r="I2231" s="52">
        <f>IF(AND(OR(Sel_Mode="All",Data!I2231=Sel_Mode),OR(Sel_Gender="All",D2231=Sel_Gender),OR(Sel_Category="All",Data!B2231=Sel_Category),OR(Sel_Month="All",C2231=Sel_Month),OR(Sel_County="All",Data!L2231=Sel_County)),1,0)</f>
        <v>1</v>
      </c>
    </row>
    <row r="2232" spans="1:9" x14ac:dyDescent="0.25">
      <c r="A2232" s="52" t="str">
        <f>Data!A2232</f>
        <v>TX502231</v>
      </c>
      <c r="B2232" s="52">
        <f>MONTH(Data!F2232)</f>
        <v>3</v>
      </c>
      <c r="C2232" s="52" t="str">
        <f>TEXT(Data!F2232,"mmm")</f>
        <v>Mar</v>
      </c>
      <c r="D2232" s="52" t="str">
        <f>Data!O2232</f>
        <v>Female</v>
      </c>
      <c r="E2232" s="52">
        <f>Data!G2232-Data!F2232</f>
        <v>0</v>
      </c>
      <c r="F2232" s="52">
        <f>IF(Data!J2232&lt;=5,Data!J2232,IF(Data!J2232&lt;=10,"6 TO 10","More than 10"))</f>
        <v>5</v>
      </c>
      <c r="G2232" s="52">
        <f t="shared" si="34"/>
        <v>0</v>
      </c>
      <c r="H2232" s="52">
        <f>ROUND(Data!C2232*Data!D2232-Data!E2232,2)</f>
        <v>0</v>
      </c>
      <c r="I2232" s="52">
        <f>IF(AND(OR(Sel_Mode="All",Data!I2232=Sel_Mode),OR(Sel_Gender="All",D2232=Sel_Gender),OR(Sel_Category="All",Data!B2232=Sel_Category),OR(Sel_Month="All",C2232=Sel_Month),OR(Sel_County="All",Data!L2232=Sel_County)),1,0)</f>
        <v>1</v>
      </c>
    </row>
    <row r="2233" spans="1:9" x14ac:dyDescent="0.25">
      <c r="A2233" s="52" t="str">
        <f>Data!A2233</f>
        <v>TX502232</v>
      </c>
      <c r="B2233" s="52">
        <f>MONTH(Data!F2233)</f>
        <v>3</v>
      </c>
      <c r="C2233" s="52" t="str">
        <f>TEXT(Data!F2233,"mmm")</f>
        <v>Mar</v>
      </c>
      <c r="D2233" s="52" t="str">
        <f>Data!O2233</f>
        <v>Male</v>
      </c>
      <c r="E2233" s="52">
        <f>Data!G2233-Data!F2233</f>
        <v>5</v>
      </c>
      <c r="F2233" s="52">
        <f>IF(Data!J2233&lt;=5,Data!J2233,IF(Data!J2233&lt;=10,"6 TO 10","More than 10"))</f>
        <v>3</v>
      </c>
      <c r="G2233" s="52">
        <f t="shared" si="34"/>
        <v>5</v>
      </c>
      <c r="H2233" s="52">
        <f>ROUND(Data!C2233*Data!D2233-Data!E2233,2)</f>
        <v>0</v>
      </c>
      <c r="I2233" s="52">
        <f>IF(AND(OR(Sel_Mode="All",Data!I2233=Sel_Mode),OR(Sel_Gender="All",D2233=Sel_Gender),OR(Sel_Category="All",Data!B2233=Sel_Category),OR(Sel_Month="All",C2233=Sel_Month),OR(Sel_County="All",Data!L2233=Sel_County)),1,0)</f>
        <v>1</v>
      </c>
    </row>
    <row r="2234" spans="1:9" x14ac:dyDescent="0.25">
      <c r="A2234" s="52" t="str">
        <f>Data!A2234</f>
        <v>TX502233</v>
      </c>
      <c r="B2234" s="52">
        <f>MONTH(Data!F2234)</f>
        <v>3</v>
      </c>
      <c r="C2234" s="52" t="str">
        <f>TEXT(Data!F2234,"mmm")</f>
        <v>Mar</v>
      </c>
      <c r="D2234" s="52" t="str">
        <f>Data!O2234</f>
        <v>Female</v>
      </c>
      <c r="E2234" s="52">
        <f>Data!G2234-Data!F2234</f>
        <v>1</v>
      </c>
      <c r="F2234" s="52">
        <f>IF(Data!J2234&lt;=5,Data!J2234,IF(Data!J2234&lt;=10,"6 TO 10","More than 10"))</f>
        <v>4</v>
      </c>
      <c r="G2234" s="52">
        <f t="shared" si="34"/>
        <v>1</v>
      </c>
      <c r="H2234" s="52">
        <f>ROUND(Data!C2234*Data!D2234-Data!E2234,2)</f>
        <v>0</v>
      </c>
      <c r="I2234" s="52">
        <f>IF(AND(OR(Sel_Mode="All",Data!I2234=Sel_Mode),OR(Sel_Gender="All",D2234=Sel_Gender),OR(Sel_Category="All",Data!B2234=Sel_Category),OR(Sel_Month="All",C2234=Sel_Month),OR(Sel_County="All",Data!L2234=Sel_County)),1,0)</f>
        <v>1</v>
      </c>
    </row>
    <row r="2235" spans="1:9" x14ac:dyDescent="0.25">
      <c r="A2235" s="52" t="str">
        <f>Data!A2235</f>
        <v>TX502234</v>
      </c>
      <c r="B2235" s="52">
        <f>MONTH(Data!F2235)</f>
        <v>3</v>
      </c>
      <c r="C2235" s="52" t="str">
        <f>TEXT(Data!F2235,"mmm")</f>
        <v>Mar</v>
      </c>
      <c r="D2235" s="52" t="str">
        <f>Data!O2235</f>
        <v>Male</v>
      </c>
      <c r="E2235" s="52">
        <f>Data!G2235-Data!F2235</f>
        <v>1</v>
      </c>
      <c r="F2235" s="52">
        <f>IF(Data!J2235&lt;=5,Data!J2235,IF(Data!J2235&lt;=10,"6 TO 10","More than 10"))</f>
        <v>5</v>
      </c>
      <c r="G2235" s="52">
        <f t="shared" si="34"/>
        <v>1</v>
      </c>
      <c r="H2235" s="52">
        <f>ROUND(Data!C2235*Data!D2235-Data!E2235,2)</f>
        <v>0</v>
      </c>
      <c r="I2235" s="52">
        <f>IF(AND(OR(Sel_Mode="All",Data!I2235=Sel_Mode),OR(Sel_Gender="All",D2235=Sel_Gender),OR(Sel_Category="All",Data!B2235=Sel_Category),OR(Sel_Month="All",C2235=Sel_Month),OR(Sel_County="All",Data!L2235=Sel_County)),1,0)</f>
        <v>1</v>
      </c>
    </row>
    <row r="2236" spans="1:9" x14ac:dyDescent="0.25">
      <c r="A2236" s="52" t="str">
        <f>Data!A2236</f>
        <v>TX502235</v>
      </c>
      <c r="B2236" s="52">
        <f>MONTH(Data!F2236)</f>
        <v>3</v>
      </c>
      <c r="C2236" s="52" t="str">
        <f>TEXT(Data!F2236,"mmm")</f>
        <v>Mar</v>
      </c>
      <c r="D2236" s="52" t="str">
        <f>Data!O2236</f>
        <v>Female</v>
      </c>
      <c r="E2236" s="52">
        <f>Data!G2236-Data!F2236</f>
        <v>3</v>
      </c>
      <c r="F2236" s="52">
        <f>IF(Data!J2236&lt;=5,Data!J2236,IF(Data!J2236&lt;=10,"6 TO 10","More than 10"))</f>
        <v>4</v>
      </c>
      <c r="G2236" s="52">
        <f t="shared" si="34"/>
        <v>3</v>
      </c>
      <c r="H2236" s="52">
        <f>ROUND(Data!C2236*Data!D2236-Data!E2236,2)</f>
        <v>0</v>
      </c>
      <c r="I2236" s="52">
        <f>IF(AND(OR(Sel_Mode="All",Data!I2236=Sel_Mode),OR(Sel_Gender="All",D2236=Sel_Gender),OR(Sel_Category="All",Data!B2236=Sel_Category),OR(Sel_Month="All",C2236=Sel_Month),OR(Sel_County="All",Data!L2236=Sel_County)),1,0)</f>
        <v>1</v>
      </c>
    </row>
    <row r="2237" spans="1:9" x14ac:dyDescent="0.25">
      <c r="A2237" s="52" t="str">
        <f>Data!A2237</f>
        <v>TX502236</v>
      </c>
      <c r="B2237" s="52">
        <f>MONTH(Data!F2237)</f>
        <v>3</v>
      </c>
      <c r="C2237" s="52" t="str">
        <f>TEXT(Data!F2237,"mmm")</f>
        <v>Mar</v>
      </c>
      <c r="D2237" s="52" t="str">
        <f>Data!O2237</f>
        <v>Unknown</v>
      </c>
      <c r="E2237" s="52">
        <f>Data!G2237-Data!F2237</f>
        <v>2</v>
      </c>
      <c r="F2237" s="52">
        <f>IF(Data!J2237&lt;=5,Data!J2237,IF(Data!J2237&lt;=10,"6 TO 10","More than 10"))</f>
        <v>4</v>
      </c>
      <c r="G2237" s="52">
        <f t="shared" si="34"/>
        <v>2</v>
      </c>
      <c r="H2237" s="52">
        <f>ROUND(Data!C2237*Data!D2237-Data!E2237,2)</f>
        <v>0</v>
      </c>
      <c r="I2237" s="52">
        <f>IF(AND(OR(Sel_Mode="All",Data!I2237=Sel_Mode),OR(Sel_Gender="All",D2237=Sel_Gender),OR(Sel_Category="All",Data!B2237=Sel_Category),OR(Sel_Month="All",C2237=Sel_Month),OR(Sel_County="All",Data!L2237=Sel_County)),1,0)</f>
        <v>1</v>
      </c>
    </row>
    <row r="2238" spans="1:9" x14ac:dyDescent="0.25">
      <c r="A2238" s="52" t="str">
        <f>Data!A2238</f>
        <v>TX502237</v>
      </c>
      <c r="B2238" s="52">
        <f>MONTH(Data!F2238)</f>
        <v>3</v>
      </c>
      <c r="C2238" s="52" t="str">
        <f>TEXT(Data!F2238,"mmm")</f>
        <v>Mar</v>
      </c>
      <c r="D2238" s="52" t="str">
        <f>Data!O2238</f>
        <v>Female</v>
      </c>
      <c r="E2238" s="52">
        <f>Data!G2238-Data!F2238</f>
        <v>1</v>
      </c>
      <c r="F2238" s="52">
        <f>IF(Data!J2238&lt;=5,Data!J2238,IF(Data!J2238&lt;=10,"6 TO 10","More than 10"))</f>
        <v>5</v>
      </c>
      <c r="G2238" s="52">
        <f t="shared" si="34"/>
        <v>1</v>
      </c>
      <c r="H2238" s="52">
        <f>ROUND(Data!C2238*Data!D2238-Data!E2238,2)</f>
        <v>0</v>
      </c>
      <c r="I2238" s="52">
        <f>IF(AND(OR(Sel_Mode="All",Data!I2238=Sel_Mode),OR(Sel_Gender="All",D2238=Sel_Gender),OR(Sel_Category="All",Data!B2238=Sel_Category),OR(Sel_Month="All",C2238=Sel_Month),OR(Sel_County="All",Data!L2238=Sel_County)),1,0)</f>
        <v>1</v>
      </c>
    </row>
    <row r="2239" spans="1:9" x14ac:dyDescent="0.25">
      <c r="A2239" s="52" t="str">
        <f>Data!A2239</f>
        <v>TX502238</v>
      </c>
      <c r="B2239" s="52">
        <f>MONTH(Data!F2239)</f>
        <v>3</v>
      </c>
      <c r="C2239" s="52" t="str">
        <f>TEXT(Data!F2239,"mmm")</f>
        <v>Mar</v>
      </c>
      <c r="D2239" s="52" t="str">
        <f>Data!O2239</f>
        <v>Female</v>
      </c>
      <c r="E2239" s="52">
        <f>Data!G2239-Data!F2239</f>
        <v>2</v>
      </c>
      <c r="F2239" s="52">
        <f>IF(Data!J2239&lt;=5,Data!J2239,IF(Data!J2239&lt;=10,"6 TO 10","More than 10"))</f>
        <v>5</v>
      </c>
      <c r="G2239" s="52">
        <f t="shared" si="34"/>
        <v>2</v>
      </c>
      <c r="H2239" s="52">
        <f>ROUND(Data!C2239*Data!D2239-Data!E2239,2)</f>
        <v>0</v>
      </c>
      <c r="I2239" s="52">
        <f>IF(AND(OR(Sel_Mode="All",Data!I2239=Sel_Mode),OR(Sel_Gender="All",D2239=Sel_Gender),OR(Sel_Category="All",Data!B2239=Sel_Category),OR(Sel_Month="All",C2239=Sel_Month),OR(Sel_County="All",Data!L2239=Sel_County)),1,0)</f>
        <v>1</v>
      </c>
    </row>
    <row r="2240" spans="1:9" x14ac:dyDescent="0.25">
      <c r="A2240" s="52" t="str">
        <f>Data!A2240</f>
        <v>TX502239</v>
      </c>
      <c r="B2240" s="52">
        <f>MONTH(Data!F2240)</f>
        <v>3</v>
      </c>
      <c r="C2240" s="52" t="str">
        <f>TEXT(Data!F2240,"mmm")</f>
        <v>Mar</v>
      </c>
      <c r="D2240" s="52" t="str">
        <f>Data!O2240</f>
        <v>Male</v>
      </c>
      <c r="E2240" s="52">
        <f>Data!G2240-Data!F2240</f>
        <v>2</v>
      </c>
      <c r="F2240" s="52">
        <f>IF(Data!J2240&lt;=5,Data!J2240,IF(Data!J2240&lt;=10,"6 TO 10","More than 10"))</f>
        <v>5</v>
      </c>
      <c r="G2240" s="52">
        <f t="shared" si="34"/>
        <v>2</v>
      </c>
      <c r="H2240" s="52">
        <f>ROUND(Data!C2240*Data!D2240-Data!E2240,2)</f>
        <v>0</v>
      </c>
      <c r="I2240" s="52">
        <f>IF(AND(OR(Sel_Mode="All",Data!I2240=Sel_Mode),OR(Sel_Gender="All",D2240=Sel_Gender),OR(Sel_Category="All",Data!B2240=Sel_Category),OR(Sel_Month="All",C2240=Sel_Month),OR(Sel_County="All",Data!L2240=Sel_County)),1,0)</f>
        <v>1</v>
      </c>
    </row>
    <row r="2241" spans="1:9" x14ac:dyDescent="0.25">
      <c r="A2241" s="52" t="str">
        <f>Data!A2241</f>
        <v>TX502240</v>
      </c>
      <c r="B2241" s="52">
        <f>MONTH(Data!F2241)</f>
        <v>3</v>
      </c>
      <c r="C2241" s="52" t="str">
        <f>TEXT(Data!F2241,"mmm")</f>
        <v>Mar</v>
      </c>
      <c r="D2241" s="52" t="str">
        <f>Data!O2241</f>
        <v>Female</v>
      </c>
      <c r="E2241" s="52">
        <f>Data!G2241-Data!F2241</f>
        <v>1</v>
      </c>
      <c r="F2241" s="52">
        <f>IF(Data!J2241&lt;=5,Data!J2241,IF(Data!J2241&lt;=10,"6 TO 10","More than 10"))</f>
        <v>5</v>
      </c>
      <c r="G2241" s="52">
        <f t="shared" si="34"/>
        <v>1</v>
      </c>
      <c r="H2241" s="52">
        <f>ROUND(Data!C2241*Data!D2241-Data!E2241,2)</f>
        <v>0</v>
      </c>
      <c r="I2241" s="52">
        <f>IF(AND(OR(Sel_Mode="All",Data!I2241=Sel_Mode),OR(Sel_Gender="All",D2241=Sel_Gender),OR(Sel_Category="All",Data!B2241=Sel_Category),OR(Sel_Month="All",C2241=Sel_Month),OR(Sel_County="All",Data!L2241=Sel_County)),1,0)</f>
        <v>1</v>
      </c>
    </row>
    <row r="2242" spans="1:9" x14ac:dyDescent="0.25">
      <c r="A2242" s="52" t="str">
        <f>Data!A2242</f>
        <v>TX502241</v>
      </c>
      <c r="B2242" s="52">
        <f>MONTH(Data!F2242)</f>
        <v>3</v>
      </c>
      <c r="C2242" s="52" t="str">
        <f>TEXT(Data!F2242,"mmm")</f>
        <v>Mar</v>
      </c>
      <c r="D2242" s="52" t="str">
        <f>Data!O2242</f>
        <v>Female</v>
      </c>
      <c r="E2242" s="52">
        <f>Data!G2242-Data!F2242</f>
        <v>1</v>
      </c>
      <c r="F2242" s="52">
        <f>IF(Data!J2242&lt;=5,Data!J2242,IF(Data!J2242&lt;=10,"6 TO 10","More than 10"))</f>
        <v>4</v>
      </c>
      <c r="G2242" s="52">
        <f t="shared" ref="G2242:G2305" si="35">IF(E2242&gt;=8,"8+",E2242)</f>
        <v>1</v>
      </c>
      <c r="H2242" s="52">
        <f>ROUND(Data!C2242*Data!D2242-Data!E2242,2)</f>
        <v>0</v>
      </c>
      <c r="I2242" s="52">
        <f>IF(AND(OR(Sel_Mode="All",Data!I2242=Sel_Mode),OR(Sel_Gender="All",D2242=Sel_Gender),OR(Sel_Category="All",Data!B2242=Sel_Category),OR(Sel_Month="All",C2242=Sel_Month),OR(Sel_County="All",Data!L2242=Sel_County)),1,0)</f>
        <v>1</v>
      </c>
    </row>
    <row r="2243" spans="1:9" x14ac:dyDescent="0.25">
      <c r="A2243" s="52" t="str">
        <f>Data!A2243</f>
        <v>TX502242</v>
      </c>
      <c r="B2243" s="52">
        <f>MONTH(Data!F2243)</f>
        <v>3</v>
      </c>
      <c r="C2243" s="52" t="str">
        <f>TEXT(Data!F2243,"mmm")</f>
        <v>Mar</v>
      </c>
      <c r="D2243" s="52" t="str">
        <f>Data!O2243</f>
        <v>Male</v>
      </c>
      <c r="E2243" s="52">
        <f>Data!G2243-Data!F2243</f>
        <v>2</v>
      </c>
      <c r="F2243" s="52">
        <f>IF(Data!J2243&lt;=5,Data!J2243,IF(Data!J2243&lt;=10,"6 TO 10","More than 10"))</f>
        <v>3</v>
      </c>
      <c r="G2243" s="52">
        <f t="shared" si="35"/>
        <v>2</v>
      </c>
      <c r="H2243" s="52">
        <f>ROUND(Data!C2243*Data!D2243-Data!E2243,2)</f>
        <v>0</v>
      </c>
      <c r="I2243" s="52">
        <f>IF(AND(OR(Sel_Mode="All",Data!I2243=Sel_Mode),OR(Sel_Gender="All",D2243=Sel_Gender),OR(Sel_Category="All",Data!B2243=Sel_Category),OR(Sel_Month="All",C2243=Sel_Month),OR(Sel_County="All",Data!L2243=Sel_County)),1,0)</f>
        <v>1</v>
      </c>
    </row>
    <row r="2244" spans="1:9" x14ac:dyDescent="0.25">
      <c r="A2244" s="52" t="str">
        <f>Data!A2244</f>
        <v>TX502243</v>
      </c>
      <c r="B2244" s="52">
        <f>MONTH(Data!F2244)</f>
        <v>3</v>
      </c>
      <c r="C2244" s="52" t="str">
        <f>TEXT(Data!F2244,"mmm")</f>
        <v>Mar</v>
      </c>
      <c r="D2244" s="52" t="str">
        <f>Data!O2244</f>
        <v>Male</v>
      </c>
      <c r="E2244" s="52">
        <f>Data!G2244-Data!F2244</f>
        <v>4</v>
      </c>
      <c r="F2244" s="52">
        <f>IF(Data!J2244&lt;=5,Data!J2244,IF(Data!J2244&lt;=10,"6 TO 10","More than 10"))</f>
        <v>2</v>
      </c>
      <c r="G2244" s="52">
        <f t="shared" si="35"/>
        <v>4</v>
      </c>
      <c r="H2244" s="52">
        <f>ROUND(Data!C2244*Data!D2244-Data!E2244,2)</f>
        <v>0</v>
      </c>
      <c r="I2244" s="52">
        <f>IF(AND(OR(Sel_Mode="All",Data!I2244=Sel_Mode),OR(Sel_Gender="All",D2244=Sel_Gender),OR(Sel_Category="All",Data!B2244=Sel_Category),OR(Sel_Month="All",C2244=Sel_Month),OR(Sel_County="All",Data!L2244=Sel_County)),1,0)</f>
        <v>1</v>
      </c>
    </row>
    <row r="2245" spans="1:9" x14ac:dyDescent="0.25">
      <c r="A2245" s="52" t="str">
        <f>Data!A2245</f>
        <v>TX502244</v>
      </c>
      <c r="B2245" s="52">
        <f>MONTH(Data!F2245)</f>
        <v>3</v>
      </c>
      <c r="C2245" s="52" t="str">
        <f>TEXT(Data!F2245,"mmm")</f>
        <v>Mar</v>
      </c>
      <c r="D2245" s="52" t="str">
        <f>Data!O2245</f>
        <v>Female</v>
      </c>
      <c r="E2245" s="52">
        <f>Data!G2245-Data!F2245</f>
        <v>2</v>
      </c>
      <c r="F2245" s="52">
        <f>IF(Data!J2245&lt;=5,Data!J2245,IF(Data!J2245&lt;=10,"6 TO 10","More than 10"))</f>
        <v>5</v>
      </c>
      <c r="G2245" s="52">
        <f t="shared" si="35"/>
        <v>2</v>
      </c>
      <c r="H2245" s="52">
        <f>ROUND(Data!C2245*Data!D2245-Data!E2245,2)</f>
        <v>0</v>
      </c>
      <c r="I2245" s="52">
        <f>IF(AND(OR(Sel_Mode="All",Data!I2245=Sel_Mode),OR(Sel_Gender="All",D2245=Sel_Gender),OR(Sel_Category="All",Data!B2245=Sel_Category),OR(Sel_Month="All",C2245=Sel_Month),OR(Sel_County="All",Data!L2245=Sel_County)),1,0)</f>
        <v>1</v>
      </c>
    </row>
    <row r="2246" spans="1:9" x14ac:dyDescent="0.25">
      <c r="A2246" s="52" t="str">
        <f>Data!A2246</f>
        <v>TX502245</v>
      </c>
      <c r="B2246" s="52">
        <f>MONTH(Data!F2246)</f>
        <v>3</v>
      </c>
      <c r="C2246" s="52" t="str">
        <f>TEXT(Data!F2246,"mmm")</f>
        <v>Mar</v>
      </c>
      <c r="D2246" s="52" t="str">
        <f>Data!O2246</f>
        <v>Male</v>
      </c>
      <c r="E2246" s="52">
        <f>Data!G2246-Data!F2246</f>
        <v>1</v>
      </c>
      <c r="F2246" s="52">
        <f>IF(Data!J2246&lt;=5,Data!J2246,IF(Data!J2246&lt;=10,"6 TO 10","More than 10"))</f>
        <v>4</v>
      </c>
      <c r="G2246" s="52">
        <f t="shared" si="35"/>
        <v>1</v>
      </c>
      <c r="H2246" s="52">
        <f>ROUND(Data!C2246*Data!D2246-Data!E2246,2)</f>
        <v>0</v>
      </c>
      <c r="I2246" s="52">
        <f>IF(AND(OR(Sel_Mode="All",Data!I2246=Sel_Mode),OR(Sel_Gender="All",D2246=Sel_Gender),OR(Sel_Category="All",Data!B2246=Sel_Category),OR(Sel_Month="All",C2246=Sel_Month),OR(Sel_County="All",Data!L2246=Sel_County)),1,0)</f>
        <v>1</v>
      </c>
    </row>
    <row r="2247" spans="1:9" x14ac:dyDescent="0.25">
      <c r="A2247" s="52" t="str">
        <f>Data!A2247</f>
        <v>TX502246</v>
      </c>
      <c r="B2247" s="52">
        <f>MONTH(Data!F2247)</f>
        <v>3</v>
      </c>
      <c r="C2247" s="52" t="str">
        <f>TEXT(Data!F2247,"mmm")</f>
        <v>Mar</v>
      </c>
      <c r="D2247" s="52" t="str">
        <f>Data!O2247</f>
        <v>Female</v>
      </c>
      <c r="E2247" s="52">
        <f>Data!G2247-Data!F2247</f>
        <v>1</v>
      </c>
      <c r="F2247" s="52">
        <f>IF(Data!J2247&lt;=5,Data!J2247,IF(Data!J2247&lt;=10,"6 TO 10","More than 10"))</f>
        <v>5</v>
      </c>
      <c r="G2247" s="52">
        <f t="shared" si="35"/>
        <v>1</v>
      </c>
      <c r="H2247" s="52">
        <f>ROUND(Data!C2247*Data!D2247-Data!E2247,2)</f>
        <v>0</v>
      </c>
      <c r="I2247" s="52">
        <f>IF(AND(OR(Sel_Mode="All",Data!I2247=Sel_Mode),OR(Sel_Gender="All",D2247=Sel_Gender),OR(Sel_Category="All",Data!B2247=Sel_Category),OR(Sel_Month="All",C2247=Sel_Month),OR(Sel_County="All",Data!L2247=Sel_County)),1,0)</f>
        <v>1</v>
      </c>
    </row>
    <row r="2248" spans="1:9" x14ac:dyDescent="0.25">
      <c r="A2248" s="52" t="str">
        <f>Data!A2248</f>
        <v>TX502247</v>
      </c>
      <c r="B2248" s="52">
        <f>MONTH(Data!F2248)</f>
        <v>3</v>
      </c>
      <c r="C2248" s="52" t="str">
        <f>TEXT(Data!F2248,"mmm")</f>
        <v>Mar</v>
      </c>
      <c r="D2248" s="52" t="str">
        <f>Data!O2248</f>
        <v>Female</v>
      </c>
      <c r="E2248" s="52">
        <f>Data!G2248-Data!F2248</f>
        <v>3</v>
      </c>
      <c r="F2248" s="52">
        <f>IF(Data!J2248&lt;=5,Data!J2248,IF(Data!J2248&lt;=10,"6 TO 10","More than 10"))</f>
        <v>5</v>
      </c>
      <c r="G2248" s="52">
        <f t="shared" si="35"/>
        <v>3</v>
      </c>
      <c r="H2248" s="52">
        <f>ROUND(Data!C2248*Data!D2248-Data!E2248,2)</f>
        <v>0</v>
      </c>
      <c r="I2248" s="52">
        <f>IF(AND(OR(Sel_Mode="All",Data!I2248=Sel_Mode),OR(Sel_Gender="All",D2248=Sel_Gender),OR(Sel_Category="All",Data!B2248=Sel_Category),OR(Sel_Month="All",C2248=Sel_Month),OR(Sel_County="All",Data!L2248=Sel_County)),1,0)</f>
        <v>1</v>
      </c>
    </row>
    <row r="2249" spans="1:9" x14ac:dyDescent="0.25">
      <c r="A2249" s="52" t="str">
        <f>Data!A2249</f>
        <v>TX502248</v>
      </c>
      <c r="B2249" s="52">
        <f>MONTH(Data!F2249)</f>
        <v>3</v>
      </c>
      <c r="C2249" s="52" t="str">
        <f>TEXT(Data!F2249,"mmm")</f>
        <v>Mar</v>
      </c>
      <c r="D2249" s="52" t="str">
        <f>Data!O2249</f>
        <v>Female</v>
      </c>
      <c r="E2249" s="52">
        <f>Data!G2249-Data!F2249</f>
        <v>1</v>
      </c>
      <c r="F2249" s="52">
        <f>IF(Data!J2249&lt;=5,Data!J2249,IF(Data!J2249&lt;=10,"6 TO 10","More than 10"))</f>
        <v>2</v>
      </c>
      <c r="G2249" s="52">
        <f t="shared" si="35"/>
        <v>1</v>
      </c>
      <c r="H2249" s="52">
        <f>ROUND(Data!C2249*Data!D2249-Data!E2249,2)</f>
        <v>0</v>
      </c>
      <c r="I2249" s="52">
        <f>IF(AND(OR(Sel_Mode="All",Data!I2249=Sel_Mode),OR(Sel_Gender="All",D2249=Sel_Gender),OR(Sel_Category="All",Data!B2249=Sel_Category),OR(Sel_Month="All",C2249=Sel_Month),OR(Sel_County="All",Data!L2249=Sel_County)),1,0)</f>
        <v>1</v>
      </c>
    </row>
    <row r="2250" spans="1:9" x14ac:dyDescent="0.25">
      <c r="A2250" s="52" t="str">
        <f>Data!A2250</f>
        <v>TX502249</v>
      </c>
      <c r="B2250" s="52">
        <f>MONTH(Data!F2250)</f>
        <v>3</v>
      </c>
      <c r="C2250" s="52" t="str">
        <f>TEXT(Data!F2250,"mmm")</f>
        <v>Mar</v>
      </c>
      <c r="D2250" s="52" t="str">
        <f>Data!O2250</f>
        <v>Male</v>
      </c>
      <c r="E2250" s="52">
        <f>Data!G2250-Data!F2250</f>
        <v>3</v>
      </c>
      <c r="F2250" s="52">
        <f>IF(Data!J2250&lt;=5,Data!J2250,IF(Data!J2250&lt;=10,"6 TO 10","More than 10"))</f>
        <v>4</v>
      </c>
      <c r="G2250" s="52">
        <f t="shared" si="35"/>
        <v>3</v>
      </c>
      <c r="H2250" s="52">
        <f>ROUND(Data!C2250*Data!D2250-Data!E2250,2)</f>
        <v>0</v>
      </c>
      <c r="I2250" s="52">
        <f>IF(AND(OR(Sel_Mode="All",Data!I2250=Sel_Mode),OR(Sel_Gender="All",D2250=Sel_Gender),OR(Sel_Category="All",Data!B2250=Sel_Category),OR(Sel_Month="All",C2250=Sel_Month),OR(Sel_County="All",Data!L2250=Sel_County)),1,0)</f>
        <v>1</v>
      </c>
    </row>
    <row r="2251" spans="1:9" x14ac:dyDescent="0.25">
      <c r="A2251" s="52" t="str">
        <f>Data!A2251</f>
        <v>TX502250</v>
      </c>
      <c r="B2251" s="52">
        <f>MONTH(Data!F2251)</f>
        <v>3</v>
      </c>
      <c r="C2251" s="52" t="str">
        <f>TEXT(Data!F2251,"mmm")</f>
        <v>Mar</v>
      </c>
      <c r="D2251" s="52" t="str">
        <f>Data!O2251</f>
        <v>Female</v>
      </c>
      <c r="E2251" s="52">
        <f>Data!G2251-Data!F2251</f>
        <v>2</v>
      </c>
      <c r="F2251" s="52">
        <f>IF(Data!J2251&lt;=5,Data!J2251,IF(Data!J2251&lt;=10,"6 TO 10","More than 10"))</f>
        <v>4</v>
      </c>
      <c r="G2251" s="52">
        <f t="shared" si="35"/>
        <v>2</v>
      </c>
      <c r="H2251" s="52">
        <f>ROUND(Data!C2251*Data!D2251-Data!E2251,2)</f>
        <v>0</v>
      </c>
      <c r="I2251" s="52">
        <f>IF(AND(OR(Sel_Mode="All",Data!I2251=Sel_Mode),OR(Sel_Gender="All",D2251=Sel_Gender),OR(Sel_Category="All",Data!B2251=Sel_Category),OR(Sel_Month="All",C2251=Sel_Month),OR(Sel_County="All",Data!L2251=Sel_County)),1,0)</f>
        <v>1</v>
      </c>
    </row>
    <row r="2252" spans="1:9" x14ac:dyDescent="0.25">
      <c r="A2252" s="52" t="str">
        <f>Data!A2252</f>
        <v>TX502251</v>
      </c>
      <c r="B2252" s="52">
        <f>MONTH(Data!F2252)</f>
        <v>3</v>
      </c>
      <c r="C2252" s="52" t="str">
        <f>TEXT(Data!F2252,"mmm")</f>
        <v>Mar</v>
      </c>
      <c r="D2252" s="52" t="str">
        <f>Data!O2252</f>
        <v>Female</v>
      </c>
      <c r="E2252" s="52">
        <f>Data!G2252-Data!F2252</f>
        <v>1</v>
      </c>
      <c r="F2252" s="52">
        <f>IF(Data!J2252&lt;=5,Data!J2252,IF(Data!J2252&lt;=10,"6 TO 10","More than 10"))</f>
        <v>5</v>
      </c>
      <c r="G2252" s="52">
        <f t="shared" si="35"/>
        <v>1</v>
      </c>
      <c r="H2252" s="52">
        <f>ROUND(Data!C2252*Data!D2252-Data!E2252,2)</f>
        <v>0</v>
      </c>
      <c r="I2252" s="52">
        <f>IF(AND(OR(Sel_Mode="All",Data!I2252=Sel_Mode),OR(Sel_Gender="All",D2252=Sel_Gender),OR(Sel_Category="All",Data!B2252=Sel_Category),OR(Sel_Month="All",C2252=Sel_Month),OR(Sel_County="All",Data!L2252=Sel_County)),1,0)</f>
        <v>1</v>
      </c>
    </row>
    <row r="2253" spans="1:9" x14ac:dyDescent="0.25">
      <c r="A2253" s="52" t="str">
        <f>Data!A2253</f>
        <v>TX502252</v>
      </c>
      <c r="B2253" s="52">
        <f>MONTH(Data!F2253)</f>
        <v>3</v>
      </c>
      <c r="C2253" s="52" t="str">
        <f>TEXT(Data!F2253,"mmm")</f>
        <v>Mar</v>
      </c>
      <c r="D2253" s="52" t="str">
        <f>Data!O2253</f>
        <v>Male</v>
      </c>
      <c r="E2253" s="52">
        <f>Data!G2253-Data!F2253</f>
        <v>1</v>
      </c>
      <c r="F2253" s="52">
        <f>IF(Data!J2253&lt;=5,Data!J2253,IF(Data!J2253&lt;=10,"6 TO 10","More than 10"))</f>
        <v>3</v>
      </c>
      <c r="G2253" s="52">
        <f t="shared" si="35"/>
        <v>1</v>
      </c>
      <c r="H2253" s="52">
        <f>ROUND(Data!C2253*Data!D2253-Data!E2253,2)</f>
        <v>0</v>
      </c>
      <c r="I2253" s="52">
        <f>IF(AND(OR(Sel_Mode="All",Data!I2253=Sel_Mode),OR(Sel_Gender="All",D2253=Sel_Gender),OR(Sel_Category="All",Data!B2253=Sel_Category),OR(Sel_Month="All",C2253=Sel_Month),OR(Sel_County="All",Data!L2253=Sel_County)),1,0)</f>
        <v>1</v>
      </c>
    </row>
    <row r="2254" spans="1:9" x14ac:dyDescent="0.25">
      <c r="A2254" s="52" t="str">
        <f>Data!A2254</f>
        <v>TX502253</v>
      </c>
      <c r="B2254" s="52">
        <f>MONTH(Data!F2254)</f>
        <v>3</v>
      </c>
      <c r="C2254" s="52" t="str">
        <f>TEXT(Data!F2254,"mmm")</f>
        <v>Mar</v>
      </c>
      <c r="D2254" s="52" t="str">
        <f>Data!O2254</f>
        <v>Male</v>
      </c>
      <c r="E2254" s="52">
        <f>Data!G2254-Data!F2254</f>
        <v>1</v>
      </c>
      <c r="F2254" s="52">
        <f>IF(Data!J2254&lt;=5,Data!J2254,IF(Data!J2254&lt;=10,"6 TO 10","More than 10"))</f>
        <v>3</v>
      </c>
      <c r="G2254" s="52">
        <f t="shared" si="35"/>
        <v>1</v>
      </c>
      <c r="H2254" s="52">
        <f>ROUND(Data!C2254*Data!D2254-Data!E2254,2)</f>
        <v>0</v>
      </c>
      <c r="I2254" s="52">
        <f>IF(AND(OR(Sel_Mode="All",Data!I2254=Sel_Mode),OR(Sel_Gender="All",D2254=Sel_Gender),OR(Sel_Category="All",Data!B2254=Sel_Category),OR(Sel_Month="All",C2254=Sel_Month),OR(Sel_County="All",Data!L2254=Sel_County)),1,0)</f>
        <v>1</v>
      </c>
    </row>
    <row r="2255" spans="1:9" x14ac:dyDescent="0.25">
      <c r="A2255" s="52" t="str">
        <f>Data!A2255</f>
        <v>TX502254</v>
      </c>
      <c r="B2255" s="52">
        <f>MONTH(Data!F2255)</f>
        <v>3</v>
      </c>
      <c r="C2255" s="52" t="str">
        <f>TEXT(Data!F2255,"mmm")</f>
        <v>Mar</v>
      </c>
      <c r="D2255" s="52" t="str">
        <f>Data!O2255</f>
        <v>Male</v>
      </c>
      <c r="E2255" s="52">
        <f>Data!G2255-Data!F2255</f>
        <v>2</v>
      </c>
      <c r="F2255" s="52">
        <f>IF(Data!J2255&lt;=5,Data!J2255,IF(Data!J2255&lt;=10,"6 TO 10","More than 10"))</f>
        <v>4</v>
      </c>
      <c r="G2255" s="52">
        <f t="shared" si="35"/>
        <v>2</v>
      </c>
      <c r="H2255" s="52">
        <f>ROUND(Data!C2255*Data!D2255-Data!E2255,2)</f>
        <v>0</v>
      </c>
      <c r="I2255" s="52">
        <f>IF(AND(OR(Sel_Mode="All",Data!I2255=Sel_Mode),OR(Sel_Gender="All",D2255=Sel_Gender),OR(Sel_Category="All",Data!B2255=Sel_Category),OR(Sel_Month="All",C2255=Sel_Month),OR(Sel_County="All",Data!L2255=Sel_County)),1,0)</f>
        <v>1</v>
      </c>
    </row>
    <row r="2256" spans="1:9" x14ac:dyDescent="0.25">
      <c r="A2256" s="52" t="str">
        <f>Data!A2256</f>
        <v>TX502255</v>
      </c>
      <c r="B2256" s="52">
        <f>MONTH(Data!F2256)</f>
        <v>3</v>
      </c>
      <c r="C2256" s="52" t="str">
        <f>TEXT(Data!F2256,"mmm")</f>
        <v>Mar</v>
      </c>
      <c r="D2256" s="52" t="str">
        <f>Data!O2256</f>
        <v>Female</v>
      </c>
      <c r="E2256" s="52">
        <f>Data!G2256-Data!F2256</f>
        <v>3</v>
      </c>
      <c r="F2256" s="52">
        <f>IF(Data!J2256&lt;=5,Data!J2256,IF(Data!J2256&lt;=10,"6 TO 10","More than 10"))</f>
        <v>3</v>
      </c>
      <c r="G2256" s="52">
        <f t="shared" si="35"/>
        <v>3</v>
      </c>
      <c r="H2256" s="52">
        <f>ROUND(Data!C2256*Data!D2256-Data!E2256,2)</f>
        <v>0</v>
      </c>
      <c r="I2256" s="52">
        <f>IF(AND(OR(Sel_Mode="All",Data!I2256=Sel_Mode),OR(Sel_Gender="All",D2256=Sel_Gender),OR(Sel_Category="All",Data!B2256=Sel_Category),OR(Sel_Month="All",C2256=Sel_Month),OR(Sel_County="All",Data!L2256=Sel_County)),1,0)</f>
        <v>1</v>
      </c>
    </row>
    <row r="2257" spans="1:9" x14ac:dyDescent="0.25">
      <c r="A2257" s="52" t="str">
        <f>Data!A2257</f>
        <v>TX502256</v>
      </c>
      <c r="B2257" s="52">
        <f>MONTH(Data!F2257)</f>
        <v>3</v>
      </c>
      <c r="C2257" s="52" t="str">
        <f>TEXT(Data!F2257,"mmm")</f>
        <v>Mar</v>
      </c>
      <c r="D2257" s="52" t="str">
        <f>Data!O2257</f>
        <v>Female</v>
      </c>
      <c r="E2257" s="52">
        <f>Data!G2257-Data!F2257</f>
        <v>2</v>
      </c>
      <c r="F2257" s="52">
        <f>IF(Data!J2257&lt;=5,Data!J2257,IF(Data!J2257&lt;=10,"6 TO 10","More than 10"))</f>
        <v>4</v>
      </c>
      <c r="G2257" s="52">
        <f t="shared" si="35"/>
        <v>2</v>
      </c>
      <c r="H2257" s="52">
        <f>ROUND(Data!C2257*Data!D2257-Data!E2257,2)</f>
        <v>0</v>
      </c>
      <c r="I2257" s="52">
        <f>IF(AND(OR(Sel_Mode="All",Data!I2257=Sel_Mode),OR(Sel_Gender="All",D2257=Sel_Gender),OR(Sel_Category="All",Data!B2257=Sel_Category),OR(Sel_Month="All",C2257=Sel_Month),OR(Sel_County="All",Data!L2257=Sel_County)),1,0)</f>
        <v>1</v>
      </c>
    </row>
    <row r="2258" spans="1:9" x14ac:dyDescent="0.25">
      <c r="A2258" s="52" t="str">
        <f>Data!A2258</f>
        <v>TX502257</v>
      </c>
      <c r="B2258" s="52">
        <f>MONTH(Data!F2258)</f>
        <v>3</v>
      </c>
      <c r="C2258" s="52" t="str">
        <f>TEXT(Data!F2258,"mmm")</f>
        <v>Mar</v>
      </c>
      <c r="D2258" s="52" t="str">
        <f>Data!O2258</f>
        <v>Male</v>
      </c>
      <c r="E2258" s="52">
        <f>Data!G2258-Data!F2258</f>
        <v>1</v>
      </c>
      <c r="F2258" s="52">
        <f>IF(Data!J2258&lt;=5,Data!J2258,IF(Data!J2258&lt;=10,"6 TO 10","More than 10"))</f>
        <v>4</v>
      </c>
      <c r="G2258" s="52">
        <f t="shared" si="35"/>
        <v>1</v>
      </c>
      <c r="H2258" s="52">
        <f>ROUND(Data!C2258*Data!D2258-Data!E2258,2)</f>
        <v>0</v>
      </c>
      <c r="I2258" s="52">
        <f>IF(AND(OR(Sel_Mode="All",Data!I2258=Sel_Mode),OR(Sel_Gender="All",D2258=Sel_Gender),OR(Sel_Category="All",Data!B2258=Sel_Category),OR(Sel_Month="All",C2258=Sel_Month),OR(Sel_County="All",Data!L2258=Sel_County)),1,0)</f>
        <v>1</v>
      </c>
    </row>
    <row r="2259" spans="1:9" x14ac:dyDescent="0.25">
      <c r="A2259" s="52" t="str">
        <f>Data!A2259</f>
        <v>TX502258</v>
      </c>
      <c r="B2259" s="52">
        <f>MONTH(Data!F2259)</f>
        <v>3</v>
      </c>
      <c r="C2259" s="52" t="str">
        <f>TEXT(Data!F2259,"mmm")</f>
        <v>Mar</v>
      </c>
      <c r="D2259" s="52" t="str">
        <f>Data!O2259</f>
        <v>Female</v>
      </c>
      <c r="E2259" s="52">
        <f>Data!G2259-Data!F2259</f>
        <v>1</v>
      </c>
      <c r="F2259" s="52">
        <f>IF(Data!J2259&lt;=5,Data!J2259,IF(Data!J2259&lt;=10,"6 TO 10","More than 10"))</f>
        <v>4</v>
      </c>
      <c r="G2259" s="52">
        <f t="shared" si="35"/>
        <v>1</v>
      </c>
      <c r="H2259" s="52">
        <f>ROUND(Data!C2259*Data!D2259-Data!E2259,2)</f>
        <v>0</v>
      </c>
      <c r="I2259" s="52">
        <f>IF(AND(OR(Sel_Mode="All",Data!I2259=Sel_Mode),OR(Sel_Gender="All",D2259=Sel_Gender),OR(Sel_Category="All",Data!B2259=Sel_Category),OR(Sel_Month="All",C2259=Sel_Month),OR(Sel_County="All",Data!L2259=Sel_County)),1,0)</f>
        <v>1</v>
      </c>
    </row>
    <row r="2260" spans="1:9" x14ac:dyDescent="0.25">
      <c r="A2260" s="52" t="str">
        <f>Data!A2260</f>
        <v>TX502259</v>
      </c>
      <c r="B2260" s="52">
        <f>MONTH(Data!F2260)</f>
        <v>3</v>
      </c>
      <c r="C2260" s="52" t="str">
        <f>TEXT(Data!F2260,"mmm")</f>
        <v>Mar</v>
      </c>
      <c r="D2260" s="52" t="str">
        <f>Data!O2260</f>
        <v>Female</v>
      </c>
      <c r="E2260" s="52">
        <f>Data!G2260-Data!F2260</f>
        <v>2</v>
      </c>
      <c r="F2260" s="52">
        <f>IF(Data!J2260&lt;=5,Data!J2260,IF(Data!J2260&lt;=10,"6 TO 10","More than 10"))</f>
        <v>3</v>
      </c>
      <c r="G2260" s="52">
        <f t="shared" si="35"/>
        <v>2</v>
      </c>
      <c r="H2260" s="52">
        <f>ROUND(Data!C2260*Data!D2260-Data!E2260,2)</f>
        <v>0</v>
      </c>
      <c r="I2260" s="52">
        <f>IF(AND(OR(Sel_Mode="All",Data!I2260=Sel_Mode),OR(Sel_Gender="All",D2260=Sel_Gender),OR(Sel_Category="All",Data!B2260=Sel_Category),OR(Sel_Month="All",C2260=Sel_Month),OR(Sel_County="All",Data!L2260=Sel_County)),1,0)</f>
        <v>1</v>
      </c>
    </row>
    <row r="2261" spans="1:9" x14ac:dyDescent="0.25">
      <c r="A2261" s="52" t="str">
        <f>Data!A2261</f>
        <v>TX502260</v>
      </c>
      <c r="B2261" s="52">
        <f>MONTH(Data!F2261)</f>
        <v>3</v>
      </c>
      <c r="C2261" s="52" t="str">
        <f>TEXT(Data!F2261,"mmm")</f>
        <v>Mar</v>
      </c>
      <c r="D2261" s="52" t="str">
        <f>Data!O2261</f>
        <v>Female</v>
      </c>
      <c r="E2261" s="52">
        <f>Data!G2261-Data!F2261</f>
        <v>1</v>
      </c>
      <c r="F2261" s="52">
        <f>IF(Data!J2261&lt;=5,Data!J2261,IF(Data!J2261&lt;=10,"6 TO 10","More than 10"))</f>
        <v>4</v>
      </c>
      <c r="G2261" s="52">
        <f t="shared" si="35"/>
        <v>1</v>
      </c>
      <c r="H2261" s="52">
        <f>ROUND(Data!C2261*Data!D2261-Data!E2261,2)</f>
        <v>0</v>
      </c>
      <c r="I2261" s="52">
        <f>IF(AND(OR(Sel_Mode="All",Data!I2261=Sel_Mode),OR(Sel_Gender="All",D2261=Sel_Gender),OR(Sel_Category="All",Data!B2261=Sel_Category),OR(Sel_Month="All",C2261=Sel_Month),OR(Sel_County="All",Data!L2261=Sel_County)),1,0)</f>
        <v>1</v>
      </c>
    </row>
    <row r="2262" spans="1:9" x14ac:dyDescent="0.25">
      <c r="A2262" s="52" t="str">
        <f>Data!A2262</f>
        <v>TX502261</v>
      </c>
      <c r="B2262" s="52">
        <f>MONTH(Data!F2262)</f>
        <v>3</v>
      </c>
      <c r="C2262" s="52" t="str">
        <f>TEXT(Data!F2262,"mmm")</f>
        <v>Mar</v>
      </c>
      <c r="D2262" s="52" t="str">
        <f>Data!O2262</f>
        <v>Female</v>
      </c>
      <c r="E2262" s="52">
        <f>Data!G2262-Data!F2262</f>
        <v>2</v>
      </c>
      <c r="F2262" s="52">
        <f>IF(Data!J2262&lt;=5,Data!J2262,IF(Data!J2262&lt;=10,"6 TO 10","More than 10"))</f>
        <v>3</v>
      </c>
      <c r="G2262" s="52">
        <f t="shared" si="35"/>
        <v>2</v>
      </c>
      <c r="H2262" s="52">
        <f>ROUND(Data!C2262*Data!D2262-Data!E2262,2)</f>
        <v>0</v>
      </c>
      <c r="I2262" s="52">
        <f>IF(AND(OR(Sel_Mode="All",Data!I2262=Sel_Mode),OR(Sel_Gender="All",D2262=Sel_Gender),OR(Sel_Category="All",Data!B2262=Sel_Category),OR(Sel_Month="All",C2262=Sel_Month),OR(Sel_County="All",Data!L2262=Sel_County)),1,0)</f>
        <v>1</v>
      </c>
    </row>
    <row r="2263" spans="1:9" x14ac:dyDescent="0.25">
      <c r="A2263" s="52" t="str">
        <f>Data!A2263</f>
        <v>TX502262</v>
      </c>
      <c r="B2263" s="52">
        <f>MONTH(Data!F2263)</f>
        <v>3</v>
      </c>
      <c r="C2263" s="52" t="str">
        <f>TEXT(Data!F2263,"mmm")</f>
        <v>Mar</v>
      </c>
      <c r="D2263" s="52" t="str">
        <f>Data!O2263</f>
        <v>Male</v>
      </c>
      <c r="E2263" s="52">
        <f>Data!G2263-Data!F2263</f>
        <v>4</v>
      </c>
      <c r="F2263" s="52">
        <f>IF(Data!J2263&lt;=5,Data!J2263,IF(Data!J2263&lt;=10,"6 TO 10","More than 10"))</f>
        <v>4</v>
      </c>
      <c r="G2263" s="52">
        <f t="shared" si="35"/>
        <v>4</v>
      </c>
      <c r="H2263" s="52">
        <f>ROUND(Data!C2263*Data!D2263-Data!E2263,2)</f>
        <v>0</v>
      </c>
      <c r="I2263" s="52">
        <f>IF(AND(OR(Sel_Mode="All",Data!I2263=Sel_Mode),OR(Sel_Gender="All",D2263=Sel_Gender),OR(Sel_Category="All",Data!B2263=Sel_Category),OR(Sel_Month="All",C2263=Sel_Month),OR(Sel_County="All",Data!L2263=Sel_County)),1,0)</f>
        <v>1</v>
      </c>
    </row>
    <row r="2264" spans="1:9" x14ac:dyDescent="0.25">
      <c r="A2264" s="52" t="str">
        <f>Data!A2264</f>
        <v>TX502263</v>
      </c>
      <c r="B2264" s="52">
        <f>MONTH(Data!F2264)</f>
        <v>3</v>
      </c>
      <c r="C2264" s="52" t="str">
        <f>TEXT(Data!F2264,"mmm")</f>
        <v>Mar</v>
      </c>
      <c r="D2264" s="52" t="str">
        <f>Data!O2264</f>
        <v>Male</v>
      </c>
      <c r="E2264" s="52">
        <f>Data!G2264-Data!F2264</f>
        <v>1</v>
      </c>
      <c r="F2264" s="52">
        <f>IF(Data!J2264&lt;=5,Data!J2264,IF(Data!J2264&lt;=10,"6 TO 10","More than 10"))</f>
        <v>5</v>
      </c>
      <c r="G2264" s="52">
        <f t="shared" si="35"/>
        <v>1</v>
      </c>
      <c r="H2264" s="52">
        <f>ROUND(Data!C2264*Data!D2264-Data!E2264,2)</f>
        <v>0</v>
      </c>
      <c r="I2264" s="52">
        <f>IF(AND(OR(Sel_Mode="All",Data!I2264=Sel_Mode),OR(Sel_Gender="All",D2264=Sel_Gender),OR(Sel_Category="All",Data!B2264=Sel_Category),OR(Sel_Month="All",C2264=Sel_Month),OR(Sel_County="All",Data!L2264=Sel_County)),1,0)</f>
        <v>1</v>
      </c>
    </row>
    <row r="2265" spans="1:9" x14ac:dyDescent="0.25">
      <c r="A2265" s="52" t="str">
        <f>Data!A2265</f>
        <v>TX502264</v>
      </c>
      <c r="B2265" s="52">
        <f>MONTH(Data!F2265)</f>
        <v>3</v>
      </c>
      <c r="C2265" s="52" t="str">
        <f>TEXT(Data!F2265,"mmm")</f>
        <v>Mar</v>
      </c>
      <c r="D2265" s="52" t="str">
        <f>Data!O2265</f>
        <v>Male</v>
      </c>
      <c r="E2265" s="52">
        <f>Data!G2265-Data!F2265</f>
        <v>1</v>
      </c>
      <c r="F2265" s="52">
        <f>IF(Data!J2265&lt;=5,Data!J2265,IF(Data!J2265&lt;=10,"6 TO 10","More than 10"))</f>
        <v>4</v>
      </c>
      <c r="G2265" s="52">
        <f t="shared" si="35"/>
        <v>1</v>
      </c>
      <c r="H2265" s="52">
        <f>ROUND(Data!C2265*Data!D2265-Data!E2265,2)</f>
        <v>0</v>
      </c>
      <c r="I2265" s="52">
        <f>IF(AND(OR(Sel_Mode="All",Data!I2265=Sel_Mode),OR(Sel_Gender="All",D2265=Sel_Gender),OR(Sel_Category="All",Data!B2265=Sel_Category),OR(Sel_Month="All",C2265=Sel_Month),OR(Sel_County="All",Data!L2265=Sel_County)),1,0)</f>
        <v>1</v>
      </c>
    </row>
    <row r="2266" spans="1:9" x14ac:dyDescent="0.25">
      <c r="A2266" s="52" t="str">
        <f>Data!A2266</f>
        <v>TX502265</v>
      </c>
      <c r="B2266" s="52">
        <f>MONTH(Data!F2266)</f>
        <v>3</v>
      </c>
      <c r="C2266" s="52" t="str">
        <f>TEXT(Data!F2266,"mmm")</f>
        <v>Mar</v>
      </c>
      <c r="D2266" s="52" t="str">
        <f>Data!O2266</f>
        <v>Male</v>
      </c>
      <c r="E2266" s="52">
        <f>Data!G2266-Data!F2266</f>
        <v>1</v>
      </c>
      <c r="F2266" s="52">
        <f>IF(Data!J2266&lt;=5,Data!J2266,IF(Data!J2266&lt;=10,"6 TO 10","More than 10"))</f>
        <v>3</v>
      </c>
      <c r="G2266" s="52">
        <f t="shared" si="35"/>
        <v>1</v>
      </c>
      <c r="H2266" s="52">
        <f>ROUND(Data!C2266*Data!D2266-Data!E2266,2)</f>
        <v>0</v>
      </c>
      <c r="I2266" s="52">
        <f>IF(AND(OR(Sel_Mode="All",Data!I2266=Sel_Mode),OR(Sel_Gender="All",D2266=Sel_Gender),OR(Sel_Category="All",Data!B2266=Sel_Category),OR(Sel_Month="All",C2266=Sel_Month),OR(Sel_County="All",Data!L2266=Sel_County)),1,0)</f>
        <v>1</v>
      </c>
    </row>
    <row r="2267" spans="1:9" x14ac:dyDescent="0.25">
      <c r="A2267" s="52" t="str">
        <f>Data!A2267</f>
        <v>TX502266</v>
      </c>
      <c r="B2267" s="52">
        <f>MONTH(Data!F2267)</f>
        <v>3</v>
      </c>
      <c r="C2267" s="52" t="str">
        <f>TEXT(Data!F2267,"mmm")</f>
        <v>Mar</v>
      </c>
      <c r="D2267" s="52" t="str">
        <f>Data!O2267</f>
        <v>Other</v>
      </c>
      <c r="E2267" s="52">
        <f>Data!G2267-Data!F2267</f>
        <v>5</v>
      </c>
      <c r="F2267" s="52">
        <f>IF(Data!J2267&lt;=5,Data!J2267,IF(Data!J2267&lt;=10,"6 TO 10","More than 10"))</f>
        <v>3</v>
      </c>
      <c r="G2267" s="52">
        <f t="shared" si="35"/>
        <v>5</v>
      </c>
      <c r="H2267" s="52">
        <f>ROUND(Data!C2267*Data!D2267-Data!E2267,2)</f>
        <v>0</v>
      </c>
      <c r="I2267" s="52">
        <f>IF(AND(OR(Sel_Mode="All",Data!I2267=Sel_Mode),OR(Sel_Gender="All",D2267=Sel_Gender),OR(Sel_Category="All",Data!B2267=Sel_Category),OR(Sel_Month="All",C2267=Sel_Month),OR(Sel_County="All",Data!L2267=Sel_County)),1,0)</f>
        <v>1</v>
      </c>
    </row>
    <row r="2268" spans="1:9" x14ac:dyDescent="0.25">
      <c r="A2268" s="52" t="str">
        <f>Data!A2268</f>
        <v>TX502267</v>
      </c>
      <c r="B2268" s="52">
        <f>MONTH(Data!F2268)</f>
        <v>3</v>
      </c>
      <c r="C2268" s="52" t="str">
        <f>TEXT(Data!F2268,"mmm")</f>
        <v>Mar</v>
      </c>
      <c r="D2268" s="52" t="str">
        <f>Data!O2268</f>
        <v>Female</v>
      </c>
      <c r="E2268" s="52">
        <f>Data!G2268-Data!F2268</f>
        <v>1</v>
      </c>
      <c r="F2268" s="52">
        <f>IF(Data!J2268&lt;=5,Data!J2268,IF(Data!J2268&lt;=10,"6 TO 10","More than 10"))</f>
        <v>4</v>
      </c>
      <c r="G2268" s="52">
        <f t="shared" si="35"/>
        <v>1</v>
      </c>
      <c r="H2268" s="52">
        <f>ROUND(Data!C2268*Data!D2268-Data!E2268,2)</f>
        <v>0</v>
      </c>
      <c r="I2268" s="52">
        <f>IF(AND(OR(Sel_Mode="All",Data!I2268=Sel_Mode),OR(Sel_Gender="All",D2268=Sel_Gender),OR(Sel_Category="All",Data!B2268=Sel_Category),OR(Sel_Month="All",C2268=Sel_Month),OR(Sel_County="All",Data!L2268=Sel_County)),1,0)</f>
        <v>1</v>
      </c>
    </row>
    <row r="2269" spans="1:9" x14ac:dyDescent="0.25">
      <c r="A2269" s="52" t="str">
        <f>Data!A2269</f>
        <v>TX502268</v>
      </c>
      <c r="B2269" s="52">
        <f>MONTH(Data!F2269)</f>
        <v>3</v>
      </c>
      <c r="C2269" s="52" t="str">
        <f>TEXT(Data!F2269,"mmm")</f>
        <v>Mar</v>
      </c>
      <c r="D2269" s="52" t="str">
        <f>Data!O2269</f>
        <v>Female</v>
      </c>
      <c r="E2269" s="52">
        <f>Data!G2269-Data!F2269</f>
        <v>1</v>
      </c>
      <c r="F2269" s="52">
        <f>IF(Data!J2269&lt;=5,Data!J2269,IF(Data!J2269&lt;=10,"6 TO 10","More than 10"))</f>
        <v>3</v>
      </c>
      <c r="G2269" s="52">
        <f t="shared" si="35"/>
        <v>1</v>
      </c>
      <c r="H2269" s="52">
        <f>ROUND(Data!C2269*Data!D2269-Data!E2269,2)</f>
        <v>0</v>
      </c>
      <c r="I2269" s="52">
        <f>IF(AND(OR(Sel_Mode="All",Data!I2269=Sel_Mode),OR(Sel_Gender="All",D2269=Sel_Gender),OR(Sel_Category="All",Data!B2269=Sel_Category),OR(Sel_Month="All",C2269=Sel_Month),OR(Sel_County="All",Data!L2269=Sel_County)),1,0)</f>
        <v>1</v>
      </c>
    </row>
    <row r="2270" spans="1:9" x14ac:dyDescent="0.25">
      <c r="A2270" s="52" t="str">
        <f>Data!A2270</f>
        <v>TX502269</v>
      </c>
      <c r="B2270" s="52">
        <f>MONTH(Data!F2270)</f>
        <v>3</v>
      </c>
      <c r="C2270" s="52" t="str">
        <f>TEXT(Data!F2270,"mmm")</f>
        <v>Mar</v>
      </c>
      <c r="D2270" s="52" t="str">
        <f>Data!O2270</f>
        <v>Female</v>
      </c>
      <c r="E2270" s="52">
        <f>Data!G2270-Data!F2270</f>
        <v>1</v>
      </c>
      <c r="F2270" s="52">
        <f>IF(Data!J2270&lt;=5,Data!J2270,IF(Data!J2270&lt;=10,"6 TO 10","More than 10"))</f>
        <v>3</v>
      </c>
      <c r="G2270" s="52">
        <f t="shared" si="35"/>
        <v>1</v>
      </c>
      <c r="H2270" s="52">
        <f>ROUND(Data!C2270*Data!D2270-Data!E2270,2)</f>
        <v>0</v>
      </c>
      <c r="I2270" s="52">
        <f>IF(AND(OR(Sel_Mode="All",Data!I2270=Sel_Mode),OR(Sel_Gender="All",D2270=Sel_Gender),OR(Sel_Category="All",Data!B2270=Sel_Category),OR(Sel_Month="All",C2270=Sel_Month),OR(Sel_County="All",Data!L2270=Sel_County)),1,0)</f>
        <v>1</v>
      </c>
    </row>
    <row r="2271" spans="1:9" x14ac:dyDescent="0.25">
      <c r="A2271" s="52" t="str">
        <f>Data!A2271</f>
        <v>TX502270</v>
      </c>
      <c r="B2271" s="52">
        <f>MONTH(Data!F2271)</f>
        <v>3</v>
      </c>
      <c r="C2271" s="52" t="str">
        <f>TEXT(Data!F2271,"mmm")</f>
        <v>Mar</v>
      </c>
      <c r="D2271" s="52" t="str">
        <f>Data!O2271</f>
        <v>Female</v>
      </c>
      <c r="E2271" s="52">
        <f>Data!G2271-Data!F2271</f>
        <v>1</v>
      </c>
      <c r="F2271" s="52">
        <f>IF(Data!J2271&lt;=5,Data!J2271,IF(Data!J2271&lt;=10,"6 TO 10","More than 10"))</f>
        <v>4</v>
      </c>
      <c r="G2271" s="52">
        <f t="shared" si="35"/>
        <v>1</v>
      </c>
      <c r="H2271" s="52">
        <f>ROUND(Data!C2271*Data!D2271-Data!E2271,2)</f>
        <v>0</v>
      </c>
      <c r="I2271" s="52">
        <f>IF(AND(OR(Sel_Mode="All",Data!I2271=Sel_Mode),OR(Sel_Gender="All",D2271=Sel_Gender),OR(Sel_Category="All",Data!B2271=Sel_Category),OR(Sel_Month="All",C2271=Sel_Month),OR(Sel_County="All",Data!L2271=Sel_County)),1,0)</f>
        <v>1</v>
      </c>
    </row>
    <row r="2272" spans="1:9" x14ac:dyDescent="0.25">
      <c r="A2272" s="52" t="str">
        <f>Data!A2272</f>
        <v>TX502271</v>
      </c>
      <c r="B2272" s="52">
        <f>MONTH(Data!F2272)</f>
        <v>3</v>
      </c>
      <c r="C2272" s="52" t="str">
        <f>TEXT(Data!F2272,"mmm")</f>
        <v>Mar</v>
      </c>
      <c r="D2272" s="52" t="str">
        <f>Data!O2272</f>
        <v>Female</v>
      </c>
      <c r="E2272" s="52">
        <f>Data!G2272-Data!F2272</f>
        <v>3</v>
      </c>
      <c r="F2272" s="52">
        <f>IF(Data!J2272&lt;=5,Data!J2272,IF(Data!J2272&lt;=10,"6 TO 10","More than 10"))</f>
        <v>5</v>
      </c>
      <c r="G2272" s="52">
        <f t="shared" si="35"/>
        <v>3</v>
      </c>
      <c r="H2272" s="52">
        <f>ROUND(Data!C2272*Data!D2272-Data!E2272,2)</f>
        <v>0</v>
      </c>
      <c r="I2272" s="52">
        <f>IF(AND(OR(Sel_Mode="All",Data!I2272=Sel_Mode),OR(Sel_Gender="All",D2272=Sel_Gender),OR(Sel_Category="All",Data!B2272=Sel_Category),OR(Sel_Month="All",C2272=Sel_Month),OR(Sel_County="All",Data!L2272=Sel_County)),1,0)</f>
        <v>1</v>
      </c>
    </row>
    <row r="2273" spans="1:9" x14ac:dyDescent="0.25">
      <c r="A2273" s="52" t="str">
        <f>Data!A2273</f>
        <v>TX502272</v>
      </c>
      <c r="B2273" s="52">
        <f>MONTH(Data!F2273)</f>
        <v>3</v>
      </c>
      <c r="C2273" s="52" t="str">
        <f>TEXT(Data!F2273,"mmm")</f>
        <v>Mar</v>
      </c>
      <c r="D2273" s="52" t="str">
        <f>Data!O2273</f>
        <v>Female</v>
      </c>
      <c r="E2273" s="52">
        <f>Data!G2273-Data!F2273</f>
        <v>3</v>
      </c>
      <c r="F2273" s="52">
        <f>IF(Data!J2273&lt;=5,Data!J2273,IF(Data!J2273&lt;=10,"6 TO 10","More than 10"))</f>
        <v>4</v>
      </c>
      <c r="G2273" s="52">
        <f t="shared" si="35"/>
        <v>3</v>
      </c>
      <c r="H2273" s="52">
        <f>ROUND(Data!C2273*Data!D2273-Data!E2273,2)</f>
        <v>0</v>
      </c>
      <c r="I2273" s="52">
        <f>IF(AND(OR(Sel_Mode="All",Data!I2273=Sel_Mode),OR(Sel_Gender="All",D2273=Sel_Gender),OR(Sel_Category="All",Data!B2273=Sel_Category),OR(Sel_Month="All",C2273=Sel_Month),OR(Sel_County="All",Data!L2273=Sel_County)),1,0)</f>
        <v>1</v>
      </c>
    </row>
    <row r="2274" spans="1:9" x14ac:dyDescent="0.25">
      <c r="A2274" s="52" t="str">
        <f>Data!A2274</f>
        <v>TX502273</v>
      </c>
      <c r="B2274" s="52">
        <f>MONTH(Data!F2274)</f>
        <v>3</v>
      </c>
      <c r="C2274" s="52" t="str">
        <f>TEXT(Data!F2274,"mmm")</f>
        <v>Mar</v>
      </c>
      <c r="D2274" s="52" t="str">
        <f>Data!O2274</f>
        <v>Female</v>
      </c>
      <c r="E2274" s="52">
        <f>Data!G2274-Data!F2274</f>
        <v>2</v>
      </c>
      <c r="F2274" s="52">
        <f>IF(Data!J2274&lt;=5,Data!J2274,IF(Data!J2274&lt;=10,"6 TO 10","More than 10"))</f>
        <v>4</v>
      </c>
      <c r="G2274" s="52">
        <f t="shared" si="35"/>
        <v>2</v>
      </c>
      <c r="H2274" s="52">
        <f>ROUND(Data!C2274*Data!D2274-Data!E2274,2)</f>
        <v>0</v>
      </c>
      <c r="I2274" s="52">
        <f>IF(AND(OR(Sel_Mode="All",Data!I2274=Sel_Mode),OR(Sel_Gender="All",D2274=Sel_Gender),OR(Sel_Category="All",Data!B2274=Sel_Category),OR(Sel_Month="All",C2274=Sel_Month),OR(Sel_County="All",Data!L2274=Sel_County)),1,0)</f>
        <v>1</v>
      </c>
    </row>
    <row r="2275" spans="1:9" x14ac:dyDescent="0.25">
      <c r="A2275" s="52" t="str">
        <f>Data!A2275</f>
        <v>TX502274</v>
      </c>
      <c r="B2275" s="52">
        <f>MONTH(Data!F2275)</f>
        <v>3</v>
      </c>
      <c r="C2275" s="52" t="str">
        <f>TEXT(Data!F2275,"mmm")</f>
        <v>Mar</v>
      </c>
      <c r="D2275" s="52" t="str">
        <f>Data!O2275</f>
        <v>Male</v>
      </c>
      <c r="E2275" s="52">
        <f>Data!G2275-Data!F2275</f>
        <v>2</v>
      </c>
      <c r="F2275" s="52">
        <f>IF(Data!J2275&lt;=5,Data!J2275,IF(Data!J2275&lt;=10,"6 TO 10","More than 10"))</f>
        <v>5</v>
      </c>
      <c r="G2275" s="52">
        <f t="shared" si="35"/>
        <v>2</v>
      </c>
      <c r="H2275" s="52">
        <f>ROUND(Data!C2275*Data!D2275-Data!E2275,2)</f>
        <v>0</v>
      </c>
      <c r="I2275" s="52">
        <f>IF(AND(OR(Sel_Mode="All",Data!I2275=Sel_Mode),OR(Sel_Gender="All",D2275=Sel_Gender),OR(Sel_Category="All",Data!B2275=Sel_Category),OR(Sel_Month="All",C2275=Sel_Month),OR(Sel_County="All",Data!L2275=Sel_County)),1,0)</f>
        <v>1</v>
      </c>
    </row>
    <row r="2276" spans="1:9" x14ac:dyDescent="0.25">
      <c r="A2276" s="52" t="str">
        <f>Data!A2276</f>
        <v>TX502275</v>
      </c>
      <c r="B2276" s="52">
        <f>MONTH(Data!F2276)</f>
        <v>3</v>
      </c>
      <c r="C2276" s="52" t="str">
        <f>TEXT(Data!F2276,"mmm")</f>
        <v>Mar</v>
      </c>
      <c r="D2276" s="52" t="str">
        <f>Data!O2276</f>
        <v>Male</v>
      </c>
      <c r="E2276" s="52">
        <f>Data!G2276-Data!F2276</f>
        <v>2</v>
      </c>
      <c r="F2276" s="52">
        <f>IF(Data!J2276&lt;=5,Data!J2276,IF(Data!J2276&lt;=10,"6 TO 10","More than 10"))</f>
        <v>3</v>
      </c>
      <c r="G2276" s="52">
        <f t="shared" si="35"/>
        <v>2</v>
      </c>
      <c r="H2276" s="52">
        <f>ROUND(Data!C2276*Data!D2276-Data!E2276,2)</f>
        <v>0</v>
      </c>
      <c r="I2276" s="52">
        <f>IF(AND(OR(Sel_Mode="All",Data!I2276=Sel_Mode),OR(Sel_Gender="All",D2276=Sel_Gender),OR(Sel_Category="All",Data!B2276=Sel_Category),OR(Sel_Month="All",C2276=Sel_Month),OR(Sel_County="All",Data!L2276=Sel_County)),1,0)</f>
        <v>1</v>
      </c>
    </row>
    <row r="2277" spans="1:9" x14ac:dyDescent="0.25">
      <c r="A2277" s="52" t="str">
        <f>Data!A2277</f>
        <v>TX502276</v>
      </c>
      <c r="B2277" s="52">
        <f>MONTH(Data!F2277)</f>
        <v>3</v>
      </c>
      <c r="C2277" s="52" t="str">
        <f>TEXT(Data!F2277,"mmm")</f>
        <v>Mar</v>
      </c>
      <c r="D2277" s="52" t="str">
        <f>Data!O2277</f>
        <v>Unknown</v>
      </c>
      <c r="E2277" s="52">
        <f>Data!G2277-Data!F2277</f>
        <v>2</v>
      </c>
      <c r="F2277" s="52">
        <f>IF(Data!J2277&lt;=5,Data!J2277,IF(Data!J2277&lt;=10,"6 TO 10","More than 10"))</f>
        <v>3</v>
      </c>
      <c r="G2277" s="52">
        <f t="shared" si="35"/>
        <v>2</v>
      </c>
      <c r="H2277" s="52">
        <f>ROUND(Data!C2277*Data!D2277-Data!E2277,2)</f>
        <v>0</v>
      </c>
      <c r="I2277" s="52">
        <f>IF(AND(OR(Sel_Mode="All",Data!I2277=Sel_Mode),OR(Sel_Gender="All",D2277=Sel_Gender),OR(Sel_Category="All",Data!B2277=Sel_Category),OR(Sel_Month="All",C2277=Sel_Month),OR(Sel_County="All",Data!L2277=Sel_County)),1,0)</f>
        <v>1</v>
      </c>
    </row>
    <row r="2278" spans="1:9" x14ac:dyDescent="0.25">
      <c r="A2278" s="52" t="str">
        <f>Data!A2278</f>
        <v>TX502277</v>
      </c>
      <c r="B2278" s="52">
        <f>MONTH(Data!F2278)</f>
        <v>3</v>
      </c>
      <c r="C2278" s="52" t="str">
        <f>TEXT(Data!F2278,"mmm")</f>
        <v>Mar</v>
      </c>
      <c r="D2278" s="52" t="str">
        <f>Data!O2278</f>
        <v>Female</v>
      </c>
      <c r="E2278" s="52">
        <f>Data!G2278-Data!F2278</f>
        <v>3</v>
      </c>
      <c r="F2278" s="52">
        <f>IF(Data!J2278&lt;=5,Data!J2278,IF(Data!J2278&lt;=10,"6 TO 10","More than 10"))</f>
        <v>5</v>
      </c>
      <c r="G2278" s="52">
        <f t="shared" si="35"/>
        <v>3</v>
      </c>
      <c r="H2278" s="52">
        <f>ROUND(Data!C2278*Data!D2278-Data!E2278,2)</f>
        <v>0</v>
      </c>
      <c r="I2278" s="52">
        <f>IF(AND(OR(Sel_Mode="All",Data!I2278=Sel_Mode),OR(Sel_Gender="All",D2278=Sel_Gender),OR(Sel_Category="All",Data!B2278=Sel_Category),OR(Sel_Month="All",C2278=Sel_Month),OR(Sel_County="All",Data!L2278=Sel_County)),1,0)</f>
        <v>1</v>
      </c>
    </row>
    <row r="2279" spans="1:9" x14ac:dyDescent="0.25">
      <c r="A2279" s="52" t="str">
        <f>Data!A2279</f>
        <v>TX502278</v>
      </c>
      <c r="B2279" s="52">
        <f>MONTH(Data!F2279)</f>
        <v>3</v>
      </c>
      <c r="C2279" s="52" t="str">
        <f>TEXT(Data!F2279,"mmm")</f>
        <v>Mar</v>
      </c>
      <c r="D2279" s="52" t="str">
        <f>Data!O2279</f>
        <v>Male</v>
      </c>
      <c r="E2279" s="52">
        <f>Data!G2279-Data!F2279</f>
        <v>1</v>
      </c>
      <c r="F2279" s="52">
        <f>IF(Data!J2279&lt;=5,Data!J2279,IF(Data!J2279&lt;=10,"6 TO 10","More than 10"))</f>
        <v>4</v>
      </c>
      <c r="G2279" s="52">
        <f t="shared" si="35"/>
        <v>1</v>
      </c>
      <c r="H2279" s="52">
        <f>ROUND(Data!C2279*Data!D2279-Data!E2279,2)</f>
        <v>0</v>
      </c>
      <c r="I2279" s="52">
        <f>IF(AND(OR(Sel_Mode="All",Data!I2279=Sel_Mode),OR(Sel_Gender="All",D2279=Sel_Gender),OR(Sel_Category="All",Data!B2279=Sel_Category),OR(Sel_Month="All",C2279=Sel_Month),OR(Sel_County="All",Data!L2279=Sel_County)),1,0)</f>
        <v>1</v>
      </c>
    </row>
    <row r="2280" spans="1:9" x14ac:dyDescent="0.25">
      <c r="A2280" s="52" t="str">
        <f>Data!A2280</f>
        <v>TX502279</v>
      </c>
      <c r="B2280" s="52">
        <f>MONTH(Data!F2280)</f>
        <v>3</v>
      </c>
      <c r="C2280" s="52" t="str">
        <f>TEXT(Data!F2280,"mmm")</f>
        <v>Mar</v>
      </c>
      <c r="D2280" s="52" t="str">
        <f>Data!O2280</f>
        <v>Male</v>
      </c>
      <c r="E2280" s="52">
        <f>Data!G2280-Data!F2280</f>
        <v>3</v>
      </c>
      <c r="F2280" s="52">
        <f>IF(Data!J2280&lt;=5,Data!J2280,IF(Data!J2280&lt;=10,"6 TO 10","More than 10"))</f>
        <v>4</v>
      </c>
      <c r="G2280" s="52">
        <f t="shared" si="35"/>
        <v>3</v>
      </c>
      <c r="H2280" s="52">
        <f>ROUND(Data!C2280*Data!D2280-Data!E2280,2)</f>
        <v>0</v>
      </c>
      <c r="I2280" s="52">
        <f>IF(AND(OR(Sel_Mode="All",Data!I2280=Sel_Mode),OR(Sel_Gender="All",D2280=Sel_Gender),OR(Sel_Category="All",Data!B2280=Sel_Category),OR(Sel_Month="All",C2280=Sel_Month),OR(Sel_County="All",Data!L2280=Sel_County)),1,0)</f>
        <v>1</v>
      </c>
    </row>
    <row r="2281" spans="1:9" x14ac:dyDescent="0.25">
      <c r="A2281" s="52" t="str">
        <f>Data!A2281</f>
        <v>TX502280</v>
      </c>
      <c r="B2281" s="52">
        <f>MONTH(Data!F2281)</f>
        <v>3</v>
      </c>
      <c r="C2281" s="52" t="str">
        <f>TEXT(Data!F2281,"mmm")</f>
        <v>Mar</v>
      </c>
      <c r="D2281" s="52" t="str">
        <f>Data!O2281</f>
        <v>Male</v>
      </c>
      <c r="E2281" s="52">
        <f>Data!G2281-Data!F2281</f>
        <v>1</v>
      </c>
      <c r="F2281" s="52">
        <f>IF(Data!J2281&lt;=5,Data!J2281,IF(Data!J2281&lt;=10,"6 TO 10","More than 10"))</f>
        <v>4</v>
      </c>
      <c r="G2281" s="52">
        <f t="shared" si="35"/>
        <v>1</v>
      </c>
      <c r="H2281" s="52">
        <f>ROUND(Data!C2281*Data!D2281-Data!E2281,2)</f>
        <v>0</v>
      </c>
      <c r="I2281" s="52">
        <f>IF(AND(OR(Sel_Mode="All",Data!I2281=Sel_Mode),OR(Sel_Gender="All",D2281=Sel_Gender),OR(Sel_Category="All",Data!B2281=Sel_Category),OR(Sel_Month="All",C2281=Sel_Month),OR(Sel_County="All",Data!L2281=Sel_County)),1,0)</f>
        <v>1</v>
      </c>
    </row>
    <row r="2282" spans="1:9" x14ac:dyDescent="0.25">
      <c r="A2282" s="52" t="str">
        <f>Data!A2282</f>
        <v>TX502281</v>
      </c>
      <c r="B2282" s="52">
        <f>MONTH(Data!F2282)</f>
        <v>3</v>
      </c>
      <c r="C2282" s="52" t="str">
        <f>TEXT(Data!F2282,"mmm")</f>
        <v>Mar</v>
      </c>
      <c r="D2282" s="52" t="str">
        <f>Data!O2282</f>
        <v>Male</v>
      </c>
      <c r="E2282" s="52">
        <f>Data!G2282-Data!F2282</f>
        <v>1</v>
      </c>
      <c r="F2282" s="52">
        <f>IF(Data!J2282&lt;=5,Data!J2282,IF(Data!J2282&lt;=10,"6 TO 10","More than 10"))</f>
        <v>4</v>
      </c>
      <c r="G2282" s="52">
        <f t="shared" si="35"/>
        <v>1</v>
      </c>
      <c r="H2282" s="52">
        <f>ROUND(Data!C2282*Data!D2282-Data!E2282,2)</f>
        <v>0</v>
      </c>
      <c r="I2282" s="52">
        <f>IF(AND(OR(Sel_Mode="All",Data!I2282=Sel_Mode),OR(Sel_Gender="All",D2282=Sel_Gender),OR(Sel_Category="All",Data!B2282=Sel_Category),OR(Sel_Month="All",C2282=Sel_Month),OR(Sel_County="All",Data!L2282=Sel_County)),1,0)</f>
        <v>1</v>
      </c>
    </row>
    <row r="2283" spans="1:9" x14ac:dyDescent="0.25">
      <c r="A2283" s="52" t="str">
        <f>Data!A2283</f>
        <v>TX502282</v>
      </c>
      <c r="B2283" s="52">
        <f>MONTH(Data!F2283)</f>
        <v>3</v>
      </c>
      <c r="C2283" s="52" t="str">
        <f>TEXT(Data!F2283,"mmm")</f>
        <v>Mar</v>
      </c>
      <c r="D2283" s="52" t="str">
        <f>Data!O2283</f>
        <v>Female</v>
      </c>
      <c r="E2283" s="52">
        <f>Data!G2283-Data!F2283</f>
        <v>4</v>
      </c>
      <c r="F2283" s="52">
        <f>IF(Data!J2283&lt;=5,Data!J2283,IF(Data!J2283&lt;=10,"6 TO 10","More than 10"))</f>
        <v>4</v>
      </c>
      <c r="G2283" s="52">
        <f t="shared" si="35"/>
        <v>4</v>
      </c>
      <c r="H2283" s="52">
        <f>ROUND(Data!C2283*Data!D2283-Data!E2283,2)</f>
        <v>0</v>
      </c>
      <c r="I2283" s="52">
        <f>IF(AND(OR(Sel_Mode="All",Data!I2283=Sel_Mode),OR(Sel_Gender="All",D2283=Sel_Gender),OR(Sel_Category="All",Data!B2283=Sel_Category),OR(Sel_Month="All",C2283=Sel_Month),OR(Sel_County="All",Data!L2283=Sel_County)),1,0)</f>
        <v>1</v>
      </c>
    </row>
    <row r="2284" spans="1:9" x14ac:dyDescent="0.25">
      <c r="A2284" s="52" t="str">
        <f>Data!A2284</f>
        <v>TX502283</v>
      </c>
      <c r="B2284" s="52">
        <f>MONTH(Data!F2284)</f>
        <v>3</v>
      </c>
      <c r="C2284" s="52" t="str">
        <f>TEXT(Data!F2284,"mmm")</f>
        <v>Mar</v>
      </c>
      <c r="D2284" s="52" t="str">
        <f>Data!O2284</f>
        <v>Female</v>
      </c>
      <c r="E2284" s="52">
        <f>Data!G2284-Data!F2284</f>
        <v>0</v>
      </c>
      <c r="F2284" s="52">
        <f>IF(Data!J2284&lt;=5,Data!J2284,IF(Data!J2284&lt;=10,"6 TO 10","More than 10"))</f>
        <v>5</v>
      </c>
      <c r="G2284" s="52">
        <f t="shared" si="35"/>
        <v>0</v>
      </c>
      <c r="H2284" s="52">
        <f>ROUND(Data!C2284*Data!D2284-Data!E2284,2)</f>
        <v>0</v>
      </c>
      <c r="I2284" s="52">
        <f>IF(AND(OR(Sel_Mode="All",Data!I2284=Sel_Mode),OR(Sel_Gender="All",D2284=Sel_Gender),OR(Sel_Category="All",Data!B2284=Sel_Category),OR(Sel_Month="All",C2284=Sel_Month),OR(Sel_County="All",Data!L2284=Sel_County)),1,0)</f>
        <v>1</v>
      </c>
    </row>
    <row r="2285" spans="1:9" x14ac:dyDescent="0.25">
      <c r="A2285" s="52" t="str">
        <f>Data!A2285</f>
        <v>TX502284</v>
      </c>
      <c r="B2285" s="52">
        <f>MONTH(Data!F2285)</f>
        <v>3</v>
      </c>
      <c r="C2285" s="52" t="str">
        <f>TEXT(Data!F2285,"mmm")</f>
        <v>Mar</v>
      </c>
      <c r="D2285" s="52" t="str">
        <f>Data!O2285</f>
        <v>Male</v>
      </c>
      <c r="E2285" s="52">
        <f>Data!G2285-Data!F2285</f>
        <v>2</v>
      </c>
      <c r="F2285" s="52">
        <f>IF(Data!J2285&lt;=5,Data!J2285,IF(Data!J2285&lt;=10,"6 TO 10","More than 10"))</f>
        <v>3</v>
      </c>
      <c r="G2285" s="52">
        <f t="shared" si="35"/>
        <v>2</v>
      </c>
      <c r="H2285" s="52">
        <f>ROUND(Data!C2285*Data!D2285-Data!E2285,2)</f>
        <v>0</v>
      </c>
      <c r="I2285" s="52">
        <f>IF(AND(OR(Sel_Mode="All",Data!I2285=Sel_Mode),OR(Sel_Gender="All",D2285=Sel_Gender),OR(Sel_Category="All",Data!B2285=Sel_Category),OR(Sel_Month="All",C2285=Sel_Month),OR(Sel_County="All",Data!L2285=Sel_County)),1,0)</f>
        <v>1</v>
      </c>
    </row>
    <row r="2286" spans="1:9" x14ac:dyDescent="0.25">
      <c r="A2286" s="52" t="str">
        <f>Data!A2286</f>
        <v>TX502285</v>
      </c>
      <c r="B2286" s="52">
        <f>MONTH(Data!F2286)</f>
        <v>3</v>
      </c>
      <c r="C2286" s="52" t="str">
        <f>TEXT(Data!F2286,"mmm")</f>
        <v>Mar</v>
      </c>
      <c r="D2286" s="52" t="str">
        <f>Data!O2286</f>
        <v>Male</v>
      </c>
      <c r="E2286" s="52">
        <f>Data!G2286-Data!F2286</f>
        <v>1</v>
      </c>
      <c r="F2286" s="52">
        <f>IF(Data!J2286&lt;=5,Data!J2286,IF(Data!J2286&lt;=10,"6 TO 10","More than 10"))</f>
        <v>3</v>
      </c>
      <c r="G2286" s="52">
        <f t="shared" si="35"/>
        <v>1</v>
      </c>
      <c r="H2286" s="52">
        <f>ROUND(Data!C2286*Data!D2286-Data!E2286,2)</f>
        <v>0</v>
      </c>
      <c r="I2286" s="52">
        <f>IF(AND(OR(Sel_Mode="All",Data!I2286=Sel_Mode),OR(Sel_Gender="All",D2286=Sel_Gender),OR(Sel_Category="All",Data!B2286=Sel_Category),OR(Sel_Month="All",C2286=Sel_Month),OR(Sel_County="All",Data!L2286=Sel_County)),1,0)</f>
        <v>1</v>
      </c>
    </row>
    <row r="2287" spans="1:9" x14ac:dyDescent="0.25">
      <c r="A2287" s="52" t="str">
        <f>Data!A2287</f>
        <v>TX502286</v>
      </c>
      <c r="B2287" s="52">
        <f>MONTH(Data!F2287)</f>
        <v>3</v>
      </c>
      <c r="C2287" s="52" t="str">
        <f>TEXT(Data!F2287,"mmm")</f>
        <v>Mar</v>
      </c>
      <c r="D2287" s="52" t="str">
        <f>Data!O2287</f>
        <v>Male</v>
      </c>
      <c r="E2287" s="52">
        <f>Data!G2287-Data!F2287</f>
        <v>2</v>
      </c>
      <c r="F2287" s="52">
        <f>IF(Data!J2287&lt;=5,Data!J2287,IF(Data!J2287&lt;=10,"6 TO 10","More than 10"))</f>
        <v>5</v>
      </c>
      <c r="G2287" s="52">
        <f t="shared" si="35"/>
        <v>2</v>
      </c>
      <c r="H2287" s="52">
        <f>ROUND(Data!C2287*Data!D2287-Data!E2287,2)</f>
        <v>0</v>
      </c>
      <c r="I2287" s="52">
        <f>IF(AND(OR(Sel_Mode="All",Data!I2287=Sel_Mode),OR(Sel_Gender="All",D2287=Sel_Gender),OR(Sel_Category="All",Data!B2287=Sel_Category),OR(Sel_Month="All",C2287=Sel_Month),OR(Sel_County="All",Data!L2287=Sel_County)),1,0)</f>
        <v>1</v>
      </c>
    </row>
    <row r="2288" spans="1:9" x14ac:dyDescent="0.25">
      <c r="A2288" s="52" t="str">
        <f>Data!A2288</f>
        <v>TX502287</v>
      </c>
      <c r="B2288" s="52">
        <f>MONTH(Data!F2288)</f>
        <v>3</v>
      </c>
      <c r="C2288" s="52" t="str">
        <f>TEXT(Data!F2288,"mmm")</f>
        <v>Mar</v>
      </c>
      <c r="D2288" s="52" t="str">
        <f>Data!O2288</f>
        <v>Male</v>
      </c>
      <c r="E2288" s="52">
        <f>Data!G2288-Data!F2288</f>
        <v>1</v>
      </c>
      <c r="F2288" s="52">
        <f>IF(Data!J2288&lt;=5,Data!J2288,IF(Data!J2288&lt;=10,"6 TO 10","More than 10"))</f>
        <v>4</v>
      </c>
      <c r="G2288" s="52">
        <f t="shared" si="35"/>
        <v>1</v>
      </c>
      <c r="H2288" s="52">
        <f>ROUND(Data!C2288*Data!D2288-Data!E2288,2)</f>
        <v>0</v>
      </c>
      <c r="I2288" s="52">
        <f>IF(AND(OR(Sel_Mode="All",Data!I2288=Sel_Mode),OR(Sel_Gender="All",D2288=Sel_Gender),OR(Sel_Category="All",Data!B2288=Sel_Category),OR(Sel_Month="All",C2288=Sel_Month),OR(Sel_County="All",Data!L2288=Sel_County)),1,0)</f>
        <v>1</v>
      </c>
    </row>
    <row r="2289" spans="1:9" x14ac:dyDescent="0.25">
      <c r="A2289" s="52" t="str">
        <f>Data!A2289</f>
        <v>TX502288</v>
      </c>
      <c r="B2289" s="52">
        <f>MONTH(Data!F2289)</f>
        <v>3</v>
      </c>
      <c r="C2289" s="52" t="str">
        <f>TEXT(Data!F2289,"mmm")</f>
        <v>Mar</v>
      </c>
      <c r="D2289" s="52" t="str">
        <f>Data!O2289</f>
        <v>Male</v>
      </c>
      <c r="E2289" s="52">
        <f>Data!G2289-Data!F2289</f>
        <v>3</v>
      </c>
      <c r="F2289" s="52">
        <f>IF(Data!J2289&lt;=5,Data!J2289,IF(Data!J2289&lt;=10,"6 TO 10","More than 10"))</f>
        <v>4</v>
      </c>
      <c r="G2289" s="52">
        <f t="shared" si="35"/>
        <v>3</v>
      </c>
      <c r="H2289" s="52">
        <f>ROUND(Data!C2289*Data!D2289-Data!E2289,2)</f>
        <v>0</v>
      </c>
      <c r="I2289" s="52">
        <f>IF(AND(OR(Sel_Mode="All",Data!I2289=Sel_Mode),OR(Sel_Gender="All",D2289=Sel_Gender),OR(Sel_Category="All",Data!B2289=Sel_Category),OR(Sel_Month="All",C2289=Sel_Month),OR(Sel_County="All",Data!L2289=Sel_County)),1,0)</f>
        <v>1</v>
      </c>
    </row>
    <row r="2290" spans="1:9" x14ac:dyDescent="0.25">
      <c r="A2290" s="52" t="str">
        <f>Data!A2290</f>
        <v>TX502289</v>
      </c>
      <c r="B2290" s="52">
        <f>MONTH(Data!F2290)</f>
        <v>3</v>
      </c>
      <c r="C2290" s="52" t="str">
        <f>TEXT(Data!F2290,"mmm")</f>
        <v>Mar</v>
      </c>
      <c r="D2290" s="52" t="str">
        <f>Data!O2290</f>
        <v>Other</v>
      </c>
      <c r="E2290" s="52">
        <f>Data!G2290-Data!F2290</f>
        <v>2</v>
      </c>
      <c r="F2290" s="52">
        <f>IF(Data!J2290&lt;=5,Data!J2290,IF(Data!J2290&lt;=10,"6 TO 10","More than 10"))</f>
        <v>3</v>
      </c>
      <c r="G2290" s="52">
        <f t="shared" si="35"/>
        <v>2</v>
      </c>
      <c r="H2290" s="52">
        <f>ROUND(Data!C2290*Data!D2290-Data!E2290,2)</f>
        <v>0</v>
      </c>
      <c r="I2290" s="52">
        <f>IF(AND(OR(Sel_Mode="All",Data!I2290=Sel_Mode),OR(Sel_Gender="All",D2290=Sel_Gender),OR(Sel_Category="All",Data!B2290=Sel_Category),OR(Sel_Month="All",C2290=Sel_Month),OR(Sel_County="All",Data!L2290=Sel_County)),1,0)</f>
        <v>1</v>
      </c>
    </row>
    <row r="2291" spans="1:9" x14ac:dyDescent="0.25">
      <c r="A2291" s="52" t="str">
        <f>Data!A2291</f>
        <v>TX502290</v>
      </c>
      <c r="B2291" s="52">
        <f>MONTH(Data!F2291)</f>
        <v>3</v>
      </c>
      <c r="C2291" s="52" t="str">
        <f>TEXT(Data!F2291,"mmm")</f>
        <v>Mar</v>
      </c>
      <c r="D2291" s="52" t="str">
        <f>Data!O2291</f>
        <v>Male</v>
      </c>
      <c r="E2291" s="52">
        <f>Data!G2291-Data!F2291</f>
        <v>1</v>
      </c>
      <c r="F2291" s="52">
        <f>IF(Data!J2291&lt;=5,Data!J2291,IF(Data!J2291&lt;=10,"6 TO 10","More than 10"))</f>
        <v>4</v>
      </c>
      <c r="G2291" s="52">
        <f t="shared" si="35"/>
        <v>1</v>
      </c>
      <c r="H2291" s="52">
        <f>ROUND(Data!C2291*Data!D2291-Data!E2291,2)</f>
        <v>0</v>
      </c>
      <c r="I2291" s="52">
        <f>IF(AND(OR(Sel_Mode="All",Data!I2291=Sel_Mode),OR(Sel_Gender="All",D2291=Sel_Gender),OR(Sel_Category="All",Data!B2291=Sel_Category),OR(Sel_Month="All",C2291=Sel_Month),OR(Sel_County="All",Data!L2291=Sel_County)),1,0)</f>
        <v>1</v>
      </c>
    </row>
    <row r="2292" spans="1:9" x14ac:dyDescent="0.25">
      <c r="A2292" s="52" t="str">
        <f>Data!A2292</f>
        <v>TX502291</v>
      </c>
      <c r="B2292" s="52">
        <f>MONTH(Data!F2292)</f>
        <v>3</v>
      </c>
      <c r="C2292" s="52" t="str">
        <f>TEXT(Data!F2292,"mmm")</f>
        <v>Mar</v>
      </c>
      <c r="D2292" s="52" t="str">
        <f>Data!O2292</f>
        <v>Male</v>
      </c>
      <c r="E2292" s="52">
        <f>Data!G2292-Data!F2292</f>
        <v>6</v>
      </c>
      <c r="F2292" s="52">
        <f>IF(Data!J2292&lt;=5,Data!J2292,IF(Data!J2292&lt;=10,"6 TO 10","More than 10"))</f>
        <v>4</v>
      </c>
      <c r="G2292" s="52">
        <f t="shared" si="35"/>
        <v>6</v>
      </c>
      <c r="H2292" s="52">
        <f>ROUND(Data!C2292*Data!D2292-Data!E2292,2)</f>
        <v>0</v>
      </c>
      <c r="I2292" s="52">
        <f>IF(AND(OR(Sel_Mode="All",Data!I2292=Sel_Mode),OR(Sel_Gender="All",D2292=Sel_Gender),OR(Sel_Category="All",Data!B2292=Sel_Category),OR(Sel_Month="All",C2292=Sel_Month),OR(Sel_County="All",Data!L2292=Sel_County)),1,0)</f>
        <v>1</v>
      </c>
    </row>
    <row r="2293" spans="1:9" x14ac:dyDescent="0.25">
      <c r="A2293" s="52" t="str">
        <f>Data!A2293</f>
        <v>TX502292</v>
      </c>
      <c r="B2293" s="52">
        <f>MONTH(Data!F2293)</f>
        <v>3</v>
      </c>
      <c r="C2293" s="52" t="str">
        <f>TEXT(Data!F2293,"mmm")</f>
        <v>Mar</v>
      </c>
      <c r="D2293" s="52" t="str">
        <f>Data!O2293</f>
        <v>Female</v>
      </c>
      <c r="E2293" s="52">
        <f>Data!G2293-Data!F2293</f>
        <v>1</v>
      </c>
      <c r="F2293" s="52">
        <f>IF(Data!J2293&lt;=5,Data!J2293,IF(Data!J2293&lt;=10,"6 TO 10","More than 10"))</f>
        <v>5</v>
      </c>
      <c r="G2293" s="52">
        <f t="shared" si="35"/>
        <v>1</v>
      </c>
      <c r="H2293" s="52">
        <f>ROUND(Data!C2293*Data!D2293-Data!E2293,2)</f>
        <v>0</v>
      </c>
      <c r="I2293" s="52">
        <f>IF(AND(OR(Sel_Mode="All",Data!I2293=Sel_Mode),OR(Sel_Gender="All",D2293=Sel_Gender),OR(Sel_Category="All",Data!B2293=Sel_Category),OR(Sel_Month="All",C2293=Sel_Month),OR(Sel_County="All",Data!L2293=Sel_County)),1,0)</f>
        <v>1</v>
      </c>
    </row>
    <row r="2294" spans="1:9" x14ac:dyDescent="0.25">
      <c r="A2294" s="52" t="str">
        <f>Data!A2294</f>
        <v>TX502293</v>
      </c>
      <c r="B2294" s="52">
        <f>MONTH(Data!F2294)</f>
        <v>3</v>
      </c>
      <c r="C2294" s="52" t="str">
        <f>TEXT(Data!F2294,"mmm")</f>
        <v>Mar</v>
      </c>
      <c r="D2294" s="52" t="str">
        <f>Data!O2294</f>
        <v>Male</v>
      </c>
      <c r="E2294" s="52">
        <f>Data!G2294-Data!F2294</f>
        <v>1</v>
      </c>
      <c r="F2294" s="52">
        <f>IF(Data!J2294&lt;=5,Data!J2294,IF(Data!J2294&lt;=10,"6 TO 10","More than 10"))</f>
        <v>3</v>
      </c>
      <c r="G2294" s="52">
        <f t="shared" si="35"/>
        <v>1</v>
      </c>
      <c r="H2294" s="52">
        <f>ROUND(Data!C2294*Data!D2294-Data!E2294,2)</f>
        <v>0</v>
      </c>
      <c r="I2294" s="52">
        <f>IF(AND(OR(Sel_Mode="All",Data!I2294=Sel_Mode),OR(Sel_Gender="All",D2294=Sel_Gender),OR(Sel_Category="All",Data!B2294=Sel_Category),OR(Sel_Month="All",C2294=Sel_Month),OR(Sel_County="All",Data!L2294=Sel_County)),1,0)</f>
        <v>1</v>
      </c>
    </row>
    <row r="2295" spans="1:9" x14ac:dyDescent="0.25">
      <c r="A2295" s="52" t="str">
        <f>Data!A2295</f>
        <v>TX502294</v>
      </c>
      <c r="B2295" s="52">
        <f>MONTH(Data!F2295)</f>
        <v>3</v>
      </c>
      <c r="C2295" s="52" t="str">
        <f>TEXT(Data!F2295,"mmm")</f>
        <v>Mar</v>
      </c>
      <c r="D2295" s="52" t="str">
        <f>Data!O2295</f>
        <v>Other</v>
      </c>
      <c r="E2295" s="52">
        <f>Data!G2295-Data!F2295</f>
        <v>2</v>
      </c>
      <c r="F2295" s="52">
        <f>IF(Data!J2295&lt;=5,Data!J2295,IF(Data!J2295&lt;=10,"6 TO 10","More than 10"))</f>
        <v>3</v>
      </c>
      <c r="G2295" s="52">
        <f t="shared" si="35"/>
        <v>2</v>
      </c>
      <c r="H2295" s="52">
        <f>ROUND(Data!C2295*Data!D2295-Data!E2295,2)</f>
        <v>0</v>
      </c>
      <c r="I2295" s="52">
        <f>IF(AND(OR(Sel_Mode="All",Data!I2295=Sel_Mode),OR(Sel_Gender="All",D2295=Sel_Gender),OR(Sel_Category="All",Data!B2295=Sel_Category),OR(Sel_Month="All",C2295=Sel_Month),OR(Sel_County="All",Data!L2295=Sel_County)),1,0)</f>
        <v>1</v>
      </c>
    </row>
    <row r="2296" spans="1:9" x14ac:dyDescent="0.25">
      <c r="A2296" s="52" t="str">
        <f>Data!A2296</f>
        <v>TX502295</v>
      </c>
      <c r="B2296" s="52">
        <f>MONTH(Data!F2296)</f>
        <v>3</v>
      </c>
      <c r="C2296" s="52" t="str">
        <f>TEXT(Data!F2296,"mmm")</f>
        <v>Mar</v>
      </c>
      <c r="D2296" s="52" t="str">
        <f>Data!O2296</f>
        <v>Male</v>
      </c>
      <c r="E2296" s="52">
        <f>Data!G2296-Data!F2296</f>
        <v>4</v>
      </c>
      <c r="F2296" s="52">
        <f>IF(Data!J2296&lt;=5,Data!J2296,IF(Data!J2296&lt;=10,"6 TO 10","More than 10"))</f>
        <v>2</v>
      </c>
      <c r="G2296" s="52">
        <f t="shared" si="35"/>
        <v>4</v>
      </c>
      <c r="H2296" s="52">
        <f>ROUND(Data!C2296*Data!D2296-Data!E2296,2)</f>
        <v>0</v>
      </c>
      <c r="I2296" s="52">
        <f>IF(AND(OR(Sel_Mode="All",Data!I2296=Sel_Mode),OR(Sel_Gender="All",D2296=Sel_Gender),OR(Sel_Category="All",Data!B2296=Sel_Category),OR(Sel_Month="All",C2296=Sel_Month),OR(Sel_County="All",Data!L2296=Sel_County)),1,0)</f>
        <v>1</v>
      </c>
    </row>
    <row r="2297" spans="1:9" x14ac:dyDescent="0.25">
      <c r="A2297" s="52" t="str">
        <f>Data!A2297</f>
        <v>TX502296</v>
      </c>
      <c r="B2297" s="52">
        <f>MONTH(Data!F2297)</f>
        <v>3</v>
      </c>
      <c r="C2297" s="52" t="str">
        <f>TEXT(Data!F2297,"mmm")</f>
        <v>Mar</v>
      </c>
      <c r="D2297" s="52" t="str">
        <f>Data!O2297</f>
        <v>Female</v>
      </c>
      <c r="E2297" s="52">
        <f>Data!G2297-Data!F2297</f>
        <v>2</v>
      </c>
      <c r="F2297" s="52">
        <f>IF(Data!J2297&lt;=5,Data!J2297,IF(Data!J2297&lt;=10,"6 TO 10","More than 10"))</f>
        <v>2</v>
      </c>
      <c r="G2297" s="52">
        <f t="shared" si="35"/>
        <v>2</v>
      </c>
      <c r="H2297" s="52">
        <f>ROUND(Data!C2297*Data!D2297-Data!E2297,2)</f>
        <v>0</v>
      </c>
      <c r="I2297" s="52">
        <f>IF(AND(OR(Sel_Mode="All",Data!I2297=Sel_Mode),OR(Sel_Gender="All",D2297=Sel_Gender),OR(Sel_Category="All",Data!B2297=Sel_Category),OR(Sel_Month="All",C2297=Sel_Month),OR(Sel_County="All",Data!L2297=Sel_County)),1,0)</f>
        <v>1</v>
      </c>
    </row>
    <row r="2298" spans="1:9" x14ac:dyDescent="0.25">
      <c r="A2298" s="52" t="str">
        <f>Data!A2298</f>
        <v>TX502297</v>
      </c>
      <c r="B2298" s="52">
        <f>MONTH(Data!F2298)</f>
        <v>3</v>
      </c>
      <c r="C2298" s="52" t="str">
        <f>TEXT(Data!F2298,"mmm")</f>
        <v>Mar</v>
      </c>
      <c r="D2298" s="52" t="str">
        <f>Data!O2298</f>
        <v>Male</v>
      </c>
      <c r="E2298" s="52">
        <f>Data!G2298-Data!F2298</f>
        <v>1</v>
      </c>
      <c r="F2298" s="52">
        <f>IF(Data!J2298&lt;=5,Data!J2298,IF(Data!J2298&lt;=10,"6 TO 10","More than 10"))</f>
        <v>5</v>
      </c>
      <c r="G2298" s="52">
        <f t="shared" si="35"/>
        <v>1</v>
      </c>
      <c r="H2298" s="52">
        <f>ROUND(Data!C2298*Data!D2298-Data!E2298,2)</f>
        <v>0</v>
      </c>
      <c r="I2298" s="52">
        <f>IF(AND(OR(Sel_Mode="All",Data!I2298=Sel_Mode),OR(Sel_Gender="All",D2298=Sel_Gender),OR(Sel_Category="All",Data!B2298=Sel_Category),OR(Sel_Month="All",C2298=Sel_Month),OR(Sel_County="All",Data!L2298=Sel_County)),1,0)</f>
        <v>1</v>
      </c>
    </row>
    <row r="2299" spans="1:9" x14ac:dyDescent="0.25">
      <c r="A2299" s="52" t="str">
        <f>Data!A2299</f>
        <v>TX502298</v>
      </c>
      <c r="B2299" s="52">
        <f>MONTH(Data!F2299)</f>
        <v>3</v>
      </c>
      <c r="C2299" s="52" t="str">
        <f>TEXT(Data!F2299,"mmm")</f>
        <v>Mar</v>
      </c>
      <c r="D2299" s="52" t="str">
        <f>Data!O2299</f>
        <v>Male</v>
      </c>
      <c r="E2299" s="52">
        <f>Data!G2299-Data!F2299</f>
        <v>2</v>
      </c>
      <c r="F2299" s="52">
        <f>IF(Data!J2299&lt;=5,Data!J2299,IF(Data!J2299&lt;=10,"6 TO 10","More than 10"))</f>
        <v>5</v>
      </c>
      <c r="G2299" s="52">
        <f t="shared" si="35"/>
        <v>2</v>
      </c>
      <c r="H2299" s="52">
        <f>ROUND(Data!C2299*Data!D2299-Data!E2299,2)</f>
        <v>0</v>
      </c>
      <c r="I2299" s="52">
        <f>IF(AND(OR(Sel_Mode="All",Data!I2299=Sel_Mode),OR(Sel_Gender="All",D2299=Sel_Gender),OR(Sel_Category="All",Data!B2299=Sel_Category),OR(Sel_Month="All",C2299=Sel_Month),OR(Sel_County="All",Data!L2299=Sel_County)),1,0)</f>
        <v>1</v>
      </c>
    </row>
    <row r="2300" spans="1:9" x14ac:dyDescent="0.25">
      <c r="A2300" s="52" t="str">
        <f>Data!A2300</f>
        <v>TX502299</v>
      </c>
      <c r="B2300" s="52">
        <f>MONTH(Data!F2300)</f>
        <v>3</v>
      </c>
      <c r="C2300" s="52" t="str">
        <f>TEXT(Data!F2300,"mmm")</f>
        <v>Mar</v>
      </c>
      <c r="D2300" s="52" t="str">
        <f>Data!O2300</f>
        <v>Male</v>
      </c>
      <c r="E2300" s="52">
        <f>Data!G2300-Data!F2300</f>
        <v>1</v>
      </c>
      <c r="F2300" s="52">
        <f>IF(Data!J2300&lt;=5,Data!J2300,IF(Data!J2300&lt;=10,"6 TO 10","More than 10"))</f>
        <v>4</v>
      </c>
      <c r="G2300" s="52">
        <f t="shared" si="35"/>
        <v>1</v>
      </c>
      <c r="H2300" s="52">
        <f>ROUND(Data!C2300*Data!D2300-Data!E2300,2)</f>
        <v>0</v>
      </c>
      <c r="I2300" s="52">
        <f>IF(AND(OR(Sel_Mode="All",Data!I2300=Sel_Mode),OR(Sel_Gender="All",D2300=Sel_Gender),OR(Sel_Category="All",Data!B2300=Sel_Category),OR(Sel_Month="All",C2300=Sel_Month),OR(Sel_County="All",Data!L2300=Sel_County)),1,0)</f>
        <v>1</v>
      </c>
    </row>
    <row r="2301" spans="1:9" x14ac:dyDescent="0.25">
      <c r="A2301" s="52" t="str">
        <f>Data!A2301</f>
        <v>TX502300</v>
      </c>
      <c r="B2301" s="52">
        <f>MONTH(Data!F2301)</f>
        <v>3</v>
      </c>
      <c r="C2301" s="52" t="str">
        <f>TEXT(Data!F2301,"mmm")</f>
        <v>Mar</v>
      </c>
      <c r="D2301" s="52" t="str">
        <f>Data!O2301</f>
        <v>Female</v>
      </c>
      <c r="E2301" s="52">
        <f>Data!G2301-Data!F2301</f>
        <v>14</v>
      </c>
      <c r="F2301" s="52">
        <f>IF(Data!J2301&lt;=5,Data!J2301,IF(Data!J2301&lt;=10,"6 TO 10","More than 10"))</f>
        <v>4</v>
      </c>
      <c r="G2301" s="52" t="str">
        <f t="shared" si="35"/>
        <v>8+</v>
      </c>
      <c r="H2301" s="52">
        <f>ROUND(Data!C2301*Data!D2301-Data!E2301,2)</f>
        <v>0</v>
      </c>
      <c r="I2301" s="52">
        <f>IF(AND(OR(Sel_Mode="All",Data!I2301=Sel_Mode),OR(Sel_Gender="All",D2301=Sel_Gender),OR(Sel_Category="All",Data!B2301=Sel_Category),OR(Sel_Month="All",C2301=Sel_Month),OR(Sel_County="All",Data!L2301=Sel_County)),1,0)</f>
        <v>1</v>
      </c>
    </row>
    <row r="2302" spans="1:9" x14ac:dyDescent="0.25">
      <c r="A2302" s="52" t="str">
        <f>Data!A2302</f>
        <v>TX502301</v>
      </c>
      <c r="B2302" s="52">
        <f>MONTH(Data!F2302)</f>
        <v>3</v>
      </c>
      <c r="C2302" s="52" t="str">
        <f>TEXT(Data!F2302,"mmm")</f>
        <v>Mar</v>
      </c>
      <c r="D2302" s="52" t="str">
        <f>Data!O2302</f>
        <v>Male</v>
      </c>
      <c r="E2302" s="52">
        <f>Data!G2302-Data!F2302</f>
        <v>1</v>
      </c>
      <c r="F2302" s="52">
        <f>IF(Data!J2302&lt;=5,Data!J2302,IF(Data!J2302&lt;=10,"6 TO 10","More than 10"))</f>
        <v>4</v>
      </c>
      <c r="G2302" s="52">
        <f t="shared" si="35"/>
        <v>1</v>
      </c>
      <c r="H2302" s="52">
        <f>ROUND(Data!C2302*Data!D2302-Data!E2302,2)</f>
        <v>0</v>
      </c>
      <c r="I2302" s="52">
        <f>IF(AND(OR(Sel_Mode="All",Data!I2302=Sel_Mode),OR(Sel_Gender="All",D2302=Sel_Gender),OR(Sel_Category="All",Data!B2302=Sel_Category),OR(Sel_Month="All",C2302=Sel_Month),OR(Sel_County="All",Data!L2302=Sel_County)),1,0)</f>
        <v>1</v>
      </c>
    </row>
    <row r="2303" spans="1:9" x14ac:dyDescent="0.25">
      <c r="A2303" s="52" t="str">
        <f>Data!A2303</f>
        <v>TX502302</v>
      </c>
      <c r="B2303" s="52">
        <f>MONTH(Data!F2303)</f>
        <v>3</v>
      </c>
      <c r="C2303" s="52" t="str">
        <f>TEXT(Data!F2303,"mmm")</f>
        <v>Mar</v>
      </c>
      <c r="D2303" s="52" t="str">
        <f>Data!O2303</f>
        <v>Male</v>
      </c>
      <c r="E2303" s="52">
        <f>Data!G2303-Data!F2303</f>
        <v>7</v>
      </c>
      <c r="F2303" s="52">
        <f>IF(Data!J2303&lt;=5,Data!J2303,IF(Data!J2303&lt;=10,"6 TO 10","More than 10"))</f>
        <v>3</v>
      </c>
      <c r="G2303" s="52">
        <f t="shared" si="35"/>
        <v>7</v>
      </c>
      <c r="H2303" s="52">
        <f>ROUND(Data!C2303*Data!D2303-Data!E2303,2)</f>
        <v>0</v>
      </c>
      <c r="I2303" s="52">
        <f>IF(AND(OR(Sel_Mode="All",Data!I2303=Sel_Mode),OR(Sel_Gender="All",D2303=Sel_Gender),OR(Sel_Category="All",Data!B2303=Sel_Category),OR(Sel_Month="All",C2303=Sel_Month),OR(Sel_County="All",Data!L2303=Sel_County)),1,0)</f>
        <v>1</v>
      </c>
    </row>
    <row r="2304" spans="1:9" x14ac:dyDescent="0.25">
      <c r="A2304" s="52" t="str">
        <f>Data!A2304</f>
        <v>TX502303</v>
      </c>
      <c r="B2304" s="52">
        <f>MONTH(Data!F2304)</f>
        <v>3</v>
      </c>
      <c r="C2304" s="52" t="str">
        <f>TEXT(Data!F2304,"mmm")</f>
        <v>Mar</v>
      </c>
      <c r="D2304" s="52" t="str">
        <f>Data!O2304</f>
        <v>Male</v>
      </c>
      <c r="E2304" s="52">
        <f>Data!G2304-Data!F2304</f>
        <v>2</v>
      </c>
      <c r="F2304" s="52">
        <f>IF(Data!J2304&lt;=5,Data!J2304,IF(Data!J2304&lt;=10,"6 TO 10","More than 10"))</f>
        <v>4</v>
      </c>
      <c r="G2304" s="52">
        <f t="shared" si="35"/>
        <v>2</v>
      </c>
      <c r="H2304" s="52">
        <f>ROUND(Data!C2304*Data!D2304-Data!E2304,2)</f>
        <v>0</v>
      </c>
      <c r="I2304" s="52">
        <f>IF(AND(OR(Sel_Mode="All",Data!I2304=Sel_Mode),OR(Sel_Gender="All",D2304=Sel_Gender),OR(Sel_Category="All",Data!B2304=Sel_Category),OR(Sel_Month="All",C2304=Sel_Month),OR(Sel_County="All",Data!L2304=Sel_County)),1,0)</f>
        <v>1</v>
      </c>
    </row>
    <row r="2305" spans="1:9" x14ac:dyDescent="0.25">
      <c r="A2305" s="52" t="str">
        <f>Data!A2305</f>
        <v>TX502304</v>
      </c>
      <c r="B2305" s="52">
        <f>MONTH(Data!F2305)</f>
        <v>3</v>
      </c>
      <c r="C2305" s="52" t="str">
        <f>TEXT(Data!F2305,"mmm")</f>
        <v>Mar</v>
      </c>
      <c r="D2305" s="52" t="str">
        <f>Data!O2305</f>
        <v>Female</v>
      </c>
      <c r="E2305" s="52">
        <f>Data!G2305-Data!F2305</f>
        <v>3</v>
      </c>
      <c r="F2305" s="52">
        <f>IF(Data!J2305&lt;=5,Data!J2305,IF(Data!J2305&lt;=10,"6 TO 10","More than 10"))</f>
        <v>4</v>
      </c>
      <c r="G2305" s="52">
        <f t="shared" si="35"/>
        <v>3</v>
      </c>
      <c r="H2305" s="52">
        <f>ROUND(Data!C2305*Data!D2305-Data!E2305,2)</f>
        <v>0</v>
      </c>
      <c r="I2305" s="52">
        <f>IF(AND(OR(Sel_Mode="All",Data!I2305=Sel_Mode),OR(Sel_Gender="All",D2305=Sel_Gender),OR(Sel_Category="All",Data!B2305=Sel_Category),OR(Sel_Month="All",C2305=Sel_Month),OR(Sel_County="All",Data!L2305=Sel_County)),1,0)</f>
        <v>1</v>
      </c>
    </row>
    <row r="2306" spans="1:9" x14ac:dyDescent="0.25">
      <c r="A2306" s="52" t="str">
        <f>Data!A2306</f>
        <v>TX502305</v>
      </c>
      <c r="B2306" s="52">
        <f>MONTH(Data!F2306)</f>
        <v>3</v>
      </c>
      <c r="C2306" s="52" t="str">
        <f>TEXT(Data!F2306,"mmm")</f>
        <v>Mar</v>
      </c>
      <c r="D2306" s="52" t="str">
        <f>Data!O2306</f>
        <v>Female</v>
      </c>
      <c r="E2306" s="52">
        <f>Data!G2306-Data!F2306</f>
        <v>4</v>
      </c>
      <c r="F2306" s="52">
        <f>IF(Data!J2306&lt;=5,Data!J2306,IF(Data!J2306&lt;=10,"6 TO 10","More than 10"))</f>
        <v>3</v>
      </c>
      <c r="G2306" s="52">
        <f t="shared" ref="G2306:G2369" si="36">IF(E2306&gt;=8,"8+",E2306)</f>
        <v>4</v>
      </c>
      <c r="H2306" s="52">
        <f>ROUND(Data!C2306*Data!D2306-Data!E2306,2)</f>
        <v>0</v>
      </c>
      <c r="I2306" s="52">
        <f>IF(AND(OR(Sel_Mode="All",Data!I2306=Sel_Mode),OR(Sel_Gender="All",D2306=Sel_Gender),OR(Sel_Category="All",Data!B2306=Sel_Category),OR(Sel_Month="All",C2306=Sel_Month),OR(Sel_County="All",Data!L2306=Sel_County)),1,0)</f>
        <v>1</v>
      </c>
    </row>
    <row r="2307" spans="1:9" x14ac:dyDescent="0.25">
      <c r="A2307" s="52" t="str">
        <f>Data!A2307</f>
        <v>TX502306</v>
      </c>
      <c r="B2307" s="52">
        <f>MONTH(Data!F2307)</f>
        <v>3</v>
      </c>
      <c r="C2307" s="52" t="str">
        <f>TEXT(Data!F2307,"mmm")</f>
        <v>Mar</v>
      </c>
      <c r="D2307" s="52" t="str">
        <f>Data!O2307</f>
        <v>Male</v>
      </c>
      <c r="E2307" s="52">
        <f>Data!G2307-Data!F2307</f>
        <v>1</v>
      </c>
      <c r="F2307" s="52">
        <f>IF(Data!J2307&lt;=5,Data!J2307,IF(Data!J2307&lt;=10,"6 TO 10","More than 10"))</f>
        <v>3</v>
      </c>
      <c r="G2307" s="52">
        <f t="shared" si="36"/>
        <v>1</v>
      </c>
      <c r="H2307" s="52">
        <f>ROUND(Data!C2307*Data!D2307-Data!E2307,2)</f>
        <v>0</v>
      </c>
      <c r="I2307" s="52">
        <f>IF(AND(OR(Sel_Mode="All",Data!I2307=Sel_Mode),OR(Sel_Gender="All",D2307=Sel_Gender),OR(Sel_Category="All",Data!B2307=Sel_Category),OR(Sel_Month="All",C2307=Sel_Month),OR(Sel_County="All",Data!L2307=Sel_County)),1,0)</f>
        <v>1</v>
      </c>
    </row>
    <row r="2308" spans="1:9" x14ac:dyDescent="0.25">
      <c r="A2308" s="52" t="str">
        <f>Data!A2308</f>
        <v>TX502307</v>
      </c>
      <c r="B2308" s="52">
        <f>MONTH(Data!F2308)</f>
        <v>3</v>
      </c>
      <c r="C2308" s="52" t="str">
        <f>TEXT(Data!F2308,"mmm")</f>
        <v>Mar</v>
      </c>
      <c r="D2308" s="52" t="str">
        <f>Data!O2308</f>
        <v>Female</v>
      </c>
      <c r="E2308" s="52">
        <f>Data!G2308-Data!F2308</f>
        <v>2</v>
      </c>
      <c r="F2308" s="52">
        <f>IF(Data!J2308&lt;=5,Data!J2308,IF(Data!J2308&lt;=10,"6 TO 10","More than 10"))</f>
        <v>5</v>
      </c>
      <c r="G2308" s="52">
        <f t="shared" si="36"/>
        <v>2</v>
      </c>
      <c r="H2308" s="52">
        <f>ROUND(Data!C2308*Data!D2308-Data!E2308,2)</f>
        <v>0</v>
      </c>
      <c r="I2308" s="52">
        <f>IF(AND(OR(Sel_Mode="All",Data!I2308=Sel_Mode),OR(Sel_Gender="All",D2308=Sel_Gender),OR(Sel_Category="All",Data!B2308=Sel_Category),OR(Sel_Month="All",C2308=Sel_Month),OR(Sel_County="All",Data!L2308=Sel_County)),1,0)</f>
        <v>1</v>
      </c>
    </row>
    <row r="2309" spans="1:9" x14ac:dyDescent="0.25">
      <c r="A2309" s="52" t="str">
        <f>Data!A2309</f>
        <v>TX502308</v>
      </c>
      <c r="B2309" s="52">
        <f>MONTH(Data!F2309)</f>
        <v>3</v>
      </c>
      <c r="C2309" s="52" t="str">
        <f>TEXT(Data!F2309,"mmm")</f>
        <v>Mar</v>
      </c>
      <c r="D2309" s="52" t="str">
        <f>Data!O2309</f>
        <v>Unknown</v>
      </c>
      <c r="E2309" s="52">
        <f>Data!G2309-Data!F2309</f>
        <v>10</v>
      </c>
      <c r="F2309" s="52">
        <f>IF(Data!J2309&lt;=5,Data!J2309,IF(Data!J2309&lt;=10,"6 TO 10","More than 10"))</f>
        <v>4</v>
      </c>
      <c r="G2309" s="52" t="str">
        <f t="shared" si="36"/>
        <v>8+</v>
      </c>
      <c r="H2309" s="52">
        <f>ROUND(Data!C2309*Data!D2309-Data!E2309,2)</f>
        <v>0</v>
      </c>
      <c r="I2309" s="52">
        <f>IF(AND(OR(Sel_Mode="All",Data!I2309=Sel_Mode),OR(Sel_Gender="All",D2309=Sel_Gender),OR(Sel_Category="All",Data!B2309=Sel_Category),OR(Sel_Month="All",C2309=Sel_Month),OR(Sel_County="All",Data!L2309=Sel_County)),1,0)</f>
        <v>1</v>
      </c>
    </row>
    <row r="2310" spans="1:9" x14ac:dyDescent="0.25">
      <c r="A2310" s="52" t="str">
        <f>Data!A2310</f>
        <v>TX502309</v>
      </c>
      <c r="B2310" s="52">
        <f>MONTH(Data!F2310)</f>
        <v>3</v>
      </c>
      <c r="C2310" s="52" t="str">
        <f>TEXT(Data!F2310,"mmm")</f>
        <v>Mar</v>
      </c>
      <c r="D2310" s="52" t="str">
        <f>Data!O2310</f>
        <v>Male</v>
      </c>
      <c r="E2310" s="52">
        <f>Data!G2310-Data!F2310</f>
        <v>0</v>
      </c>
      <c r="F2310" s="52">
        <f>IF(Data!J2310&lt;=5,Data!J2310,IF(Data!J2310&lt;=10,"6 TO 10","More than 10"))</f>
        <v>2</v>
      </c>
      <c r="G2310" s="52">
        <f t="shared" si="36"/>
        <v>0</v>
      </c>
      <c r="H2310" s="52">
        <f>ROUND(Data!C2310*Data!D2310-Data!E2310,2)</f>
        <v>0</v>
      </c>
      <c r="I2310" s="52">
        <f>IF(AND(OR(Sel_Mode="All",Data!I2310=Sel_Mode),OR(Sel_Gender="All",D2310=Sel_Gender),OR(Sel_Category="All",Data!B2310=Sel_Category),OR(Sel_Month="All",C2310=Sel_Month),OR(Sel_County="All",Data!L2310=Sel_County)),1,0)</f>
        <v>1</v>
      </c>
    </row>
    <row r="2311" spans="1:9" x14ac:dyDescent="0.25">
      <c r="A2311" s="52" t="str">
        <f>Data!A2311</f>
        <v>TX502310</v>
      </c>
      <c r="B2311" s="52">
        <f>MONTH(Data!F2311)</f>
        <v>3</v>
      </c>
      <c r="C2311" s="52" t="str">
        <f>TEXT(Data!F2311,"mmm")</f>
        <v>Mar</v>
      </c>
      <c r="D2311" s="52" t="str">
        <f>Data!O2311</f>
        <v>Male</v>
      </c>
      <c r="E2311" s="52">
        <f>Data!G2311-Data!F2311</f>
        <v>2</v>
      </c>
      <c r="F2311" s="52">
        <f>IF(Data!J2311&lt;=5,Data!J2311,IF(Data!J2311&lt;=10,"6 TO 10","More than 10"))</f>
        <v>4</v>
      </c>
      <c r="G2311" s="52">
        <f t="shared" si="36"/>
        <v>2</v>
      </c>
      <c r="H2311" s="52">
        <f>ROUND(Data!C2311*Data!D2311-Data!E2311,2)</f>
        <v>0</v>
      </c>
      <c r="I2311" s="52">
        <f>IF(AND(OR(Sel_Mode="All",Data!I2311=Sel_Mode),OR(Sel_Gender="All",D2311=Sel_Gender),OR(Sel_Category="All",Data!B2311=Sel_Category),OR(Sel_Month="All",C2311=Sel_Month),OR(Sel_County="All",Data!L2311=Sel_County)),1,0)</f>
        <v>1</v>
      </c>
    </row>
    <row r="2312" spans="1:9" x14ac:dyDescent="0.25">
      <c r="A2312" s="52" t="str">
        <f>Data!A2312</f>
        <v>TX502311</v>
      </c>
      <c r="B2312" s="52">
        <f>MONTH(Data!F2312)</f>
        <v>3</v>
      </c>
      <c r="C2312" s="52" t="str">
        <f>TEXT(Data!F2312,"mmm")</f>
        <v>Mar</v>
      </c>
      <c r="D2312" s="52" t="str">
        <f>Data!O2312</f>
        <v>Male</v>
      </c>
      <c r="E2312" s="52">
        <f>Data!G2312-Data!F2312</f>
        <v>1</v>
      </c>
      <c r="F2312" s="52">
        <f>IF(Data!J2312&lt;=5,Data!J2312,IF(Data!J2312&lt;=10,"6 TO 10","More than 10"))</f>
        <v>3</v>
      </c>
      <c r="G2312" s="52">
        <f t="shared" si="36"/>
        <v>1</v>
      </c>
      <c r="H2312" s="52">
        <f>ROUND(Data!C2312*Data!D2312-Data!E2312,2)</f>
        <v>0</v>
      </c>
      <c r="I2312" s="52">
        <f>IF(AND(OR(Sel_Mode="All",Data!I2312=Sel_Mode),OR(Sel_Gender="All",D2312=Sel_Gender),OR(Sel_Category="All",Data!B2312=Sel_Category),OR(Sel_Month="All",C2312=Sel_Month),OR(Sel_County="All",Data!L2312=Sel_County)),1,0)</f>
        <v>1</v>
      </c>
    </row>
    <row r="2313" spans="1:9" x14ac:dyDescent="0.25">
      <c r="A2313" s="52" t="str">
        <f>Data!A2313</f>
        <v>TX502312</v>
      </c>
      <c r="B2313" s="52">
        <f>MONTH(Data!F2313)</f>
        <v>3</v>
      </c>
      <c r="C2313" s="52" t="str">
        <f>TEXT(Data!F2313,"mmm")</f>
        <v>Mar</v>
      </c>
      <c r="D2313" s="52" t="str">
        <f>Data!O2313</f>
        <v>Female</v>
      </c>
      <c r="E2313" s="52">
        <f>Data!G2313-Data!F2313</f>
        <v>2</v>
      </c>
      <c r="F2313" s="52">
        <f>IF(Data!J2313&lt;=5,Data!J2313,IF(Data!J2313&lt;=10,"6 TO 10","More than 10"))</f>
        <v>3</v>
      </c>
      <c r="G2313" s="52">
        <f t="shared" si="36"/>
        <v>2</v>
      </c>
      <c r="H2313" s="52">
        <f>ROUND(Data!C2313*Data!D2313-Data!E2313,2)</f>
        <v>0</v>
      </c>
      <c r="I2313" s="52">
        <f>IF(AND(OR(Sel_Mode="All",Data!I2313=Sel_Mode),OR(Sel_Gender="All",D2313=Sel_Gender),OR(Sel_Category="All",Data!B2313=Sel_Category),OR(Sel_Month="All",C2313=Sel_Month),OR(Sel_County="All",Data!L2313=Sel_County)),1,0)</f>
        <v>1</v>
      </c>
    </row>
    <row r="2314" spans="1:9" x14ac:dyDescent="0.25">
      <c r="A2314" s="52" t="str">
        <f>Data!A2314</f>
        <v>TX502313</v>
      </c>
      <c r="B2314" s="52">
        <f>MONTH(Data!F2314)</f>
        <v>3</v>
      </c>
      <c r="C2314" s="52" t="str">
        <f>TEXT(Data!F2314,"mmm")</f>
        <v>Mar</v>
      </c>
      <c r="D2314" s="52" t="str">
        <f>Data!O2314</f>
        <v>Female</v>
      </c>
      <c r="E2314" s="52">
        <f>Data!G2314-Data!F2314</f>
        <v>2</v>
      </c>
      <c r="F2314" s="52">
        <f>IF(Data!J2314&lt;=5,Data!J2314,IF(Data!J2314&lt;=10,"6 TO 10","More than 10"))</f>
        <v>4</v>
      </c>
      <c r="G2314" s="52">
        <f t="shared" si="36"/>
        <v>2</v>
      </c>
      <c r="H2314" s="52">
        <f>ROUND(Data!C2314*Data!D2314-Data!E2314,2)</f>
        <v>0</v>
      </c>
      <c r="I2314" s="52">
        <f>IF(AND(OR(Sel_Mode="All",Data!I2314=Sel_Mode),OR(Sel_Gender="All",D2314=Sel_Gender),OR(Sel_Category="All",Data!B2314=Sel_Category),OR(Sel_Month="All",C2314=Sel_Month),OR(Sel_County="All",Data!L2314=Sel_County)),1,0)</f>
        <v>1</v>
      </c>
    </row>
    <row r="2315" spans="1:9" x14ac:dyDescent="0.25">
      <c r="A2315" s="52" t="str">
        <f>Data!A2315</f>
        <v>TX502314</v>
      </c>
      <c r="B2315" s="52">
        <f>MONTH(Data!F2315)</f>
        <v>3</v>
      </c>
      <c r="C2315" s="52" t="str">
        <f>TEXT(Data!F2315,"mmm")</f>
        <v>Mar</v>
      </c>
      <c r="D2315" s="52" t="str">
        <f>Data!O2315</f>
        <v>Female</v>
      </c>
      <c r="E2315" s="52">
        <f>Data!G2315-Data!F2315</f>
        <v>4</v>
      </c>
      <c r="F2315" s="52">
        <f>IF(Data!J2315&lt;=5,Data!J2315,IF(Data!J2315&lt;=10,"6 TO 10","More than 10"))</f>
        <v>1</v>
      </c>
      <c r="G2315" s="52">
        <f t="shared" si="36"/>
        <v>4</v>
      </c>
      <c r="H2315" s="52">
        <f>ROUND(Data!C2315*Data!D2315-Data!E2315,2)</f>
        <v>0</v>
      </c>
      <c r="I2315" s="52">
        <f>IF(AND(OR(Sel_Mode="All",Data!I2315=Sel_Mode),OR(Sel_Gender="All",D2315=Sel_Gender),OR(Sel_Category="All",Data!B2315=Sel_Category),OR(Sel_Month="All",C2315=Sel_Month),OR(Sel_County="All",Data!L2315=Sel_County)),1,0)</f>
        <v>1</v>
      </c>
    </row>
    <row r="2316" spans="1:9" x14ac:dyDescent="0.25">
      <c r="A2316" s="52" t="str">
        <f>Data!A2316</f>
        <v>TX502315</v>
      </c>
      <c r="B2316" s="52">
        <f>MONTH(Data!F2316)</f>
        <v>3</v>
      </c>
      <c r="C2316" s="52" t="str">
        <f>TEXT(Data!F2316,"mmm")</f>
        <v>Mar</v>
      </c>
      <c r="D2316" s="52" t="str">
        <f>Data!O2316</f>
        <v>Female</v>
      </c>
      <c r="E2316" s="52">
        <f>Data!G2316-Data!F2316</f>
        <v>1</v>
      </c>
      <c r="F2316" s="52">
        <f>IF(Data!J2316&lt;=5,Data!J2316,IF(Data!J2316&lt;=10,"6 TO 10","More than 10"))</f>
        <v>4</v>
      </c>
      <c r="G2316" s="52">
        <f t="shared" si="36"/>
        <v>1</v>
      </c>
      <c r="H2316" s="52">
        <f>ROUND(Data!C2316*Data!D2316-Data!E2316,2)</f>
        <v>0</v>
      </c>
      <c r="I2316" s="52">
        <f>IF(AND(OR(Sel_Mode="All",Data!I2316=Sel_Mode),OR(Sel_Gender="All",D2316=Sel_Gender),OR(Sel_Category="All",Data!B2316=Sel_Category),OR(Sel_Month="All",C2316=Sel_Month),OR(Sel_County="All",Data!L2316=Sel_County)),1,0)</f>
        <v>1</v>
      </c>
    </row>
    <row r="2317" spans="1:9" x14ac:dyDescent="0.25">
      <c r="A2317" s="52" t="str">
        <f>Data!A2317</f>
        <v>TX502316</v>
      </c>
      <c r="B2317" s="52">
        <f>MONTH(Data!F2317)</f>
        <v>3</v>
      </c>
      <c r="C2317" s="52" t="str">
        <f>TEXT(Data!F2317,"mmm")</f>
        <v>Mar</v>
      </c>
      <c r="D2317" s="52" t="str">
        <f>Data!O2317</f>
        <v>Female</v>
      </c>
      <c r="E2317" s="52">
        <f>Data!G2317-Data!F2317</f>
        <v>6</v>
      </c>
      <c r="F2317" s="52">
        <f>IF(Data!J2317&lt;=5,Data!J2317,IF(Data!J2317&lt;=10,"6 TO 10","More than 10"))</f>
        <v>5</v>
      </c>
      <c r="G2317" s="52">
        <f t="shared" si="36"/>
        <v>6</v>
      </c>
      <c r="H2317" s="52">
        <f>ROUND(Data!C2317*Data!D2317-Data!E2317,2)</f>
        <v>0</v>
      </c>
      <c r="I2317" s="52">
        <f>IF(AND(OR(Sel_Mode="All",Data!I2317=Sel_Mode),OR(Sel_Gender="All",D2317=Sel_Gender),OR(Sel_Category="All",Data!B2317=Sel_Category),OR(Sel_Month="All",C2317=Sel_Month),OR(Sel_County="All",Data!L2317=Sel_County)),1,0)</f>
        <v>1</v>
      </c>
    </row>
    <row r="2318" spans="1:9" x14ac:dyDescent="0.25">
      <c r="A2318" s="52" t="str">
        <f>Data!A2318</f>
        <v>TX502317</v>
      </c>
      <c r="B2318" s="52">
        <f>MONTH(Data!F2318)</f>
        <v>3</v>
      </c>
      <c r="C2318" s="52" t="str">
        <f>TEXT(Data!F2318,"mmm")</f>
        <v>Mar</v>
      </c>
      <c r="D2318" s="52" t="str">
        <f>Data!O2318</f>
        <v>Male</v>
      </c>
      <c r="E2318" s="52">
        <f>Data!G2318-Data!F2318</f>
        <v>2</v>
      </c>
      <c r="F2318" s="52">
        <f>IF(Data!J2318&lt;=5,Data!J2318,IF(Data!J2318&lt;=10,"6 TO 10","More than 10"))</f>
        <v>5</v>
      </c>
      <c r="G2318" s="52">
        <f t="shared" si="36"/>
        <v>2</v>
      </c>
      <c r="H2318" s="52">
        <f>ROUND(Data!C2318*Data!D2318-Data!E2318,2)</f>
        <v>0</v>
      </c>
      <c r="I2318" s="52">
        <f>IF(AND(OR(Sel_Mode="All",Data!I2318=Sel_Mode),OR(Sel_Gender="All",D2318=Sel_Gender),OR(Sel_Category="All",Data!B2318=Sel_Category),OR(Sel_Month="All",C2318=Sel_Month),OR(Sel_County="All",Data!L2318=Sel_County)),1,0)</f>
        <v>1</v>
      </c>
    </row>
    <row r="2319" spans="1:9" x14ac:dyDescent="0.25">
      <c r="A2319" s="52" t="str">
        <f>Data!A2319</f>
        <v>TX502318</v>
      </c>
      <c r="B2319" s="52">
        <f>MONTH(Data!F2319)</f>
        <v>3</v>
      </c>
      <c r="C2319" s="52" t="str">
        <f>TEXT(Data!F2319,"mmm")</f>
        <v>Mar</v>
      </c>
      <c r="D2319" s="52" t="str">
        <f>Data!O2319</f>
        <v>Unknown</v>
      </c>
      <c r="E2319" s="52">
        <f>Data!G2319-Data!F2319</f>
        <v>2</v>
      </c>
      <c r="F2319" s="52">
        <f>IF(Data!J2319&lt;=5,Data!J2319,IF(Data!J2319&lt;=10,"6 TO 10","More than 10"))</f>
        <v>4</v>
      </c>
      <c r="G2319" s="52">
        <f t="shared" si="36"/>
        <v>2</v>
      </c>
      <c r="H2319" s="52">
        <f>ROUND(Data!C2319*Data!D2319-Data!E2319,2)</f>
        <v>0</v>
      </c>
      <c r="I2319" s="52">
        <f>IF(AND(OR(Sel_Mode="All",Data!I2319=Sel_Mode),OR(Sel_Gender="All",D2319=Sel_Gender),OR(Sel_Category="All",Data!B2319=Sel_Category),OR(Sel_Month="All",C2319=Sel_Month),OR(Sel_County="All",Data!L2319=Sel_County)),1,0)</f>
        <v>1</v>
      </c>
    </row>
    <row r="2320" spans="1:9" x14ac:dyDescent="0.25">
      <c r="A2320" s="52" t="str">
        <f>Data!A2320</f>
        <v>TX502319</v>
      </c>
      <c r="B2320" s="52">
        <f>MONTH(Data!F2320)</f>
        <v>3</v>
      </c>
      <c r="C2320" s="52" t="str">
        <f>TEXT(Data!F2320,"mmm")</f>
        <v>Mar</v>
      </c>
      <c r="D2320" s="52" t="str">
        <f>Data!O2320</f>
        <v>Unknown</v>
      </c>
      <c r="E2320" s="52">
        <f>Data!G2320-Data!F2320</f>
        <v>0</v>
      </c>
      <c r="F2320" s="52">
        <f>IF(Data!J2320&lt;=5,Data!J2320,IF(Data!J2320&lt;=10,"6 TO 10","More than 10"))</f>
        <v>3</v>
      </c>
      <c r="G2320" s="52">
        <f t="shared" si="36"/>
        <v>0</v>
      </c>
      <c r="H2320" s="52">
        <f>ROUND(Data!C2320*Data!D2320-Data!E2320,2)</f>
        <v>0</v>
      </c>
      <c r="I2320" s="52">
        <f>IF(AND(OR(Sel_Mode="All",Data!I2320=Sel_Mode),OR(Sel_Gender="All",D2320=Sel_Gender),OR(Sel_Category="All",Data!B2320=Sel_Category),OR(Sel_Month="All",C2320=Sel_Month),OR(Sel_County="All",Data!L2320=Sel_County)),1,0)</f>
        <v>1</v>
      </c>
    </row>
    <row r="2321" spans="1:9" x14ac:dyDescent="0.25">
      <c r="A2321" s="52" t="str">
        <f>Data!A2321</f>
        <v>TX502320</v>
      </c>
      <c r="B2321" s="52">
        <f>MONTH(Data!F2321)</f>
        <v>3</v>
      </c>
      <c r="C2321" s="52" t="str">
        <f>TEXT(Data!F2321,"mmm")</f>
        <v>Mar</v>
      </c>
      <c r="D2321" s="52" t="str">
        <f>Data!O2321</f>
        <v>Male</v>
      </c>
      <c r="E2321" s="52">
        <f>Data!G2321-Data!F2321</f>
        <v>0</v>
      </c>
      <c r="F2321" s="52">
        <f>IF(Data!J2321&lt;=5,Data!J2321,IF(Data!J2321&lt;=10,"6 TO 10","More than 10"))</f>
        <v>2</v>
      </c>
      <c r="G2321" s="52">
        <f t="shared" si="36"/>
        <v>0</v>
      </c>
      <c r="H2321" s="52">
        <f>ROUND(Data!C2321*Data!D2321-Data!E2321,2)</f>
        <v>0</v>
      </c>
      <c r="I2321" s="52">
        <f>IF(AND(OR(Sel_Mode="All",Data!I2321=Sel_Mode),OR(Sel_Gender="All",D2321=Sel_Gender),OR(Sel_Category="All",Data!B2321=Sel_Category),OR(Sel_Month="All",C2321=Sel_Month),OR(Sel_County="All",Data!L2321=Sel_County)),1,0)</f>
        <v>1</v>
      </c>
    </row>
    <row r="2322" spans="1:9" x14ac:dyDescent="0.25">
      <c r="A2322" s="52" t="str">
        <f>Data!A2322</f>
        <v>TX502321</v>
      </c>
      <c r="B2322" s="52">
        <f>MONTH(Data!F2322)</f>
        <v>3</v>
      </c>
      <c r="C2322" s="52" t="str">
        <f>TEXT(Data!F2322,"mmm")</f>
        <v>Mar</v>
      </c>
      <c r="D2322" s="52" t="str">
        <f>Data!O2322</f>
        <v>Female</v>
      </c>
      <c r="E2322" s="52">
        <f>Data!G2322-Data!F2322</f>
        <v>2</v>
      </c>
      <c r="F2322" s="52">
        <f>IF(Data!J2322&lt;=5,Data!J2322,IF(Data!J2322&lt;=10,"6 TO 10","More than 10"))</f>
        <v>3</v>
      </c>
      <c r="G2322" s="52">
        <f t="shared" si="36"/>
        <v>2</v>
      </c>
      <c r="H2322" s="52">
        <f>ROUND(Data!C2322*Data!D2322-Data!E2322,2)</f>
        <v>0</v>
      </c>
      <c r="I2322" s="52">
        <f>IF(AND(OR(Sel_Mode="All",Data!I2322=Sel_Mode),OR(Sel_Gender="All",D2322=Sel_Gender),OR(Sel_Category="All",Data!B2322=Sel_Category),OR(Sel_Month="All",C2322=Sel_Month),OR(Sel_County="All",Data!L2322=Sel_County)),1,0)</f>
        <v>1</v>
      </c>
    </row>
    <row r="2323" spans="1:9" x14ac:dyDescent="0.25">
      <c r="A2323" s="52" t="str">
        <f>Data!A2323</f>
        <v>TX502322</v>
      </c>
      <c r="B2323" s="52">
        <f>MONTH(Data!F2323)</f>
        <v>3</v>
      </c>
      <c r="C2323" s="52" t="str">
        <f>TEXT(Data!F2323,"mmm")</f>
        <v>Mar</v>
      </c>
      <c r="D2323" s="52" t="str">
        <f>Data!O2323</f>
        <v>Female</v>
      </c>
      <c r="E2323" s="52">
        <f>Data!G2323-Data!F2323</f>
        <v>1</v>
      </c>
      <c r="F2323" s="52">
        <f>IF(Data!J2323&lt;=5,Data!J2323,IF(Data!J2323&lt;=10,"6 TO 10","More than 10"))</f>
        <v>5</v>
      </c>
      <c r="G2323" s="52">
        <f t="shared" si="36"/>
        <v>1</v>
      </c>
      <c r="H2323" s="52">
        <f>ROUND(Data!C2323*Data!D2323-Data!E2323,2)</f>
        <v>0</v>
      </c>
      <c r="I2323" s="52">
        <f>IF(AND(OR(Sel_Mode="All",Data!I2323=Sel_Mode),OR(Sel_Gender="All",D2323=Sel_Gender),OR(Sel_Category="All",Data!B2323=Sel_Category),OR(Sel_Month="All",C2323=Sel_Month),OR(Sel_County="All",Data!L2323=Sel_County)),1,0)</f>
        <v>1</v>
      </c>
    </row>
    <row r="2324" spans="1:9" x14ac:dyDescent="0.25">
      <c r="A2324" s="52" t="str">
        <f>Data!A2324</f>
        <v>TX502323</v>
      </c>
      <c r="B2324" s="52">
        <f>MONTH(Data!F2324)</f>
        <v>3</v>
      </c>
      <c r="C2324" s="52" t="str">
        <f>TEXT(Data!F2324,"mmm")</f>
        <v>Mar</v>
      </c>
      <c r="D2324" s="52" t="str">
        <f>Data!O2324</f>
        <v>Female</v>
      </c>
      <c r="E2324" s="52">
        <f>Data!G2324-Data!F2324</f>
        <v>4</v>
      </c>
      <c r="F2324" s="52">
        <f>IF(Data!J2324&lt;=5,Data!J2324,IF(Data!J2324&lt;=10,"6 TO 10","More than 10"))</f>
        <v>5</v>
      </c>
      <c r="G2324" s="52">
        <f t="shared" si="36"/>
        <v>4</v>
      </c>
      <c r="H2324" s="52">
        <f>ROUND(Data!C2324*Data!D2324-Data!E2324,2)</f>
        <v>0</v>
      </c>
      <c r="I2324" s="52">
        <f>IF(AND(OR(Sel_Mode="All",Data!I2324=Sel_Mode),OR(Sel_Gender="All",D2324=Sel_Gender),OR(Sel_Category="All",Data!B2324=Sel_Category),OR(Sel_Month="All",C2324=Sel_Month),OR(Sel_County="All",Data!L2324=Sel_County)),1,0)</f>
        <v>1</v>
      </c>
    </row>
    <row r="2325" spans="1:9" x14ac:dyDescent="0.25">
      <c r="A2325" s="52" t="str">
        <f>Data!A2325</f>
        <v>TX502324</v>
      </c>
      <c r="B2325" s="52">
        <f>MONTH(Data!F2325)</f>
        <v>3</v>
      </c>
      <c r="C2325" s="52" t="str">
        <f>TEXT(Data!F2325,"mmm")</f>
        <v>Mar</v>
      </c>
      <c r="D2325" s="52" t="str">
        <f>Data!O2325</f>
        <v>Male</v>
      </c>
      <c r="E2325" s="52">
        <f>Data!G2325-Data!F2325</f>
        <v>1</v>
      </c>
      <c r="F2325" s="52">
        <f>IF(Data!J2325&lt;=5,Data!J2325,IF(Data!J2325&lt;=10,"6 TO 10","More than 10"))</f>
        <v>5</v>
      </c>
      <c r="G2325" s="52">
        <f t="shared" si="36"/>
        <v>1</v>
      </c>
      <c r="H2325" s="52">
        <f>ROUND(Data!C2325*Data!D2325-Data!E2325,2)</f>
        <v>0</v>
      </c>
      <c r="I2325" s="52">
        <f>IF(AND(OR(Sel_Mode="All",Data!I2325=Sel_Mode),OR(Sel_Gender="All",D2325=Sel_Gender),OR(Sel_Category="All",Data!B2325=Sel_Category),OR(Sel_Month="All",C2325=Sel_Month),OR(Sel_County="All",Data!L2325=Sel_County)),1,0)</f>
        <v>1</v>
      </c>
    </row>
    <row r="2326" spans="1:9" x14ac:dyDescent="0.25">
      <c r="A2326" s="52" t="str">
        <f>Data!A2326</f>
        <v>TX502325</v>
      </c>
      <c r="B2326" s="52">
        <f>MONTH(Data!F2326)</f>
        <v>3</v>
      </c>
      <c r="C2326" s="52" t="str">
        <f>TEXT(Data!F2326,"mmm")</f>
        <v>Mar</v>
      </c>
      <c r="D2326" s="52" t="str">
        <f>Data!O2326</f>
        <v>Female</v>
      </c>
      <c r="E2326" s="52">
        <f>Data!G2326-Data!F2326</f>
        <v>4</v>
      </c>
      <c r="F2326" s="52">
        <f>IF(Data!J2326&lt;=5,Data!J2326,IF(Data!J2326&lt;=10,"6 TO 10","More than 10"))</f>
        <v>4</v>
      </c>
      <c r="G2326" s="52">
        <f t="shared" si="36"/>
        <v>4</v>
      </c>
      <c r="H2326" s="52">
        <f>ROUND(Data!C2326*Data!D2326-Data!E2326,2)</f>
        <v>0</v>
      </c>
      <c r="I2326" s="52">
        <f>IF(AND(OR(Sel_Mode="All",Data!I2326=Sel_Mode),OR(Sel_Gender="All",D2326=Sel_Gender),OR(Sel_Category="All",Data!B2326=Sel_Category),OR(Sel_Month="All",C2326=Sel_Month),OR(Sel_County="All",Data!L2326=Sel_County)),1,0)</f>
        <v>1</v>
      </c>
    </row>
    <row r="2327" spans="1:9" x14ac:dyDescent="0.25">
      <c r="A2327" s="52" t="str">
        <f>Data!A2327</f>
        <v>TX502326</v>
      </c>
      <c r="B2327" s="52">
        <f>MONTH(Data!F2327)</f>
        <v>3</v>
      </c>
      <c r="C2327" s="52" t="str">
        <f>TEXT(Data!F2327,"mmm")</f>
        <v>Mar</v>
      </c>
      <c r="D2327" s="52" t="str">
        <f>Data!O2327</f>
        <v>Female</v>
      </c>
      <c r="E2327" s="52">
        <f>Data!G2327-Data!F2327</f>
        <v>0</v>
      </c>
      <c r="F2327" s="52">
        <f>IF(Data!J2327&lt;=5,Data!J2327,IF(Data!J2327&lt;=10,"6 TO 10","More than 10"))</f>
        <v>3</v>
      </c>
      <c r="G2327" s="52">
        <f t="shared" si="36"/>
        <v>0</v>
      </c>
      <c r="H2327" s="52">
        <f>ROUND(Data!C2327*Data!D2327-Data!E2327,2)</f>
        <v>0</v>
      </c>
      <c r="I2327" s="52">
        <f>IF(AND(OR(Sel_Mode="All",Data!I2327=Sel_Mode),OR(Sel_Gender="All",D2327=Sel_Gender),OR(Sel_Category="All",Data!B2327=Sel_Category),OR(Sel_Month="All",C2327=Sel_Month),OR(Sel_County="All",Data!L2327=Sel_County)),1,0)</f>
        <v>1</v>
      </c>
    </row>
    <row r="2328" spans="1:9" x14ac:dyDescent="0.25">
      <c r="A2328" s="52" t="str">
        <f>Data!A2328</f>
        <v>TX502327</v>
      </c>
      <c r="B2328" s="52">
        <f>MONTH(Data!F2328)</f>
        <v>3</v>
      </c>
      <c r="C2328" s="52" t="str">
        <f>TEXT(Data!F2328,"mmm")</f>
        <v>Mar</v>
      </c>
      <c r="D2328" s="52" t="str">
        <f>Data!O2328</f>
        <v>Female</v>
      </c>
      <c r="E2328" s="52">
        <f>Data!G2328-Data!F2328</f>
        <v>2</v>
      </c>
      <c r="F2328" s="52">
        <f>IF(Data!J2328&lt;=5,Data!J2328,IF(Data!J2328&lt;=10,"6 TO 10","More than 10"))</f>
        <v>4</v>
      </c>
      <c r="G2328" s="52">
        <f t="shared" si="36"/>
        <v>2</v>
      </c>
      <c r="H2328" s="52">
        <f>ROUND(Data!C2328*Data!D2328-Data!E2328,2)</f>
        <v>0</v>
      </c>
      <c r="I2328" s="52">
        <f>IF(AND(OR(Sel_Mode="All",Data!I2328=Sel_Mode),OR(Sel_Gender="All",D2328=Sel_Gender),OR(Sel_Category="All",Data!B2328=Sel_Category),OR(Sel_Month="All",C2328=Sel_Month),OR(Sel_County="All",Data!L2328=Sel_County)),1,0)</f>
        <v>1</v>
      </c>
    </row>
    <row r="2329" spans="1:9" x14ac:dyDescent="0.25">
      <c r="A2329" s="52" t="str">
        <f>Data!A2329</f>
        <v>TX502328</v>
      </c>
      <c r="B2329" s="52">
        <f>MONTH(Data!F2329)</f>
        <v>3</v>
      </c>
      <c r="C2329" s="52" t="str">
        <f>TEXT(Data!F2329,"mmm")</f>
        <v>Mar</v>
      </c>
      <c r="D2329" s="52" t="str">
        <f>Data!O2329</f>
        <v>Female</v>
      </c>
      <c r="E2329" s="52">
        <f>Data!G2329-Data!F2329</f>
        <v>1</v>
      </c>
      <c r="F2329" s="52">
        <f>IF(Data!J2329&lt;=5,Data!J2329,IF(Data!J2329&lt;=10,"6 TO 10","More than 10"))</f>
        <v>3</v>
      </c>
      <c r="G2329" s="52">
        <f t="shared" si="36"/>
        <v>1</v>
      </c>
      <c r="H2329" s="52">
        <f>ROUND(Data!C2329*Data!D2329-Data!E2329,2)</f>
        <v>0</v>
      </c>
      <c r="I2329" s="52">
        <f>IF(AND(OR(Sel_Mode="All",Data!I2329=Sel_Mode),OR(Sel_Gender="All",D2329=Sel_Gender),OR(Sel_Category="All",Data!B2329=Sel_Category),OR(Sel_Month="All",C2329=Sel_Month),OR(Sel_County="All",Data!L2329=Sel_County)),1,0)</f>
        <v>1</v>
      </c>
    </row>
    <row r="2330" spans="1:9" x14ac:dyDescent="0.25">
      <c r="A2330" s="52" t="str">
        <f>Data!A2330</f>
        <v>TX502329</v>
      </c>
      <c r="B2330" s="52">
        <f>MONTH(Data!F2330)</f>
        <v>3</v>
      </c>
      <c r="C2330" s="52" t="str">
        <f>TEXT(Data!F2330,"mmm")</f>
        <v>Mar</v>
      </c>
      <c r="D2330" s="52" t="str">
        <f>Data!O2330</f>
        <v>Female</v>
      </c>
      <c r="E2330" s="52">
        <f>Data!G2330-Data!F2330</f>
        <v>3</v>
      </c>
      <c r="F2330" s="52">
        <f>IF(Data!J2330&lt;=5,Data!J2330,IF(Data!J2330&lt;=10,"6 TO 10","More than 10"))</f>
        <v>4</v>
      </c>
      <c r="G2330" s="52">
        <f t="shared" si="36"/>
        <v>3</v>
      </c>
      <c r="H2330" s="52">
        <f>ROUND(Data!C2330*Data!D2330-Data!E2330,2)</f>
        <v>0</v>
      </c>
      <c r="I2330" s="52">
        <f>IF(AND(OR(Sel_Mode="All",Data!I2330=Sel_Mode),OR(Sel_Gender="All",D2330=Sel_Gender),OR(Sel_Category="All",Data!B2330=Sel_Category),OR(Sel_Month="All",C2330=Sel_Month),OR(Sel_County="All",Data!L2330=Sel_County)),1,0)</f>
        <v>1</v>
      </c>
    </row>
    <row r="2331" spans="1:9" x14ac:dyDescent="0.25">
      <c r="A2331" s="52" t="str">
        <f>Data!A2331</f>
        <v>TX502330</v>
      </c>
      <c r="B2331" s="52">
        <f>MONTH(Data!F2331)</f>
        <v>3</v>
      </c>
      <c r="C2331" s="52" t="str">
        <f>TEXT(Data!F2331,"mmm")</f>
        <v>Mar</v>
      </c>
      <c r="D2331" s="52" t="str">
        <f>Data!O2331</f>
        <v>Male</v>
      </c>
      <c r="E2331" s="52">
        <f>Data!G2331-Data!F2331</f>
        <v>1</v>
      </c>
      <c r="F2331" s="52">
        <f>IF(Data!J2331&lt;=5,Data!J2331,IF(Data!J2331&lt;=10,"6 TO 10","More than 10"))</f>
        <v>3</v>
      </c>
      <c r="G2331" s="52">
        <f t="shared" si="36"/>
        <v>1</v>
      </c>
      <c r="H2331" s="52">
        <f>ROUND(Data!C2331*Data!D2331-Data!E2331,2)</f>
        <v>0</v>
      </c>
      <c r="I2331" s="52">
        <f>IF(AND(OR(Sel_Mode="All",Data!I2331=Sel_Mode),OR(Sel_Gender="All",D2331=Sel_Gender),OR(Sel_Category="All",Data!B2331=Sel_Category),OR(Sel_Month="All",C2331=Sel_Month),OR(Sel_County="All",Data!L2331=Sel_County)),1,0)</f>
        <v>1</v>
      </c>
    </row>
    <row r="2332" spans="1:9" x14ac:dyDescent="0.25">
      <c r="A2332" s="52" t="str">
        <f>Data!A2332</f>
        <v>TX502331</v>
      </c>
      <c r="B2332" s="52">
        <f>MONTH(Data!F2332)</f>
        <v>3</v>
      </c>
      <c r="C2332" s="52" t="str">
        <f>TEXT(Data!F2332,"mmm")</f>
        <v>Mar</v>
      </c>
      <c r="D2332" s="52" t="str">
        <f>Data!O2332</f>
        <v>Male</v>
      </c>
      <c r="E2332" s="52">
        <f>Data!G2332-Data!F2332</f>
        <v>2</v>
      </c>
      <c r="F2332" s="52">
        <f>IF(Data!J2332&lt;=5,Data!J2332,IF(Data!J2332&lt;=10,"6 TO 10","More than 10"))</f>
        <v>4</v>
      </c>
      <c r="G2332" s="52">
        <f t="shared" si="36"/>
        <v>2</v>
      </c>
      <c r="H2332" s="52">
        <f>ROUND(Data!C2332*Data!D2332-Data!E2332,2)</f>
        <v>0</v>
      </c>
      <c r="I2332" s="52">
        <f>IF(AND(OR(Sel_Mode="All",Data!I2332=Sel_Mode),OR(Sel_Gender="All",D2332=Sel_Gender),OR(Sel_Category="All",Data!B2332=Sel_Category),OR(Sel_Month="All",C2332=Sel_Month),OR(Sel_County="All",Data!L2332=Sel_County)),1,0)</f>
        <v>1</v>
      </c>
    </row>
    <row r="2333" spans="1:9" x14ac:dyDescent="0.25">
      <c r="A2333" s="52" t="str">
        <f>Data!A2333</f>
        <v>TX502332</v>
      </c>
      <c r="B2333" s="52">
        <f>MONTH(Data!F2333)</f>
        <v>3</v>
      </c>
      <c r="C2333" s="52" t="str">
        <f>TEXT(Data!F2333,"mmm")</f>
        <v>Mar</v>
      </c>
      <c r="D2333" s="52" t="str">
        <f>Data!O2333</f>
        <v>Female</v>
      </c>
      <c r="E2333" s="52">
        <f>Data!G2333-Data!F2333</f>
        <v>2</v>
      </c>
      <c r="F2333" s="52">
        <f>IF(Data!J2333&lt;=5,Data!J2333,IF(Data!J2333&lt;=10,"6 TO 10","More than 10"))</f>
        <v>3</v>
      </c>
      <c r="G2333" s="52">
        <f t="shared" si="36"/>
        <v>2</v>
      </c>
      <c r="H2333" s="52">
        <f>ROUND(Data!C2333*Data!D2333-Data!E2333,2)</f>
        <v>0</v>
      </c>
      <c r="I2333" s="52">
        <f>IF(AND(OR(Sel_Mode="All",Data!I2333=Sel_Mode),OR(Sel_Gender="All",D2333=Sel_Gender),OR(Sel_Category="All",Data!B2333=Sel_Category),OR(Sel_Month="All",C2333=Sel_Month),OR(Sel_County="All",Data!L2333=Sel_County)),1,0)</f>
        <v>1</v>
      </c>
    </row>
    <row r="2334" spans="1:9" x14ac:dyDescent="0.25">
      <c r="A2334" s="52" t="str">
        <f>Data!A2334</f>
        <v>TX502333</v>
      </c>
      <c r="B2334" s="52">
        <f>MONTH(Data!F2334)</f>
        <v>3</v>
      </c>
      <c r="C2334" s="52" t="str">
        <f>TEXT(Data!F2334,"mmm")</f>
        <v>Mar</v>
      </c>
      <c r="D2334" s="52" t="str">
        <f>Data!O2334</f>
        <v>Male</v>
      </c>
      <c r="E2334" s="52">
        <f>Data!G2334-Data!F2334</f>
        <v>2</v>
      </c>
      <c r="F2334" s="52">
        <f>IF(Data!J2334&lt;=5,Data!J2334,IF(Data!J2334&lt;=10,"6 TO 10","More than 10"))</f>
        <v>4</v>
      </c>
      <c r="G2334" s="52">
        <f t="shared" si="36"/>
        <v>2</v>
      </c>
      <c r="H2334" s="52">
        <f>ROUND(Data!C2334*Data!D2334-Data!E2334,2)</f>
        <v>0</v>
      </c>
      <c r="I2334" s="52">
        <f>IF(AND(OR(Sel_Mode="All",Data!I2334=Sel_Mode),OR(Sel_Gender="All",D2334=Sel_Gender),OR(Sel_Category="All",Data!B2334=Sel_Category),OR(Sel_Month="All",C2334=Sel_Month),OR(Sel_County="All",Data!L2334=Sel_County)),1,0)</f>
        <v>1</v>
      </c>
    </row>
    <row r="2335" spans="1:9" x14ac:dyDescent="0.25">
      <c r="A2335" s="52" t="str">
        <f>Data!A2335</f>
        <v>TX502334</v>
      </c>
      <c r="B2335" s="52">
        <f>MONTH(Data!F2335)</f>
        <v>3</v>
      </c>
      <c r="C2335" s="52" t="str">
        <f>TEXT(Data!F2335,"mmm")</f>
        <v>Mar</v>
      </c>
      <c r="D2335" s="52" t="str">
        <f>Data!O2335</f>
        <v>Female</v>
      </c>
      <c r="E2335" s="52">
        <f>Data!G2335-Data!F2335</f>
        <v>2</v>
      </c>
      <c r="F2335" s="52">
        <f>IF(Data!J2335&lt;=5,Data!J2335,IF(Data!J2335&lt;=10,"6 TO 10","More than 10"))</f>
        <v>4</v>
      </c>
      <c r="G2335" s="52">
        <f t="shared" si="36"/>
        <v>2</v>
      </c>
      <c r="H2335" s="52">
        <f>ROUND(Data!C2335*Data!D2335-Data!E2335,2)</f>
        <v>0</v>
      </c>
      <c r="I2335" s="52">
        <f>IF(AND(OR(Sel_Mode="All",Data!I2335=Sel_Mode),OR(Sel_Gender="All",D2335=Sel_Gender),OR(Sel_Category="All",Data!B2335=Sel_Category),OR(Sel_Month="All",C2335=Sel_Month),OR(Sel_County="All",Data!L2335=Sel_County)),1,0)</f>
        <v>1</v>
      </c>
    </row>
    <row r="2336" spans="1:9" x14ac:dyDescent="0.25">
      <c r="A2336" s="52" t="str">
        <f>Data!A2336</f>
        <v>TX502335</v>
      </c>
      <c r="B2336" s="52">
        <f>MONTH(Data!F2336)</f>
        <v>3</v>
      </c>
      <c r="C2336" s="52" t="str">
        <f>TEXT(Data!F2336,"mmm")</f>
        <v>Mar</v>
      </c>
      <c r="D2336" s="52" t="str">
        <f>Data!O2336</f>
        <v>Male</v>
      </c>
      <c r="E2336" s="52">
        <f>Data!G2336-Data!F2336</f>
        <v>2</v>
      </c>
      <c r="F2336" s="52">
        <f>IF(Data!J2336&lt;=5,Data!J2336,IF(Data!J2336&lt;=10,"6 TO 10","More than 10"))</f>
        <v>4</v>
      </c>
      <c r="G2336" s="52">
        <f t="shared" si="36"/>
        <v>2</v>
      </c>
      <c r="H2336" s="52">
        <f>ROUND(Data!C2336*Data!D2336-Data!E2336,2)</f>
        <v>0</v>
      </c>
      <c r="I2336" s="52">
        <f>IF(AND(OR(Sel_Mode="All",Data!I2336=Sel_Mode),OR(Sel_Gender="All",D2336=Sel_Gender),OR(Sel_Category="All",Data!B2336=Sel_Category),OR(Sel_Month="All",C2336=Sel_Month),OR(Sel_County="All",Data!L2336=Sel_County)),1,0)</f>
        <v>1</v>
      </c>
    </row>
    <row r="2337" spans="1:9" x14ac:dyDescent="0.25">
      <c r="A2337" s="52" t="str">
        <f>Data!A2337</f>
        <v>TX502336</v>
      </c>
      <c r="B2337" s="52">
        <f>MONTH(Data!F2337)</f>
        <v>3</v>
      </c>
      <c r="C2337" s="52" t="str">
        <f>TEXT(Data!F2337,"mmm")</f>
        <v>Mar</v>
      </c>
      <c r="D2337" s="52" t="str">
        <f>Data!O2337</f>
        <v>Male</v>
      </c>
      <c r="E2337" s="52">
        <f>Data!G2337-Data!F2337</f>
        <v>2</v>
      </c>
      <c r="F2337" s="52">
        <f>IF(Data!J2337&lt;=5,Data!J2337,IF(Data!J2337&lt;=10,"6 TO 10","More than 10"))</f>
        <v>4</v>
      </c>
      <c r="G2337" s="52">
        <f t="shared" si="36"/>
        <v>2</v>
      </c>
      <c r="H2337" s="52">
        <f>ROUND(Data!C2337*Data!D2337-Data!E2337,2)</f>
        <v>0</v>
      </c>
      <c r="I2337" s="52">
        <f>IF(AND(OR(Sel_Mode="All",Data!I2337=Sel_Mode),OR(Sel_Gender="All",D2337=Sel_Gender),OR(Sel_Category="All",Data!B2337=Sel_Category),OR(Sel_Month="All",C2337=Sel_Month),OR(Sel_County="All",Data!L2337=Sel_County)),1,0)</f>
        <v>1</v>
      </c>
    </row>
    <row r="2338" spans="1:9" x14ac:dyDescent="0.25">
      <c r="A2338" s="52" t="str">
        <f>Data!A2338</f>
        <v>TX502337</v>
      </c>
      <c r="B2338" s="52">
        <f>MONTH(Data!F2338)</f>
        <v>3</v>
      </c>
      <c r="C2338" s="52" t="str">
        <f>TEXT(Data!F2338,"mmm")</f>
        <v>Mar</v>
      </c>
      <c r="D2338" s="52" t="str">
        <f>Data!O2338</f>
        <v>Female</v>
      </c>
      <c r="E2338" s="52">
        <f>Data!G2338-Data!F2338</f>
        <v>1</v>
      </c>
      <c r="F2338" s="52">
        <f>IF(Data!J2338&lt;=5,Data!J2338,IF(Data!J2338&lt;=10,"6 TO 10","More than 10"))</f>
        <v>5</v>
      </c>
      <c r="G2338" s="52">
        <f t="shared" si="36"/>
        <v>1</v>
      </c>
      <c r="H2338" s="52">
        <f>ROUND(Data!C2338*Data!D2338-Data!E2338,2)</f>
        <v>0</v>
      </c>
      <c r="I2338" s="52">
        <f>IF(AND(OR(Sel_Mode="All",Data!I2338=Sel_Mode),OR(Sel_Gender="All",D2338=Sel_Gender),OR(Sel_Category="All",Data!B2338=Sel_Category),OR(Sel_Month="All",C2338=Sel_Month),OR(Sel_County="All",Data!L2338=Sel_County)),1,0)</f>
        <v>1</v>
      </c>
    </row>
    <row r="2339" spans="1:9" x14ac:dyDescent="0.25">
      <c r="A2339" s="52" t="str">
        <f>Data!A2339</f>
        <v>TX502338</v>
      </c>
      <c r="B2339" s="52">
        <f>MONTH(Data!F2339)</f>
        <v>3</v>
      </c>
      <c r="C2339" s="52" t="str">
        <f>TEXT(Data!F2339,"mmm")</f>
        <v>Mar</v>
      </c>
      <c r="D2339" s="52" t="str">
        <f>Data!O2339</f>
        <v>Male</v>
      </c>
      <c r="E2339" s="52">
        <f>Data!G2339-Data!F2339</f>
        <v>0</v>
      </c>
      <c r="F2339" s="52">
        <f>IF(Data!J2339&lt;=5,Data!J2339,IF(Data!J2339&lt;=10,"6 TO 10","More than 10"))</f>
        <v>4</v>
      </c>
      <c r="G2339" s="52">
        <f t="shared" si="36"/>
        <v>0</v>
      </c>
      <c r="H2339" s="52">
        <f>ROUND(Data!C2339*Data!D2339-Data!E2339,2)</f>
        <v>0</v>
      </c>
      <c r="I2339" s="52">
        <f>IF(AND(OR(Sel_Mode="All",Data!I2339=Sel_Mode),OR(Sel_Gender="All",D2339=Sel_Gender),OR(Sel_Category="All",Data!B2339=Sel_Category),OR(Sel_Month="All",C2339=Sel_Month),OR(Sel_County="All",Data!L2339=Sel_County)),1,0)</f>
        <v>1</v>
      </c>
    </row>
    <row r="2340" spans="1:9" x14ac:dyDescent="0.25">
      <c r="A2340" s="52" t="str">
        <f>Data!A2340</f>
        <v>TX502339</v>
      </c>
      <c r="B2340" s="52">
        <f>MONTH(Data!F2340)</f>
        <v>3</v>
      </c>
      <c r="C2340" s="52" t="str">
        <f>TEXT(Data!F2340,"mmm")</f>
        <v>Mar</v>
      </c>
      <c r="D2340" s="52" t="str">
        <f>Data!O2340</f>
        <v>Male</v>
      </c>
      <c r="E2340" s="52">
        <f>Data!G2340-Data!F2340</f>
        <v>4</v>
      </c>
      <c r="F2340" s="52">
        <f>IF(Data!J2340&lt;=5,Data!J2340,IF(Data!J2340&lt;=10,"6 TO 10","More than 10"))</f>
        <v>3</v>
      </c>
      <c r="G2340" s="52">
        <f t="shared" si="36"/>
        <v>4</v>
      </c>
      <c r="H2340" s="52">
        <f>ROUND(Data!C2340*Data!D2340-Data!E2340,2)</f>
        <v>0</v>
      </c>
      <c r="I2340" s="52">
        <f>IF(AND(OR(Sel_Mode="All",Data!I2340=Sel_Mode),OR(Sel_Gender="All",D2340=Sel_Gender),OR(Sel_Category="All",Data!B2340=Sel_Category),OR(Sel_Month="All",C2340=Sel_Month),OR(Sel_County="All",Data!L2340=Sel_County)),1,0)</f>
        <v>1</v>
      </c>
    </row>
    <row r="2341" spans="1:9" x14ac:dyDescent="0.25">
      <c r="A2341" s="52" t="str">
        <f>Data!A2341</f>
        <v>TX502340</v>
      </c>
      <c r="B2341" s="52">
        <f>MONTH(Data!F2341)</f>
        <v>3</v>
      </c>
      <c r="C2341" s="52" t="str">
        <f>TEXT(Data!F2341,"mmm")</f>
        <v>Mar</v>
      </c>
      <c r="D2341" s="52" t="str">
        <f>Data!O2341</f>
        <v>Male</v>
      </c>
      <c r="E2341" s="52">
        <f>Data!G2341-Data!F2341</f>
        <v>1</v>
      </c>
      <c r="F2341" s="52">
        <f>IF(Data!J2341&lt;=5,Data!J2341,IF(Data!J2341&lt;=10,"6 TO 10","More than 10"))</f>
        <v>4</v>
      </c>
      <c r="G2341" s="52">
        <f t="shared" si="36"/>
        <v>1</v>
      </c>
      <c r="H2341" s="52">
        <f>ROUND(Data!C2341*Data!D2341-Data!E2341,2)</f>
        <v>0</v>
      </c>
      <c r="I2341" s="52">
        <f>IF(AND(OR(Sel_Mode="All",Data!I2341=Sel_Mode),OR(Sel_Gender="All",D2341=Sel_Gender),OR(Sel_Category="All",Data!B2341=Sel_Category),OR(Sel_Month="All",C2341=Sel_Month),OR(Sel_County="All",Data!L2341=Sel_County)),1,0)</f>
        <v>1</v>
      </c>
    </row>
    <row r="2342" spans="1:9" x14ac:dyDescent="0.25">
      <c r="A2342" s="52" t="str">
        <f>Data!A2342</f>
        <v>TX502341</v>
      </c>
      <c r="B2342" s="52">
        <f>MONTH(Data!F2342)</f>
        <v>3</v>
      </c>
      <c r="C2342" s="52" t="str">
        <f>TEXT(Data!F2342,"mmm")</f>
        <v>Mar</v>
      </c>
      <c r="D2342" s="52" t="str">
        <f>Data!O2342</f>
        <v>Male</v>
      </c>
      <c r="E2342" s="52">
        <f>Data!G2342-Data!F2342</f>
        <v>2</v>
      </c>
      <c r="F2342" s="52">
        <f>IF(Data!J2342&lt;=5,Data!J2342,IF(Data!J2342&lt;=10,"6 TO 10","More than 10"))</f>
        <v>5</v>
      </c>
      <c r="G2342" s="52">
        <f t="shared" si="36"/>
        <v>2</v>
      </c>
      <c r="H2342" s="52">
        <f>ROUND(Data!C2342*Data!D2342-Data!E2342,2)</f>
        <v>0</v>
      </c>
      <c r="I2342" s="52">
        <f>IF(AND(OR(Sel_Mode="All",Data!I2342=Sel_Mode),OR(Sel_Gender="All",D2342=Sel_Gender),OR(Sel_Category="All",Data!B2342=Sel_Category),OR(Sel_Month="All",C2342=Sel_Month),OR(Sel_County="All",Data!L2342=Sel_County)),1,0)</f>
        <v>1</v>
      </c>
    </row>
    <row r="2343" spans="1:9" x14ac:dyDescent="0.25">
      <c r="A2343" s="52" t="str">
        <f>Data!A2343</f>
        <v>TX502342</v>
      </c>
      <c r="B2343" s="52">
        <f>MONTH(Data!F2343)</f>
        <v>3</v>
      </c>
      <c r="C2343" s="52" t="str">
        <f>TEXT(Data!F2343,"mmm")</f>
        <v>Mar</v>
      </c>
      <c r="D2343" s="52" t="str">
        <f>Data!O2343</f>
        <v>Female</v>
      </c>
      <c r="E2343" s="52">
        <f>Data!G2343-Data!F2343</f>
        <v>2</v>
      </c>
      <c r="F2343" s="52">
        <f>IF(Data!J2343&lt;=5,Data!J2343,IF(Data!J2343&lt;=10,"6 TO 10","More than 10"))</f>
        <v>5</v>
      </c>
      <c r="G2343" s="52">
        <f t="shared" si="36"/>
        <v>2</v>
      </c>
      <c r="H2343" s="52">
        <f>ROUND(Data!C2343*Data!D2343-Data!E2343,2)</f>
        <v>0</v>
      </c>
      <c r="I2343" s="52">
        <f>IF(AND(OR(Sel_Mode="All",Data!I2343=Sel_Mode),OR(Sel_Gender="All",D2343=Sel_Gender),OR(Sel_Category="All",Data!B2343=Sel_Category),OR(Sel_Month="All",C2343=Sel_Month),OR(Sel_County="All",Data!L2343=Sel_County)),1,0)</f>
        <v>1</v>
      </c>
    </row>
    <row r="2344" spans="1:9" x14ac:dyDescent="0.25">
      <c r="A2344" s="52" t="str">
        <f>Data!A2344</f>
        <v>TX502343</v>
      </c>
      <c r="B2344" s="52">
        <f>MONTH(Data!F2344)</f>
        <v>3</v>
      </c>
      <c r="C2344" s="52" t="str">
        <f>TEXT(Data!F2344,"mmm")</f>
        <v>Mar</v>
      </c>
      <c r="D2344" s="52" t="str">
        <f>Data!O2344</f>
        <v>Male</v>
      </c>
      <c r="E2344" s="52">
        <f>Data!G2344-Data!F2344</f>
        <v>3</v>
      </c>
      <c r="F2344" s="52">
        <f>IF(Data!J2344&lt;=5,Data!J2344,IF(Data!J2344&lt;=10,"6 TO 10","More than 10"))</f>
        <v>1</v>
      </c>
      <c r="G2344" s="52">
        <f t="shared" si="36"/>
        <v>3</v>
      </c>
      <c r="H2344" s="52">
        <f>ROUND(Data!C2344*Data!D2344-Data!E2344,2)</f>
        <v>0</v>
      </c>
      <c r="I2344" s="52">
        <f>IF(AND(OR(Sel_Mode="All",Data!I2344=Sel_Mode),OR(Sel_Gender="All",D2344=Sel_Gender),OR(Sel_Category="All",Data!B2344=Sel_Category),OR(Sel_Month="All",C2344=Sel_Month),OR(Sel_County="All",Data!L2344=Sel_County)),1,0)</f>
        <v>1</v>
      </c>
    </row>
    <row r="2345" spans="1:9" x14ac:dyDescent="0.25">
      <c r="A2345" s="52" t="str">
        <f>Data!A2345</f>
        <v>TX502344</v>
      </c>
      <c r="B2345" s="52">
        <f>MONTH(Data!F2345)</f>
        <v>3</v>
      </c>
      <c r="C2345" s="52" t="str">
        <f>TEXT(Data!F2345,"mmm")</f>
        <v>Mar</v>
      </c>
      <c r="D2345" s="52" t="str">
        <f>Data!O2345</f>
        <v>Other</v>
      </c>
      <c r="E2345" s="52">
        <f>Data!G2345-Data!F2345</f>
        <v>2</v>
      </c>
      <c r="F2345" s="52">
        <f>IF(Data!J2345&lt;=5,Data!J2345,IF(Data!J2345&lt;=10,"6 TO 10","More than 10"))</f>
        <v>4</v>
      </c>
      <c r="G2345" s="52">
        <f t="shared" si="36"/>
        <v>2</v>
      </c>
      <c r="H2345" s="52">
        <f>ROUND(Data!C2345*Data!D2345-Data!E2345,2)</f>
        <v>0</v>
      </c>
      <c r="I2345" s="52">
        <f>IF(AND(OR(Sel_Mode="All",Data!I2345=Sel_Mode),OR(Sel_Gender="All",D2345=Sel_Gender),OR(Sel_Category="All",Data!B2345=Sel_Category),OR(Sel_Month="All",C2345=Sel_Month),OR(Sel_County="All",Data!L2345=Sel_County)),1,0)</f>
        <v>1</v>
      </c>
    </row>
    <row r="2346" spans="1:9" x14ac:dyDescent="0.25">
      <c r="A2346" s="52" t="str">
        <f>Data!A2346</f>
        <v>TX502345</v>
      </c>
      <c r="B2346" s="52">
        <f>MONTH(Data!F2346)</f>
        <v>3</v>
      </c>
      <c r="C2346" s="52" t="str">
        <f>TEXT(Data!F2346,"mmm")</f>
        <v>Mar</v>
      </c>
      <c r="D2346" s="52" t="str">
        <f>Data!O2346</f>
        <v>Female</v>
      </c>
      <c r="E2346" s="52">
        <f>Data!G2346-Data!F2346</f>
        <v>3</v>
      </c>
      <c r="F2346" s="52">
        <f>IF(Data!J2346&lt;=5,Data!J2346,IF(Data!J2346&lt;=10,"6 TO 10","More than 10"))</f>
        <v>4</v>
      </c>
      <c r="G2346" s="52">
        <f t="shared" si="36"/>
        <v>3</v>
      </c>
      <c r="H2346" s="52">
        <f>ROUND(Data!C2346*Data!D2346-Data!E2346,2)</f>
        <v>0</v>
      </c>
      <c r="I2346" s="52">
        <f>IF(AND(OR(Sel_Mode="All",Data!I2346=Sel_Mode),OR(Sel_Gender="All",D2346=Sel_Gender),OR(Sel_Category="All",Data!B2346=Sel_Category),OR(Sel_Month="All",C2346=Sel_Month),OR(Sel_County="All",Data!L2346=Sel_County)),1,0)</f>
        <v>1</v>
      </c>
    </row>
    <row r="2347" spans="1:9" x14ac:dyDescent="0.25">
      <c r="A2347" s="52" t="str">
        <f>Data!A2347</f>
        <v>TX502346</v>
      </c>
      <c r="B2347" s="52">
        <f>MONTH(Data!F2347)</f>
        <v>3</v>
      </c>
      <c r="C2347" s="52" t="str">
        <f>TEXT(Data!F2347,"mmm")</f>
        <v>Mar</v>
      </c>
      <c r="D2347" s="52" t="str">
        <f>Data!O2347</f>
        <v>Female</v>
      </c>
      <c r="E2347" s="52">
        <f>Data!G2347-Data!F2347</f>
        <v>3</v>
      </c>
      <c r="F2347" s="52">
        <f>IF(Data!J2347&lt;=5,Data!J2347,IF(Data!J2347&lt;=10,"6 TO 10","More than 10"))</f>
        <v>4</v>
      </c>
      <c r="G2347" s="52">
        <f t="shared" si="36"/>
        <v>3</v>
      </c>
      <c r="H2347" s="52">
        <f>ROUND(Data!C2347*Data!D2347-Data!E2347,2)</f>
        <v>0</v>
      </c>
      <c r="I2347" s="52">
        <f>IF(AND(OR(Sel_Mode="All",Data!I2347=Sel_Mode),OR(Sel_Gender="All",D2347=Sel_Gender),OR(Sel_Category="All",Data!B2347=Sel_Category),OR(Sel_Month="All",C2347=Sel_Month),OR(Sel_County="All",Data!L2347=Sel_County)),1,0)</f>
        <v>1</v>
      </c>
    </row>
    <row r="2348" spans="1:9" x14ac:dyDescent="0.25">
      <c r="A2348" s="52" t="str">
        <f>Data!A2348</f>
        <v>TX502347</v>
      </c>
      <c r="B2348" s="52">
        <f>MONTH(Data!F2348)</f>
        <v>3</v>
      </c>
      <c r="C2348" s="52" t="str">
        <f>TEXT(Data!F2348,"mmm")</f>
        <v>Mar</v>
      </c>
      <c r="D2348" s="52" t="str">
        <f>Data!O2348</f>
        <v>Female</v>
      </c>
      <c r="E2348" s="52">
        <f>Data!G2348-Data!F2348</f>
        <v>1</v>
      </c>
      <c r="F2348" s="52">
        <f>IF(Data!J2348&lt;=5,Data!J2348,IF(Data!J2348&lt;=10,"6 TO 10","More than 10"))</f>
        <v>4</v>
      </c>
      <c r="G2348" s="52">
        <f t="shared" si="36"/>
        <v>1</v>
      </c>
      <c r="H2348" s="52">
        <f>ROUND(Data!C2348*Data!D2348-Data!E2348,2)</f>
        <v>0</v>
      </c>
      <c r="I2348" s="52">
        <f>IF(AND(OR(Sel_Mode="All",Data!I2348=Sel_Mode),OR(Sel_Gender="All",D2348=Sel_Gender),OR(Sel_Category="All",Data!B2348=Sel_Category),OR(Sel_Month="All",C2348=Sel_Month),OR(Sel_County="All",Data!L2348=Sel_County)),1,0)</f>
        <v>1</v>
      </c>
    </row>
    <row r="2349" spans="1:9" x14ac:dyDescent="0.25">
      <c r="A2349" s="52" t="str">
        <f>Data!A2349</f>
        <v>TX502348</v>
      </c>
      <c r="B2349" s="52">
        <f>MONTH(Data!F2349)</f>
        <v>3</v>
      </c>
      <c r="C2349" s="52" t="str">
        <f>TEXT(Data!F2349,"mmm")</f>
        <v>Mar</v>
      </c>
      <c r="D2349" s="52" t="str">
        <f>Data!O2349</f>
        <v>Female</v>
      </c>
      <c r="E2349" s="52">
        <f>Data!G2349-Data!F2349</f>
        <v>1</v>
      </c>
      <c r="F2349" s="52">
        <f>IF(Data!J2349&lt;=5,Data!J2349,IF(Data!J2349&lt;=10,"6 TO 10","More than 10"))</f>
        <v>4</v>
      </c>
      <c r="G2349" s="52">
        <f t="shared" si="36"/>
        <v>1</v>
      </c>
      <c r="H2349" s="52">
        <f>ROUND(Data!C2349*Data!D2349-Data!E2349,2)</f>
        <v>0</v>
      </c>
      <c r="I2349" s="52">
        <f>IF(AND(OR(Sel_Mode="All",Data!I2349=Sel_Mode),OR(Sel_Gender="All",D2349=Sel_Gender),OR(Sel_Category="All",Data!B2349=Sel_Category),OR(Sel_Month="All",C2349=Sel_Month),OR(Sel_County="All",Data!L2349=Sel_County)),1,0)</f>
        <v>1</v>
      </c>
    </row>
    <row r="2350" spans="1:9" x14ac:dyDescent="0.25">
      <c r="A2350" s="52" t="str">
        <f>Data!A2350</f>
        <v>TX502349</v>
      </c>
      <c r="B2350" s="52">
        <f>MONTH(Data!F2350)</f>
        <v>3</v>
      </c>
      <c r="C2350" s="52" t="str">
        <f>TEXT(Data!F2350,"mmm")</f>
        <v>Mar</v>
      </c>
      <c r="D2350" s="52" t="str">
        <f>Data!O2350</f>
        <v>Other</v>
      </c>
      <c r="E2350" s="52">
        <f>Data!G2350-Data!F2350</f>
        <v>4</v>
      </c>
      <c r="F2350" s="52">
        <f>IF(Data!J2350&lt;=5,Data!J2350,IF(Data!J2350&lt;=10,"6 TO 10","More than 10"))</f>
        <v>4</v>
      </c>
      <c r="G2350" s="52">
        <f t="shared" si="36"/>
        <v>4</v>
      </c>
      <c r="H2350" s="52">
        <f>ROUND(Data!C2350*Data!D2350-Data!E2350,2)</f>
        <v>0</v>
      </c>
      <c r="I2350" s="52">
        <f>IF(AND(OR(Sel_Mode="All",Data!I2350=Sel_Mode),OR(Sel_Gender="All",D2350=Sel_Gender),OR(Sel_Category="All",Data!B2350=Sel_Category),OR(Sel_Month="All",C2350=Sel_Month),OR(Sel_County="All",Data!L2350=Sel_County)),1,0)</f>
        <v>1</v>
      </c>
    </row>
    <row r="2351" spans="1:9" x14ac:dyDescent="0.25">
      <c r="A2351" s="52" t="str">
        <f>Data!A2351</f>
        <v>TX502350</v>
      </c>
      <c r="B2351" s="52">
        <f>MONTH(Data!F2351)</f>
        <v>3</v>
      </c>
      <c r="C2351" s="52" t="str">
        <f>TEXT(Data!F2351,"mmm")</f>
        <v>Mar</v>
      </c>
      <c r="D2351" s="52" t="str">
        <f>Data!O2351</f>
        <v>Female</v>
      </c>
      <c r="E2351" s="52">
        <f>Data!G2351-Data!F2351</f>
        <v>3</v>
      </c>
      <c r="F2351" s="52">
        <f>IF(Data!J2351&lt;=5,Data!J2351,IF(Data!J2351&lt;=10,"6 TO 10","More than 10"))</f>
        <v>3</v>
      </c>
      <c r="G2351" s="52">
        <f t="shared" si="36"/>
        <v>3</v>
      </c>
      <c r="H2351" s="52">
        <f>ROUND(Data!C2351*Data!D2351-Data!E2351,2)</f>
        <v>0</v>
      </c>
      <c r="I2351" s="52">
        <f>IF(AND(OR(Sel_Mode="All",Data!I2351=Sel_Mode),OR(Sel_Gender="All",D2351=Sel_Gender),OR(Sel_Category="All",Data!B2351=Sel_Category),OR(Sel_Month="All",C2351=Sel_Month),OR(Sel_County="All",Data!L2351=Sel_County)),1,0)</f>
        <v>1</v>
      </c>
    </row>
    <row r="2352" spans="1:9" x14ac:dyDescent="0.25">
      <c r="A2352" s="52" t="str">
        <f>Data!A2352</f>
        <v>TX502351</v>
      </c>
      <c r="B2352" s="52">
        <f>MONTH(Data!F2352)</f>
        <v>3</v>
      </c>
      <c r="C2352" s="52" t="str">
        <f>TEXT(Data!F2352,"mmm")</f>
        <v>Mar</v>
      </c>
      <c r="D2352" s="52" t="str">
        <f>Data!O2352</f>
        <v>Female</v>
      </c>
      <c r="E2352" s="52">
        <f>Data!G2352-Data!F2352</f>
        <v>2</v>
      </c>
      <c r="F2352" s="52">
        <f>IF(Data!J2352&lt;=5,Data!J2352,IF(Data!J2352&lt;=10,"6 TO 10","More than 10"))</f>
        <v>2</v>
      </c>
      <c r="G2352" s="52">
        <f t="shared" si="36"/>
        <v>2</v>
      </c>
      <c r="H2352" s="52">
        <f>ROUND(Data!C2352*Data!D2352-Data!E2352,2)</f>
        <v>0</v>
      </c>
      <c r="I2352" s="52">
        <f>IF(AND(OR(Sel_Mode="All",Data!I2352=Sel_Mode),OR(Sel_Gender="All",D2352=Sel_Gender),OR(Sel_Category="All",Data!B2352=Sel_Category),OR(Sel_Month="All",C2352=Sel_Month),OR(Sel_County="All",Data!L2352=Sel_County)),1,0)</f>
        <v>1</v>
      </c>
    </row>
    <row r="2353" spans="1:9" x14ac:dyDescent="0.25">
      <c r="A2353" s="52" t="str">
        <f>Data!A2353</f>
        <v>TX502352</v>
      </c>
      <c r="B2353" s="52">
        <f>MONTH(Data!F2353)</f>
        <v>3</v>
      </c>
      <c r="C2353" s="52" t="str">
        <f>TEXT(Data!F2353,"mmm")</f>
        <v>Mar</v>
      </c>
      <c r="D2353" s="52" t="str">
        <f>Data!O2353</f>
        <v>Female</v>
      </c>
      <c r="E2353" s="52">
        <f>Data!G2353-Data!F2353</f>
        <v>1</v>
      </c>
      <c r="F2353" s="52">
        <f>IF(Data!J2353&lt;=5,Data!J2353,IF(Data!J2353&lt;=10,"6 TO 10","More than 10"))</f>
        <v>5</v>
      </c>
      <c r="G2353" s="52">
        <f t="shared" si="36"/>
        <v>1</v>
      </c>
      <c r="H2353" s="52">
        <f>ROUND(Data!C2353*Data!D2353-Data!E2353,2)</f>
        <v>0</v>
      </c>
      <c r="I2353" s="52">
        <f>IF(AND(OR(Sel_Mode="All",Data!I2353=Sel_Mode),OR(Sel_Gender="All",D2353=Sel_Gender),OR(Sel_Category="All",Data!B2353=Sel_Category),OR(Sel_Month="All",C2353=Sel_Month),OR(Sel_County="All",Data!L2353=Sel_County)),1,0)</f>
        <v>1</v>
      </c>
    </row>
    <row r="2354" spans="1:9" x14ac:dyDescent="0.25">
      <c r="A2354" s="52" t="str">
        <f>Data!A2354</f>
        <v>TX502353</v>
      </c>
      <c r="B2354" s="52">
        <f>MONTH(Data!F2354)</f>
        <v>3</v>
      </c>
      <c r="C2354" s="52" t="str">
        <f>TEXT(Data!F2354,"mmm")</f>
        <v>Mar</v>
      </c>
      <c r="D2354" s="52" t="str">
        <f>Data!O2354</f>
        <v>Female</v>
      </c>
      <c r="E2354" s="52">
        <f>Data!G2354-Data!F2354</f>
        <v>4</v>
      </c>
      <c r="F2354" s="52">
        <f>IF(Data!J2354&lt;=5,Data!J2354,IF(Data!J2354&lt;=10,"6 TO 10","More than 10"))</f>
        <v>4</v>
      </c>
      <c r="G2354" s="52">
        <f t="shared" si="36"/>
        <v>4</v>
      </c>
      <c r="H2354" s="52">
        <f>ROUND(Data!C2354*Data!D2354-Data!E2354,2)</f>
        <v>0</v>
      </c>
      <c r="I2354" s="52">
        <f>IF(AND(OR(Sel_Mode="All",Data!I2354=Sel_Mode),OR(Sel_Gender="All",D2354=Sel_Gender),OR(Sel_Category="All",Data!B2354=Sel_Category),OR(Sel_Month="All",C2354=Sel_Month),OR(Sel_County="All",Data!L2354=Sel_County)),1,0)</f>
        <v>1</v>
      </c>
    </row>
    <row r="2355" spans="1:9" x14ac:dyDescent="0.25">
      <c r="A2355" s="52" t="str">
        <f>Data!A2355</f>
        <v>TX502354</v>
      </c>
      <c r="B2355" s="52">
        <f>MONTH(Data!F2355)</f>
        <v>3</v>
      </c>
      <c r="C2355" s="52" t="str">
        <f>TEXT(Data!F2355,"mmm")</f>
        <v>Mar</v>
      </c>
      <c r="D2355" s="52" t="str">
        <f>Data!O2355</f>
        <v>Unknown</v>
      </c>
      <c r="E2355" s="52">
        <f>Data!G2355-Data!F2355</f>
        <v>2</v>
      </c>
      <c r="F2355" s="52">
        <f>IF(Data!J2355&lt;=5,Data!J2355,IF(Data!J2355&lt;=10,"6 TO 10","More than 10"))</f>
        <v>3</v>
      </c>
      <c r="G2355" s="52">
        <f t="shared" si="36"/>
        <v>2</v>
      </c>
      <c r="H2355" s="52">
        <f>ROUND(Data!C2355*Data!D2355-Data!E2355,2)</f>
        <v>0</v>
      </c>
      <c r="I2355" s="52">
        <f>IF(AND(OR(Sel_Mode="All",Data!I2355=Sel_Mode),OR(Sel_Gender="All",D2355=Sel_Gender),OR(Sel_Category="All",Data!B2355=Sel_Category),OR(Sel_Month="All",C2355=Sel_Month),OR(Sel_County="All",Data!L2355=Sel_County)),1,0)</f>
        <v>1</v>
      </c>
    </row>
    <row r="2356" spans="1:9" x14ac:dyDescent="0.25">
      <c r="A2356" s="52" t="str">
        <f>Data!A2356</f>
        <v>TX502355</v>
      </c>
      <c r="B2356" s="52">
        <f>MONTH(Data!F2356)</f>
        <v>3</v>
      </c>
      <c r="C2356" s="52" t="str">
        <f>TEXT(Data!F2356,"mmm")</f>
        <v>Mar</v>
      </c>
      <c r="D2356" s="52" t="str">
        <f>Data!O2356</f>
        <v>Female</v>
      </c>
      <c r="E2356" s="52">
        <f>Data!G2356-Data!F2356</f>
        <v>2</v>
      </c>
      <c r="F2356" s="52">
        <f>IF(Data!J2356&lt;=5,Data!J2356,IF(Data!J2356&lt;=10,"6 TO 10","More than 10"))</f>
        <v>5</v>
      </c>
      <c r="G2356" s="52">
        <f t="shared" si="36"/>
        <v>2</v>
      </c>
      <c r="H2356" s="52">
        <f>ROUND(Data!C2356*Data!D2356-Data!E2356,2)</f>
        <v>0</v>
      </c>
      <c r="I2356" s="52">
        <f>IF(AND(OR(Sel_Mode="All",Data!I2356=Sel_Mode),OR(Sel_Gender="All",D2356=Sel_Gender),OR(Sel_Category="All",Data!B2356=Sel_Category),OR(Sel_Month="All",C2356=Sel_Month),OR(Sel_County="All",Data!L2356=Sel_County)),1,0)</f>
        <v>1</v>
      </c>
    </row>
    <row r="2357" spans="1:9" x14ac:dyDescent="0.25">
      <c r="A2357" s="52" t="str">
        <f>Data!A2357</f>
        <v>TX502356</v>
      </c>
      <c r="B2357" s="52">
        <f>MONTH(Data!F2357)</f>
        <v>3</v>
      </c>
      <c r="C2357" s="52" t="str">
        <f>TEXT(Data!F2357,"mmm")</f>
        <v>Mar</v>
      </c>
      <c r="D2357" s="52" t="str">
        <f>Data!O2357</f>
        <v>Female</v>
      </c>
      <c r="E2357" s="52">
        <f>Data!G2357-Data!F2357</f>
        <v>3</v>
      </c>
      <c r="F2357" s="52">
        <f>IF(Data!J2357&lt;=5,Data!J2357,IF(Data!J2357&lt;=10,"6 TO 10","More than 10"))</f>
        <v>5</v>
      </c>
      <c r="G2357" s="52">
        <f t="shared" si="36"/>
        <v>3</v>
      </c>
      <c r="H2357" s="52">
        <f>ROUND(Data!C2357*Data!D2357-Data!E2357,2)</f>
        <v>0</v>
      </c>
      <c r="I2357" s="52">
        <f>IF(AND(OR(Sel_Mode="All",Data!I2357=Sel_Mode),OR(Sel_Gender="All",D2357=Sel_Gender),OR(Sel_Category="All",Data!B2357=Sel_Category),OR(Sel_Month="All",C2357=Sel_Month),OR(Sel_County="All",Data!L2357=Sel_County)),1,0)</f>
        <v>1</v>
      </c>
    </row>
    <row r="2358" spans="1:9" x14ac:dyDescent="0.25">
      <c r="A2358" s="52" t="str">
        <f>Data!A2358</f>
        <v>TX502357</v>
      </c>
      <c r="B2358" s="52">
        <f>MONTH(Data!F2358)</f>
        <v>3</v>
      </c>
      <c r="C2358" s="52" t="str">
        <f>TEXT(Data!F2358,"mmm")</f>
        <v>Mar</v>
      </c>
      <c r="D2358" s="52" t="str">
        <f>Data!O2358</f>
        <v>Female</v>
      </c>
      <c r="E2358" s="52">
        <f>Data!G2358-Data!F2358</f>
        <v>1</v>
      </c>
      <c r="F2358" s="52">
        <f>IF(Data!J2358&lt;=5,Data!J2358,IF(Data!J2358&lt;=10,"6 TO 10","More than 10"))</f>
        <v>3</v>
      </c>
      <c r="G2358" s="52">
        <f t="shared" si="36"/>
        <v>1</v>
      </c>
      <c r="H2358" s="52">
        <f>ROUND(Data!C2358*Data!D2358-Data!E2358,2)</f>
        <v>0</v>
      </c>
      <c r="I2358" s="52">
        <f>IF(AND(OR(Sel_Mode="All",Data!I2358=Sel_Mode),OR(Sel_Gender="All",D2358=Sel_Gender),OR(Sel_Category="All",Data!B2358=Sel_Category),OR(Sel_Month="All",C2358=Sel_Month),OR(Sel_County="All",Data!L2358=Sel_County)),1,0)</f>
        <v>1</v>
      </c>
    </row>
    <row r="2359" spans="1:9" x14ac:dyDescent="0.25">
      <c r="A2359" s="52" t="str">
        <f>Data!A2359</f>
        <v>TX502358</v>
      </c>
      <c r="B2359" s="52">
        <f>MONTH(Data!F2359)</f>
        <v>3</v>
      </c>
      <c r="C2359" s="52" t="str">
        <f>TEXT(Data!F2359,"mmm")</f>
        <v>Mar</v>
      </c>
      <c r="D2359" s="52" t="str">
        <f>Data!O2359</f>
        <v>Male</v>
      </c>
      <c r="E2359" s="52">
        <f>Data!G2359-Data!F2359</f>
        <v>1</v>
      </c>
      <c r="F2359" s="52">
        <f>IF(Data!J2359&lt;=5,Data!J2359,IF(Data!J2359&lt;=10,"6 TO 10","More than 10"))</f>
        <v>3</v>
      </c>
      <c r="G2359" s="52">
        <f t="shared" si="36"/>
        <v>1</v>
      </c>
      <c r="H2359" s="52">
        <f>ROUND(Data!C2359*Data!D2359-Data!E2359,2)</f>
        <v>0</v>
      </c>
      <c r="I2359" s="52">
        <f>IF(AND(OR(Sel_Mode="All",Data!I2359=Sel_Mode),OR(Sel_Gender="All",D2359=Sel_Gender),OR(Sel_Category="All",Data!B2359=Sel_Category),OR(Sel_Month="All",C2359=Sel_Month),OR(Sel_County="All",Data!L2359=Sel_County)),1,0)</f>
        <v>1</v>
      </c>
    </row>
    <row r="2360" spans="1:9" x14ac:dyDescent="0.25">
      <c r="A2360" s="52" t="str">
        <f>Data!A2360</f>
        <v>TX502359</v>
      </c>
      <c r="B2360" s="52">
        <f>MONTH(Data!F2360)</f>
        <v>3</v>
      </c>
      <c r="C2360" s="52" t="str">
        <f>TEXT(Data!F2360,"mmm")</f>
        <v>Mar</v>
      </c>
      <c r="D2360" s="52" t="str">
        <f>Data!O2360</f>
        <v>Male</v>
      </c>
      <c r="E2360" s="52">
        <f>Data!G2360-Data!F2360</f>
        <v>1</v>
      </c>
      <c r="F2360" s="52">
        <f>IF(Data!J2360&lt;=5,Data!J2360,IF(Data!J2360&lt;=10,"6 TO 10","More than 10"))</f>
        <v>4</v>
      </c>
      <c r="G2360" s="52">
        <f t="shared" si="36"/>
        <v>1</v>
      </c>
      <c r="H2360" s="52">
        <f>ROUND(Data!C2360*Data!D2360-Data!E2360,2)</f>
        <v>0</v>
      </c>
      <c r="I2360" s="52">
        <f>IF(AND(OR(Sel_Mode="All",Data!I2360=Sel_Mode),OR(Sel_Gender="All",D2360=Sel_Gender),OR(Sel_Category="All",Data!B2360=Sel_Category),OR(Sel_Month="All",C2360=Sel_Month),OR(Sel_County="All",Data!L2360=Sel_County)),1,0)</f>
        <v>1</v>
      </c>
    </row>
    <row r="2361" spans="1:9" x14ac:dyDescent="0.25">
      <c r="A2361" s="52" t="str">
        <f>Data!A2361</f>
        <v>TX502360</v>
      </c>
      <c r="B2361" s="52">
        <f>MONTH(Data!F2361)</f>
        <v>3</v>
      </c>
      <c r="C2361" s="52" t="str">
        <f>TEXT(Data!F2361,"mmm")</f>
        <v>Mar</v>
      </c>
      <c r="D2361" s="52" t="str">
        <f>Data!O2361</f>
        <v>Female</v>
      </c>
      <c r="E2361" s="52">
        <f>Data!G2361-Data!F2361</f>
        <v>3</v>
      </c>
      <c r="F2361" s="52">
        <f>IF(Data!J2361&lt;=5,Data!J2361,IF(Data!J2361&lt;=10,"6 TO 10","More than 10"))</f>
        <v>5</v>
      </c>
      <c r="G2361" s="52">
        <f t="shared" si="36"/>
        <v>3</v>
      </c>
      <c r="H2361" s="52">
        <f>ROUND(Data!C2361*Data!D2361-Data!E2361,2)</f>
        <v>0</v>
      </c>
      <c r="I2361" s="52">
        <f>IF(AND(OR(Sel_Mode="All",Data!I2361=Sel_Mode),OR(Sel_Gender="All",D2361=Sel_Gender),OR(Sel_Category="All",Data!B2361=Sel_Category),OR(Sel_Month="All",C2361=Sel_Month),OR(Sel_County="All",Data!L2361=Sel_County)),1,0)</f>
        <v>1</v>
      </c>
    </row>
    <row r="2362" spans="1:9" x14ac:dyDescent="0.25">
      <c r="A2362" s="52" t="str">
        <f>Data!A2362</f>
        <v>TX502361</v>
      </c>
      <c r="B2362" s="52">
        <f>MONTH(Data!F2362)</f>
        <v>3</v>
      </c>
      <c r="C2362" s="52" t="str">
        <f>TEXT(Data!F2362,"mmm")</f>
        <v>Mar</v>
      </c>
      <c r="D2362" s="52" t="str">
        <f>Data!O2362</f>
        <v>Male</v>
      </c>
      <c r="E2362" s="52">
        <f>Data!G2362-Data!F2362</f>
        <v>1</v>
      </c>
      <c r="F2362" s="52">
        <f>IF(Data!J2362&lt;=5,Data!J2362,IF(Data!J2362&lt;=10,"6 TO 10","More than 10"))</f>
        <v>4</v>
      </c>
      <c r="G2362" s="52">
        <f t="shared" si="36"/>
        <v>1</v>
      </c>
      <c r="H2362" s="52">
        <f>ROUND(Data!C2362*Data!D2362-Data!E2362,2)</f>
        <v>0</v>
      </c>
      <c r="I2362" s="52">
        <f>IF(AND(OR(Sel_Mode="All",Data!I2362=Sel_Mode),OR(Sel_Gender="All",D2362=Sel_Gender),OR(Sel_Category="All",Data!B2362=Sel_Category),OR(Sel_Month="All",C2362=Sel_Month),OR(Sel_County="All",Data!L2362=Sel_County)),1,0)</f>
        <v>1</v>
      </c>
    </row>
    <row r="2363" spans="1:9" x14ac:dyDescent="0.25">
      <c r="A2363" s="52" t="str">
        <f>Data!A2363</f>
        <v>TX502362</v>
      </c>
      <c r="B2363" s="52">
        <f>MONTH(Data!F2363)</f>
        <v>3</v>
      </c>
      <c r="C2363" s="52" t="str">
        <f>TEXT(Data!F2363,"mmm")</f>
        <v>Mar</v>
      </c>
      <c r="D2363" s="52" t="str">
        <f>Data!O2363</f>
        <v>Female</v>
      </c>
      <c r="E2363" s="52">
        <f>Data!G2363-Data!F2363</f>
        <v>2</v>
      </c>
      <c r="F2363" s="52">
        <f>IF(Data!J2363&lt;=5,Data!J2363,IF(Data!J2363&lt;=10,"6 TO 10","More than 10"))</f>
        <v>3</v>
      </c>
      <c r="G2363" s="52">
        <f t="shared" si="36"/>
        <v>2</v>
      </c>
      <c r="H2363" s="52">
        <f>ROUND(Data!C2363*Data!D2363-Data!E2363,2)</f>
        <v>0</v>
      </c>
      <c r="I2363" s="52">
        <f>IF(AND(OR(Sel_Mode="All",Data!I2363=Sel_Mode),OR(Sel_Gender="All",D2363=Sel_Gender),OR(Sel_Category="All",Data!B2363=Sel_Category),OR(Sel_Month="All",C2363=Sel_Month),OR(Sel_County="All",Data!L2363=Sel_County)),1,0)</f>
        <v>1</v>
      </c>
    </row>
    <row r="2364" spans="1:9" x14ac:dyDescent="0.25">
      <c r="A2364" s="52" t="str">
        <f>Data!A2364</f>
        <v>TX502363</v>
      </c>
      <c r="B2364" s="52">
        <f>MONTH(Data!F2364)</f>
        <v>3</v>
      </c>
      <c r="C2364" s="52" t="str">
        <f>TEXT(Data!F2364,"mmm")</f>
        <v>Mar</v>
      </c>
      <c r="D2364" s="52" t="str">
        <f>Data!O2364</f>
        <v>Female</v>
      </c>
      <c r="E2364" s="52">
        <f>Data!G2364-Data!F2364</f>
        <v>0</v>
      </c>
      <c r="F2364" s="52">
        <f>IF(Data!J2364&lt;=5,Data!J2364,IF(Data!J2364&lt;=10,"6 TO 10","More than 10"))</f>
        <v>1</v>
      </c>
      <c r="G2364" s="52">
        <f t="shared" si="36"/>
        <v>0</v>
      </c>
      <c r="H2364" s="52">
        <f>ROUND(Data!C2364*Data!D2364-Data!E2364,2)</f>
        <v>0</v>
      </c>
      <c r="I2364" s="52">
        <f>IF(AND(OR(Sel_Mode="All",Data!I2364=Sel_Mode),OR(Sel_Gender="All",D2364=Sel_Gender),OR(Sel_Category="All",Data!B2364=Sel_Category),OR(Sel_Month="All",C2364=Sel_Month),OR(Sel_County="All",Data!L2364=Sel_County)),1,0)</f>
        <v>1</v>
      </c>
    </row>
    <row r="2365" spans="1:9" x14ac:dyDescent="0.25">
      <c r="A2365" s="52" t="str">
        <f>Data!A2365</f>
        <v>TX502364</v>
      </c>
      <c r="B2365" s="52">
        <f>MONTH(Data!F2365)</f>
        <v>3</v>
      </c>
      <c r="C2365" s="52" t="str">
        <f>TEXT(Data!F2365,"mmm")</f>
        <v>Mar</v>
      </c>
      <c r="D2365" s="52" t="str">
        <f>Data!O2365</f>
        <v>Male</v>
      </c>
      <c r="E2365" s="52">
        <f>Data!G2365-Data!F2365</f>
        <v>3</v>
      </c>
      <c r="F2365" s="52">
        <f>IF(Data!J2365&lt;=5,Data!J2365,IF(Data!J2365&lt;=10,"6 TO 10","More than 10"))</f>
        <v>4</v>
      </c>
      <c r="G2365" s="52">
        <f t="shared" si="36"/>
        <v>3</v>
      </c>
      <c r="H2365" s="52">
        <f>ROUND(Data!C2365*Data!D2365-Data!E2365,2)</f>
        <v>0</v>
      </c>
      <c r="I2365" s="52">
        <f>IF(AND(OR(Sel_Mode="All",Data!I2365=Sel_Mode),OR(Sel_Gender="All",D2365=Sel_Gender),OR(Sel_Category="All",Data!B2365=Sel_Category),OR(Sel_Month="All",C2365=Sel_Month),OR(Sel_County="All",Data!L2365=Sel_County)),1,0)</f>
        <v>1</v>
      </c>
    </row>
    <row r="2366" spans="1:9" x14ac:dyDescent="0.25">
      <c r="A2366" s="52" t="str">
        <f>Data!A2366</f>
        <v>TX502365</v>
      </c>
      <c r="B2366" s="52">
        <f>MONTH(Data!F2366)</f>
        <v>3</v>
      </c>
      <c r="C2366" s="52" t="str">
        <f>TEXT(Data!F2366,"mmm")</f>
        <v>Mar</v>
      </c>
      <c r="D2366" s="52" t="str">
        <f>Data!O2366</f>
        <v>Male</v>
      </c>
      <c r="E2366" s="52">
        <f>Data!G2366-Data!F2366</f>
        <v>1</v>
      </c>
      <c r="F2366" s="52">
        <f>IF(Data!J2366&lt;=5,Data!J2366,IF(Data!J2366&lt;=10,"6 TO 10","More than 10"))</f>
        <v>4</v>
      </c>
      <c r="G2366" s="52">
        <f t="shared" si="36"/>
        <v>1</v>
      </c>
      <c r="H2366" s="52">
        <f>ROUND(Data!C2366*Data!D2366-Data!E2366,2)</f>
        <v>0</v>
      </c>
      <c r="I2366" s="52">
        <f>IF(AND(OR(Sel_Mode="All",Data!I2366=Sel_Mode),OR(Sel_Gender="All",D2366=Sel_Gender),OR(Sel_Category="All",Data!B2366=Sel_Category),OR(Sel_Month="All",C2366=Sel_Month),OR(Sel_County="All",Data!L2366=Sel_County)),1,0)</f>
        <v>1</v>
      </c>
    </row>
    <row r="2367" spans="1:9" x14ac:dyDescent="0.25">
      <c r="A2367" s="52" t="str">
        <f>Data!A2367</f>
        <v>TX502366</v>
      </c>
      <c r="B2367" s="52">
        <f>MONTH(Data!F2367)</f>
        <v>3</v>
      </c>
      <c r="C2367" s="52" t="str">
        <f>TEXT(Data!F2367,"mmm")</f>
        <v>Mar</v>
      </c>
      <c r="D2367" s="52" t="str">
        <f>Data!O2367</f>
        <v>Female</v>
      </c>
      <c r="E2367" s="52">
        <f>Data!G2367-Data!F2367</f>
        <v>13</v>
      </c>
      <c r="F2367" s="52">
        <f>IF(Data!J2367&lt;=5,Data!J2367,IF(Data!J2367&lt;=10,"6 TO 10","More than 10"))</f>
        <v>3</v>
      </c>
      <c r="G2367" s="52" t="str">
        <f t="shared" si="36"/>
        <v>8+</v>
      </c>
      <c r="H2367" s="52">
        <f>ROUND(Data!C2367*Data!D2367-Data!E2367,2)</f>
        <v>0</v>
      </c>
      <c r="I2367" s="52">
        <f>IF(AND(OR(Sel_Mode="All",Data!I2367=Sel_Mode),OR(Sel_Gender="All",D2367=Sel_Gender),OR(Sel_Category="All",Data!B2367=Sel_Category),OR(Sel_Month="All",C2367=Sel_Month),OR(Sel_County="All",Data!L2367=Sel_County)),1,0)</f>
        <v>1</v>
      </c>
    </row>
    <row r="2368" spans="1:9" x14ac:dyDescent="0.25">
      <c r="A2368" s="52" t="str">
        <f>Data!A2368</f>
        <v>TX502367</v>
      </c>
      <c r="B2368" s="52">
        <f>MONTH(Data!F2368)</f>
        <v>3</v>
      </c>
      <c r="C2368" s="52" t="str">
        <f>TEXT(Data!F2368,"mmm")</f>
        <v>Mar</v>
      </c>
      <c r="D2368" s="52" t="str">
        <f>Data!O2368</f>
        <v>Male</v>
      </c>
      <c r="E2368" s="52">
        <f>Data!G2368-Data!F2368</f>
        <v>5</v>
      </c>
      <c r="F2368" s="52">
        <f>IF(Data!J2368&lt;=5,Data!J2368,IF(Data!J2368&lt;=10,"6 TO 10","More than 10"))</f>
        <v>3</v>
      </c>
      <c r="G2368" s="52">
        <f t="shared" si="36"/>
        <v>5</v>
      </c>
      <c r="H2368" s="52">
        <f>ROUND(Data!C2368*Data!D2368-Data!E2368,2)</f>
        <v>0</v>
      </c>
      <c r="I2368" s="52">
        <f>IF(AND(OR(Sel_Mode="All",Data!I2368=Sel_Mode),OR(Sel_Gender="All",D2368=Sel_Gender),OR(Sel_Category="All",Data!B2368=Sel_Category),OR(Sel_Month="All",C2368=Sel_Month),OR(Sel_County="All",Data!L2368=Sel_County)),1,0)</f>
        <v>1</v>
      </c>
    </row>
    <row r="2369" spans="1:9" x14ac:dyDescent="0.25">
      <c r="A2369" s="52" t="str">
        <f>Data!A2369</f>
        <v>TX502368</v>
      </c>
      <c r="B2369" s="52">
        <f>MONTH(Data!F2369)</f>
        <v>3</v>
      </c>
      <c r="C2369" s="52" t="str">
        <f>TEXT(Data!F2369,"mmm")</f>
        <v>Mar</v>
      </c>
      <c r="D2369" s="52" t="str">
        <f>Data!O2369</f>
        <v>Unknown</v>
      </c>
      <c r="E2369" s="52">
        <f>Data!G2369-Data!F2369</f>
        <v>7</v>
      </c>
      <c r="F2369" s="52">
        <f>IF(Data!J2369&lt;=5,Data!J2369,IF(Data!J2369&lt;=10,"6 TO 10","More than 10"))</f>
        <v>5</v>
      </c>
      <c r="G2369" s="52">
        <f t="shared" si="36"/>
        <v>7</v>
      </c>
      <c r="H2369" s="52">
        <f>ROUND(Data!C2369*Data!D2369-Data!E2369,2)</f>
        <v>0</v>
      </c>
      <c r="I2369" s="52">
        <f>IF(AND(OR(Sel_Mode="All",Data!I2369=Sel_Mode),OR(Sel_Gender="All",D2369=Sel_Gender),OR(Sel_Category="All",Data!B2369=Sel_Category),OR(Sel_Month="All",C2369=Sel_Month),OR(Sel_County="All",Data!L2369=Sel_County)),1,0)</f>
        <v>1</v>
      </c>
    </row>
    <row r="2370" spans="1:9" x14ac:dyDescent="0.25">
      <c r="A2370" s="52" t="str">
        <f>Data!A2370</f>
        <v>TX502369</v>
      </c>
      <c r="B2370" s="52">
        <f>MONTH(Data!F2370)</f>
        <v>3</v>
      </c>
      <c r="C2370" s="52" t="str">
        <f>TEXT(Data!F2370,"mmm")</f>
        <v>Mar</v>
      </c>
      <c r="D2370" s="52" t="str">
        <f>Data!O2370</f>
        <v>Male</v>
      </c>
      <c r="E2370" s="52">
        <f>Data!G2370-Data!F2370</f>
        <v>1</v>
      </c>
      <c r="F2370" s="52">
        <f>IF(Data!J2370&lt;=5,Data!J2370,IF(Data!J2370&lt;=10,"6 TO 10","More than 10"))</f>
        <v>3</v>
      </c>
      <c r="G2370" s="52">
        <f t="shared" ref="G2370:G2401" si="37">IF(E2370&gt;=8,"8+",E2370)</f>
        <v>1</v>
      </c>
      <c r="H2370" s="52">
        <f>ROUND(Data!C2370*Data!D2370-Data!E2370,2)</f>
        <v>0</v>
      </c>
      <c r="I2370" s="52">
        <f>IF(AND(OR(Sel_Mode="All",Data!I2370=Sel_Mode),OR(Sel_Gender="All",D2370=Sel_Gender),OR(Sel_Category="All",Data!B2370=Sel_Category),OR(Sel_Month="All",C2370=Sel_Month),OR(Sel_County="All",Data!L2370=Sel_County)),1,0)</f>
        <v>1</v>
      </c>
    </row>
    <row r="2371" spans="1:9" x14ac:dyDescent="0.25">
      <c r="A2371" s="52" t="str">
        <f>Data!A2371</f>
        <v>TX502370</v>
      </c>
      <c r="B2371" s="52">
        <f>MONTH(Data!F2371)</f>
        <v>3</v>
      </c>
      <c r="C2371" s="52" t="str">
        <f>TEXT(Data!F2371,"mmm")</f>
        <v>Mar</v>
      </c>
      <c r="D2371" s="52" t="str">
        <f>Data!O2371</f>
        <v>Male</v>
      </c>
      <c r="E2371" s="52">
        <f>Data!G2371-Data!F2371</f>
        <v>1</v>
      </c>
      <c r="F2371" s="52">
        <f>IF(Data!J2371&lt;=5,Data!J2371,IF(Data!J2371&lt;=10,"6 TO 10","More than 10"))</f>
        <v>5</v>
      </c>
      <c r="G2371" s="52">
        <f t="shared" si="37"/>
        <v>1</v>
      </c>
      <c r="H2371" s="52">
        <f>ROUND(Data!C2371*Data!D2371-Data!E2371,2)</f>
        <v>0</v>
      </c>
      <c r="I2371" s="52">
        <f>IF(AND(OR(Sel_Mode="All",Data!I2371=Sel_Mode),OR(Sel_Gender="All",D2371=Sel_Gender),OR(Sel_Category="All",Data!B2371=Sel_Category),OR(Sel_Month="All",C2371=Sel_Month),OR(Sel_County="All",Data!L2371=Sel_County)),1,0)</f>
        <v>1</v>
      </c>
    </row>
    <row r="2372" spans="1:9" x14ac:dyDescent="0.25">
      <c r="A2372" s="52" t="str">
        <f>Data!A2372</f>
        <v>TX502371</v>
      </c>
      <c r="B2372" s="52">
        <f>MONTH(Data!F2372)</f>
        <v>3</v>
      </c>
      <c r="C2372" s="52" t="str">
        <f>TEXT(Data!F2372,"mmm")</f>
        <v>Mar</v>
      </c>
      <c r="D2372" s="52" t="str">
        <f>Data!O2372</f>
        <v>Female</v>
      </c>
      <c r="E2372" s="52">
        <f>Data!G2372-Data!F2372</f>
        <v>1</v>
      </c>
      <c r="F2372" s="52">
        <f>IF(Data!J2372&lt;=5,Data!J2372,IF(Data!J2372&lt;=10,"6 TO 10","More than 10"))</f>
        <v>2</v>
      </c>
      <c r="G2372" s="52">
        <f t="shared" si="37"/>
        <v>1</v>
      </c>
      <c r="H2372" s="52">
        <f>ROUND(Data!C2372*Data!D2372-Data!E2372,2)</f>
        <v>0</v>
      </c>
      <c r="I2372" s="52">
        <f>IF(AND(OR(Sel_Mode="All",Data!I2372=Sel_Mode),OR(Sel_Gender="All",D2372=Sel_Gender),OR(Sel_Category="All",Data!B2372=Sel_Category),OR(Sel_Month="All",C2372=Sel_Month),OR(Sel_County="All",Data!L2372=Sel_County)),1,0)</f>
        <v>1</v>
      </c>
    </row>
    <row r="2373" spans="1:9" x14ac:dyDescent="0.25">
      <c r="A2373" s="52" t="str">
        <f>Data!A2373</f>
        <v>TX502372</v>
      </c>
      <c r="B2373" s="52">
        <f>MONTH(Data!F2373)</f>
        <v>3</v>
      </c>
      <c r="C2373" s="52" t="str">
        <f>TEXT(Data!F2373,"mmm")</f>
        <v>Mar</v>
      </c>
      <c r="D2373" s="52" t="str">
        <f>Data!O2373</f>
        <v>Male</v>
      </c>
      <c r="E2373" s="52">
        <f>Data!G2373-Data!F2373</f>
        <v>4</v>
      </c>
      <c r="F2373" s="52">
        <f>IF(Data!J2373&lt;=5,Data!J2373,IF(Data!J2373&lt;=10,"6 TO 10","More than 10"))</f>
        <v>5</v>
      </c>
      <c r="G2373" s="52">
        <f t="shared" si="37"/>
        <v>4</v>
      </c>
      <c r="H2373" s="52">
        <f>ROUND(Data!C2373*Data!D2373-Data!E2373,2)</f>
        <v>0</v>
      </c>
      <c r="I2373" s="52">
        <f>IF(AND(OR(Sel_Mode="All",Data!I2373=Sel_Mode),OR(Sel_Gender="All",D2373=Sel_Gender),OR(Sel_Category="All",Data!B2373=Sel_Category),OR(Sel_Month="All",C2373=Sel_Month),OR(Sel_County="All",Data!L2373=Sel_County)),1,0)</f>
        <v>1</v>
      </c>
    </row>
    <row r="2374" spans="1:9" x14ac:dyDescent="0.25">
      <c r="A2374" s="52" t="str">
        <f>Data!A2374</f>
        <v>TX502373</v>
      </c>
      <c r="B2374" s="52">
        <f>MONTH(Data!F2374)</f>
        <v>3</v>
      </c>
      <c r="C2374" s="52" t="str">
        <f>TEXT(Data!F2374,"mmm")</f>
        <v>Mar</v>
      </c>
      <c r="D2374" s="52" t="str">
        <f>Data!O2374</f>
        <v>Female</v>
      </c>
      <c r="E2374" s="52">
        <f>Data!G2374-Data!F2374</f>
        <v>3</v>
      </c>
      <c r="F2374" s="52">
        <f>IF(Data!J2374&lt;=5,Data!J2374,IF(Data!J2374&lt;=10,"6 TO 10","More than 10"))</f>
        <v>5</v>
      </c>
      <c r="G2374" s="52">
        <f t="shared" si="37"/>
        <v>3</v>
      </c>
      <c r="H2374" s="52">
        <f>ROUND(Data!C2374*Data!D2374-Data!E2374,2)</f>
        <v>0</v>
      </c>
      <c r="I2374" s="52">
        <f>IF(AND(OR(Sel_Mode="All",Data!I2374=Sel_Mode),OR(Sel_Gender="All",D2374=Sel_Gender),OR(Sel_Category="All",Data!B2374=Sel_Category),OR(Sel_Month="All",C2374=Sel_Month),OR(Sel_County="All",Data!L2374=Sel_County)),1,0)</f>
        <v>1</v>
      </c>
    </row>
    <row r="2375" spans="1:9" x14ac:dyDescent="0.25">
      <c r="A2375" s="52" t="str">
        <f>Data!A2375</f>
        <v>TX502374</v>
      </c>
      <c r="B2375" s="52">
        <f>MONTH(Data!F2375)</f>
        <v>3</v>
      </c>
      <c r="C2375" s="52" t="str">
        <f>TEXT(Data!F2375,"mmm")</f>
        <v>Mar</v>
      </c>
      <c r="D2375" s="52" t="str">
        <f>Data!O2375</f>
        <v>Female</v>
      </c>
      <c r="E2375" s="52">
        <f>Data!G2375-Data!F2375</f>
        <v>2</v>
      </c>
      <c r="F2375" s="52">
        <f>IF(Data!J2375&lt;=5,Data!J2375,IF(Data!J2375&lt;=10,"6 TO 10","More than 10"))</f>
        <v>5</v>
      </c>
      <c r="G2375" s="52">
        <f t="shared" si="37"/>
        <v>2</v>
      </c>
      <c r="H2375" s="52">
        <f>ROUND(Data!C2375*Data!D2375-Data!E2375,2)</f>
        <v>0</v>
      </c>
      <c r="I2375" s="52">
        <f>IF(AND(OR(Sel_Mode="All",Data!I2375=Sel_Mode),OR(Sel_Gender="All",D2375=Sel_Gender),OR(Sel_Category="All",Data!B2375=Sel_Category),OR(Sel_Month="All",C2375=Sel_Month),OR(Sel_County="All",Data!L2375=Sel_County)),1,0)</f>
        <v>1</v>
      </c>
    </row>
    <row r="2376" spans="1:9" x14ac:dyDescent="0.25">
      <c r="A2376" s="52" t="str">
        <f>Data!A2376</f>
        <v>TX502375</v>
      </c>
      <c r="B2376" s="52">
        <f>MONTH(Data!F2376)</f>
        <v>3</v>
      </c>
      <c r="C2376" s="52" t="str">
        <f>TEXT(Data!F2376,"mmm")</f>
        <v>Mar</v>
      </c>
      <c r="D2376" s="52" t="str">
        <f>Data!O2376</f>
        <v>Male</v>
      </c>
      <c r="E2376" s="52">
        <f>Data!G2376-Data!F2376</f>
        <v>1</v>
      </c>
      <c r="F2376" s="52">
        <f>IF(Data!J2376&lt;=5,Data!J2376,IF(Data!J2376&lt;=10,"6 TO 10","More than 10"))</f>
        <v>5</v>
      </c>
      <c r="G2376" s="52">
        <f t="shared" si="37"/>
        <v>1</v>
      </c>
      <c r="H2376" s="52">
        <f>ROUND(Data!C2376*Data!D2376-Data!E2376,2)</f>
        <v>0</v>
      </c>
      <c r="I2376" s="52">
        <f>IF(AND(OR(Sel_Mode="All",Data!I2376=Sel_Mode),OR(Sel_Gender="All",D2376=Sel_Gender),OR(Sel_Category="All",Data!B2376=Sel_Category),OR(Sel_Month="All",C2376=Sel_Month),OR(Sel_County="All",Data!L2376=Sel_County)),1,0)</f>
        <v>1</v>
      </c>
    </row>
    <row r="2377" spans="1:9" x14ac:dyDescent="0.25">
      <c r="A2377" s="52" t="str">
        <f>Data!A2377</f>
        <v>TX502376</v>
      </c>
      <c r="B2377" s="52">
        <f>MONTH(Data!F2377)</f>
        <v>3</v>
      </c>
      <c r="C2377" s="52" t="str">
        <f>TEXT(Data!F2377,"mmm")</f>
        <v>Mar</v>
      </c>
      <c r="D2377" s="52" t="str">
        <f>Data!O2377</f>
        <v>Unknown</v>
      </c>
      <c r="E2377" s="52">
        <f>Data!G2377-Data!F2377</f>
        <v>2</v>
      </c>
      <c r="F2377" s="52">
        <f>IF(Data!J2377&lt;=5,Data!J2377,IF(Data!J2377&lt;=10,"6 TO 10","More than 10"))</f>
        <v>4</v>
      </c>
      <c r="G2377" s="52">
        <f t="shared" si="37"/>
        <v>2</v>
      </c>
      <c r="H2377" s="52">
        <f>ROUND(Data!C2377*Data!D2377-Data!E2377,2)</f>
        <v>0</v>
      </c>
      <c r="I2377" s="52">
        <f>IF(AND(OR(Sel_Mode="All",Data!I2377=Sel_Mode),OR(Sel_Gender="All",D2377=Sel_Gender),OR(Sel_Category="All",Data!B2377=Sel_Category),OR(Sel_Month="All",C2377=Sel_Month),OR(Sel_County="All",Data!L2377=Sel_County)),1,0)</f>
        <v>1</v>
      </c>
    </row>
    <row r="2378" spans="1:9" x14ac:dyDescent="0.25">
      <c r="A2378" s="52" t="str">
        <f>Data!A2378</f>
        <v>TX502377</v>
      </c>
      <c r="B2378" s="52">
        <f>MONTH(Data!F2378)</f>
        <v>3</v>
      </c>
      <c r="C2378" s="52" t="str">
        <f>TEXT(Data!F2378,"mmm")</f>
        <v>Mar</v>
      </c>
      <c r="D2378" s="52" t="str">
        <f>Data!O2378</f>
        <v>Female</v>
      </c>
      <c r="E2378" s="52">
        <f>Data!G2378-Data!F2378</f>
        <v>1</v>
      </c>
      <c r="F2378" s="52">
        <f>IF(Data!J2378&lt;=5,Data!J2378,IF(Data!J2378&lt;=10,"6 TO 10","More than 10"))</f>
        <v>4</v>
      </c>
      <c r="G2378" s="52">
        <f t="shared" si="37"/>
        <v>1</v>
      </c>
      <c r="H2378" s="52">
        <f>ROUND(Data!C2378*Data!D2378-Data!E2378,2)</f>
        <v>0</v>
      </c>
      <c r="I2378" s="52">
        <f>IF(AND(OR(Sel_Mode="All",Data!I2378=Sel_Mode),OR(Sel_Gender="All",D2378=Sel_Gender),OR(Sel_Category="All",Data!B2378=Sel_Category),OR(Sel_Month="All",C2378=Sel_Month),OR(Sel_County="All",Data!L2378=Sel_County)),1,0)</f>
        <v>1</v>
      </c>
    </row>
    <row r="2379" spans="1:9" x14ac:dyDescent="0.25">
      <c r="A2379" s="52" t="str">
        <f>Data!A2379</f>
        <v>TX502378</v>
      </c>
      <c r="B2379" s="52">
        <f>MONTH(Data!F2379)</f>
        <v>3</v>
      </c>
      <c r="C2379" s="52" t="str">
        <f>TEXT(Data!F2379,"mmm")</f>
        <v>Mar</v>
      </c>
      <c r="D2379" s="52" t="str">
        <f>Data!O2379</f>
        <v>Female</v>
      </c>
      <c r="E2379" s="52">
        <f>Data!G2379-Data!F2379</f>
        <v>2</v>
      </c>
      <c r="F2379" s="52">
        <f>IF(Data!J2379&lt;=5,Data!J2379,IF(Data!J2379&lt;=10,"6 TO 10","More than 10"))</f>
        <v>5</v>
      </c>
      <c r="G2379" s="52">
        <f t="shared" si="37"/>
        <v>2</v>
      </c>
      <c r="H2379" s="52">
        <f>ROUND(Data!C2379*Data!D2379-Data!E2379,2)</f>
        <v>0</v>
      </c>
      <c r="I2379" s="52">
        <f>IF(AND(OR(Sel_Mode="All",Data!I2379=Sel_Mode),OR(Sel_Gender="All",D2379=Sel_Gender),OR(Sel_Category="All",Data!B2379=Sel_Category),OR(Sel_Month="All",C2379=Sel_Month),OR(Sel_County="All",Data!L2379=Sel_County)),1,0)</f>
        <v>1</v>
      </c>
    </row>
    <row r="2380" spans="1:9" x14ac:dyDescent="0.25">
      <c r="A2380" s="52" t="str">
        <f>Data!A2380</f>
        <v>TX502379</v>
      </c>
      <c r="B2380" s="52">
        <f>MONTH(Data!F2380)</f>
        <v>3</v>
      </c>
      <c r="C2380" s="52" t="str">
        <f>TEXT(Data!F2380,"mmm")</f>
        <v>Mar</v>
      </c>
      <c r="D2380" s="52" t="str">
        <f>Data!O2380</f>
        <v>Female</v>
      </c>
      <c r="E2380" s="52">
        <f>Data!G2380-Data!F2380</f>
        <v>1</v>
      </c>
      <c r="F2380" s="52">
        <f>IF(Data!J2380&lt;=5,Data!J2380,IF(Data!J2380&lt;=10,"6 TO 10","More than 10"))</f>
        <v>4</v>
      </c>
      <c r="G2380" s="52">
        <f t="shared" si="37"/>
        <v>1</v>
      </c>
      <c r="H2380" s="52">
        <f>ROUND(Data!C2380*Data!D2380-Data!E2380,2)</f>
        <v>0</v>
      </c>
      <c r="I2380" s="52">
        <f>IF(AND(OR(Sel_Mode="All",Data!I2380=Sel_Mode),OR(Sel_Gender="All",D2380=Sel_Gender),OR(Sel_Category="All",Data!B2380=Sel_Category),OR(Sel_Month="All",C2380=Sel_Month),OR(Sel_County="All",Data!L2380=Sel_County)),1,0)</f>
        <v>1</v>
      </c>
    </row>
    <row r="2381" spans="1:9" x14ac:dyDescent="0.25">
      <c r="A2381" s="52" t="str">
        <f>Data!A2381</f>
        <v>TX502380</v>
      </c>
      <c r="B2381" s="52">
        <f>MONTH(Data!F2381)</f>
        <v>3</v>
      </c>
      <c r="C2381" s="52" t="str">
        <f>TEXT(Data!F2381,"mmm")</f>
        <v>Mar</v>
      </c>
      <c r="D2381" s="52" t="str">
        <f>Data!O2381</f>
        <v>Female</v>
      </c>
      <c r="E2381" s="52">
        <f>Data!G2381-Data!F2381</f>
        <v>2</v>
      </c>
      <c r="F2381" s="52">
        <f>IF(Data!J2381&lt;=5,Data!J2381,IF(Data!J2381&lt;=10,"6 TO 10","More than 10"))</f>
        <v>5</v>
      </c>
      <c r="G2381" s="52">
        <f t="shared" si="37"/>
        <v>2</v>
      </c>
      <c r="H2381" s="52">
        <f>ROUND(Data!C2381*Data!D2381-Data!E2381,2)</f>
        <v>0</v>
      </c>
      <c r="I2381" s="52">
        <f>IF(AND(OR(Sel_Mode="All",Data!I2381=Sel_Mode),OR(Sel_Gender="All",D2381=Sel_Gender),OR(Sel_Category="All",Data!B2381=Sel_Category),OR(Sel_Month="All",C2381=Sel_Month),OR(Sel_County="All",Data!L2381=Sel_County)),1,0)</f>
        <v>1</v>
      </c>
    </row>
    <row r="2382" spans="1:9" x14ac:dyDescent="0.25">
      <c r="A2382" s="52" t="str">
        <f>Data!A2382</f>
        <v>TX502381</v>
      </c>
      <c r="B2382" s="52">
        <f>MONTH(Data!F2382)</f>
        <v>3</v>
      </c>
      <c r="C2382" s="52" t="str">
        <f>TEXT(Data!F2382,"mmm")</f>
        <v>Mar</v>
      </c>
      <c r="D2382" s="52" t="str">
        <f>Data!O2382</f>
        <v>Female</v>
      </c>
      <c r="E2382" s="52">
        <f>Data!G2382-Data!F2382</f>
        <v>3</v>
      </c>
      <c r="F2382" s="52">
        <f>IF(Data!J2382&lt;=5,Data!J2382,IF(Data!J2382&lt;=10,"6 TO 10","More than 10"))</f>
        <v>4</v>
      </c>
      <c r="G2382" s="52">
        <f t="shared" si="37"/>
        <v>3</v>
      </c>
      <c r="H2382" s="52">
        <f>ROUND(Data!C2382*Data!D2382-Data!E2382,2)</f>
        <v>0</v>
      </c>
      <c r="I2382" s="52">
        <f>IF(AND(OR(Sel_Mode="All",Data!I2382=Sel_Mode),OR(Sel_Gender="All",D2382=Sel_Gender),OR(Sel_Category="All",Data!B2382=Sel_Category),OR(Sel_Month="All",C2382=Sel_Month),OR(Sel_County="All",Data!L2382=Sel_County)),1,0)</f>
        <v>1</v>
      </c>
    </row>
    <row r="2383" spans="1:9" x14ac:dyDescent="0.25">
      <c r="A2383" s="52" t="str">
        <f>Data!A2383</f>
        <v>TX502382</v>
      </c>
      <c r="B2383" s="52">
        <f>MONTH(Data!F2383)</f>
        <v>3</v>
      </c>
      <c r="C2383" s="52" t="str">
        <f>TEXT(Data!F2383,"mmm")</f>
        <v>Mar</v>
      </c>
      <c r="D2383" s="52" t="str">
        <f>Data!O2383</f>
        <v>Male</v>
      </c>
      <c r="E2383" s="52">
        <f>Data!G2383-Data!F2383</f>
        <v>2</v>
      </c>
      <c r="F2383" s="52">
        <f>IF(Data!J2383&lt;=5,Data!J2383,IF(Data!J2383&lt;=10,"6 TO 10","More than 10"))</f>
        <v>4</v>
      </c>
      <c r="G2383" s="52">
        <f t="shared" si="37"/>
        <v>2</v>
      </c>
      <c r="H2383" s="52">
        <f>ROUND(Data!C2383*Data!D2383-Data!E2383,2)</f>
        <v>0</v>
      </c>
      <c r="I2383" s="52">
        <f>IF(AND(OR(Sel_Mode="All",Data!I2383=Sel_Mode),OR(Sel_Gender="All",D2383=Sel_Gender),OR(Sel_Category="All",Data!B2383=Sel_Category),OR(Sel_Month="All",C2383=Sel_Month),OR(Sel_County="All",Data!L2383=Sel_County)),1,0)</f>
        <v>1</v>
      </c>
    </row>
    <row r="2384" spans="1:9" x14ac:dyDescent="0.25">
      <c r="A2384" s="52" t="str">
        <f>Data!A2384</f>
        <v>TX502383</v>
      </c>
      <c r="B2384" s="52">
        <f>MONTH(Data!F2384)</f>
        <v>3</v>
      </c>
      <c r="C2384" s="52" t="str">
        <f>TEXT(Data!F2384,"mmm")</f>
        <v>Mar</v>
      </c>
      <c r="D2384" s="52" t="str">
        <f>Data!O2384</f>
        <v>Unknown</v>
      </c>
      <c r="E2384" s="52">
        <f>Data!G2384-Data!F2384</f>
        <v>1</v>
      </c>
      <c r="F2384" s="52">
        <f>IF(Data!J2384&lt;=5,Data!J2384,IF(Data!J2384&lt;=10,"6 TO 10","More than 10"))</f>
        <v>5</v>
      </c>
      <c r="G2384" s="52">
        <f t="shared" si="37"/>
        <v>1</v>
      </c>
      <c r="H2384" s="52">
        <f>ROUND(Data!C2384*Data!D2384-Data!E2384,2)</f>
        <v>0</v>
      </c>
      <c r="I2384" s="52">
        <f>IF(AND(OR(Sel_Mode="All",Data!I2384=Sel_Mode),OR(Sel_Gender="All",D2384=Sel_Gender),OR(Sel_Category="All",Data!B2384=Sel_Category),OR(Sel_Month="All",C2384=Sel_Month),OR(Sel_County="All",Data!L2384=Sel_County)),1,0)</f>
        <v>1</v>
      </c>
    </row>
    <row r="2385" spans="1:9" x14ac:dyDescent="0.25">
      <c r="A2385" s="52" t="str">
        <f>Data!A2385</f>
        <v>TX502384</v>
      </c>
      <c r="B2385" s="52">
        <f>MONTH(Data!F2385)</f>
        <v>3</v>
      </c>
      <c r="C2385" s="52" t="str">
        <f>TEXT(Data!F2385,"mmm")</f>
        <v>Mar</v>
      </c>
      <c r="D2385" s="52" t="str">
        <f>Data!O2385</f>
        <v>Male</v>
      </c>
      <c r="E2385" s="52">
        <f>Data!G2385-Data!F2385</f>
        <v>1</v>
      </c>
      <c r="F2385" s="52">
        <f>IF(Data!J2385&lt;=5,Data!J2385,IF(Data!J2385&lt;=10,"6 TO 10","More than 10"))</f>
        <v>5</v>
      </c>
      <c r="G2385" s="52">
        <f t="shared" si="37"/>
        <v>1</v>
      </c>
      <c r="H2385" s="52">
        <f>ROUND(Data!C2385*Data!D2385-Data!E2385,2)</f>
        <v>0</v>
      </c>
      <c r="I2385" s="52">
        <f>IF(AND(OR(Sel_Mode="All",Data!I2385=Sel_Mode),OR(Sel_Gender="All",D2385=Sel_Gender),OR(Sel_Category="All",Data!B2385=Sel_Category),OR(Sel_Month="All",C2385=Sel_Month),OR(Sel_County="All",Data!L2385=Sel_County)),1,0)</f>
        <v>1</v>
      </c>
    </row>
    <row r="2386" spans="1:9" x14ac:dyDescent="0.25">
      <c r="A2386" s="52" t="str">
        <f>Data!A2386</f>
        <v>TX502385</v>
      </c>
      <c r="B2386" s="52">
        <f>MONTH(Data!F2386)</f>
        <v>3</v>
      </c>
      <c r="C2386" s="52" t="str">
        <f>TEXT(Data!F2386,"mmm")</f>
        <v>Mar</v>
      </c>
      <c r="D2386" s="52" t="str">
        <f>Data!O2386</f>
        <v>Male</v>
      </c>
      <c r="E2386" s="52">
        <f>Data!G2386-Data!F2386</f>
        <v>1</v>
      </c>
      <c r="F2386" s="52">
        <f>IF(Data!J2386&lt;=5,Data!J2386,IF(Data!J2386&lt;=10,"6 TO 10","More than 10"))</f>
        <v>4</v>
      </c>
      <c r="G2386" s="52">
        <f t="shared" si="37"/>
        <v>1</v>
      </c>
      <c r="H2386" s="52">
        <f>ROUND(Data!C2386*Data!D2386-Data!E2386,2)</f>
        <v>0</v>
      </c>
      <c r="I2386" s="52">
        <f>IF(AND(OR(Sel_Mode="All",Data!I2386=Sel_Mode),OR(Sel_Gender="All",D2386=Sel_Gender),OR(Sel_Category="All",Data!B2386=Sel_Category),OR(Sel_Month="All",C2386=Sel_Month),OR(Sel_County="All",Data!L2386=Sel_County)),1,0)</f>
        <v>1</v>
      </c>
    </row>
    <row r="2387" spans="1:9" x14ac:dyDescent="0.25">
      <c r="A2387" s="52" t="str">
        <f>Data!A2387</f>
        <v>TX502386</v>
      </c>
      <c r="B2387" s="52">
        <f>MONTH(Data!F2387)</f>
        <v>3</v>
      </c>
      <c r="C2387" s="52" t="str">
        <f>TEXT(Data!F2387,"mmm")</f>
        <v>Mar</v>
      </c>
      <c r="D2387" s="52" t="str">
        <f>Data!O2387</f>
        <v>Male</v>
      </c>
      <c r="E2387" s="52">
        <f>Data!G2387-Data!F2387</f>
        <v>4</v>
      </c>
      <c r="F2387" s="52">
        <f>IF(Data!J2387&lt;=5,Data!J2387,IF(Data!J2387&lt;=10,"6 TO 10","More than 10"))</f>
        <v>3</v>
      </c>
      <c r="G2387" s="52">
        <f t="shared" si="37"/>
        <v>4</v>
      </c>
      <c r="H2387" s="52">
        <f>ROUND(Data!C2387*Data!D2387-Data!E2387,2)</f>
        <v>0</v>
      </c>
      <c r="I2387" s="52">
        <f>IF(AND(OR(Sel_Mode="All",Data!I2387=Sel_Mode),OR(Sel_Gender="All",D2387=Sel_Gender),OR(Sel_Category="All",Data!B2387=Sel_Category),OR(Sel_Month="All",C2387=Sel_Month),OR(Sel_County="All",Data!L2387=Sel_County)),1,0)</f>
        <v>1</v>
      </c>
    </row>
    <row r="2388" spans="1:9" x14ac:dyDescent="0.25">
      <c r="A2388" s="52" t="str">
        <f>Data!A2388</f>
        <v>TX502387</v>
      </c>
      <c r="B2388" s="52">
        <f>MONTH(Data!F2388)</f>
        <v>3</v>
      </c>
      <c r="C2388" s="52" t="str">
        <f>TEXT(Data!F2388,"mmm")</f>
        <v>Mar</v>
      </c>
      <c r="D2388" s="52" t="str">
        <f>Data!O2388</f>
        <v>Female</v>
      </c>
      <c r="E2388" s="52">
        <f>Data!G2388-Data!F2388</f>
        <v>1</v>
      </c>
      <c r="F2388" s="52">
        <f>IF(Data!J2388&lt;=5,Data!J2388,IF(Data!J2388&lt;=10,"6 TO 10","More than 10"))</f>
        <v>5</v>
      </c>
      <c r="G2388" s="52">
        <f t="shared" si="37"/>
        <v>1</v>
      </c>
      <c r="H2388" s="52">
        <f>ROUND(Data!C2388*Data!D2388-Data!E2388,2)</f>
        <v>0</v>
      </c>
      <c r="I2388" s="52">
        <f>IF(AND(OR(Sel_Mode="All",Data!I2388=Sel_Mode),OR(Sel_Gender="All",D2388=Sel_Gender),OR(Sel_Category="All",Data!B2388=Sel_Category),OR(Sel_Month="All",C2388=Sel_Month),OR(Sel_County="All",Data!L2388=Sel_County)),1,0)</f>
        <v>1</v>
      </c>
    </row>
    <row r="2389" spans="1:9" x14ac:dyDescent="0.25">
      <c r="A2389" s="52" t="str">
        <f>Data!A2389</f>
        <v>TX502388</v>
      </c>
      <c r="B2389" s="52">
        <f>MONTH(Data!F2389)</f>
        <v>3</v>
      </c>
      <c r="C2389" s="52" t="str">
        <f>TEXT(Data!F2389,"mmm")</f>
        <v>Mar</v>
      </c>
      <c r="D2389" s="52" t="str">
        <f>Data!O2389</f>
        <v>Male</v>
      </c>
      <c r="E2389" s="52">
        <f>Data!G2389-Data!F2389</f>
        <v>11</v>
      </c>
      <c r="F2389" s="52">
        <f>IF(Data!J2389&lt;=5,Data!J2389,IF(Data!J2389&lt;=10,"6 TO 10","More than 10"))</f>
        <v>5</v>
      </c>
      <c r="G2389" s="52" t="str">
        <f t="shared" si="37"/>
        <v>8+</v>
      </c>
      <c r="H2389" s="52">
        <f>ROUND(Data!C2389*Data!D2389-Data!E2389,2)</f>
        <v>0</v>
      </c>
      <c r="I2389" s="52">
        <f>IF(AND(OR(Sel_Mode="All",Data!I2389=Sel_Mode),OR(Sel_Gender="All",D2389=Sel_Gender),OR(Sel_Category="All",Data!B2389=Sel_Category),OR(Sel_Month="All",C2389=Sel_Month),OR(Sel_County="All",Data!L2389=Sel_County)),1,0)</f>
        <v>1</v>
      </c>
    </row>
    <row r="2390" spans="1:9" x14ac:dyDescent="0.25">
      <c r="A2390" s="52" t="str">
        <f>Data!A2390</f>
        <v>TX502389</v>
      </c>
      <c r="B2390" s="52">
        <f>MONTH(Data!F2390)</f>
        <v>3</v>
      </c>
      <c r="C2390" s="52" t="str">
        <f>TEXT(Data!F2390,"mmm")</f>
        <v>Mar</v>
      </c>
      <c r="D2390" s="52" t="str">
        <f>Data!O2390</f>
        <v>Male</v>
      </c>
      <c r="E2390" s="52">
        <f>Data!G2390-Data!F2390</f>
        <v>4</v>
      </c>
      <c r="F2390" s="52">
        <f>IF(Data!J2390&lt;=5,Data!J2390,IF(Data!J2390&lt;=10,"6 TO 10","More than 10"))</f>
        <v>5</v>
      </c>
      <c r="G2390" s="52">
        <f t="shared" si="37"/>
        <v>4</v>
      </c>
      <c r="H2390" s="52">
        <f>ROUND(Data!C2390*Data!D2390-Data!E2390,2)</f>
        <v>0</v>
      </c>
      <c r="I2390" s="52">
        <f>IF(AND(OR(Sel_Mode="All",Data!I2390=Sel_Mode),OR(Sel_Gender="All",D2390=Sel_Gender),OR(Sel_Category="All",Data!B2390=Sel_Category),OR(Sel_Month="All",C2390=Sel_Month),OR(Sel_County="All",Data!L2390=Sel_County)),1,0)</f>
        <v>1</v>
      </c>
    </row>
    <row r="2391" spans="1:9" x14ac:dyDescent="0.25">
      <c r="A2391" s="52" t="str">
        <f>Data!A2391</f>
        <v>TX502390</v>
      </c>
      <c r="B2391" s="52">
        <f>MONTH(Data!F2391)</f>
        <v>3</v>
      </c>
      <c r="C2391" s="52" t="str">
        <f>TEXT(Data!F2391,"mmm")</f>
        <v>Mar</v>
      </c>
      <c r="D2391" s="52" t="str">
        <f>Data!O2391</f>
        <v>Female</v>
      </c>
      <c r="E2391" s="52">
        <f>Data!G2391-Data!F2391</f>
        <v>1</v>
      </c>
      <c r="F2391" s="52">
        <f>IF(Data!J2391&lt;=5,Data!J2391,IF(Data!J2391&lt;=10,"6 TO 10","More than 10"))</f>
        <v>4</v>
      </c>
      <c r="G2391" s="52">
        <f t="shared" si="37"/>
        <v>1</v>
      </c>
      <c r="H2391" s="52">
        <f>ROUND(Data!C2391*Data!D2391-Data!E2391,2)</f>
        <v>0</v>
      </c>
      <c r="I2391" s="52">
        <f>IF(AND(OR(Sel_Mode="All",Data!I2391=Sel_Mode),OR(Sel_Gender="All",D2391=Sel_Gender),OR(Sel_Category="All",Data!B2391=Sel_Category),OR(Sel_Month="All",C2391=Sel_Month),OR(Sel_County="All",Data!L2391=Sel_County)),1,0)</f>
        <v>1</v>
      </c>
    </row>
    <row r="2392" spans="1:9" x14ac:dyDescent="0.25">
      <c r="A2392" s="52" t="str">
        <f>Data!A2392</f>
        <v>TX502391</v>
      </c>
      <c r="B2392" s="52">
        <f>MONTH(Data!F2392)</f>
        <v>3</v>
      </c>
      <c r="C2392" s="52" t="str">
        <f>TEXT(Data!F2392,"mmm")</f>
        <v>Mar</v>
      </c>
      <c r="D2392" s="52" t="str">
        <f>Data!O2392</f>
        <v>Female</v>
      </c>
      <c r="E2392" s="52">
        <f>Data!G2392-Data!F2392</f>
        <v>2</v>
      </c>
      <c r="F2392" s="52">
        <f>IF(Data!J2392&lt;=5,Data!J2392,IF(Data!J2392&lt;=10,"6 TO 10","More than 10"))</f>
        <v>4</v>
      </c>
      <c r="G2392" s="52">
        <f t="shared" si="37"/>
        <v>2</v>
      </c>
      <c r="H2392" s="52">
        <f>ROUND(Data!C2392*Data!D2392-Data!E2392,2)</f>
        <v>0</v>
      </c>
      <c r="I2392" s="52">
        <f>IF(AND(OR(Sel_Mode="All",Data!I2392=Sel_Mode),OR(Sel_Gender="All",D2392=Sel_Gender),OR(Sel_Category="All",Data!B2392=Sel_Category),OR(Sel_Month="All",C2392=Sel_Month),OR(Sel_County="All",Data!L2392=Sel_County)),1,0)</f>
        <v>1</v>
      </c>
    </row>
    <row r="2393" spans="1:9" x14ac:dyDescent="0.25">
      <c r="A2393" s="52" t="str">
        <f>Data!A2393</f>
        <v>TX502392</v>
      </c>
      <c r="B2393" s="52">
        <f>MONTH(Data!F2393)</f>
        <v>3</v>
      </c>
      <c r="C2393" s="52" t="str">
        <f>TEXT(Data!F2393,"mmm")</f>
        <v>Mar</v>
      </c>
      <c r="D2393" s="52" t="str">
        <f>Data!O2393</f>
        <v>Unknown</v>
      </c>
      <c r="E2393" s="52">
        <f>Data!G2393-Data!F2393</f>
        <v>3</v>
      </c>
      <c r="F2393" s="52">
        <f>IF(Data!J2393&lt;=5,Data!J2393,IF(Data!J2393&lt;=10,"6 TO 10","More than 10"))</f>
        <v>4</v>
      </c>
      <c r="G2393" s="52">
        <f t="shared" si="37"/>
        <v>3</v>
      </c>
      <c r="H2393" s="52">
        <f>ROUND(Data!C2393*Data!D2393-Data!E2393,2)</f>
        <v>0</v>
      </c>
      <c r="I2393" s="52">
        <f>IF(AND(OR(Sel_Mode="All",Data!I2393=Sel_Mode),OR(Sel_Gender="All",D2393=Sel_Gender),OR(Sel_Category="All",Data!B2393=Sel_Category),OR(Sel_Month="All",C2393=Sel_Month),OR(Sel_County="All",Data!L2393=Sel_County)),1,0)</f>
        <v>1</v>
      </c>
    </row>
    <row r="2394" spans="1:9" x14ac:dyDescent="0.25">
      <c r="A2394" s="52" t="str">
        <f>Data!A2394</f>
        <v>TX502393</v>
      </c>
      <c r="B2394" s="52">
        <f>MONTH(Data!F2394)</f>
        <v>3</v>
      </c>
      <c r="C2394" s="52" t="str">
        <f>TEXT(Data!F2394,"mmm")</f>
        <v>Mar</v>
      </c>
      <c r="D2394" s="52" t="str">
        <f>Data!O2394</f>
        <v>Male</v>
      </c>
      <c r="E2394" s="52">
        <f>Data!G2394-Data!F2394</f>
        <v>2</v>
      </c>
      <c r="F2394" s="52">
        <f>IF(Data!J2394&lt;=5,Data!J2394,IF(Data!J2394&lt;=10,"6 TO 10","More than 10"))</f>
        <v>5</v>
      </c>
      <c r="G2394" s="52">
        <f t="shared" si="37"/>
        <v>2</v>
      </c>
      <c r="H2394" s="52">
        <f>ROUND(Data!C2394*Data!D2394-Data!E2394,2)</f>
        <v>0</v>
      </c>
      <c r="I2394" s="52">
        <f>IF(AND(OR(Sel_Mode="All",Data!I2394=Sel_Mode),OR(Sel_Gender="All",D2394=Sel_Gender),OR(Sel_Category="All",Data!B2394=Sel_Category),OR(Sel_Month="All",C2394=Sel_Month),OR(Sel_County="All",Data!L2394=Sel_County)),1,0)</f>
        <v>1</v>
      </c>
    </row>
    <row r="2395" spans="1:9" x14ac:dyDescent="0.25">
      <c r="A2395" s="52" t="str">
        <f>Data!A2395</f>
        <v>TX502394</v>
      </c>
      <c r="B2395" s="52">
        <f>MONTH(Data!F2395)</f>
        <v>3</v>
      </c>
      <c r="C2395" s="52" t="str">
        <f>TEXT(Data!F2395,"mmm")</f>
        <v>Mar</v>
      </c>
      <c r="D2395" s="52" t="str">
        <f>Data!O2395</f>
        <v>Male</v>
      </c>
      <c r="E2395" s="52">
        <f>Data!G2395-Data!F2395</f>
        <v>1</v>
      </c>
      <c r="F2395" s="52">
        <f>IF(Data!J2395&lt;=5,Data!J2395,IF(Data!J2395&lt;=10,"6 TO 10","More than 10"))</f>
        <v>4</v>
      </c>
      <c r="G2395" s="52">
        <f t="shared" si="37"/>
        <v>1</v>
      </c>
      <c r="H2395" s="52">
        <f>ROUND(Data!C2395*Data!D2395-Data!E2395,2)</f>
        <v>0</v>
      </c>
      <c r="I2395" s="52">
        <f>IF(AND(OR(Sel_Mode="All",Data!I2395=Sel_Mode),OR(Sel_Gender="All",D2395=Sel_Gender),OR(Sel_Category="All",Data!B2395=Sel_Category),OR(Sel_Month="All",C2395=Sel_Month),OR(Sel_County="All",Data!L2395=Sel_County)),1,0)</f>
        <v>1</v>
      </c>
    </row>
    <row r="2396" spans="1:9" x14ac:dyDescent="0.25">
      <c r="A2396" s="52" t="str">
        <f>Data!A2396</f>
        <v>TX502395</v>
      </c>
      <c r="B2396" s="52">
        <f>MONTH(Data!F2396)</f>
        <v>3</v>
      </c>
      <c r="C2396" s="52" t="str">
        <f>TEXT(Data!F2396,"mmm")</f>
        <v>Mar</v>
      </c>
      <c r="D2396" s="52" t="str">
        <f>Data!O2396</f>
        <v>Male</v>
      </c>
      <c r="E2396" s="52">
        <f>Data!G2396-Data!F2396</f>
        <v>1</v>
      </c>
      <c r="F2396" s="52">
        <f>IF(Data!J2396&lt;=5,Data!J2396,IF(Data!J2396&lt;=10,"6 TO 10","More than 10"))</f>
        <v>5</v>
      </c>
      <c r="G2396" s="52">
        <f t="shared" si="37"/>
        <v>1</v>
      </c>
      <c r="H2396" s="52">
        <f>ROUND(Data!C2396*Data!D2396-Data!E2396,2)</f>
        <v>0</v>
      </c>
      <c r="I2396" s="52">
        <f>IF(AND(OR(Sel_Mode="All",Data!I2396=Sel_Mode),OR(Sel_Gender="All",D2396=Sel_Gender),OR(Sel_Category="All",Data!B2396=Sel_Category),OR(Sel_Month="All",C2396=Sel_Month),OR(Sel_County="All",Data!L2396=Sel_County)),1,0)</f>
        <v>1</v>
      </c>
    </row>
    <row r="2397" spans="1:9" x14ac:dyDescent="0.25">
      <c r="A2397" s="52" t="str">
        <f>Data!A2397</f>
        <v>TX502396</v>
      </c>
      <c r="B2397" s="52">
        <f>MONTH(Data!F2397)</f>
        <v>3</v>
      </c>
      <c r="C2397" s="52" t="str">
        <f>TEXT(Data!F2397,"mmm")</f>
        <v>Mar</v>
      </c>
      <c r="D2397" s="52" t="str">
        <f>Data!O2397</f>
        <v>Male</v>
      </c>
      <c r="E2397" s="52">
        <f>Data!G2397-Data!F2397</f>
        <v>1</v>
      </c>
      <c r="F2397" s="52">
        <f>IF(Data!J2397&lt;=5,Data!J2397,IF(Data!J2397&lt;=10,"6 TO 10","More than 10"))</f>
        <v>4</v>
      </c>
      <c r="G2397" s="52">
        <f t="shared" si="37"/>
        <v>1</v>
      </c>
      <c r="H2397" s="52">
        <f>ROUND(Data!C2397*Data!D2397-Data!E2397,2)</f>
        <v>0</v>
      </c>
      <c r="I2397" s="52">
        <f>IF(AND(OR(Sel_Mode="All",Data!I2397=Sel_Mode),OR(Sel_Gender="All",D2397=Sel_Gender),OR(Sel_Category="All",Data!B2397=Sel_Category),OR(Sel_Month="All",C2397=Sel_Month),OR(Sel_County="All",Data!L2397=Sel_County)),1,0)</f>
        <v>1</v>
      </c>
    </row>
    <row r="2398" spans="1:9" x14ac:dyDescent="0.25">
      <c r="A2398" s="52" t="str">
        <f>Data!A2398</f>
        <v>TX502397</v>
      </c>
      <c r="B2398" s="52">
        <f>MONTH(Data!F2398)</f>
        <v>3</v>
      </c>
      <c r="C2398" s="52" t="str">
        <f>TEXT(Data!F2398,"mmm")</f>
        <v>Mar</v>
      </c>
      <c r="D2398" s="52" t="str">
        <f>Data!O2398</f>
        <v>Male</v>
      </c>
      <c r="E2398" s="52">
        <f>Data!G2398-Data!F2398</f>
        <v>1</v>
      </c>
      <c r="F2398" s="52">
        <f>IF(Data!J2398&lt;=5,Data!J2398,IF(Data!J2398&lt;=10,"6 TO 10","More than 10"))</f>
        <v>4</v>
      </c>
      <c r="G2398" s="52">
        <f t="shared" si="37"/>
        <v>1</v>
      </c>
      <c r="H2398" s="52">
        <f>ROUND(Data!C2398*Data!D2398-Data!E2398,2)</f>
        <v>0</v>
      </c>
      <c r="I2398" s="52">
        <f>IF(AND(OR(Sel_Mode="All",Data!I2398=Sel_Mode),OR(Sel_Gender="All",D2398=Sel_Gender),OR(Sel_Category="All",Data!B2398=Sel_Category),OR(Sel_Month="All",C2398=Sel_Month),OR(Sel_County="All",Data!L2398=Sel_County)),1,0)</f>
        <v>1</v>
      </c>
    </row>
    <row r="2399" spans="1:9" x14ac:dyDescent="0.25">
      <c r="A2399" s="52" t="str">
        <f>Data!A2399</f>
        <v>TX502398</v>
      </c>
      <c r="B2399" s="52">
        <f>MONTH(Data!F2399)</f>
        <v>3</v>
      </c>
      <c r="C2399" s="52" t="str">
        <f>TEXT(Data!F2399,"mmm")</f>
        <v>Mar</v>
      </c>
      <c r="D2399" s="52" t="str">
        <f>Data!O2399</f>
        <v>Female</v>
      </c>
      <c r="E2399" s="52">
        <f>Data!G2399-Data!F2399</f>
        <v>1</v>
      </c>
      <c r="F2399" s="52">
        <f>IF(Data!J2399&lt;=5,Data!J2399,IF(Data!J2399&lt;=10,"6 TO 10","More than 10"))</f>
        <v>4</v>
      </c>
      <c r="G2399" s="52">
        <f t="shared" si="37"/>
        <v>1</v>
      </c>
      <c r="H2399" s="52">
        <f>ROUND(Data!C2399*Data!D2399-Data!E2399,2)</f>
        <v>0</v>
      </c>
      <c r="I2399" s="52">
        <f>IF(AND(OR(Sel_Mode="All",Data!I2399=Sel_Mode),OR(Sel_Gender="All",D2399=Sel_Gender),OR(Sel_Category="All",Data!B2399=Sel_Category),OR(Sel_Month="All",C2399=Sel_Month),OR(Sel_County="All",Data!L2399=Sel_County)),1,0)</f>
        <v>1</v>
      </c>
    </row>
    <row r="2400" spans="1:9" x14ac:dyDescent="0.25">
      <c r="A2400" s="52" t="str">
        <f>Data!A2400</f>
        <v>TX502399</v>
      </c>
      <c r="B2400" s="52">
        <f>MONTH(Data!F2400)</f>
        <v>3</v>
      </c>
      <c r="C2400" s="52" t="str">
        <f>TEXT(Data!F2400,"mmm")</f>
        <v>Mar</v>
      </c>
      <c r="D2400" s="52" t="str">
        <f>Data!O2400</f>
        <v>Female</v>
      </c>
      <c r="E2400" s="52">
        <f>Data!G2400-Data!F2400</f>
        <v>2</v>
      </c>
      <c r="F2400" s="52">
        <f>IF(Data!J2400&lt;=5,Data!J2400,IF(Data!J2400&lt;=10,"6 TO 10","More than 10"))</f>
        <v>4</v>
      </c>
      <c r="G2400" s="52">
        <f t="shared" si="37"/>
        <v>2</v>
      </c>
      <c r="H2400" s="52">
        <f>ROUND(Data!C2400*Data!D2400-Data!E2400,2)</f>
        <v>0</v>
      </c>
      <c r="I2400" s="52">
        <f>IF(AND(OR(Sel_Mode="All",Data!I2400=Sel_Mode),OR(Sel_Gender="All",D2400=Sel_Gender),OR(Sel_Category="All",Data!B2400=Sel_Category),OR(Sel_Month="All",C2400=Sel_Month),OR(Sel_County="All",Data!L2400=Sel_County)),1,0)</f>
        <v>1</v>
      </c>
    </row>
    <row r="2401" spans="1:9" x14ac:dyDescent="0.25">
      <c r="A2401" s="52" t="str">
        <f>Data!A2401</f>
        <v>TX502400</v>
      </c>
      <c r="B2401" s="52">
        <f>MONTH(Data!F2401)</f>
        <v>3</v>
      </c>
      <c r="C2401" s="52" t="str">
        <f>TEXT(Data!F2401,"mmm")</f>
        <v>Mar</v>
      </c>
      <c r="D2401" s="52" t="str">
        <f>Data!O2401</f>
        <v>Male</v>
      </c>
      <c r="E2401" s="52">
        <f>Data!G2401-Data!F2401</f>
        <v>2</v>
      </c>
      <c r="F2401" s="52">
        <f>IF(Data!J2401&lt;=5,Data!J2401,IF(Data!J2401&lt;=10,"6 TO 10","More than 10"))</f>
        <v>5</v>
      </c>
      <c r="G2401" s="52">
        <f t="shared" si="37"/>
        <v>2</v>
      </c>
      <c r="H2401" s="52">
        <f>ROUND(Data!C2401*Data!D2401-Data!E2401,2)</f>
        <v>0</v>
      </c>
      <c r="I2401" s="52">
        <f>IF(AND(OR(Sel_Mode="All",Data!I2401=Sel_Mode),OR(Sel_Gender="All",D2401=Sel_Gender),OR(Sel_Category="All",Data!B2401=Sel_Category),OR(Sel_Month="All",C2401=Sel_Month),OR(Sel_County="All",Data!L2401=Sel_County)),1,0)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01"/>
  <sheetViews>
    <sheetView zoomScaleNormal="100" workbookViewId="0">
      <selection activeCell="E2" sqref="E2"/>
    </sheetView>
  </sheetViews>
  <sheetFormatPr defaultColWidth="8.5703125" defaultRowHeight="15" x14ac:dyDescent="0.25"/>
  <cols>
    <col min="2" max="2" width="19.140625" customWidth="1"/>
    <col min="3" max="3" width="8.140625" customWidth="1"/>
    <col min="4" max="4" width="9.140625" customWidth="1"/>
    <col min="5" max="5" width="7.42578125" customWidth="1"/>
    <col min="6" max="6" width="10" customWidth="1"/>
    <col min="7" max="7" width="9.42578125" customWidth="1"/>
    <col min="8" max="8" width="15.7109375" customWidth="1"/>
    <col min="9" max="9" width="10.7109375" customWidth="1"/>
    <col min="10" max="10" width="7.7109375" customWidth="1"/>
    <col min="11" max="11" width="8.7109375" customWidth="1"/>
    <col min="12" max="12" width="19.7109375" customWidth="1"/>
    <col min="13" max="13" width="13.28515625" customWidth="1"/>
    <col min="14" max="14" width="9.28515625" customWidth="1"/>
    <col min="15" max="15" width="12.140625" customWidth="1"/>
  </cols>
  <sheetData>
    <row r="1" spans="1:15" x14ac:dyDescent="0.25">
      <c r="A1" t="s">
        <v>184</v>
      </c>
      <c r="B1" t="s">
        <v>95</v>
      </c>
      <c r="C1" t="s">
        <v>53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102</v>
      </c>
      <c r="L1" t="s">
        <v>224</v>
      </c>
      <c r="M1" s="57" t="s">
        <v>186</v>
      </c>
      <c r="N1" s="57" t="s">
        <v>225</v>
      </c>
      <c r="O1" s="57" t="s">
        <v>226</v>
      </c>
    </row>
    <row r="2" spans="1:15" x14ac:dyDescent="0.25">
      <c r="A2" t="s">
        <v>227</v>
      </c>
      <c r="B2" t="s">
        <v>86</v>
      </c>
      <c r="C2">
        <v>1</v>
      </c>
      <c r="D2">
        <v>10.9</v>
      </c>
      <c r="E2">
        <v>10.9</v>
      </c>
      <c r="F2" s="58">
        <v>45658</v>
      </c>
      <c r="G2" s="58">
        <v>45663</v>
      </c>
      <c r="I2" t="s">
        <v>59</v>
      </c>
      <c r="J2">
        <v>4</v>
      </c>
      <c r="K2" t="s">
        <v>103</v>
      </c>
      <c r="L2" t="s">
        <v>107</v>
      </c>
      <c r="M2">
        <f>orders[[#This Row],[Ship Date]]-orders[[#This Row],[Order Date]]</f>
        <v>5</v>
      </c>
      <c r="N2">
        <f>WEEKNUM(orders[[#This Row],[Order Date]],1)</f>
        <v>1</v>
      </c>
      <c r="O2" t="str">
        <f t="array" ref="O2">_xlfn.IFS(orders[[#This Row],[Customer Gender]]="M","Male", orders[[#This Row],[Customer Gender]]="F","Female", orders[[#This Row],[Customer Gender]]="O","Other", TRUE(),"Unknown")</f>
        <v>Unknown</v>
      </c>
    </row>
    <row r="3" spans="1:15" x14ac:dyDescent="0.25">
      <c r="A3" t="s">
        <v>228</v>
      </c>
      <c r="B3" t="s">
        <v>91</v>
      </c>
      <c r="C3">
        <v>2</v>
      </c>
      <c r="D3">
        <v>30.6</v>
      </c>
      <c r="E3">
        <v>61.2</v>
      </c>
      <c r="F3" s="58">
        <v>45658</v>
      </c>
      <c r="G3" s="58">
        <v>45660</v>
      </c>
      <c r="H3" t="s">
        <v>229</v>
      </c>
      <c r="I3" t="s">
        <v>59</v>
      </c>
      <c r="J3">
        <v>4</v>
      </c>
      <c r="K3" t="s">
        <v>103</v>
      </c>
      <c r="L3" t="s">
        <v>112</v>
      </c>
      <c r="M3">
        <f>orders[[#This Row],[Ship Date]]-orders[[#This Row],[Order Date]]</f>
        <v>2</v>
      </c>
      <c r="N3">
        <f>WEEKNUM(orders[[#This Row],[Order Date]],1)</f>
        <v>1</v>
      </c>
      <c r="O3" t="str">
        <f t="array" ref="O3">_xlfn.IFS(orders[[#This Row],[Customer Gender]]="M","Male", orders[[#This Row],[Customer Gender]]="F","Female", orders[[#This Row],[Customer Gender]]="O","Other", TRUE(),"Unknown")</f>
        <v>Male</v>
      </c>
    </row>
    <row r="4" spans="1:15" x14ac:dyDescent="0.25">
      <c r="A4" t="s">
        <v>230</v>
      </c>
      <c r="B4" t="s">
        <v>87</v>
      </c>
      <c r="C4">
        <v>3</v>
      </c>
      <c r="D4">
        <v>109.4</v>
      </c>
      <c r="E4">
        <v>328.2</v>
      </c>
      <c r="F4" s="58">
        <v>45658</v>
      </c>
      <c r="G4" s="58">
        <v>45661</v>
      </c>
      <c r="H4" t="s">
        <v>231</v>
      </c>
      <c r="I4" t="s">
        <v>59</v>
      </c>
      <c r="J4">
        <v>3</v>
      </c>
      <c r="K4" t="s">
        <v>103</v>
      </c>
      <c r="L4" t="s">
        <v>115</v>
      </c>
      <c r="M4">
        <f>orders[[#This Row],[Ship Date]]-orders[[#This Row],[Order Date]]</f>
        <v>3</v>
      </c>
      <c r="N4">
        <f>WEEKNUM(orders[[#This Row],[Order Date]],1)</f>
        <v>1</v>
      </c>
      <c r="O4" t="str">
        <f t="array" ref="O4">_xlfn.IFS(orders[[#This Row],[Customer Gender]]="M","Male", orders[[#This Row],[Customer Gender]]="F","Female", orders[[#This Row],[Customer Gender]]="O","Other", TRUE(),"Unknown")</f>
        <v>Female</v>
      </c>
    </row>
    <row r="5" spans="1:15" x14ac:dyDescent="0.25">
      <c r="A5" t="s">
        <v>232</v>
      </c>
      <c r="B5" t="s">
        <v>93</v>
      </c>
      <c r="C5">
        <v>7</v>
      </c>
      <c r="D5">
        <v>37.700000000000003</v>
      </c>
      <c r="E5">
        <v>263.89999999999998</v>
      </c>
      <c r="F5" s="58">
        <v>45658</v>
      </c>
      <c r="G5" s="58">
        <v>45659</v>
      </c>
      <c r="H5" t="s">
        <v>231</v>
      </c>
      <c r="I5" t="s">
        <v>59</v>
      </c>
      <c r="J5">
        <v>4</v>
      </c>
      <c r="K5" t="s">
        <v>103</v>
      </c>
      <c r="L5" t="s">
        <v>115</v>
      </c>
      <c r="M5">
        <f>orders[[#This Row],[Ship Date]]-orders[[#This Row],[Order Date]]</f>
        <v>1</v>
      </c>
      <c r="N5">
        <f>WEEKNUM(orders[[#This Row],[Order Date]],1)</f>
        <v>1</v>
      </c>
      <c r="O5" t="str">
        <f t="array" ref="O5">_xlfn.IFS(orders[[#This Row],[Customer Gender]]="M","Male", orders[[#This Row],[Customer Gender]]="F","Female", orders[[#This Row],[Customer Gender]]="O","Other", TRUE(),"Unknown")</f>
        <v>Female</v>
      </c>
    </row>
    <row r="6" spans="1:15" x14ac:dyDescent="0.25">
      <c r="A6" t="s">
        <v>233</v>
      </c>
      <c r="B6" t="s">
        <v>78</v>
      </c>
      <c r="C6">
        <v>3</v>
      </c>
      <c r="D6">
        <v>56.7</v>
      </c>
      <c r="E6">
        <v>170.1</v>
      </c>
      <c r="F6" s="58">
        <v>45658</v>
      </c>
      <c r="G6" s="58">
        <v>45661</v>
      </c>
      <c r="H6" t="s">
        <v>231</v>
      </c>
      <c r="I6" t="s">
        <v>59</v>
      </c>
      <c r="J6">
        <v>5</v>
      </c>
      <c r="K6" t="s">
        <v>103</v>
      </c>
      <c r="L6" t="s">
        <v>124</v>
      </c>
      <c r="M6">
        <f>orders[[#This Row],[Ship Date]]-orders[[#This Row],[Order Date]]</f>
        <v>3</v>
      </c>
      <c r="N6">
        <f>WEEKNUM(orders[[#This Row],[Order Date]],1)</f>
        <v>1</v>
      </c>
      <c r="O6" t="str">
        <f t="array" ref="O6">_xlfn.IFS(orders[[#This Row],[Customer Gender]]="M","Male", orders[[#This Row],[Customer Gender]]="F","Female", orders[[#This Row],[Customer Gender]]="O","Other", TRUE(),"Unknown")</f>
        <v>Female</v>
      </c>
    </row>
    <row r="7" spans="1:15" x14ac:dyDescent="0.25">
      <c r="A7" t="s">
        <v>234</v>
      </c>
      <c r="B7" t="s">
        <v>91</v>
      </c>
      <c r="C7">
        <v>12</v>
      </c>
      <c r="D7">
        <v>83.5</v>
      </c>
      <c r="E7">
        <v>1002</v>
      </c>
      <c r="F7" s="58">
        <v>45658</v>
      </c>
      <c r="G7" s="58">
        <v>45661</v>
      </c>
      <c r="H7" t="s">
        <v>229</v>
      </c>
      <c r="I7" t="s">
        <v>63</v>
      </c>
      <c r="J7">
        <v>4</v>
      </c>
      <c r="K7" t="s">
        <v>103</v>
      </c>
      <c r="L7" t="s">
        <v>124</v>
      </c>
      <c r="M7">
        <f>orders[[#This Row],[Ship Date]]-orders[[#This Row],[Order Date]]</f>
        <v>3</v>
      </c>
      <c r="N7">
        <f>WEEKNUM(orders[[#This Row],[Order Date]],1)</f>
        <v>1</v>
      </c>
      <c r="O7" t="str">
        <f t="array" ref="O7">_xlfn.IFS(orders[[#This Row],[Customer Gender]]="M","Male", orders[[#This Row],[Customer Gender]]="F","Female", orders[[#This Row],[Customer Gender]]="O","Other", TRUE(),"Unknown")</f>
        <v>Male</v>
      </c>
    </row>
    <row r="8" spans="1:15" x14ac:dyDescent="0.25">
      <c r="A8" t="s">
        <v>235</v>
      </c>
      <c r="B8" t="s">
        <v>85</v>
      </c>
      <c r="C8">
        <v>1</v>
      </c>
      <c r="D8">
        <v>55.3</v>
      </c>
      <c r="E8">
        <v>55.3</v>
      </c>
      <c r="F8" s="58">
        <v>45658</v>
      </c>
      <c r="G8" s="58">
        <v>45659</v>
      </c>
      <c r="H8" t="s">
        <v>231</v>
      </c>
      <c r="I8" t="s">
        <v>59</v>
      </c>
      <c r="J8">
        <v>4</v>
      </c>
      <c r="K8" t="s">
        <v>103</v>
      </c>
      <c r="L8" t="s">
        <v>124</v>
      </c>
      <c r="M8">
        <f>orders[[#This Row],[Ship Date]]-orders[[#This Row],[Order Date]]</f>
        <v>1</v>
      </c>
      <c r="N8">
        <f>WEEKNUM(orders[[#This Row],[Order Date]],1)</f>
        <v>1</v>
      </c>
      <c r="O8" t="str">
        <f t="array" ref="O8">_xlfn.IFS(orders[[#This Row],[Customer Gender]]="M","Male", orders[[#This Row],[Customer Gender]]="F","Female", orders[[#This Row],[Customer Gender]]="O","Other", TRUE(),"Unknown")</f>
        <v>Female</v>
      </c>
    </row>
    <row r="9" spans="1:15" x14ac:dyDescent="0.25">
      <c r="A9" t="s">
        <v>236</v>
      </c>
      <c r="B9" t="s">
        <v>80</v>
      </c>
      <c r="C9">
        <v>2</v>
      </c>
      <c r="D9">
        <v>40.299999999999997</v>
      </c>
      <c r="E9">
        <v>80.599999999999994</v>
      </c>
      <c r="F9" s="58">
        <v>45658</v>
      </c>
      <c r="G9" s="58">
        <v>45659</v>
      </c>
      <c r="H9" t="s">
        <v>229</v>
      </c>
      <c r="I9" t="s">
        <v>62</v>
      </c>
      <c r="J9">
        <v>5</v>
      </c>
      <c r="K9" t="s">
        <v>103</v>
      </c>
      <c r="L9" t="s">
        <v>124</v>
      </c>
      <c r="M9">
        <f>orders[[#This Row],[Ship Date]]-orders[[#This Row],[Order Date]]</f>
        <v>1</v>
      </c>
      <c r="N9">
        <f>WEEKNUM(orders[[#This Row],[Order Date]],1)</f>
        <v>1</v>
      </c>
      <c r="O9" t="str">
        <f t="array" ref="O9">_xlfn.IFS(orders[[#This Row],[Customer Gender]]="M","Male", orders[[#This Row],[Customer Gender]]="F","Female", orders[[#This Row],[Customer Gender]]="O","Other", TRUE(),"Unknown")</f>
        <v>Male</v>
      </c>
    </row>
    <row r="10" spans="1:15" x14ac:dyDescent="0.25">
      <c r="A10" t="s">
        <v>237</v>
      </c>
      <c r="B10" t="s">
        <v>79</v>
      </c>
      <c r="C10">
        <v>11</v>
      </c>
      <c r="D10">
        <v>35.700000000000003</v>
      </c>
      <c r="E10">
        <v>392.7</v>
      </c>
      <c r="F10" s="58">
        <v>45658</v>
      </c>
      <c r="G10" s="58">
        <v>45659</v>
      </c>
      <c r="H10" t="s">
        <v>231</v>
      </c>
      <c r="I10" t="s">
        <v>59</v>
      </c>
      <c r="J10">
        <v>4</v>
      </c>
      <c r="K10" t="s">
        <v>103</v>
      </c>
      <c r="L10" t="s">
        <v>124</v>
      </c>
      <c r="M10">
        <f>orders[[#This Row],[Ship Date]]-orders[[#This Row],[Order Date]]</f>
        <v>1</v>
      </c>
      <c r="N10">
        <f>WEEKNUM(orders[[#This Row],[Order Date]],1)</f>
        <v>1</v>
      </c>
      <c r="O10" t="str">
        <f t="array" ref="O10">_xlfn.IFS(orders[[#This Row],[Customer Gender]]="M","Male", orders[[#This Row],[Customer Gender]]="F","Female", orders[[#This Row],[Customer Gender]]="O","Other", TRUE(),"Unknown")</f>
        <v>Female</v>
      </c>
    </row>
    <row r="11" spans="1:15" x14ac:dyDescent="0.25">
      <c r="A11" t="s">
        <v>238</v>
      </c>
      <c r="B11" t="s">
        <v>90</v>
      </c>
      <c r="C11">
        <v>7</v>
      </c>
      <c r="D11">
        <v>22.4</v>
      </c>
      <c r="E11">
        <v>156.80000000000001</v>
      </c>
      <c r="F11" s="58">
        <v>45658</v>
      </c>
      <c r="G11" s="58">
        <v>45661</v>
      </c>
      <c r="H11" t="s">
        <v>229</v>
      </c>
      <c r="I11" t="s">
        <v>59</v>
      </c>
      <c r="J11">
        <v>3</v>
      </c>
      <c r="K11" t="s">
        <v>103</v>
      </c>
      <c r="L11" t="s">
        <v>124</v>
      </c>
      <c r="M11">
        <f>orders[[#This Row],[Ship Date]]-orders[[#This Row],[Order Date]]</f>
        <v>3</v>
      </c>
      <c r="N11">
        <f>WEEKNUM(orders[[#This Row],[Order Date]],1)</f>
        <v>1</v>
      </c>
      <c r="O11" t="str">
        <f t="array" ref="O11">_xlfn.IFS(orders[[#This Row],[Customer Gender]]="M","Male", orders[[#This Row],[Customer Gender]]="F","Female", orders[[#This Row],[Customer Gender]]="O","Other", TRUE(),"Unknown")</f>
        <v>Male</v>
      </c>
    </row>
    <row r="12" spans="1:15" x14ac:dyDescent="0.25">
      <c r="A12" t="s">
        <v>239</v>
      </c>
      <c r="B12" t="s">
        <v>88</v>
      </c>
      <c r="C12">
        <v>2</v>
      </c>
      <c r="D12">
        <v>54.4</v>
      </c>
      <c r="E12">
        <v>108.8</v>
      </c>
      <c r="F12" s="58">
        <v>45658</v>
      </c>
      <c r="G12" s="58">
        <v>45664</v>
      </c>
      <c r="H12" t="s">
        <v>231</v>
      </c>
      <c r="I12" t="s">
        <v>59</v>
      </c>
      <c r="J12">
        <v>4</v>
      </c>
      <c r="K12" t="s">
        <v>103</v>
      </c>
      <c r="L12" t="s">
        <v>124</v>
      </c>
      <c r="M12">
        <f>orders[[#This Row],[Ship Date]]-orders[[#This Row],[Order Date]]</f>
        <v>6</v>
      </c>
      <c r="N12">
        <f>WEEKNUM(orders[[#This Row],[Order Date]],1)</f>
        <v>1</v>
      </c>
      <c r="O12" t="str">
        <f t="array" ref="O12">_xlfn.IFS(orders[[#This Row],[Customer Gender]]="M","Male", orders[[#This Row],[Customer Gender]]="F","Female", orders[[#This Row],[Customer Gender]]="O","Other", TRUE(),"Unknown")</f>
        <v>Female</v>
      </c>
    </row>
    <row r="13" spans="1:15" x14ac:dyDescent="0.25">
      <c r="A13" t="s">
        <v>240</v>
      </c>
      <c r="B13" t="s">
        <v>88</v>
      </c>
      <c r="C13">
        <v>2</v>
      </c>
      <c r="D13">
        <v>49</v>
      </c>
      <c r="E13">
        <v>98</v>
      </c>
      <c r="F13" s="58">
        <v>45658</v>
      </c>
      <c r="G13" s="58">
        <v>45660</v>
      </c>
      <c r="H13" t="s">
        <v>231</v>
      </c>
      <c r="I13" t="s">
        <v>62</v>
      </c>
      <c r="J13">
        <v>3</v>
      </c>
      <c r="K13" t="s">
        <v>103</v>
      </c>
      <c r="L13" t="s">
        <v>124</v>
      </c>
      <c r="M13">
        <f>orders[[#This Row],[Ship Date]]-orders[[#This Row],[Order Date]]</f>
        <v>2</v>
      </c>
      <c r="N13">
        <f>WEEKNUM(orders[[#This Row],[Order Date]],1)</f>
        <v>1</v>
      </c>
      <c r="O13" t="str">
        <f t="array" ref="O13">_xlfn.IFS(orders[[#This Row],[Customer Gender]]="M","Male", orders[[#This Row],[Customer Gender]]="F","Female", orders[[#This Row],[Customer Gender]]="O","Other", TRUE(),"Unknown")</f>
        <v>Female</v>
      </c>
    </row>
    <row r="14" spans="1:15" x14ac:dyDescent="0.25">
      <c r="A14" t="s">
        <v>241</v>
      </c>
      <c r="B14" t="s">
        <v>85</v>
      </c>
      <c r="C14">
        <v>7</v>
      </c>
      <c r="D14">
        <v>118.6</v>
      </c>
      <c r="E14">
        <v>830.2</v>
      </c>
      <c r="F14" s="58">
        <v>45658</v>
      </c>
      <c r="G14" s="58">
        <v>45662</v>
      </c>
      <c r="H14" t="s">
        <v>231</v>
      </c>
      <c r="I14" t="s">
        <v>63</v>
      </c>
      <c r="J14">
        <v>4</v>
      </c>
      <c r="K14" t="s">
        <v>103</v>
      </c>
      <c r="L14" t="s">
        <v>134</v>
      </c>
      <c r="M14">
        <f>orders[[#This Row],[Ship Date]]-orders[[#This Row],[Order Date]]</f>
        <v>4</v>
      </c>
      <c r="N14">
        <f>WEEKNUM(orders[[#This Row],[Order Date]],1)</f>
        <v>1</v>
      </c>
      <c r="O14" t="str">
        <f t="array" ref="O14">_xlfn.IFS(orders[[#This Row],[Customer Gender]]="M","Male", orders[[#This Row],[Customer Gender]]="F","Female", orders[[#This Row],[Customer Gender]]="O","Other", TRUE(),"Unknown")</f>
        <v>Female</v>
      </c>
    </row>
    <row r="15" spans="1:15" x14ac:dyDescent="0.25">
      <c r="A15" t="s">
        <v>242</v>
      </c>
      <c r="B15" t="s">
        <v>80</v>
      </c>
      <c r="C15">
        <v>27</v>
      </c>
      <c r="D15">
        <v>88.4</v>
      </c>
      <c r="E15">
        <v>2386.8000000000002</v>
      </c>
      <c r="F15" s="58">
        <v>45658</v>
      </c>
      <c r="G15" s="58">
        <v>45665</v>
      </c>
      <c r="H15" t="s">
        <v>229</v>
      </c>
      <c r="I15" t="s">
        <v>60</v>
      </c>
      <c r="J15">
        <v>4</v>
      </c>
      <c r="K15" t="s">
        <v>103</v>
      </c>
      <c r="L15" t="s">
        <v>136</v>
      </c>
      <c r="M15">
        <f>orders[[#This Row],[Ship Date]]-orders[[#This Row],[Order Date]]</f>
        <v>7</v>
      </c>
      <c r="N15">
        <f>WEEKNUM(orders[[#This Row],[Order Date]],1)</f>
        <v>1</v>
      </c>
      <c r="O15" t="str">
        <f t="array" ref="O15">_xlfn.IFS(orders[[#This Row],[Customer Gender]]="M","Male", orders[[#This Row],[Customer Gender]]="F","Female", orders[[#This Row],[Customer Gender]]="O","Other", TRUE(),"Unknown")</f>
        <v>Male</v>
      </c>
    </row>
    <row r="16" spans="1:15" x14ac:dyDescent="0.25">
      <c r="A16" t="s">
        <v>243</v>
      </c>
      <c r="B16" t="s">
        <v>75</v>
      </c>
      <c r="C16">
        <v>1</v>
      </c>
      <c r="D16">
        <v>66.7</v>
      </c>
      <c r="E16">
        <v>66.7</v>
      </c>
      <c r="F16" s="58">
        <v>45658</v>
      </c>
      <c r="G16" s="58">
        <v>45661</v>
      </c>
      <c r="H16" t="s">
        <v>229</v>
      </c>
      <c r="I16" t="s">
        <v>59</v>
      </c>
      <c r="J16">
        <v>4</v>
      </c>
      <c r="K16" t="s">
        <v>103</v>
      </c>
      <c r="L16" t="s">
        <v>139</v>
      </c>
      <c r="M16">
        <f>orders[[#This Row],[Ship Date]]-orders[[#This Row],[Order Date]]</f>
        <v>3</v>
      </c>
      <c r="N16">
        <f>WEEKNUM(orders[[#This Row],[Order Date]],1)</f>
        <v>1</v>
      </c>
      <c r="O16" t="str">
        <f t="array" ref="O16">_xlfn.IFS(orders[[#This Row],[Customer Gender]]="M","Male", orders[[#This Row],[Customer Gender]]="F","Female", orders[[#This Row],[Customer Gender]]="O","Other", TRUE(),"Unknown")</f>
        <v>Male</v>
      </c>
    </row>
    <row r="17" spans="1:15" x14ac:dyDescent="0.25">
      <c r="A17" t="s">
        <v>244</v>
      </c>
      <c r="B17" t="s">
        <v>88</v>
      </c>
      <c r="C17">
        <v>10</v>
      </c>
      <c r="D17">
        <v>30.9</v>
      </c>
      <c r="E17">
        <v>309</v>
      </c>
      <c r="F17" s="58">
        <v>45658</v>
      </c>
      <c r="G17" s="58">
        <v>45659</v>
      </c>
      <c r="H17" t="s">
        <v>229</v>
      </c>
      <c r="I17" t="s">
        <v>63</v>
      </c>
      <c r="J17">
        <v>5</v>
      </c>
      <c r="K17" t="s">
        <v>103</v>
      </c>
      <c r="L17" t="s">
        <v>139</v>
      </c>
      <c r="M17">
        <f>orders[[#This Row],[Ship Date]]-orders[[#This Row],[Order Date]]</f>
        <v>1</v>
      </c>
      <c r="N17">
        <f>WEEKNUM(orders[[#This Row],[Order Date]],1)</f>
        <v>1</v>
      </c>
      <c r="O17" t="str">
        <f t="array" ref="O17">_xlfn.IFS(orders[[#This Row],[Customer Gender]]="M","Male", orders[[#This Row],[Customer Gender]]="F","Female", orders[[#This Row],[Customer Gender]]="O","Other", TRUE(),"Unknown")</f>
        <v>Male</v>
      </c>
    </row>
    <row r="18" spans="1:15" x14ac:dyDescent="0.25">
      <c r="A18" t="s">
        <v>245</v>
      </c>
      <c r="B18" t="s">
        <v>78</v>
      </c>
      <c r="C18">
        <v>3</v>
      </c>
      <c r="D18">
        <v>31.1</v>
      </c>
      <c r="E18">
        <v>93.3</v>
      </c>
      <c r="F18" s="58">
        <v>45658</v>
      </c>
      <c r="G18" s="58">
        <v>45659</v>
      </c>
      <c r="H18" t="s">
        <v>231</v>
      </c>
      <c r="I18" t="s">
        <v>59</v>
      </c>
      <c r="J18">
        <v>3</v>
      </c>
      <c r="K18" t="s">
        <v>103</v>
      </c>
      <c r="L18" t="s">
        <v>139</v>
      </c>
      <c r="M18">
        <f>orders[[#This Row],[Ship Date]]-orders[[#This Row],[Order Date]]</f>
        <v>1</v>
      </c>
      <c r="N18">
        <f>WEEKNUM(orders[[#This Row],[Order Date]],1)</f>
        <v>1</v>
      </c>
      <c r="O18" t="str">
        <f t="array" ref="O18">_xlfn.IFS(orders[[#This Row],[Customer Gender]]="M","Male", orders[[#This Row],[Customer Gender]]="F","Female", orders[[#This Row],[Customer Gender]]="O","Other", TRUE(),"Unknown")</f>
        <v>Female</v>
      </c>
    </row>
    <row r="19" spans="1:15" x14ac:dyDescent="0.25">
      <c r="A19" t="s">
        <v>246</v>
      </c>
      <c r="B19" t="s">
        <v>79</v>
      </c>
      <c r="C19">
        <v>3</v>
      </c>
      <c r="D19">
        <v>36.6</v>
      </c>
      <c r="E19">
        <v>109.8</v>
      </c>
      <c r="F19" s="58">
        <v>45658</v>
      </c>
      <c r="G19" s="58">
        <v>45661</v>
      </c>
      <c r="H19" t="s">
        <v>231</v>
      </c>
      <c r="I19" t="s">
        <v>59</v>
      </c>
      <c r="J19">
        <v>4</v>
      </c>
      <c r="K19" t="s">
        <v>103</v>
      </c>
      <c r="L19" t="s">
        <v>141</v>
      </c>
      <c r="M19">
        <f>orders[[#This Row],[Ship Date]]-orders[[#This Row],[Order Date]]</f>
        <v>3</v>
      </c>
      <c r="N19">
        <f>WEEKNUM(orders[[#This Row],[Order Date]],1)</f>
        <v>1</v>
      </c>
      <c r="O19" t="str">
        <f t="array" ref="O19">_xlfn.IFS(orders[[#This Row],[Customer Gender]]="M","Male", orders[[#This Row],[Customer Gender]]="F","Female", orders[[#This Row],[Customer Gender]]="O","Other", TRUE(),"Unknown")</f>
        <v>Female</v>
      </c>
    </row>
    <row r="20" spans="1:15" x14ac:dyDescent="0.25">
      <c r="A20" t="s">
        <v>247</v>
      </c>
      <c r="B20" t="s">
        <v>80</v>
      </c>
      <c r="C20">
        <v>8</v>
      </c>
      <c r="D20">
        <v>51.1</v>
      </c>
      <c r="E20">
        <v>408.8</v>
      </c>
      <c r="F20" s="58">
        <v>45658</v>
      </c>
      <c r="G20" s="58">
        <v>45661</v>
      </c>
      <c r="H20" t="s">
        <v>231</v>
      </c>
      <c r="I20" t="s">
        <v>62</v>
      </c>
      <c r="J20">
        <v>1</v>
      </c>
      <c r="K20" t="s">
        <v>103</v>
      </c>
      <c r="L20" t="s">
        <v>141</v>
      </c>
      <c r="M20">
        <f>orders[[#This Row],[Ship Date]]-orders[[#This Row],[Order Date]]</f>
        <v>3</v>
      </c>
      <c r="N20">
        <f>WEEKNUM(orders[[#This Row],[Order Date]],1)</f>
        <v>1</v>
      </c>
      <c r="O20" t="str">
        <f t="array" ref="O20">_xlfn.IFS(orders[[#This Row],[Customer Gender]]="M","Male", orders[[#This Row],[Customer Gender]]="F","Female", orders[[#This Row],[Customer Gender]]="O","Other", TRUE(),"Unknown")</f>
        <v>Female</v>
      </c>
    </row>
    <row r="21" spans="1:15" x14ac:dyDescent="0.25">
      <c r="A21" t="s">
        <v>248</v>
      </c>
      <c r="B21" t="s">
        <v>88</v>
      </c>
      <c r="C21">
        <v>1</v>
      </c>
      <c r="D21">
        <v>25.2</v>
      </c>
      <c r="E21">
        <v>25.2</v>
      </c>
      <c r="F21" s="58">
        <v>45658</v>
      </c>
      <c r="G21" s="58">
        <v>45659</v>
      </c>
      <c r="H21" t="s">
        <v>231</v>
      </c>
      <c r="I21" t="s">
        <v>63</v>
      </c>
      <c r="J21">
        <v>5</v>
      </c>
      <c r="K21" t="s">
        <v>103</v>
      </c>
      <c r="L21" t="s">
        <v>142</v>
      </c>
      <c r="M21">
        <f>orders[[#This Row],[Ship Date]]-orders[[#This Row],[Order Date]]</f>
        <v>1</v>
      </c>
      <c r="N21">
        <f>WEEKNUM(orders[[#This Row],[Order Date]],1)</f>
        <v>1</v>
      </c>
      <c r="O21" t="str">
        <f t="array" ref="O21">_xlfn.IFS(orders[[#This Row],[Customer Gender]]="M","Male", orders[[#This Row],[Customer Gender]]="F","Female", orders[[#This Row],[Customer Gender]]="O","Other", TRUE(),"Unknown")</f>
        <v>Female</v>
      </c>
    </row>
    <row r="22" spans="1:15" x14ac:dyDescent="0.25">
      <c r="A22" t="s">
        <v>249</v>
      </c>
      <c r="B22" t="s">
        <v>88</v>
      </c>
      <c r="C22">
        <v>5</v>
      </c>
      <c r="D22">
        <v>43.8</v>
      </c>
      <c r="E22">
        <v>219</v>
      </c>
      <c r="F22" s="58">
        <v>45658</v>
      </c>
      <c r="G22" s="58">
        <v>45661</v>
      </c>
      <c r="H22" t="s">
        <v>231</v>
      </c>
      <c r="I22" t="s">
        <v>62</v>
      </c>
      <c r="J22">
        <v>4</v>
      </c>
      <c r="K22" t="s">
        <v>103</v>
      </c>
      <c r="L22" t="s">
        <v>142</v>
      </c>
      <c r="M22">
        <f>orders[[#This Row],[Ship Date]]-orders[[#This Row],[Order Date]]</f>
        <v>3</v>
      </c>
      <c r="N22">
        <f>WEEKNUM(orders[[#This Row],[Order Date]],1)</f>
        <v>1</v>
      </c>
      <c r="O22" t="str">
        <f t="array" ref="O22">_xlfn.IFS(orders[[#This Row],[Customer Gender]]="M","Male", orders[[#This Row],[Customer Gender]]="F","Female", orders[[#This Row],[Customer Gender]]="O","Other", TRUE(),"Unknown")</f>
        <v>Female</v>
      </c>
    </row>
    <row r="23" spans="1:15" x14ac:dyDescent="0.25">
      <c r="A23" t="s">
        <v>250</v>
      </c>
      <c r="B23" t="s">
        <v>90</v>
      </c>
      <c r="C23">
        <v>12</v>
      </c>
      <c r="D23">
        <v>46.7</v>
      </c>
      <c r="E23">
        <v>560.4</v>
      </c>
      <c r="F23" s="58">
        <v>45658</v>
      </c>
      <c r="G23" s="58">
        <v>45659</v>
      </c>
      <c r="H23" t="s">
        <v>231</v>
      </c>
      <c r="I23" t="s">
        <v>63</v>
      </c>
      <c r="J23">
        <v>3</v>
      </c>
      <c r="K23" t="s">
        <v>103</v>
      </c>
      <c r="L23" t="s">
        <v>142</v>
      </c>
      <c r="M23">
        <f>orders[[#This Row],[Ship Date]]-orders[[#This Row],[Order Date]]</f>
        <v>1</v>
      </c>
      <c r="N23">
        <f>WEEKNUM(orders[[#This Row],[Order Date]],1)</f>
        <v>1</v>
      </c>
      <c r="O23" t="str">
        <f t="array" ref="O23">_xlfn.IFS(orders[[#This Row],[Customer Gender]]="M","Male", orders[[#This Row],[Customer Gender]]="F","Female", orders[[#This Row],[Customer Gender]]="O","Other", TRUE(),"Unknown")</f>
        <v>Female</v>
      </c>
    </row>
    <row r="24" spans="1:15" x14ac:dyDescent="0.25">
      <c r="A24" t="s">
        <v>251</v>
      </c>
      <c r="B24" t="s">
        <v>93</v>
      </c>
      <c r="C24">
        <v>19</v>
      </c>
      <c r="D24">
        <v>79.900000000000006</v>
      </c>
      <c r="E24">
        <v>1518.1</v>
      </c>
      <c r="F24" s="58">
        <v>45658</v>
      </c>
      <c r="G24" s="58">
        <v>45659</v>
      </c>
      <c r="H24" t="s">
        <v>229</v>
      </c>
      <c r="I24" t="s">
        <v>59</v>
      </c>
      <c r="J24">
        <v>5</v>
      </c>
      <c r="K24" t="s">
        <v>103</v>
      </c>
      <c r="L24" t="s">
        <v>142</v>
      </c>
      <c r="M24">
        <f>orders[[#This Row],[Ship Date]]-orders[[#This Row],[Order Date]]</f>
        <v>1</v>
      </c>
      <c r="N24">
        <f>WEEKNUM(orders[[#This Row],[Order Date]],1)</f>
        <v>1</v>
      </c>
      <c r="O24" t="str">
        <f t="array" ref="O24">_xlfn.IFS(orders[[#This Row],[Customer Gender]]="M","Male", orders[[#This Row],[Customer Gender]]="F","Female", orders[[#This Row],[Customer Gender]]="O","Other", TRUE(),"Unknown")</f>
        <v>Male</v>
      </c>
    </row>
    <row r="25" spans="1:15" x14ac:dyDescent="0.25">
      <c r="A25" t="s">
        <v>252</v>
      </c>
      <c r="B25" t="s">
        <v>83</v>
      </c>
      <c r="C25">
        <v>8</v>
      </c>
      <c r="D25">
        <v>26.4</v>
      </c>
      <c r="E25">
        <v>211.2</v>
      </c>
      <c r="F25" s="58">
        <v>45658</v>
      </c>
      <c r="G25" s="58">
        <v>45659</v>
      </c>
      <c r="H25" t="s">
        <v>231</v>
      </c>
      <c r="I25" t="s">
        <v>60</v>
      </c>
      <c r="J25">
        <v>4</v>
      </c>
      <c r="K25" t="s">
        <v>103</v>
      </c>
      <c r="L25" t="s">
        <v>142</v>
      </c>
      <c r="M25">
        <f>orders[[#This Row],[Ship Date]]-orders[[#This Row],[Order Date]]</f>
        <v>1</v>
      </c>
      <c r="N25">
        <f>WEEKNUM(orders[[#This Row],[Order Date]],1)</f>
        <v>1</v>
      </c>
      <c r="O25" t="str">
        <f t="array" ref="O25">_xlfn.IFS(orders[[#This Row],[Customer Gender]]="M","Male", orders[[#This Row],[Customer Gender]]="F","Female", orders[[#This Row],[Customer Gender]]="O","Other", TRUE(),"Unknown")</f>
        <v>Female</v>
      </c>
    </row>
    <row r="26" spans="1:15" x14ac:dyDescent="0.25">
      <c r="A26" t="s">
        <v>253</v>
      </c>
      <c r="B26" t="s">
        <v>76</v>
      </c>
      <c r="C26">
        <v>8</v>
      </c>
      <c r="D26">
        <v>88.8</v>
      </c>
      <c r="E26">
        <v>710.4</v>
      </c>
      <c r="F26" s="58">
        <v>45658</v>
      </c>
      <c r="G26" s="58">
        <v>45659</v>
      </c>
      <c r="H26" t="s">
        <v>231</v>
      </c>
      <c r="I26" t="s">
        <v>61</v>
      </c>
      <c r="J26">
        <v>4</v>
      </c>
      <c r="K26" t="s">
        <v>103</v>
      </c>
      <c r="L26" t="s">
        <v>142</v>
      </c>
      <c r="M26">
        <f>orders[[#This Row],[Ship Date]]-orders[[#This Row],[Order Date]]</f>
        <v>1</v>
      </c>
      <c r="N26">
        <f>WEEKNUM(orders[[#This Row],[Order Date]],1)</f>
        <v>1</v>
      </c>
      <c r="O26" t="str">
        <f t="array" ref="O26">_xlfn.IFS(orders[[#This Row],[Customer Gender]]="M","Male", orders[[#This Row],[Customer Gender]]="F","Female", orders[[#This Row],[Customer Gender]]="O","Other", TRUE(),"Unknown")</f>
        <v>Female</v>
      </c>
    </row>
    <row r="27" spans="1:15" x14ac:dyDescent="0.25">
      <c r="A27" t="s">
        <v>254</v>
      </c>
      <c r="B27" t="s">
        <v>86</v>
      </c>
      <c r="C27">
        <v>10</v>
      </c>
      <c r="D27">
        <v>17.5</v>
      </c>
      <c r="E27">
        <v>175</v>
      </c>
      <c r="F27" s="58">
        <v>45658</v>
      </c>
      <c r="G27" s="58">
        <v>45659</v>
      </c>
      <c r="H27" t="s">
        <v>231</v>
      </c>
      <c r="I27" t="s">
        <v>62</v>
      </c>
      <c r="J27">
        <v>4</v>
      </c>
      <c r="K27" t="s">
        <v>103</v>
      </c>
      <c r="L27" t="s">
        <v>146</v>
      </c>
      <c r="M27">
        <f>orders[[#This Row],[Ship Date]]-orders[[#This Row],[Order Date]]</f>
        <v>1</v>
      </c>
      <c r="N27">
        <f>WEEKNUM(orders[[#This Row],[Order Date]],1)</f>
        <v>1</v>
      </c>
      <c r="O27" t="str">
        <f t="array" ref="O27">_xlfn.IFS(orders[[#This Row],[Customer Gender]]="M","Male", orders[[#This Row],[Customer Gender]]="F","Female", orders[[#This Row],[Customer Gender]]="O","Other", TRUE(),"Unknown")</f>
        <v>Female</v>
      </c>
    </row>
    <row r="28" spans="1:15" x14ac:dyDescent="0.25">
      <c r="A28" t="s">
        <v>255</v>
      </c>
      <c r="B28" t="s">
        <v>91</v>
      </c>
      <c r="C28">
        <v>9</v>
      </c>
      <c r="D28">
        <v>38.700000000000003</v>
      </c>
      <c r="E28">
        <v>348.3</v>
      </c>
      <c r="F28" s="58">
        <v>45658</v>
      </c>
      <c r="G28" s="58">
        <v>45661</v>
      </c>
      <c r="H28" t="s">
        <v>229</v>
      </c>
      <c r="I28" t="s">
        <v>63</v>
      </c>
      <c r="J28">
        <v>4</v>
      </c>
      <c r="K28" t="s">
        <v>103</v>
      </c>
      <c r="L28" t="s">
        <v>147</v>
      </c>
      <c r="M28">
        <f>orders[[#This Row],[Ship Date]]-orders[[#This Row],[Order Date]]</f>
        <v>3</v>
      </c>
      <c r="N28">
        <f>WEEKNUM(orders[[#This Row],[Order Date]],1)</f>
        <v>1</v>
      </c>
      <c r="O28" t="str">
        <f t="array" ref="O28">_xlfn.IFS(orders[[#This Row],[Customer Gender]]="M","Male", orders[[#This Row],[Customer Gender]]="F","Female", orders[[#This Row],[Customer Gender]]="O","Other", TRUE(),"Unknown")</f>
        <v>Male</v>
      </c>
    </row>
    <row r="29" spans="1:15" x14ac:dyDescent="0.25">
      <c r="A29" t="s">
        <v>256</v>
      </c>
      <c r="B29" t="s">
        <v>92</v>
      </c>
      <c r="C29">
        <v>4</v>
      </c>
      <c r="D29">
        <v>57.2</v>
      </c>
      <c r="E29">
        <v>228.8</v>
      </c>
      <c r="F29" s="58">
        <v>45658</v>
      </c>
      <c r="G29" s="58">
        <v>45660</v>
      </c>
      <c r="I29" t="s">
        <v>63</v>
      </c>
      <c r="J29">
        <v>5</v>
      </c>
      <c r="K29" t="s">
        <v>103</v>
      </c>
      <c r="L29" t="s">
        <v>148</v>
      </c>
      <c r="M29">
        <f>orders[[#This Row],[Ship Date]]-orders[[#This Row],[Order Date]]</f>
        <v>2</v>
      </c>
      <c r="N29">
        <f>WEEKNUM(orders[[#This Row],[Order Date]],1)</f>
        <v>1</v>
      </c>
      <c r="O29" t="str">
        <f t="array" ref="O29">_xlfn.IFS(orders[[#This Row],[Customer Gender]]="M","Male", orders[[#This Row],[Customer Gender]]="F","Female", orders[[#This Row],[Customer Gender]]="O","Other", TRUE(),"Unknown")</f>
        <v>Unknown</v>
      </c>
    </row>
    <row r="30" spans="1:15" x14ac:dyDescent="0.25">
      <c r="A30" t="s">
        <v>257</v>
      </c>
      <c r="B30" t="s">
        <v>80</v>
      </c>
      <c r="C30">
        <v>5</v>
      </c>
      <c r="D30">
        <v>50.9</v>
      </c>
      <c r="E30">
        <v>254.5</v>
      </c>
      <c r="F30" s="58">
        <v>45658</v>
      </c>
      <c r="G30" s="58">
        <v>45664</v>
      </c>
      <c r="I30" t="s">
        <v>63</v>
      </c>
      <c r="J30">
        <v>5</v>
      </c>
      <c r="K30" t="s">
        <v>103</v>
      </c>
      <c r="L30" t="s">
        <v>157</v>
      </c>
      <c r="M30">
        <f>orders[[#This Row],[Ship Date]]-orders[[#This Row],[Order Date]]</f>
        <v>6</v>
      </c>
      <c r="N30">
        <f>WEEKNUM(orders[[#This Row],[Order Date]],1)</f>
        <v>1</v>
      </c>
      <c r="O30" t="str">
        <f t="array" ref="O30">_xlfn.IFS(orders[[#This Row],[Customer Gender]]="M","Male", orders[[#This Row],[Customer Gender]]="F","Female", orders[[#This Row],[Customer Gender]]="O","Other", TRUE(),"Unknown")</f>
        <v>Unknown</v>
      </c>
    </row>
    <row r="31" spans="1:15" x14ac:dyDescent="0.25">
      <c r="A31" t="s">
        <v>258</v>
      </c>
      <c r="B31" t="s">
        <v>74</v>
      </c>
      <c r="C31">
        <v>7</v>
      </c>
      <c r="D31">
        <v>41</v>
      </c>
      <c r="E31">
        <v>287</v>
      </c>
      <c r="F31" s="58">
        <v>45658</v>
      </c>
      <c r="G31" s="58">
        <v>45662</v>
      </c>
      <c r="H31" t="s">
        <v>231</v>
      </c>
      <c r="I31" t="s">
        <v>63</v>
      </c>
      <c r="J31">
        <v>4</v>
      </c>
      <c r="K31" t="s">
        <v>103</v>
      </c>
      <c r="L31" t="s">
        <v>161</v>
      </c>
      <c r="M31">
        <f>orders[[#This Row],[Ship Date]]-orders[[#This Row],[Order Date]]</f>
        <v>4</v>
      </c>
      <c r="N31">
        <f>WEEKNUM(orders[[#This Row],[Order Date]],1)</f>
        <v>1</v>
      </c>
      <c r="O31" t="str">
        <f t="array" ref="O31">_xlfn.IFS(orders[[#This Row],[Customer Gender]]="M","Male", orders[[#This Row],[Customer Gender]]="F","Female", orders[[#This Row],[Customer Gender]]="O","Other", TRUE(),"Unknown")</f>
        <v>Female</v>
      </c>
    </row>
    <row r="32" spans="1:15" x14ac:dyDescent="0.25">
      <c r="A32" t="s">
        <v>259</v>
      </c>
      <c r="B32" t="s">
        <v>90</v>
      </c>
      <c r="C32">
        <v>7</v>
      </c>
      <c r="D32">
        <v>19.100000000000001</v>
      </c>
      <c r="E32">
        <v>133.69999999999999</v>
      </c>
      <c r="F32" s="58">
        <v>45658</v>
      </c>
      <c r="G32" s="58">
        <v>45662</v>
      </c>
      <c r="H32" t="s">
        <v>229</v>
      </c>
      <c r="I32" t="s">
        <v>59</v>
      </c>
      <c r="J32">
        <v>5</v>
      </c>
      <c r="K32" t="s">
        <v>103</v>
      </c>
      <c r="L32" t="s">
        <v>110</v>
      </c>
      <c r="M32">
        <f>orders[[#This Row],[Ship Date]]-orders[[#This Row],[Order Date]]</f>
        <v>4</v>
      </c>
      <c r="N32">
        <f>WEEKNUM(orders[[#This Row],[Order Date]],1)</f>
        <v>1</v>
      </c>
      <c r="O32" t="str">
        <f t="array" ref="O32">_xlfn.IFS(orders[[#This Row],[Customer Gender]]="M","Male", orders[[#This Row],[Customer Gender]]="F","Female", orders[[#This Row],[Customer Gender]]="O","Other", TRUE(),"Unknown")</f>
        <v>Male</v>
      </c>
    </row>
    <row r="33" spans="1:15" x14ac:dyDescent="0.25">
      <c r="A33" t="s">
        <v>260</v>
      </c>
      <c r="B33" t="s">
        <v>87</v>
      </c>
      <c r="C33">
        <v>5</v>
      </c>
      <c r="D33">
        <v>166.1</v>
      </c>
      <c r="E33">
        <v>830.5</v>
      </c>
      <c r="F33" s="58">
        <v>45658</v>
      </c>
      <c r="G33" s="58">
        <v>45661</v>
      </c>
      <c r="H33" t="s">
        <v>229</v>
      </c>
      <c r="I33" t="s">
        <v>59</v>
      </c>
      <c r="J33">
        <v>4</v>
      </c>
      <c r="K33" t="s">
        <v>103</v>
      </c>
      <c r="L33" t="s">
        <v>119</v>
      </c>
      <c r="M33">
        <f>orders[[#This Row],[Ship Date]]-orders[[#This Row],[Order Date]]</f>
        <v>3</v>
      </c>
      <c r="N33">
        <f>WEEKNUM(orders[[#This Row],[Order Date]],1)</f>
        <v>1</v>
      </c>
      <c r="O33" t="str">
        <f t="array" ref="O33">_xlfn.IFS(orders[[#This Row],[Customer Gender]]="M","Male", orders[[#This Row],[Customer Gender]]="F","Female", orders[[#This Row],[Customer Gender]]="O","Other", TRUE(),"Unknown")</f>
        <v>Male</v>
      </c>
    </row>
    <row r="34" spans="1:15" x14ac:dyDescent="0.25">
      <c r="A34" t="s">
        <v>261</v>
      </c>
      <c r="B34" t="s">
        <v>78</v>
      </c>
      <c r="C34">
        <v>3</v>
      </c>
      <c r="D34">
        <v>29.9</v>
      </c>
      <c r="E34">
        <v>89.7</v>
      </c>
      <c r="F34" s="58">
        <v>45658</v>
      </c>
      <c r="G34" s="58">
        <v>45659</v>
      </c>
      <c r="H34" t="s">
        <v>229</v>
      </c>
      <c r="I34" t="s">
        <v>60</v>
      </c>
      <c r="J34">
        <v>4</v>
      </c>
      <c r="K34" t="s">
        <v>103</v>
      </c>
      <c r="L34" t="s">
        <v>124</v>
      </c>
      <c r="M34">
        <f>orders[[#This Row],[Ship Date]]-orders[[#This Row],[Order Date]]</f>
        <v>1</v>
      </c>
      <c r="N34">
        <f>WEEKNUM(orders[[#This Row],[Order Date]],1)</f>
        <v>1</v>
      </c>
      <c r="O34" t="str">
        <f t="array" ref="O34">_xlfn.IFS(orders[[#This Row],[Customer Gender]]="M","Male", orders[[#This Row],[Customer Gender]]="F","Female", orders[[#This Row],[Customer Gender]]="O","Other", TRUE(),"Unknown")</f>
        <v>Male</v>
      </c>
    </row>
    <row r="35" spans="1:15" x14ac:dyDescent="0.25">
      <c r="A35" t="s">
        <v>262</v>
      </c>
      <c r="B35" t="s">
        <v>75</v>
      </c>
      <c r="C35">
        <v>6</v>
      </c>
      <c r="D35">
        <v>21.7</v>
      </c>
      <c r="E35">
        <v>130.19999999999999</v>
      </c>
      <c r="F35" s="58">
        <v>45658</v>
      </c>
      <c r="G35" s="58">
        <v>45660</v>
      </c>
      <c r="H35" t="s">
        <v>263</v>
      </c>
      <c r="I35" t="s">
        <v>62</v>
      </c>
      <c r="J35">
        <v>5</v>
      </c>
      <c r="K35" t="s">
        <v>103</v>
      </c>
      <c r="L35" t="s">
        <v>124</v>
      </c>
      <c r="M35">
        <f>orders[[#This Row],[Ship Date]]-orders[[#This Row],[Order Date]]</f>
        <v>2</v>
      </c>
      <c r="N35">
        <f>WEEKNUM(orders[[#This Row],[Order Date]],1)</f>
        <v>1</v>
      </c>
      <c r="O35" t="str">
        <f t="array" ref="O35">_xlfn.IFS(orders[[#This Row],[Customer Gender]]="M","Male", orders[[#This Row],[Customer Gender]]="F","Female", orders[[#This Row],[Customer Gender]]="O","Other", TRUE(),"Unknown")</f>
        <v>Other</v>
      </c>
    </row>
    <row r="36" spans="1:15" x14ac:dyDescent="0.25">
      <c r="A36" t="s">
        <v>264</v>
      </c>
      <c r="B36" t="s">
        <v>83</v>
      </c>
      <c r="C36">
        <v>2</v>
      </c>
      <c r="D36">
        <v>32</v>
      </c>
      <c r="E36">
        <v>64</v>
      </c>
      <c r="F36" s="58">
        <v>45658</v>
      </c>
      <c r="G36" s="58">
        <v>45661</v>
      </c>
      <c r="H36" t="s">
        <v>229</v>
      </c>
      <c r="I36" t="s">
        <v>59</v>
      </c>
      <c r="J36">
        <v>5</v>
      </c>
      <c r="K36" t="s">
        <v>103</v>
      </c>
      <c r="L36" t="s">
        <v>124</v>
      </c>
      <c r="M36">
        <f>orders[[#This Row],[Ship Date]]-orders[[#This Row],[Order Date]]</f>
        <v>3</v>
      </c>
      <c r="N36">
        <f>WEEKNUM(orders[[#This Row],[Order Date]],1)</f>
        <v>1</v>
      </c>
      <c r="O36" t="str">
        <f t="array" ref="O36">_xlfn.IFS(orders[[#This Row],[Customer Gender]]="M","Male", orders[[#This Row],[Customer Gender]]="F","Female", orders[[#This Row],[Customer Gender]]="O","Other", TRUE(),"Unknown")</f>
        <v>Male</v>
      </c>
    </row>
    <row r="37" spans="1:15" x14ac:dyDescent="0.25">
      <c r="A37" t="s">
        <v>265</v>
      </c>
      <c r="B37" t="s">
        <v>90</v>
      </c>
      <c r="C37">
        <v>2</v>
      </c>
      <c r="D37">
        <v>15.8</v>
      </c>
      <c r="E37">
        <v>31.6</v>
      </c>
      <c r="F37" s="58">
        <v>45658</v>
      </c>
      <c r="G37" s="58">
        <v>45659</v>
      </c>
      <c r="H37" t="s">
        <v>229</v>
      </c>
      <c r="I37" t="s">
        <v>61</v>
      </c>
      <c r="J37">
        <v>5</v>
      </c>
      <c r="K37" t="s">
        <v>103</v>
      </c>
      <c r="L37" t="s">
        <v>124</v>
      </c>
      <c r="M37">
        <f>orders[[#This Row],[Ship Date]]-orders[[#This Row],[Order Date]]</f>
        <v>1</v>
      </c>
      <c r="N37">
        <f>WEEKNUM(orders[[#This Row],[Order Date]],1)</f>
        <v>1</v>
      </c>
      <c r="O37" t="str">
        <f t="array" ref="O37">_xlfn.IFS(orders[[#This Row],[Customer Gender]]="M","Male", orders[[#This Row],[Customer Gender]]="F","Female", orders[[#This Row],[Customer Gender]]="O","Other", TRUE(),"Unknown")</f>
        <v>Male</v>
      </c>
    </row>
    <row r="38" spans="1:15" x14ac:dyDescent="0.25">
      <c r="A38" t="s">
        <v>266</v>
      </c>
      <c r="B38" t="s">
        <v>87</v>
      </c>
      <c r="C38">
        <v>17</v>
      </c>
      <c r="D38">
        <v>203.1</v>
      </c>
      <c r="E38">
        <v>3452.7</v>
      </c>
      <c r="F38" s="58">
        <v>45658</v>
      </c>
      <c r="G38" s="58">
        <v>45662</v>
      </c>
      <c r="H38" t="s">
        <v>229</v>
      </c>
      <c r="I38" t="s">
        <v>60</v>
      </c>
      <c r="J38">
        <v>3</v>
      </c>
      <c r="K38" t="s">
        <v>103</v>
      </c>
      <c r="L38" t="s">
        <v>124</v>
      </c>
      <c r="M38">
        <f>orders[[#This Row],[Ship Date]]-orders[[#This Row],[Order Date]]</f>
        <v>4</v>
      </c>
      <c r="N38">
        <f>WEEKNUM(orders[[#This Row],[Order Date]],1)</f>
        <v>1</v>
      </c>
      <c r="O38" t="str">
        <f t="array" ref="O38">_xlfn.IFS(orders[[#This Row],[Customer Gender]]="M","Male", orders[[#This Row],[Customer Gender]]="F","Female", orders[[#This Row],[Customer Gender]]="O","Other", TRUE(),"Unknown")</f>
        <v>Male</v>
      </c>
    </row>
    <row r="39" spans="1:15" x14ac:dyDescent="0.25">
      <c r="A39" t="s">
        <v>267</v>
      </c>
      <c r="B39" t="s">
        <v>79</v>
      </c>
      <c r="C39">
        <v>13</v>
      </c>
      <c r="D39">
        <v>39</v>
      </c>
      <c r="E39">
        <v>507</v>
      </c>
      <c r="F39" s="58">
        <v>45658</v>
      </c>
      <c r="G39" s="58">
        <v>45664</v>
      </c>
      <c r="H39" t="s">
        <v>229</v>
      </c>
      <c r="I39" t="s">
        <v>59</v>
      </c>
      <c r="J39">
        <v>5</v>
      </c>
      <c r="K39" t="s">
        <v>103</v>
      </c>
      <c r="L39" t="s">
        <v>124</v>
      </c>
      <c r="M39">
        <f>orders[[#This Row],[Ship Date]]-orders[[#This Row],[Order Date]]</f>
        <v>6</v>
      </c>
      <c r="N39">
        <f>WEEKNUM(orders[[#This Row],[Order Date]],1)</f>
        <v>1</v>
      </c>
      <c r="O39" t="str">
        <f t="array" ref="O39">_xlfn.IFS(orders[[#This Row],[Customer Gender]]="M","Male", orders[[#This Row],[Customer Gender]]="F","Female", orders[[#This Row],[Customer Gender]]="O","Other", TRUE(),"Unknown")</f>
        <v>Male</v>
      </c>
    </row>
    <row r="40" spans="1:15" x14ac:dyDescent="0.25">
      <c r="A40" t="s">
        <v>268</v>
      </c>
      <c r="B40" t="s">
        <v>75</v>
      </c>
      <c r="C40">
        <v>1</v>
      </c>
      <c r="D40">
        <v>26.5</v>
      </c>
      <c r="E40">
        <v>26.5</v>
      </c>
      <c r="F40" s="58">
        <v>45659</v>
      </c>
      <c r="G40" s="58">
        <v>45660</v>
      </c>
      <c r="H40" t="s">
        <v>229</v>
      </c>
      <c r="I40" t="s">
        <v>62</v>
      </c>
      <c r="J40">
        <v>4</v>
      </c>
      <c r="K40" t="s">
        <v>103</v>
      </c>
      <c r="L40" t="s">
        <v>124</v>
      </c>
      <c r="M40">
        <f>orders[[#This Row],[Ship Date]]-orders[[#This Row],[Order Date]]</f>
        <v>1</v>
      </c>
      <c r="N40">
        <f>WEEKNUM(orders[[#This Row],[Order Date]],1)</f>
        <v>1</v>
      </c>
      <c r="O40" t="str">
        <f t="array" ref="O40">_xlfn.IFS(orders[[#This Row],[Customer Gender]]="M","Male", orders[[#This Row],[Customer Gender]]="F","Female", orders[[#This Row],[Customer Gender]]="O","Other", TRUE(),"Unknown")</f>
        <v>Male</v>
      </c>
    </row>
    <row r="41" spans="1:15" x14ac:dyDescent="0.25">
      <c r="A41" t="s">
        <v>269</v>
      </c>
      <c r="B41" t="s">
        <v>85</v>
      </c>
      <c r="C41">
        <v>1</v>
      </c>
      <c r="D41">
        <v>43.1</v>
      </c>
      <c r="E41">
        <v>43.1</v>
      </c>
      <c r="F41" s="58">
        <v>45659</v>
      </c>
      <c r="G41" s="58">
        <v>45660</v>
      </c>
      <c r="H41" t="s">
        <v>231</v>
      </c>
      <c r="I41" t="s">
        <v>62</v>
      </c>
      <c r="J41">
        <v>3</v>
      </c>
      <c r="K41" t="s">
        <v>103</v>
      </c>
      <c r="L41" t="s">
        <v>124</v>
      </c>
      <c r="M41">
        <f>orders[[#This Row],[Ship Date]]-orders[[#This Row],[Order Date]]</f>
        <v>1</v>
      </c>
      <c r="N41">
        <f>WEEKNUM(orders[[#This Row],[Order Date]],1)</f>
        <v>1</v>
      </c>
      <c r="O41" t="str">
        <f t="array" ref="O41">_xlfn.IFS(orders[[#This Row],[Customer Gender]]="M","Male", orders[[#This Row],[Customer Gender]]="F","Female", orders[[#This Row],[Customer Gender]]="O","Other", TRUE(),"Unknown")</f>
        <v>Female</v>
      </c>
    </row>
    <row r="42" spans="1:15" x14ac:dyDescent="0.25">
      <c r="A42" t="s">
        <v>270</v>
      </c>
      <c r="B42" t="s">
        <v>91</v>
      </c>
      <c r="C42">
        <v>3</v>
      </c>
      <c r="D42">
        <v>139</v>
      </c>
      <c r="E42">
        <v>417</v>
      </c>
      <c r="F42" s="58">
        <v>45659</v>
      </c>
      <c r="G42" s="58">
        <v>45660</v>
      </c>
      <c r="H42" t="s">
        <v>231</v>
      </c>
      <c r="I42" t="s">
        <v>61</v>
      </c>
      <c r="J42">
        <v>5</v>
      </c>
      <c r="K42" t="s">
        <v>103</v>
      </c>
      <c r="L42" t="s">
        <v>124</v>
      </c>
      <c r="M42">
        <f>orders[[#This Row],[Ship Date]]-orders[[#This Row],[Order Date]]</f>
        <v>1</v>
      </c>
      <c r="N42">
        <f>WEEKNUM(orders[[#This Row],[Order Date]],1)</f>
        <v>1</v>
      </c>
      <c r="O42" t="str">
        <f t="array" ref="O42">_xlfn.IFS(orders[[#This Row],[Customer Gender]]="M","Male", orders[[#This Row],[Customer Gender]]="F","Female", orders[[#This Row],[Customer Gender]]="O","Other", TRUE(),"Unknown")</f>
        <v>Female</v>
      </c>
    </row>
    <row r="43" spans="1:15" x14ac:dyDescent="0.25">
      <c r="A43" t="s">
        <v>271</v>
      </c>
      <c r="B43" t="s">
        <v>76</v>
      </c>
      <c r="C43">
        <v>1</v>
      </c>
      <c r="D43">
        <v>80.7</v>
      </c>
      <c r="E43">
        <v>80.7</v>
      </c>
      <c r="F43" s="58">
        <v>45659</v>
      </c>
      <c r="G43" s="58">
        <v>45660</v>
      </c>
      <c r="H43" t="s">
        <v>229</v>
      </c>
      <c r="I43" t="s">
        <v>59</v>
      </c>
      <c r="J43">
        <v>5</v>
      </c>
      <c r="K43" t="s">
        <v>103</v>
      </c>
      <c r="L43" t="s">
        <v>133</v>
      </c>
      <c r="M43">
        <f>orders[[#This Row],[Ship Date]]-orders[[#This Row],[Order Date]]</f>
        <v>1</v>
      </c>
      <c r="N43">
        <f>WEEKNUM(orders[[#This Row],[Order Date]],1)</f>
        <v>1</v>
      </c>
      <c r="O43" t="str">
        <f t="array" ref="O43">_xlfn.IFS(orders[[#This Row],[Customer Gender]]="M","Male", orders[[#This Row],[Customer Gender]]="F","Female", orders[[#This Row],[Customer Gender]]="O","Other", TRUE(),"Unknown")</f>
        <v>Male</v>
      </c>
    </row>
    <row r="44" spans="1:15" x14ac:dyDescent="0.25">
      <c r="A44" t="s">
        <v>272</v>
      </c>
      <c r="B44" t="s">
        <v>78</v>
      </c>
      <c r="C44">
        <v>2</v>
      </c>
      <c r="D44">
        <v>54.5</v>
      </c>
      <c r="E44">
        <v>109</v>
      </c>
      <c r="F44" s="58">
        <v>45659</v>
      </c>
      <c r="G44" s="58">
        <v>45661</v>
      </c>
      <c r="H44" t="s">
        <v>229</v>
      </c>
      <c r="I44" t="s">
        <v>63</v>
      </c>
      <c r="J44">
        <v>3</v>
      </c>
      <c r="K44" t="s">
        <v>103</v>
      </c>
      <c r="L44" t="s">
        <v>139</v>
      </c>
      <c r="M44">
        <f>orders[[#This Row],[Ship Date]]-orders[[#This Row],[Order Date]]</f>
        <v>2</v>
      </c>
      <c r="N44">
        <f>WEEKNUM(orders[[#This Row],[Order Date]],1)</f>
        <v>1</v>
      </c>
      <c r="O44" t="str">
        <f t="array" ref="O44">_xlfn.IFS(orders[[#This Row],[Customer Gender]]="M","Male", orders[[#This Row],[Customer Gender]]="F","Female", orders[[#This Row],[Customer Gender]]="O","Other", TRUE(),"Unknown")</f>
        <v>Male</v>
      </c>
    </row>
    <row r="45" spans="1:15" x14ac:dyDescent="0.25">
      <c r="A45" t="s">
        <v>273</v>
      </c>
      <c r="B45" t="s">
        <v>80</v>
      </c>
      <c r="C45">
        <v>3</v>
      </c>
      <c r="D45">
        <v>68.599999999999994</v>
      </c>
      <c r="E45">
        <v>205.8</v>
      </c>
      <c r="F45" s="58">
        <v>45659</v>
      </c>
      <c r="G45" s="58">
        <v>45659</v>
      </c>
      <c r="H45" t="s">
        <v>231</v>
      </c>
      <c r="I45" t="s">
        <v>59</v>
      </c>
      <c r="J45">
        <v>3</v>
      </c>
      <c r="K45" t="s">
        <v>103</v>
      </c>
      <c r="L45" t="s">
        <v>142</v>
      </c>
      <c r="M45">
        <f>orders[[#This Row],[Ship Date]]-orders[[#This Row],[Order Date]]</f>
        <v>0</v>
      </c>
      <c r="N45">
        <f>WEEKNUM(orders[[#This Row],[Order Date]],1)</f>
        <v>1</v>
      </c>
      <c r="O45" t="str">
        <f t="array" ref="O45">_xlfn.IFS(orders[[#This Row],[Customer Gender]]="M","Male", orders[[#This Row],[Customer Gender]]="F","Female", orders[[#This Row],[Customer Gender]]="O","Other", TRUE(),"Unknown")</f>
        <v>Female</v>
      </c>
    </row>
    <row r="46" spans="1:15" x14ac:dyDescent="0.25">
      <c r="A46" t="s">
        <v>274</v>
      </c>
      <c r="B46" t="s">
        <v>87</v>
      </c>
      <c r="C46">
        <v>4</v>
      </c>
      <c r="D46">
        <v>135.9</v>
      </c>
      <c r="E46">
        <v>543.6</v>
      </c>
      <c r="F46" s="58">
        <v>45659</v>
      </c>
      <c r="G46" s="58">
        <v>45660</v>
      </c>
      <c r="H46" t="s">
        <v>231</v>
      </c>
      <c r="I46" t="s">
        <v>62</v>
      </c>
      <c r="J46">
        <v>5</v>
      </c>
      <c r="K46" t="s">
        <v>103</v>
      </c>
      <c r="L46" t="s">
        <v>142</v>
      </c>
      <c r="M46">
        <f>orders[[#This Row],[Ship Date]]-orders[[#This Row],[Order Date]]</f>
        <v>1</v>
      </c>
      <c r="N46">
        <f>WEEKNUM(orders[[#This Row],[Order Date]],1)</f>
        <v>1</v>
      </c>
      <c r="O46" t="str">
        <f t="array" ref="O46">_xlfn.IFS(orders[[#This Row],[Customer Gender]]="M","Male", orders[[#This Row],[Customer Gender]]="F","Female", orders[[#This Row],[Customer Gender]]="O","Other", TRUE(),"Unknown")</f>
        <v>Female</v>
      </c>
    </row>
    <row r="47" spans="1:15" x14ac:dyDescent="0.25">
      <c r="A47" t="s">
        <v>275</v>
      </c>
      <c r="B47" t="s">
        <v>87</v>
      </c>
      <c r="C47">
        <v>4</v>
      </c>
      <c r="D47">
        <v>70.900000000000006</v>
      </c>
      <c r="E47">
        <v>283.60000000000002</v>
      </c>
      <c r="F47" s="58">
        <v>45659</v>
      </c>
      <c r="G47" s="58">
        <v>45660</v>
      </c>
      <c r="H47" t="s">
        <v>231</v>
      </c>
      <c r="I47" t="s">
        <v>59</v>
      </c>
      <c r="J47">
        <v>4</v>
      </c>
      <c r="K47" t="s">
        <v>103</v>
      </c>
      <c r="L47" t="s">
        <v>143</v>
      </c>
      <c r="M47">
        <f>orders[[#This Row],[Ship Date]]-orders[[#This Row],[Order Date]]</f>
        <v>1</v>
      </c>
      <c r="N47">
        <f>WEEKNUM(orders[[#This Row],[Order Date]],1)</f>
        <v>1</v>
      </c>
      <c r="O47" t="str">
        <f t="array" ref="O47">_xlfn.IFS(orders[[#This Row],[Customer Gender]]="M","Male", orders[[#This Row],[Customer Gender]]="F","Female", orders[[#This Row],[Customer Gender]]="O","Other", TRUE(),"Unknown")</f>
        <v>Female</v>
      </c>
    </row>
    <row r="48" spans="1:15" x14ac:dyDescent="0.25">
      <c r="A48" t="s">
        <v>276</v>
      </c>
      <c r="B48" t="s">
        <v>91</v>
      </c>
      <c r="C48">
        <v>5</v>
      </c>
      <c r="D48">
        <v>63.7</v>
      </c>
      <c r="E48">
        <v>318.5</v>
      </c>
      <c r="F48" s="58">
        <v>45659</v>
      </c>
      <c r="G48" s="58">
        <v>45660</v>
      </c>
      <c r="H48" t="s">
        <v>229</v>
      </c>
      <c r="I48" t="s">
        <v>63</v>
      </c>
      <c r="J48">
        <v>3</v>
      </c>
      <c r="K48" t="s">
        <v>103</v>
      </c>
      <c r="L48" t="s">
        <v>146</v>
      </c>
      <c r="M48">
        <f>orders[[#This Row],[Ship Date]]-orders[[#This Row],[Order Date]]</f>
        <v>1</v>
      </c>
      <c r="N48">
        <f>WEEKNUM(orders[[#This Row],[Order Date]],1)</f>
        <v>1</v>
      </c>
      <c r="O48" t="str">
        <f t="array" ref="O48">_xlfn.IFS(orders[[#This Row],[Customer Gender]]="M","Male", orders[[#This Row],[Customer Gender]]="F","Female", orders[[#This Row],[Customer Gender]]="O","Other", TRUE(),"Unknown")</f>
        <v>Male</v>
      </c>
    </row>
    <row r="49" spans="1:15" x14ac:dyDescent="0.25">
      <c r="A49" t="s">
        <v>277</v>
      </c>
      <c r="B49" t="s">
        <v>92</v>
      </c>
      <c r="C49">
        <v>1</v>
      </c>
      <c r="D49">
        <v>29.7</v>
      </c>
      <c r="E49">
        <v>29.7</v>
      </c>
      <c r="F49" s="58">
        <v>45659</v>
      </c>
      <c r="G49" s="58">
        <v>45661</v>
      </c>
      <c r="H49" t="s">
        <v>231</v>
      </c>
      <c r="I49" t="s">
        <v>63</v>
      </c>
      <c r="J49">
        <v>4</v>
      </c>
      <c r="K49" t="s">
        <v>103</v>
      </c>
      <c r="L49" t="s">
        <v>148</v>
      </c>
      <c r="M49">
        <f>orders[[#This Row],[Ship Date]]-orders[[#This Row],[Order Date]]</f>
        <v>2</v>
      </c>
      <c r="N49">
        <f>WEEKNUM(orders[[#This Row],[Order Date]],1)</f>
        <v>1</v>
      </c>
      <c r="O49" t="str">
        <f t="array" ref="O49">_xlfn.IFS(orders[[#This Row],[Customer Gender]]="M","Male", orders[[#This Row],[Customer Gender]]="F","Female", orders[[#This Row],[Customer Gender]]="O","Other", TRUE(),"Unknown")</f>
        <v>Female</v>
      </c>
    </row>
    <row r="50" spans="1:15" x14ac:dyDescent="0.25">
      <c r="A50" t="s">
        <v>278</v>
      </c>
      <c r="B50" t="s">
        <v>78</v>
      </c>
      <c r="C50">
        <v>3</v>
      </c>
      <c r="D50">
        <v>26.8</v>
      </c>
      <c r="E50">
        <v>80.400000000000006</v>
      </c>
      <c r="F50" s="58">
        <v>45659</v>
      </c>
      <c r="G50" s="58">
        <v>45668</v>
      </c>
      <c r="H50" t="s">
        <v>231</v>
      </c>
      <c r="I50" t="s">
        <v>63</v>
      </c>
      <c r="J50">
        <v>5</v>
      </c>
      <c r="K50" t="s">
        <v>103</v>
      </c>
      <c r="L50" t="s">
        <v>148</v>
      </c>
      <c r="M50">
        <f>orders[[#This Row],[Ship Date]]-orders[[#This Row],[Order Date]]</f>
        <v>9</v>
      </c>
      <c r="N50">
        <f>WEEKNUM(orders[[#This Row],[Order Date]],1)</f>
        <v>1</v>
      </c>
      <c r="O50" t="str">
        <f t="array" ref="O50">_xlfn.IFS(orders[[#This Row],[Customer Gender]]="M","Male", orders[[#This Row],[Customer Gender]]="F","Female", orders[[#This Row],[Customer Gender]]="O","Other", TRUE(),"Unknown")</f>
        <v>Female</v>
      </c>
    </row>
    <row r="51" spans="1:15" x14ac:dyDescent="0.25">
      <c r="A51" t="s">
        <v>279</v>
      </c>
      <c r="B51" t="s">
        <v>74</v>
      </c>
      <c r="C51">
        <v>1</v>
      </c>
      <c r="D51">
        <v>27</v>
      </c>
      <c r="E51">
        <v>27</v>
      </c>
      <c r="F51" s="58">
        <v>45659</v>
      </c>
      <c r="G51" s="58">
        <v>45661</v>
      </c>
      <c r="H51" t="s">
        <v>231</v>
      </c>
      <c r="I51" t="s">
        <v>59</v>
      </c>
      <c r="J51">
        <v>4</v>
      </c>
      <c r="K51" t="s">
        <v>103</v>
      </c>
      <c r="L51" t="s">
        <v>154</v>
      </c>
      <c r="M51">
        <f>orders[[#This Row],[Ship Date]]-orders[[#This Row],[Order Date]]</f>
        <v>2</v>
      </c>
      <c r="N51">
        <f>WEEKNUM(orders[[#This Row],[Order Date]],1)</f>
        <v>1</v>
      </c>
      <c r="O51" t="str">
        <f t="array" ref="O51">_xlfn.IFS(orders[[#This Row],[Customer Gender]]="M","Male", orders[[#This Row],[Customer Gender]]="F","Female", orders[[#This Row],[Customer Gender]]="O","Other", TRUE(),"Unknown")</f>
        <v>Female</v>
      </c>
    </row>
    <row r="52" spans="1:15" x14ac:dyDescent="0.25">
      <c r="A52" t="s">
        <v>280</v>
      </c>
      <c r="B52" t="s">
        <v>90</v>
      </c>
      <c r="C52">
        <v>1</v>
      </c>
      <c r="D52">
        <v>41.4</v>
      </c>
      <c r="E52">
        <v>41.4</v>
      </c>
      <c r="F52" s="58">
        <v>45659</v>
      </c>
      <c r="G52" s="58">
        <v>45660</v>
      </c>
      <c r="H52" t="s">
        <v>229</v>
      </c>
      <c r="I52" t="s">
        <v>63</v>
      </c>
      <c r="J52">
        <v>5</v>
      </c>
      <c r="K52" t="s">
        <v>103</v>
      </c>
      <c r="L52" t="s">
        <v>155</v>
      </c>
      <c r="M52">
        <f>orders[[#This Row],[Ship Date]]-orders[[#This Row],[Order Date]]</f>
        <v>1</v>
      </c>
      <c r="N52">
        <f>WEEKNUM(orders[[#This Row],[Order Date]],1)</f>
        <v>1</v>
      </c>
      <c r="O52" t="str">
        <f t="array" ref="O52">_xlfn.IFS(orders[[#This Row],[Customer Gender]]="M","Male", orders[[#This Row],[Customer Gender]]="F","Female", orders[[#This Row],[Customer Gender]]="O","Other", TRUE(),"Unknown")</f>
        <v>Male</v>
      </c>
    </row>
    <row r="53" spans="1:15" x14ac:dyDescent="0.25">
      <c r="A53" t="s">
        <v>281</v>
      </c>
      <c r="B53" t="s">
        <v>90</v>
      </c>
      <c r="C53">
        <v>2</v>
      </c>
      <c r="D53">
        <v>24.3</v>
      </c>
      <c r="E53">
        <v>48.6</v>
      </c>
      <c r="F53" s="58">
        <v>45659</v>
      </c>
      <c r="G53" s="58">
        <v>45662</v>
      </c>
      <c r="H53" t="s">
        <v>231</v>
      </c>
      <c r="I53" t="s">
        <v>63</v>
      </c>
      <c r="J53">
        <v>4</v>
      </c>
      <c r="K53" t="s">
        <v>103</v>
      </c>
      <c r="L53" t="s">
        <v>155</v>
      </c>
      <c r="M53">
        <f>orders[[#This Row],[Ship Date]]-orders[[#This Row],[Order Date]]</f>
        <v>3</v>
      </c>
      <c r="N53">
        <f>WEEKNUM(orders[[#This Row],[Order Date]],1)</f>
        <v>1</v>
      </c>
      <c r="O53" t="str">
        <f t="array" ref="O53">_xlfn.IFS(orders[[#This Row],[Customer Gender]]="M","Male", orders[[#This Row],[Customer Gender]]="F","Female", orders[[#This Row],[Customer Gender]]="O","Other", TRUE(),"Unknown")</f>
        <v>Female</v>
      </c>
    </row>
    <row r="54" spans="1:15" x14ac:dyDescent="0.25">
      <c r="A54" t="s">
        <v>282</v>
      </c>
      <c r="B54" t="s">
        <v>90</v>
      </c>
      <c r="C54">
        <v>3</v>
      </c>
      <c r="D54">
        <v>41.7</v>
      </c>
      <c r="E54">
        <v>125.1</v>
      </c>
      <c r="F54" s="58">
        <v>45659</v>
      </c>
      <c r="G54" s="58">
        <v>45661</v>
      </c>
      <c r="H54" t="s">
        <v>229</v>
      </c>
      <c r="I54" t="s">
        <v>59</v>
      </c>
      <c r="J54">
        <v>5</v>
      </c>
      <c r="K54" t="s">
        <v>103</v>
      </c>
      <c r="L54" t="s">
        <v>159</v>
      </c>
      <c r="M54">
        <f>orders[[#This Row],[Ship Date]]-orders[[#This Row],[Order Date]]</f>
        <v>2</v>
      </c>
      <c r="N54">
        <f>WEEKNUM(orders[[#This Row],[Order Date]],1)</f>
        <v>1</v>
      </c>
      <c r="O54" t="str">
        <f t="array" ref="O54">_xlfn.IFS(orders[[#This Row],[Customer Gender]]="M","Male", orders[[#This Row],[Customer Gender]]="F","Female", orders[[#This Row],[Customer Gender]]="O","Other", TRUE(),"Unknown")</f>
        <v>Male</v>
      </c>
    </row>
    <row r="55" spans="1:15" x14ac:dyDescent="0.25">
      <c r="A55" t="s">
        <v>283</v>
      </c>
      <c r="B55" t="s">
        <v>86</v>
      </c>
      <c r="C55">
        <v>2</v>
      </c>
      <c r="D55">
        <v>18</v>
      </c>
      <c r="E55">
        <v>36</v>
      </c>
      <c r="F55" s="58">
        <v>45659</v>
      </c>
      <c r="G55" s="58">
        <v>45660</v>
      </c>
      <c r="H55" t="s">
        <v>231</v>
      </c>
      <c r="I55" t="s">
        <v>59</v>
      </c>
      <c r="J55">
        <v>5</v>
      </c>
      <c r="K55" t="s">
        <v>103</v>
      </c>
      <c r="L55" t="s">
        <v>106</v>
      </c>
      <c r="M55">
        <f>orders[[#This Row],[Ship Date]]-orders[[#This Row],[Order Date]]</f>
        <v>1</v>
      </c>
      <c r="N55">
        <f>WEEKNUM(orders[[#This Row],[Order Date]],1)</f>
        <v>1</v>
      </c>
      <c r="O55" t="str">
        <f t="array" ref="O55">_xlfn.IFS(orders[[#This Row],[Customer Gender]]="M","Male", orders[[#This Row],[Customer Gender]]="F","Female", orders[[#This Row],[Customer Gender]]="O","Other", TRUE(),"Unknown")</f>
        <v>Female</v>
      </c>
    </row>
    <row r="56" spans="1:15" x14ac:dyDescent="0.25">
      <c r="A56" t="s">
        <v>284</v>
      </c>
      <c r="B56" t="s">
        <v>79</v>
      </c>
      <c r="C56">
        <v>3</v>
      </c>
      <c r="D56">
        <v>91.3</v>
      </c>
      <c r="E56">
        <v>273.89999999999998</v>
      </c>
      <c r="F56" s="58">
        <v>45659</v>
      </c>
      <c r="G56" s="58">
        <v>45662</v>
      </c>
      <c r="H56" t="s">
        <v>229</v>
      </c>
      <c r="I56" t="s">
        <v>62</v>
      </c>
      <c r="J56">
        <v>5</v>
      </c>
      <c r="K56" t="s">
        <v>103</v>
      </c>
      <c r="L56" t="s">
        <v>124</v>
      </c>
      <c r="M56">
        <f>orders[[#This Row],[Ship Date]]-orders[[#This Row],[Order Date]]</f>
        <v>3</v>
      </c>
      <c r="N56">
        <f>WEEKNUM(orders[[#This Row],[Order Date]],1)</f>
        <v>1</v>
      </c>
      <c r="O56" t="str">
        <f t="array" ref="O56">_xlfn.IFS(orders[[#This Row],[Customer Gender]]="M","Male", orders[[#This Row],[Customer Gender]]="F","Female", orders[[#This Row],[Customer Gender]]="O","Other", TRUE(),"Unknown")</f>
        <v>Male</v>
      </c>
    </row>
    <row r="57" spans="1:15" x14ac:dyDescent="0.25">
      <c r="A57" t="s">
        <v>285</v>
      </c>
      <c r="B57" t="s">
        <v>90</v>
      </c>
      <c r="C57">
        <v>8</v>
      </c>
      <c r="D57">
        <v>19.3</v>
      </c>
      <c r="E57">
        <v>154.4</v>
      </c>
      <c r="F57" s="58">
        <v>45659</v>
      </c>
      <c r="G57" s="58">
        <v>45660</v>
      </c>
      <c r="H57" t="s">
        <v>229</v>
      </c>
      <c r="I57" t="s">
        <v>59</v>
      </c>
      <c r="J57">
        <v>4</v>
      </c>
      <c r="K57" t="s">
        <v>103</v>
      </c>
      <c r="L57" t="s">
        <v>124</v>
      </c>
      <c r="M57">
        <f>orders[[#This Row],[Ship Date]]-orders[[#This Row],[Order Date]]</f>
        <v>1</v>
      </c>
      <c r="N57">
        <f>WEEKNUM(orders[[#This Row],[Order Date]],1)</f>
        <v>1</v>
      </c>
      <c r="O57" t="str">
        <f t="array" ref="O57">_xlfn.IFS(orders[[#This Row],[Customer Gender]]="M","Male", orders[[#This Row],[Customer Gender]]="F","Female", orders[[#This Row],[Customer Gender]]="O","Other", TRUE(),"Unknown")</f>
        <v>Male</v>
      </c>
    </row>
    <row r="58" spans="1:15" x14ac:dyDescent="0.25">
      <c r="A58" t="s">
        <v>286</v>
      </c>
      <c r="B58" t="s">
        <v>76</v>
      </c>
      <c r="C58">
        <v>13</v>
      </c>
      <c r="D58">
        <v>63.2</v>
      </c>
      <c r="E58">
        <v>821.6</v>
      </c>
      <c r="F58" s="58">
        <v>45659</v>
      </c>
      <c r="G58" s="58">
        <v>45660</v>
      </c>
      <c r="H58" t="s">
        <v>231</v>
      </c>
      <c r="I58" t="s">
        <v>59</v>
      </c>
      <c r="J58">
        <v>4</v>
      </c>
      <c r="K58" t="s">
        <v>103</v>
      </c>
      <c r="L58" t="s">
        <v>124</v>
      </c>
      <c r="M58">
        <f>orders[[#This Row],[Ship Date]]-orders[[#This Row],[Order Date]]</f>
        <v>1</v>
      </c>
      <c r="N58">
        <f>WEEKNUM(orders[[#This Row],[Order Date]],1)</f>
        <v>1</v>
      </c>
      <c r="O58" t="str">
        <f t="array" ref="O58">_xlfn.IFS(orders[[#This Row],[Customer Gender]]="M","Male", orders[[#This Row],[Customer Gender]]="F","Female", orders[[#This Row],[Customer Gender]]="O","Other", TRUE(),"Unknown")</f>
        <v>Female</v>
      </c>
    </row>
    <row r="59" spans="1:15" x14ac:dyDescent="0.25">
      <c r="A59" t="s">
        <v>287</v>
      </c>
      <c r="B59" t="s">
        <v>75</v>
      </c>
      <c r="C59">
        <v>9</v>
      </c>
      <c r="D59">
        <v>33.299999999999997</v>
      </c>
      <c r="E59">
        <v>299.7</v>
      </c>
      <c r="F59" s="58">
        <v>45660</v>
      </c>
      <c r="G59" s="58">
        <v>45668</v>
      </c>
      <c r="H59" t="s">
        <v>231</v>
      </c>
      <c r="I59" t="s">
        <v>59</v>
      </c>
      <c r="J59">
        <v>5</v>
      </c>
      <c r="K59" t="s">
        <v>103</v>
      </c>
      <c r="L59" t="s">
        <v>124</v>
      </c>
      <c r="M59">
        <f>orders[[#This Row],[Ship Date]]-orders[[#This Row],[Order Date]]</f>
        <v>8</v>
      </c>
      <c r="N59">
        <f>WEEKNUM(orders[[#This Row],[Order Date]],1)</f>
        <v>1</v>
      </c>
      <c r="O59" t="str">
        <f t="array" ref="O59">_xlfn.IFS(orders[[#This Row],[Customer Gender]]="M","Male", orders[[#This Row],[Customer Gender]]="F","Female", orders[[#This Row],[Customer Gender]]="O","Other", TRUE(),"Unknown")</f>
        <v>Female</v>
      </c>
    </row>
    <row r="60" spans="1:15" x14ac:dyDescent="0.25">
      <c r="A60" t="s">
        <v>288</v>
      </c>
      <c r="B60" t="s">
        <v>79</v>
      </c>
      <c r="C60">
        <v>2</v>
      </c>
      <c r="D60">
        <v>64.2</v>
      </c>
      <c r="E60">
        <v>128.4</v>
      </c>
      <c r="F60" s="58">
        <v>45660</v>
      </c>
      <c r="G60" s="58">
        <v>45661</v>
      </c>
      <c r="H60" t="s">
        <v>229</v>
      </c>
      <c r="I60" t="s">
        <v>59</v>
      </c>
      <c r="J60">
        <v>5</v>
      </c>
      <c r="K60" t="s">
        <v>103</v>
      </c>
      <c r="L60" t="s">
        <v>124</v>
      </c>
      <c r="M60">
        <f>orders[[#This Row],[Ship Date]]-orders[[#This Row],[Order Date]]</f>
        <v>1</v>
      </c>
      <c r="N60">
        <f>WEEKNUM(orders[[#This Row],[Order Date]],1)</f>
        <v>1</v>
      </c>
      <c r="O60" t="str">
        <f t="array" ref="O60">_xlfn.IFS(orders[[#This Row],[Customer Gender]]="M","Male", orders[[#This Row],[Customer Gender]]="F","Female", orders[[#This Row],[Customer Gender]]="O","Other", TRUE(),"Unknown")</f>
        <v>Male</v>
      </c>
    </row>
    <row r="61" spans="1:15" x14ac:dyDescent="0.25">
      <c r="A61" t="s">
        <v>289</v>
      </c>
      <c r="B61" t="s">
        <v>88</v>
      </c>
      <c r="C61">
        <v>3</v>
      </c>
      <c r="D61">
        <v>23.1</v>
      </c>
      <c r="E61">
        <v>69.3</v>
      </c>
      <c r="F61" s="58">
        <v>45660</v>
      </c>
      <c r="G61" s="58">
        <v>45663</v>
      </c>
      <c r="H61" t="s">
        <v>231</v>
      </c>
      <c r="I61" t="s">
        <v>63</v>
      </c>
      <c r="J61">
        <v>5</v>
      </c>
      <c r="K61" t="s">
        <v>103</v>
      </c>
      <c r="L61" t="s">
        <v>124</v>
      </c>
      <c r="M61">
        <f>orders[[#This Row],[Ship Date]]-orders[[#This Row],[Order Date]]</f>
        <v>3</v>
      </c>
      <c r="N61">
        <f>WEEKNUM(orders[[#This Row],[Order Date]],1)</f>
        <v>1</v>
      </c>
      <c r="O61" t="str">
        <f t="array" ref="O61">_xlfn.IFS(orders[[#This Row],[Customer Gender]]="M","Male", orders[[#This Row],[Customer Gender]]="F","Female", orders[[#This Row],[Customer Gender]]="O","Other", TRUE(),"Unknown")</f>
        <v>Female</v>
      </c>
    </row>
    <row r="62" spans="1:15" x14ac:dyDescent="0.25">
      <c r="A62" t="s">
        <v>290</v>
      </c>
      <c r="B62" t="s">
        <v>77</v>
      </c>
      <c r="C62">
        <v>2</v>
      </c>
      <c r="D62">
        <v>71.099999999999994</v>
      </c>
      <c r="E62">
        <v>142.19999999999999</v>
      </c>
      <c r="F62" s="58">
        <v>45660</v>
      </c>
      <c r="G62" s="58">
        <v>45662</v>
      </c>
      <c r="H62" t="s">
        <v>231</v>
      </c>
      <c r="I62" t="s">
        <v>60</v>
      </c>
      <c r="J62">
        <v>3</v>
      </c>
      <c r="K62" t="s">
        <v>103</v>
      </c>
      <c r="L62" t="s">
        <v>124</v>
      </c>
      <c r="M62">
        <f>orders[[#This Row],[Ship Date]]-orders[[#This Row],[Order Date]]</f>
        <v>2</v>
      </c>
      <c r="N62">
        <f>WEEKNUM(orders[[#This Row],[Order Date]],1)</f>
        <v>1</v>
      </c>
      <c r="O62" t="str">
        <f t="array" ref="O62">_xlfn.IFS(orders[[#This Row],[Customer Gender]]="M","Male", orders[[#This Row],[Customer Gender]]="F","Female", orders[[#This Row],[Customer Gender]]="O","Other", TRUE(),"Unknown")</f>
        <v>Female</v>
      </c>
    </row>
    <row r="63" spans="1:15" x14ac:dyDescent="0.25">
      <c r="A63" t="s">
        <v>291</v>
      </c>
      <c r="B63" t="s">
        <v>86</v>
      </c>
      <c r="C63">
        <v>2</v>
      </c>
      <c r="D63">
        <v>11.5</v>
      </c>
      <c r="E63">
        <v>23</v>
      </c>
      <c r="F63" s="58">
        <v>45660</v>
      </c>
      <c r="G63" s="58">
        <v>45661</v>
      </c>
      <c r="H63" t="s">
        <v>231</v>
      </c>
      <c r="I63" t="s">
        <v>59</v>
      </c>
      <c r="J63">
        <v>4</v>
      </c>
      <c r="K63" t="s">
        <v>103</v>
      </c>
      <c r="L63" t="s">
        <v>124</v>
      </c>
      <c r="M63">
        <f>orders[[#This Row],[Ship Date]]-orders[[#This Row],[Order Date]]</f>
        <v>1</v>
      </c>
      <c r="N63">
        <f>WEEKNUM(orders[[#This Row],[Order Date]],1)</f>
        <v>1</v>
      </c>
      <c r="O63" t="str">
        <f t="array" ref="O63">_xlfn.IFS(orders[[#This Row],[Customer Gender]]="M","Male", orders[[#This Row],[Customer Gender]]="F","Female", orders[[#This Row],[Customer Gender]]="O","Other", TRUE(),"Unknown")</f>
        <v>Female</v>
      </c>
    </row>
    <row r="64" spans="1:15" x14ac:dyDescent="0.25">
      <c r="A64" t="s">
        <v>292</v>
      </c>
      <c r="B64" t="s">
        <v>77</v>
      </c>
      <c r="C64">
        <v>19</v>
      </c>
      <c r="D64">
        <v>69.2</v>
      </c>
      <c r="E64">
        <v>1314.8</v>
      </c>
      <c r="F64" s="58">
        <v>45660</v>
      </c>
      <c r="G64" s="58">
        <v>45665</v>
      </c>
      <c r="H64" t="s">
        <v>231</v>
      </c>
      <c r="I64" t="s">
        <v>59</v>
      </c>
      <c r="J64">
        <v>4</v>
      </c>
      <c r="K64" t="s">
        <v>103</v>
      </c>
      <c r="L64" t="s">
        <v>124</v>
      </c>
      <c r="M64">
        <f>orders[[#This Row],[Ship Date]]-orders[[#This Row],[Order Date]]</f>
        <v>5</v>
      </c>
      <c r="N64">
        <f>WEEKNUM(orders[[#This Row],[Order Date]],1)</f>
        <v>1</v>
      </c>
      <c r="O64" t="str">
        <f t="array" ref="O64">_xlfn.IFS(orders[[#This Row],[Customer Gender]]="M","Male", orders[[#This Row],[Customer Gender]]="F","Female", orders[[#This Row],[Customer Gender]]="O","Other", TRUE(),"Unknown")</f>
        <v>Female</v>
      </c>
    </row>
    <row r="65" spans="1:15" x14ac:dyDescent="0.25">
      <c r="A65" t="s">
        <v>293</v>
      </c>
      <c r="B65" t="s">
        <v>86</v>
      </c>
      <c r="C65">
        <v>1</v>
      </c>
      <c r="D65">
        <v>26.8</v>
      </c>
      <c r="E65">
        <v>26.8</v>
      </c>
      <c r="F65" s="58">
        <v>45660</v>
      </c>
      <c r="G65" s="58">
        <v>45661</v>
      </c>
      <c r="H65" t="s">
        <v>229</v>
      </c>
      <c r="I65" t="s">
        <v>62</v>
      </c>
      <c r="J65">
        <v>2</v>
      </c>
      <c r="K65" t="s">
        <v>103</v>
      </c>
      <c r="L65" t="s">
        <v>124</v>
      </c>
      <c r="M65">
        <f>orders[[#This Row],[Ship Date]]-orders[[#This Row],[Order Date]]</f>
        <v>1</v>
      </c>
      <c r="N65">
        <f>WEEKNUM(orders[[#This Row],[Order Date]],1)</f>
        <v>1</v>
      </c>
      <c r="O65" t="str">
        <f t="array" ref="O65">_xlfn.IFS(orders[[#This Row],[Customer Gender]]="M","Male", orders[[#This Row],[Customer Gender]]="F","Female", orders[[#This Row],[Customer Gender]]="O","Other", TRUE(),"Unknown")</f>
        <v>Male</v>
      </c>
    </row>
    <row r="66" spans="1:15" x14ac:dyDescent="0.25">
      <c r="A66" t="s">
        <v>294</v>
      </c>
      <c r="B66" t="s">
        <v>89</v>
      </c>
      <c r="C66">
        <v>3</v>
      </c>
      <c r="D66">
        <v>31.2</v>
      </c>
      <c r="E66">
        <v>93.6</v>
      </c>
      <c r="F66" s="58">
        <v>45660</v>
      </c>
      <c r="G66" s="58">
        <v>45663</v>
      </c>
      <c r="H66" t="s">
        <v>231</v>
      </c>
      <c r="I66" t="s">
        <v>59</v>
      </c>
      <c r="J66">
        <v>4</v>
      </c>
      <c r="K66" t="s">
        <v>103</v>
      </c>
      <c r="L66" t="s">
        <v>124</v>
      </c>
      <c r="M66">
        <f>orders[[#This Row],[Ship Date]]-orders[[#This Row],[Order Date]]</f>
        <v>3</v>
      </c>
      <c r="N66">
        <f>WEEKNUM(orders[[#This Row],[Order Date]],1)</f>
        <v>1</v>
      </c>
      <c r="O66" t="str">
        <f t="array" ref="O66">_xlfn.IFS(orders[[#This Row],[Customer Gender]]="M","Male", orders[[#This Row],[Customer Gender]]="F","Female", orders[[#This Row],[Customer Gender]]="O","Other", TRUE(),"Unknown")</f>
        <v>Female</v>
      </c>
    </row>
    <row r="67" spans="1:15" x14ac:dyDescent="0.25">
      <c r="A67" t="s">
        <v>295</v>
      </c>
      <c r="B67" t="s">
        <v>76</v>
      </c>
      <c r="C67">
        <v>2</v>
      </c>
      <c r="D67">
        <v>113.2</v>
      </c>
      <c r="E67">
        <v>226.4</v>
      </c>
      <c r="F67" s="58">
        <v>45660</v>
      </c>
      <c r="G67" s="58">
        <v>45661</v>
      </c>
      <c r="H67" t="s">
        <v>231</v>
      </c>
      <c r="I67" t="s">
        <v>61</v>
      </c>
      <c r="J67">
        <v>4</v>
      </c>
      <c r="K67" t="s">
        <v>103</v>
      </c>
      <c r="L67" t="s">
        <v>124</v>
      </c>
      <c r="M67">
        <f>orders[[#This Row],[Ship Date]]-orders[[#This Row],[Order Date]]</f>
        <v>1</v>
      </c>
      <c r="N67">
        <f>WEEKNUM(orders[[#This Row],[Order Date]],1)</f>
        <v>1</v>
      </c>
      <c r="O67" t="str">
        <f t="array" ref="O67">_xlfn.IFS(orders[[#This Row],[Customer Gender]]="M","Male", orders[[#This Row],[Customer Gender]]="F","Female", orders[[#This Row],[Customer Gender]]="O","Other", TRUE(),"Unknown")</f>
        <v>Female</v>
      </c>
    </row>
    <row r="68" spans="1:15" x14ac:dyDescent="0.25">
      <c r="A68" t="s">
        <v>296</v>
      </c>
      <c r="B68" t="s">
        <v>75</v>
      </c>
      <c r="C68">
        <v>8</v>
      </c>
      <c r="D68">
        <v>21</v>
      </c>
      <c r="E68">
        <v>168</v>
      </c>
      <c r="F68" s="58">
        <v>45660</v>
      </c>
      <c r="G68" s="58">
        <v>45661</v>
      </c>
      <c r="H68" t="s">
        <v>229</v>
      </c>
      <c r="I68" t="s">
        <v>59</v>
      </c>
      <c r="J68">
        <v>4</v>
      </c>
      <c r="K68" t="s">
        <v>103</v>
      </c>
      <c r="L68" t="s">
        <v>139</v>
      </c>
      <c r="M68">
        <f>orders[[#This Row],[Ship Date]]-orders[[#This Row],[Order Date]]</f>
        <v>1</v>
      </c>
      <c r="N68">
        <f>WEEKNUM(orders[[#This Row],[Order Date]],1)</f>
        <v>1</v>
      </c>
      <c r="O68" t="str">
        <f t="array" ref="O68">_xlfn.IFS(orders[[#This Row],[Customer Gender]]="M","Male", orders[[#This Row],[Customer Gender]]="F","Female", orders[[#This Row],[Customer Gender]]="O","Other", TRUE(),"Unknown")</f>
        <v>Male</v>
      </c>
    </row>
    <row r="69" spans="1:15" x14ac:dyDescent="0.25">
      <c r="A69" t="s">
        <v>297</v>
      </c>
      <c r="B69" t="s">
        <v>91</v>
      </c>
      <c r="C69">
        <v>2</v>
      </c>
      <c r="D69">
        <v>89.1</v>
      </c>
      <c r="E69">
        <v>178.2</v>
      </c>
      <c r="F69" s="58">
        <v>45660</v>
      </c>
      <c r="G69" s="58">
        <v>45661</v>
      </c>
      <c r="H69" t="s">
        <v>231</v>
      </c>
      <c r="I69" t="s">
        <v>62</v>
      </c>
      <c r="J69">
        <v>5</v>
      </c>
      <c r="K69" t="s">
        <v>103</v>
      </c>
      <c r="L69" t="s">
        <v>139</v>
      </c>
      <c r="M69">
        <f>orders[[#This Row],[Ship Date]]-orders[[#This Row],[Order Date]]</f>
        <v>1</v>
      </c>
      <c r="N69">
        <f>WEEKNUM(orders[[#This Row],[Order Date]],1)</f>
        <v>1</v>
      </c>
      <c r="O69" t="str">
        <f t="array" ref="O69">_xlfn.IFS(orders[[#This Row],[Customer Gender]]="M","Male", orders[[#This Row],[Customer Gender]]="F","Female", orders[[#This Row],[Customer Gender]]="O","Other", TRUE(),"Unknown")</f>
        <v>Female</v>
      </c>
    </row>
    <row r="70" spans="1:15" x14ac:dyDescent="0.25">
      <c r="A70" t="s">
        <v>298</v>
      </c>
      <c r="B70" t="s">
        <v>91</v>
      </c>
      <c r="C70">
        <v>1</v>
      </c>
      <c r="D70">
        <v>97.7</v>
      </c>
      <c r="E70">
        <v>97.7</v>
      </c>
      <c r="F70" s="58">
        <v>45660</v>
      </c>
      <c r="G70" s="58">
        <v>45662</v>
      </c>
      <c r="H70" t="s">
        <v>231</v>
      </c>
      <c r="I70" t="s">
        <v>59</v>
      </c>
      <c r="J70">
        <v>3</v>
      </c>
      <c r="K70" t="s">
        <v>103</v>
      </c>
      <c r="L70" t="s">
        <v>139</v>
      </c>
      <c r="M70">
        <f>orders[[#This Row],[Ship Date]]-orders[[#This Row],[Order Date]]</f>
        <v>2</v>
      </c>
      <c r="N70">
        <f>WEEKNUM(orders[[#This Row],[Order Date]],1)</f>
        <v>1</v>
      </c>
      <c r="O70" t="str">
        <f t="array" ref="O70">_xlfn.IFS(orders[[#This Row],[Customer Gender]]="M","Male", orders[[#This Row],[Customer Gender]]="F","Female", orders[[#This Row],[Customer Gender]]="O","Other", TRUE(),"Unknown")</f>
        <v>Female</v>
      </c>
    </row>
    <row r="71" spans="1:15" x14ac:dyDescent="0.25">
      <c r="A71" t="s">
        <v>299</v>
      </c>
      <c r="B71" t="s">
        <v>77</v>
      </c>
      <c r="C71">
        <v>4</v>
      </c>
      <c r="D71">
        <v>97.7</v>
      </c>
      <c r="E71">
        <v>390.8</v>
      </c>
      <c r="F71" s="58">
        <v>45660</v>
      </c>
      <c r="G71" s="58">
        <v>45662</v>
      </c>
      <c r="H71" t="s">
        <v>229</v>
      </c>
      <c r="I71" t="s">
        <v>60</v>
      </c>
      <c r="J71">
        <v>4</v>
      </c>
      <c r="K71" t="s">
        <v>103</v>
      </c>
      <c r="L71" t="s">
        <v>139</v>
      </c>
      <c r="M71">
        <f>orders[[#This Row],[Ship Date]]-orders[[#This Row],[Order Date]]</f>
        <v>2</v>
      </c>
      <c r="N71">
        <f>WEEKNUM(orders[[#This Row],[Order Date]],1)</f>
        <v>1</v>
      </c>
      <c r="O71" t="str">
        <f t="array" ref="O71">_xlfn.IFS(orders[[#This Row],[Customer Gender]]="M","Male", orders[[#This Row],[Customer Gender]]="F","Female", orders[[#This Row],[Customer Gender]]="O","Other", TRUE(),"Unknown")</f>
        <v>Male</v>
      </c>
    </row>
    <row r="72" spans="1:15" x14ac:dyDescent="0.25">
      <c r="A72" t="s">
        <v>300</v>
      </c>
      <c r="B72" t="s">
        <v>84</v>
      </c>
      <c r="C72">
        <v>3</v>
      </c>
      <c r="D72">
        <v>47.4</v>
      </c>
      <c r="E72">
        <v>142.19999999999999</v>
      </c>
      <c r="F72" s="58">
        <v>45660</v>
      </c>
      <c r="G72" s="58">
        <v>45663</v>
      </c>
      <c r="H72" t="s">
        <v>229</v>
      </c>
      <c r="I72" t="s">
        <v>60</v>
      </c>
      <c r="J72">
        <v>5</v>
      </c>
      <c r="K72" t="s">
        <v>103</v>
      </c>
      <c r="L72" t="s">
        <v>142</v>
      </c>
      <c r="M72">
        <f>orders[[#This Row],[Ship Date]]-orders[[#This Row],[Order Date]]</f>
        <v>3</v>
      </c>
      <c r="N72">
        <f>WEEKNUM(orders[[#This Row],[Order Date]],1)</f>
        <v>1</v>
      </c>
      <c r="O72" t="str">
        <f t="array" ref="O72">_xlfn.IFS(orders[[#This Row],[Customer Gender]]="M","Male", orders[[#This Row],[Customer Gender]]="F","Female", orders[[#This Row],[Customer Gender]]="O","Other", TRUE(),"Unknown")</f>
        <v>Male</v>
      </c>
    </row>
    <row r="73" spans="1:15" x14ac:dyDescent="0.25">
      <c r="A73" t="s">
        <v>301</v>
      </c>
      <c r="B73" t="s">
        <v>79</v>
      </c>
      <c r="C73">
        <v>1</v>
      </c>
      <c r="D73">
        <v>89.6</v>
      </c>
      <c r="E73">
        <v>89.6</v>
      </c>
      <c r="F73" s="58">
        <v>45660</v>
      </c>
      <c r="G73" s="58">
        <v>45663</v>
      </c>
      <c r="H73" t="s">
        <v>231</v>
      </c>
      <c r="I73" t="s">
        <v>59</v>
      </c>
      <c r="J73">
        <v>5</v>
      </c>
      <c r="K73" t="s">
        <v>103</v>
      </c>
      <c r="L73" t="s">
        <v>142</v>
      </c>
      <c r="M73">
        <f>orders[[#This Row],[Ship Date]]-orders[[#This Row],[Order Date]]</f>
        <v>3</v>
      </c>
      <c r="N73">
        <f>WEEKNUM(orders[[#This Row],[Order Date]],1)</f>
        <v>1</v>
      </c>
      <c r="O73" t="str">
        <f t="array" ref="O73">_xlfn.IFS(orders[[#This Row],[Customer Gender]]="M","Male", orders[[#This Row],[Customer Gender]]="F","Female", orders[[#This Row],[Customer Gender]]="O","Other", TRUE(),"Unknown")</f>
        <v>Female</v>
      </c>
    </row>
    <row r="74" spans="1:15" x14ac:dyDescent="0.25">
      <c r="A74" t="s">
        <v>302</v>
      </c>
      <c r="B74" t="s">
        <v>75</v>
      </c>
      <c r="C74">
        <v>18</v>
      </c>
      <c r="D74">
        <v>28.4</v>
      </c>
      <c r="E74">
        <v>511.2</v>
      </c>
      <c r="F74" s="58">
        <v>45660</v>
      </c>
      <c r="G74" s="58">
        <v>45663</v>
      </c>
      <c r="H74" t="s">
        <v>231</v>
      </c>
      <c r="I74" t="s">
        <v>60</v>
      </c>
      <c r="J74">
        <v>5</v>
      </c>
      <c r="K74" t="s">
        <v>103</v>
      </c>
      <c r="L74" t="s">
        <v>143</v>
      </c>
      <c r="M74">
        <f>orders[[#This Row],[Ship Date]]-orders[[#This Row],[Order Date]]</f>
        <v>3</v>
      </c>
      <c r="N74">
        <f>WEEKNUM(orders[[#This Row],[Order Date]],1)</f>
        <v>1</v>
      </c>
      <c r="O74" t="str">
        <f t="array" ref="O74">_xlfn.IFS(orders[[#This Row],[Customer Gender]]="M","Male", orders[[#This Row],[Customer Gender]]="F","Female", orders[[#This Row],[Customer Gender]]="O","Other", TRUE(),"Unknown")</f>
        <v>Female</v>
      </c>
    </row>
    <row r="75" spans="1:15" x14ac:dyDescent="0.25">
      <c r="A75" t="s">
        <v>303</v>
      </c>
      <c r="B75" t="s">
        <v>86</v>
      </c>
      <c r="C75">
        <v>2</v>
      </c>
      <c r="D75">
        <v>17.899999999999999</v>
      </c>
      <c r="E75">
        <v>35.799999999999997</v>
      </c>
      <c r="F75" s="58">
        <v>45660</v>
      </c>
      <c r="G75" s="58">
        <v>45661</v>
      </c>
      <c r="H75" t="s">
        <v>231</v>
      </c>
      <c r="I75" t="s">
        <v>59</v>
      </c>
      <c r="J75">
        <v>5</v>
      </c>
      <c r="K75" t="s">
        <v>103</v>
      </c>
      <c r="L75" t="s">
        <v>146</v>
      </c>
      <c r="M75">
        <f>orders[[#This Row],[Ship Date]]-orders[[#This Row],[Order Date]]</f>
        <v>1</v>
      </c>
      <c r="N75">
        <f>WEEKNUM(orders[[#This Row],[Order Date]],1)</f>
        <v>1</v>
      </c>
      <c r="O75" t="str">
        <f t="array" ref="O75">_xlfn.IFS(orders[[#This Row],[Customer Gender]]="M","Male", orders[[#This Row],[Customer Gender]]="F","Female", orders[[#This Row],[Customer Gender]]="O","Other", TRUE(),"Unknown")</f>
        <v>Female</v>
      </c>
    </row>
    <row r="76" spans="1:15" x14ac:dyDescent="0.25">
      <c r="A76" t="s">
        <v>304</v>
      </c>
      <c r="B76" t="s">
        <v>88</v>
      </c>
      <c r="C76">
        <v>2</v>
      </c>
      <c r="D76">
        <v>48.4</v>
      </c>
      <c r="E76">
        <v>96.8</v>
      </c>
      <c r="F76" s="58">
        <v>45660</v>
      </c>
      <c r="G76" s="58">
        <v>45663</v>
      </c>
      <c r="H76" t="s">
        <v>229</v>
      </c>
      <c r="I76" t="s">
        <v>63</v>
      </c>
      <c r="J76">
        <v>4</v>
      </c>
      <c r="K76" t="s">
        <v>103</v>
      </c>
      <c r="L76" t="s">
        <v>146</v>
      </c>
      <c r="M76">
        <f>orders[[#This Row],[Ship Date]]-orders[[#This Row],[Order Date]]</f>
        <v>3</v>
      </c>
      <c r="N76">
        <f>WEEKNUM(orders[[#This Row],[Order Date]],1)</f>
        <v>1</v>
      </c>
      <c r="O76" t="str">
        <f t="array" ref="O76">_xlfn.IFS(orders[[#This Row],[Customer Gender]]="M","Male", orders[[#This Row],[Customer Gender]]="F","Female", orders[[#This Row],[Customer Gender]]="O","Other", TRUE(),"Unknown")</f>
        <v>Male</v>
      </c>
    </row>
    <row r="77" spans="1:15" x14ac:dyDescent="0.25">
      <c r="A77" t="s">
        <v>305</v>
      </c>
      <c r="B77" t="s">
        <v>76</v>
      </c>
      <c r="C77">
        <v>4</v>
      </c>
      <c r="D77">
        <v>44.4</v>
      </c>
      <c r="E77">
        <v>177.6</v>
      </c>
      <c r="F77" s="58">
        <v>45660</v>
      </c>
      <c r="G77" s="58">
        <v>45661</v>
      </c>
      <c r="H77" t="s">
        <v>263</v>
      </c>
      <c r="I77" t="s">
        <v>63</v>
      </c>
      <c r="J77">
        <v>3</v>
      </c>
      <c r="K77" t="s">
        <v>103</v>
      </c>
      <c r="L77" t="s">
        <v>148</v>
      </c>
      <c r="M77">
        <f>orders[[#This Row],[Ship Date]]-orders[[#This Row],[Order Date]]</f>
        <v>1</v>
      </c>
      <c r="N77">
        <f>WEEKNUM(orders[[#This Row],[Order Date]],1)</f>
        <v>1</v>
      </c>
      <c r="O77" t="str">
        <f t="array" ref="O77">_xlfn.IFS(orders[[#This Row],[Customer Gender]]="M","Male", orders[[#This Row],[Customer Gender]]="F","Female", orders[[#This Row],[Customer Gender]]="O","Other", TRUE(),"Unknown")</f>
        <v>Other</v>
      </c>
    </row>
    <row r="78" spans="1:15" x14ac:dyDescent="0.25">
      <c r="A78" t="s">
        <v>306</v>
      </c>
      <c r="B78" t="s">
        <v>87</v>
      </c>
      <c r="C78">
        <v>8</v>
      </c>
      <c r="D78">
        <v>103.7</v>
      </c>
      <c r="E78">
        <v>829.6</v>
      </c>
      <c r="F78" s="58">
        <v>45660</v>
      </c>
      <c r="G78" s="58">
        <v>45661</v>
      </c>
      <c r="H78" t="s">
        <v>231</v>
      </c>
      <c r="I78" t="s">
        <v>59</v>
      </c>
      <c r="J78">
        <v>3</v>
      </c>
      <c r="K78" t="s">
        <v>103</v>
      </c>
      <c r="L78" t="s">
        <v>155</v>
      </c>
      <c r="M78">
        <f>orders[[#This Row],[Ship Date]]-orders[[#This Row],[Order Date]]</f>
        <v>1</v>
      </c>
      <c r="N78">
        <f>WEEKNUM(orders[[#This Row],[Order Date]],1)</f>
        <v>1</v>
      </c>
      <c r="O78" t="str">
        <f t="array" ref="O78">_xlfn.IFS(orders[[#This Row],[Customer Gender]]="M","Male", orders[[#This Row],[Customer Gender]]="F","Female", orders[[#This Row],[Customer Gender]]="O","Other", TRUE(),"Unknown")</f>
        <v>Female</v>
      </c>
    </row>
    <row r="79" spans="1:15" x14ac:dyDescent="0.25">
      <c r="A79" t="s">
        <v>307</v>
      </c>
      <c r="B79" t="s">
        <v>85</v>
      </c>
      <c r="C79">
        <v>4</v>
      </c>
      <c r="D79">
        <v>58.6</v>
      </c>
      <c r="E79">
        <v>234.4</v>
      </c>
      <c r="F79" s="58">
        <v>45660</v>
      </c>
      <c r="G79" s="58">
        <v>45662</v>
      </c>
      <c r="H79" t="s">
        <v>229</v>
      </c>
      <c r="I79" t="s">
        <v>60</v>
      </c>
      <c r="J79">
        <v>4</v>
      </c>
      <c r="K79" t="s">
        <v>103</v>
      </c>
      <c r="L79" t="s">
        <v>155</v>
      </c>
      <c r="M79">
        <f>orders[[#This Row],[Ship Date]]-orders[[#This Row],[Order Date]]</f>
        <v>2</v>
      </c>
      <c r="N79">
        <f>WEEKNUM(orders[[#This Row],[Order Date]],1)</f>
        <v>1</v>
      </c>
      <c r="O79" t="str">
        <f t="array" ref="O79">_xlfn.IFS(orders[[#This Row],[Customer Gender]]="M","Male", orders[[#This Row],[Customer Gender]]="F","Female", orders[[#This Row],[Customer Gender]]="O","Other", TRUE(),"Unknown")</f>
        <v>Male</v>
      </c>
    </row>
    <row r="80" spans="1:15" x14ac:dyDescent="0.25">
      <c r="A80" t="s">
        <v>308</v>
      </c>
      <c r="B80" t="s">
        <v>88</v>
      </c>
      <c r="C80">
        <v>4</v>
      </c>
      <c r="D80">
        <v>54.8</v>
      </c>
      <c r="E80">
        <v>219.2</v>
      </c>
      <c r="F80" s="58">
        <v>45660</v>
      </c>
      <c r="G80" s="58">
        <v>45664</v>
      </c>
      <c r="H80" t="s">
        <v>231</v>
      </c>
      <c r="I80" t="s">
        <v>62</v>
      </c>
      <c r="J80">
        <v>3</v>
      </c>
      <c r="K80" t="s">
        <v>103</v>
      </c>
      <c r="L80" t="s">
        <v>161</v>
      </c>
      <c r="M80">
        <f>orders[[#This Row],[Ship Date]]-orders[[#This Row],[Order Date]]</f>
        <v>4</v>
      </c>
      <c r="N80">
        <f>WEEKNUM(orders[[#This Row],[Order Date]],1)</f>
        <v>1</v>
      </c>
      <c r="O80" t="str">
        <f t="array" ref="O80">_xlfn.IFS(orders[[#This Row],[Customer Gender]]="M","Male", orders[[#This Row],[Customer Gender]]="F","Female", orders[[#This Row],[Customer Gender]]="O","Other", TRUE(),"Unknown")</f>
        <v>Female</v>
      </c>
    </row>
    <row r="81" spans="1:15" x14ac:dyDescent="0.25">
      <c r="A81" t="s">
        <v>309</v>
      </c>
      <c r="B81" t="s">
        <v>76</v>
      </c>
      <c r="C81">
        <v>3</v>
      </c>
      <c r="D81">
        <v>78.8</v>
      </c>
      <c r="E81">
        <v>236.4</v>
      </c>
      <c r="F81" s="58">
        <v>45660</v>
      </c>
      <c r="G81" s="58">
        <v>45666</v>
      </c>
      <c r="H81" t="s">
        <v>231</v>
      </c>
      <c r="I81" t="s">
        <v>61</v>
      </c>
      <c r="J81">
        <v>3</v>
      </c>
      <c r="K81" t="s">
        <v>103</v>
      </c>
      <c r="L81" t="s">
        <v>106</v>
      </c>
      <c r="M81">
        <f>orders[[#This Row],[Ship Date]]-orders[[#This Row],[Order Date]]</f>
        <v>6</v>
      </c>
      <c r="N81">
        <f>WEEKNUM(orders[[#This Row],[Order Date]],1)</f>
        <v>1</v>
      </c>
      <c r="O81" t="str">
        <f t="array" ref="O81">_xlfn.IFS(orders[[#This Row],[Customer Gender]]="M","Male", orders[[#This Row],[Customer Gender]]="F","Female", orders[[#This Row],[Customer Gender]]="O","Other", TRUE(),"Unknown")</f>
        <v>Female</v>
      </c>
    </row>
    <row r="82" spans="1:15" x14ac:dyDescent="0.25">
      <c r="A82" t="s">
        <v>310</v>
      </c>
      <c r="B82" t="s">
        <v>82</v>
      </c>
      <c r="C82">
        <v>5</v>
      </c>
      <c r="D82">
        <v>36.799999999999997</v>
      </c>
      <c r="E82">
        <v>184</v>
      </c>
      <c r="F82" s="58">
        <v>45660</v>
      </c>
      <c r="G82" s="58">
        <v>45663</v>
      </c>
      <c r="H82" t="s">
        <v>229</v>
      </c>
      <c r="I82" t="s">
        <v>61</v>
      </c>
      <c r="J82">
        <v>3</v>
      </c>
      <c r="K82" t="s">
        <v>103</v>
      </c>
      <c r="L82" t="s">
        <v>120</v>
      </c>
      <c r="M82">
        <f>orders[[#This Row],[Ship Date]]-orders[[#This Row],[Order Date]]</f>
        <v>3</v>
      </c>
      <c r="N82">
        <f>WEEKNUM(orders[[#This Row],[Order Date]],1)</f>
        <v>1</v>
      </c>
      <c r="O82" t="str">
        <f t="array" ref="O82">_xlfn.IFS(orders[[#This Row],[Customer Gender]]="M","Male", orders[[#This Row],[Customer Gender]]="F","Female", orders[[#This Row],[Customer Gender]]="O","Other", TRUE(),"Unknown")</f>
        <v>Male</v>
      </c>
    </row>
    <row r="83" spans="1:15" x14ac:dyDescent="0.25">
      <c r="A83" t="s">
        <v>311</v>
      </c>
      <c r="B83" t="s">
        <v>80</v>
      </c>
      <c r="C83">
        <v>6</v>
      </c>
      <c r="D83">
        <v>50.6</v>
      </c>
      <c r="E83">
        <v>303.60000000000002</v>
      </c>
      <c r="F83" s="58">
        <v>45660</v>
      </c>
      <c r="G83" s="58">
        <v>45662</v>
      </c>
      <c r="H83" t="s">
        <v>231</v>
      </c>
      <c r="I83" t="s">
        <v>60</v>
      </c>
      <c r="J83">
        <v>4</v>
      </c>
      <c r="K83" t="s">
        <v>103</v>
      </c>
      <c r="L83" t="s">
        <v>124</v>
      </c>
      <c r="M83">
        <f>orders[[#This Row],[Ship Date]]-orders[[#This Row],[Order Date]]</f>
        <v>2</v>
      </c>
      <c r="N83">
        <f>WEEKNUM(orders[[#This Row],[Order Date]],1)</f>
        <v>1</v>
      </c>
      <c r="O83" t="str">
        <f t="array" ref="O83">_xlfn.IFS(orders[[#This Row],[Customer Gender]]="M","Male", orders[[#This Row],[Customer Gender]]="F","Female", orders[[#This Row],[Customer Gender]]="O","Other", TRUE(),"Unknown")</f>
        <v>Female</v>
      </c>
    </row>
    <row r="84" spans="1:15" x14ac:dyDescent="0.25">
      <c r="A84" t="s">
        <v>312</v>
      </c>
      <c r="B84" t="s">
        <v>77</v>
      </c>
      <c r="C84">
        <v>3</v>
      </c>
      <c r="D84">
        <v>36.799999999999997</v>
      </c>
      <c r="E84">
        <v>110.4</v>
      </c>
      <c r="F84" s="58">
        <v>45660</v>
      </c>
      <c r="G84" s="58">
        <v>45660</v>
      </c>
      <c r="H84" t="s">
        <v>229</v>
      </c>
      <c r="I84" t="s">
        <v>62</v>
      </c>
      <c r="J84">
        <v>3</v>
      </c>
      <c r="K84" t="s">
        <v>103</v>
      </c>
      <c r="L84" t="s">
        <v>124</v>
      </c>
      <c r="M84">
        <f>orders[[#This Row],[Ship Date]]-orders[[#This Row],[Order Date]]</f>
        <v>0</v>
      </c>
      <c r="N84">
        <f>WEEKNUM(orders[[#This Row],[Order Date]],1)</f>
        <v>1</v>
      </c>
      <c r="O84" t="str">
        <f t="array" ref="O84">_xlfn.IFS(orders[[#This Row],[Customer Gender]]="M","Male", orders[[#This Row],[Customer Gender]]="F","Female", orders[[#This Row],[Customer Gender]]="O","Other", TRUE(),"Unknown")</f>
        <v>Male</v>
      </c>
    </row>
    <row r="85" spans="1:15" x14ac:dyDescent="0.25">
      <c r="A85" t="s">
        <v>313</v>
      </c>
      <c r="B85" t="s">
        <v>90</v>
      </c>
      <c r="C85">
        <v>9</v>
      </c>
      <c r="D85">
        <v>41.8</v>
      </c>
      <c r="E85">
        <v>376.2</v>
      </c>
      <c r="F85" s="58">
        <v>45661</v>
      </c>
      <c r="G85" s="58">
        <v>45667</v>
      </c>
      <c r="H85" t="s">
        <v>231</v>
      </c>
      <c r="I85" t="s">
        <v>60</v>
      </c>
      <c r="J85">
        <v>4</v>
      </c>
      <c r="K85" t="s">
        <v>103</v>
      </c>
      <c r="L85" t="s">
        <v>124</v>
      </c>
      <c r="M85">
        <f>orders[[#This Row],[Ship Date]]-orders[[#This Row],[Order Date]]</f>
        <v>6</v>
      </c>
      <c r="N85">
        <f>WEEKNUM(orders[[#This Row],[Order Date]],1)</f>
        <v>1</v>
      </c>
      <c r="O85" t="str">
        <f t="array" ref="O85">_xlfn.IFS(orders[[#This Row],[Customer Gender]]="M","Male", orders[[#This Row],[Customer Gender]]="F","Female", orders[[#This Row],[Customer Gender]]="O","Other", TRUE(),"Unknown")</f>
        <v>Female</v>
      </c>
    </row>
    <row r="86" spans="1:15" x14ac:dyDescent="0.25">
      <c r="A86" t="s">
        <v>314</v>
      </c>
      <c r="B86" t="s">
        <v>82</v>
      </c>
      <c r="C86">
        <v>1</v>
      </c>
      <c r="D86">
        <v>77.3</v>
      </c>
      <c r="E86">
        <v>77.3</v>
      </c>
      <c r="F86" s="58">
        <v>45661</v>
      </c>
      <c r="G86" s="58">
        <v>45662</v>
      </c>
      <c r="H86" t="s">
        <v>229</v>
      </c>
      <c r="I86" t="s">
        <v>61</v>
      </c>
      <c r="J86">
        <v>2</v>
      </c>
      <c r="K86" t="s">
        <v>103</v>
      </c>
      <c r="L86" t="s">
        <v>124</v>
      </c>
      <c r="M86">
        <f>orders[[#This Row],[Ship Date]]-orders[[#This Row],[Order Date]]</f>
        <v>1</v>
      </c>
      <c r="N86">
        <f>WEEKNUM(orders[[#This Row],[Order Date]],1)</f>
        <v>1</v>
      </c>
      <c r="O86" t="str">
        <f t="array" ref="O86">_xlfn.IFS(orders[[#This Row],[Customer Gender]]="M","Male", orders[[#This Row],[Customer Gender]]="F","Female", orders[[#This Row],[Customer Gender]]="O","Other", TRUE(),"Unknown")</f>
        <v>Male</v>
      </c>
    </row>
    <row r="87" spans="1:15" x14ac:dyDescent="0.25">
      <c r="A87" t="s">
        <v>315</v>
      </c>
      <c r="B87" t="s">
        <v>90</v>
      </c>
      <c r="C87">
        <v>4</v>
      </c>
      <c r="D87">
        <v>19.8</v>
      </c>
      <c r="E87">
        <v>79.2</v>
      </c>
      <c r="F87" s="58">
        <v>45661</v>
      </c>
      <c r="G87" s="58">
        <v>45667</v>
      </c>
      <c r="H87" t="s">
        <v>229</v>
      </c>
      <c r="I87" t="s">
        <v>63</v>
      </c>
      <c r="J87">
        <v>5</v>
      </c>
      <c r="K87" t="s">
        <v>103</v>
      </c>
      <c r="L87" t="s">
        <v>124</v>
      </c>
      <c r="M87">
        <f>orders[[#This Row],[Ship Date]]-orders[[#This Row],[Order Date]]</f>
        <v>6</v>
      </c>
      <c r="N87">
        <f>WEEKNUM(orders[[#This Row],[Order Date]],1)</f>
        <v>1</v>
      </c>
      <c r="O87" t="str">
        <f t="array" ref="O87">_xlfn.IFS(orders[[#This Row],[Customer Gender]]="M","Male", orders[[#This Row],[Customer Gender]]="F","Female", orders[[#This Row],[Customer Gender]]="O","Other", TRUE(),"Unknown")</f>
        <v>Male</v>
      </c>
    </row>
    <row r="88" spans="1:15" x14ac:dyDescent="0.25">
      <c r="A88" t="s">
        <v>316</v>
      </c>
      <c r="B88" t="s">
        <v>92</v>
      </c>
      <c r="C88">
        <v>4</v>
      </c>
      <c r="D88">
        <v>15.5</v>
      </c>
      <c r="E88">
        <v>62</v>
      </c>
      <c r="F88" s="58">
        <v>45661</v>
      </c>
      <c r="G88" s="58">
        <v>45662</v>
      </c>
      <c r="H88" t="s">
        <v>231</v>
      </c>
      <c r="I88" t="s">
        <v>63</v>
      </c>
      <c r="J88">
        <v>5</v>
      </c>
      <c r="K88" t="s">
        <v>103</v>
      </c>
      <c r="L88" t="s">
        <v>124</v>
      </c>
      <c r="M88">
        <f>orders[[#This Row],[Ship Date]]-orders[[#This Row],[Order Date]]</f>
        <v>1</v>
      </c>
      <c r="N88">
        <f>WEEKNUM(orders[[#This Row],[Order Date]],1)</f>
        <v>1</v>
      </c>
      <c r="O88" t="str">
        <f t="array" ref="O88">_xlfn.IFS(orders[[#This Row],[Customer Gender]]="M","Male", orders[[#This Row],[Customer Gender]]="F","Female", orders[[#This Row],[Customer Gender]]="O","Other", TRUE(),"Unknown")</f>
        <v>Female</v>
      </c>
    </row>
    <row r="89" spans="1:15" x14ac:dyDescent="0.25">
      <c r="A89" t="s">
        <v>317</v>
      </c>
      <c r="B89" t="s">
        <v>76</v>
      </c>
      <c r="C89">
        <v>1</v>
      </c>
      <c r="D89">
        <v>46.8</v>
      </c>
      <c r="E89">
        <v>46.8</v>
      </c>
      <c r="F89" s="58">
        <v>45661</v>
      </c>
      <c r="G89" s="58">
        <v>45665</v>
      </c>
      <c r="H89" t="s">
        <v>229</v>
      </c>
      <c r="I89" t="s">
        <v>59</v>
      </c>
      <c r="J89">
        <v>5</v>
      </c>
      <c r="K89" t="s">
        <v>103</v>
      </c>
      <c r="L89" t="s">
        <v>124</v>
      </c>
      <c r="M89">
        <f>orders[[#This Row],[Ship Date]]-orders[[#This Row],[Order Date]]</f>
        <v>4</v>
      </c>
      <c r="N89">
        <f>WEEKNUM(orders[[#This Row],[Order Date]],1)</f>
        <v>1</v>
      </c>
      <c r="O89" t="str">
        <f t="array" ref="O89">_xlfn.IFS(orders[[#This Row],[Customer Gender]]="M","Male", orders[[#This Row],[Customer Gender]]="F","Female", orders[[#This Row],[Customer Gender]]="O","Other", TRUE(),"Unknown")</f>
        <v>Male</v>
      </c>
    </row>
    <row r="90" spans="1:15" x14ac:dyDescent="0.25">
      <c r="A90" t="s">
        <v>318</v>
      </c>
      <c r="B90" t="s">
        <v>88</v>
      </c>
      <c r="C90">
        <v>9</v>
      </c>
      <c r="D90">
        <v>28.6</v>
      </c>
      <c r="E90">
        <v>257.39999999999998</v>
      </c>
      <c r="F90" s="58">
        <v>45661</v>
      </c>
      <c r="G90" s="58">
        <v>45665</v>
      </c>
      <c r="H90" t="s">
        <v>229</v>
      </c>
      <c r="I90" t="s">
        <v>59</v>
      </c>
      <c r="J90">
        <v>5</v>
      </c>
      <c r="K90" t="s">
        <v>103</v>
      </c>
      <c r="L90" t="s">
        <v>124</v>
      </c>
      <c r="M90">
        <f>orders[[#This Row],[Ship Date]]-orders[[#This Row],[Order Date]]</f>
        <v>4</v>
      </c>
      <c r="N90">
        <f>WEEKNUM(orders[[#This Row],[Order Date]],1)</f>
        <v>1</v>
      </c>
      <c r="O90" t="str">
        <f t="array" ref="O90">_xlfn.IFS(orders[[#This Row],[Customer Gender]]="M","Male", orders[[#This Row],[Customer Gender]]="F","Female", orders[[#This Row],[Customer Gender]]="O","Other", TRUE(),"Unknown")</f>
        <v>Male</v>
      </c>
    </row>
    <row r="91" spans="1:15" x14ac:dyDescent="0.25">
      <c r="A91" t="s">
        <v>319</v>
      </c>
      <c r="B91" t="s">
        <v>87</v>
      </c>
      <c r="C91">
        <v>1</v>
      </c>
      <c r="D91">
        <v>97.7</v>
      </c>
      <c r="E91">
        <v>97.7</v>
      </c>
      <c r="F91" s="58">
        <v>45661</v>
      </c>
      <c r="G91" s="58">
        <v>45664</v>
      </c>
      <c r="H91" t="s">
        <v>231</v>
      </c>
      <c r="I91" t="s">
        <v>63</v>
      </c>
      <c r="J91">
        <v>4</v>
      </c>
      <c r="K91" t="s">
        <v>103</v>
      </c>
      <c r="L91" t="s">
        <v>124</v>
      </c>
      <c r="M91">
        <f>orders[[#This Row],[Ship Date]]-orders[[#This Row],[Order Date]]</f>
        <v>3</v>
      </c>
      <c r="N91">
        <f>WEEKNUM(orders[[#This Row],[Order Date]],1)</f>
        <v>1</v>
      </c>
      <c r="O91" t="str">
        <f t="array" ref="O91">_xlfn.IFS(orders[[#This Row],[Customer Gender]]="M","Male", orders[[#This Row],[Customer Gender]]="F","Female", orders[[#This Row],[Customer Gender]]="O","Other", TRUE(),"Unknown")</f>
        <v>Female</v>
      </c>
    </row>
    <row r="92" spans="1:15" x14ac:dyDescent="0.25">
      <c r="A92" t="s">
        <v>320</v>
      </c>
      <c r="B92" t="s">
        <v>88</v>
      </c>
      <c r="C92">
        <v>5</v>
      </c>
      <c r="D92">
        <v>54.7</v>
      </c>
      <c r="E92">
        <v>273.5</v>
      </c>
      <c r="F92" s="58">
        <v>45661</v>
      </c>
      <c r="G92" s="58">
        <v>45664</v>
      </c>
      <c r="I92" t="s">
        <v>59</v>
      </c>
      <c r="J92">
        <v>5</v>
      </c>
      <c r="K92" t="s">
        <v>103</v>
      </c>
      <c r="L92" t="s">
        <v>138</v>
      </c>
      <c r="M92">
        <f>orders[[#This Row],[Ship Date]]-orders[[#This Row],[Order Date]]</f>
        <v>3</v>
      </c>
      <c r="N92">
        <f>WEEKNUM(orders[[#This Row],[Order Date]],1)</f>
        <v>1</v>
      </c>
      <c r="O92" t="str">
        <f t="array" ref="O92">_xlfn.IFS(orders[[#This Row],[Customer Gender]]="M","Male", orders[[#This Row],[Customer Gender]]="F","Female", orders[[#This Row],[Customer Gender]]="O","Other", TRUE(),"Unknown")</f>
        <v>Unknown</v>
      </c>
    </row>
    <row r="93" spans="1:15" x14ac:dyDescent="0.25">
      <c r="A93" t="s">
        <v>321</v>
      </c>
      <c r="B93" t="s">
        <v>87</v>
      </c>
      <c r="C93">
        <v>6</v>
      </c>
      <c r="D93">
        <v>130.5</v>
      </c>
      <c r="E93">
        <v>783</v>
      </c>
      <c r="F93" s="58">
        <v>45661</v>
      </c>
      <c r="G93" s="58">
        <v>45663</v>
      </c>
      <c r="H93" t="s">
        <v>231</v>
      </c>
      <c r="I93" t="s">
        <v>59</v>
      </c>
      <c r="J93">
        <v>3</v>
      </c>
      <c r="K93" t="s">
        <v>103</v>
      </c>
      <c r="L93" t="s">
        <v>138</v>
      </c>
      <c r="M93">
        <f>orders[[#This Row],[Ship Date]]-orders[[#This Row],[Order Date]]</f>
        <v>2</v>
      </c>
      <c r="N93">
        <f>WEEKNUM(orders[[#This Row],[Order Date]],1)</f>
        <v>1</v>
      </c>
      <c r="O93" t="str">
        <f t="array" ref="O93">_xlfn.IFS(orders[[#This Row],[Customer Gender]]="M","Male", orders[[#This Row],[Customer Gender]]="F","Female", orders[[#This Row],[Customer Gender]]="O","Other", TRUE(),"Unknown")</f>
        <v>Female</v>
      </c>
    </row>
    <row r="94" spans="1:15" x14ac:dyDescent="0.25">
      <c r="A94" t="s">
        <v>322</v>
      </c>
      <c r="B94" t="s">
        <v>83</v>
      </c>
      <c r="C94">
        <v>2</v>
      </c>
      <c r="D94">
        <v>50.4</v>
      </c>
      <c r="E94">
        <v>100.8</v>
      </c>
      <c r="F94" s="58">
        <v>45661</v>
      </c>
      <c r="G94" s="58">
        <v>45663</v>
      </c>
      <c r="H94" t="s">
        <v>229</v>
      </c>
      <c r="I94" t="s">
        <v>62</v>
      </c>
      <c r="J94">
        <v>5</v>
      </c>
      <c r="K94" t="s">
        <v>103</v>
      </c>
      <c r="L94" t="s">
        <v>139</v>
      </c>
      <c r="M94">
        <f>orders[[#This Row],[Ship Date]]-orders[[#This Row],[Order Date]]</f>
        <v>2</v>
      </c>
      <c r="N94">
        <f>WEEKNUM(orders[[#This Row],[Order Date]],1)</f>
        <v>1</v>
      </c>
      <c r="O94" t="str">
        <f t="array" ref="O94">_xlfn.IFS(orders[[#This Row],[Customer Gender]]="M","Male", orders[[#This Row],[Customer Gender]]="F","Female", orders[[#This Row],[Customer Gender]]="O","Other", TRUE(),"Unknown")</f>
        <v>Male</v>
      </c>
    </row>
    <row r="95" spans="1:15" x14ac:dyDescent="0.25">
      <c r="A95" t="s">
        <v>323</v>
      </c>
      <c r="B95" t="s">
        <v>80</v>
      </c>
      <c r="C95">
        <v>13</v>
      </c>
      <c r="D95">
        <v>61.5</v>
      </c>
      <c r="E95">
        <v>799.5</v>
      </c>
      <c r="F95" s="58">
        <v>45661</v>
      </c>
      <c r="G95" s="58">
        <v>45662</v>
      </c>
      <c r="I95" t="s">
        <v>60</v>
      </c>
      <c r="J95">
        <v>3</v>
      </c>
      <c r="K95" t="s">
        <v>103</v>
      </c>
      <c r="L95" t="s">
        <v>148</v>
      </c>
      <c r="M95">
        <f>orders[[#This Row],[Ship Date]]-orders[[#This Row],[Order Date]]</f>
        <v>1</v>
      </c>
      <c r="N95">
        <f>WEEKNUM(orders[[#This Row],[Order Date]],1)</f>
        <v>1</v>
      </c>
      <c r="O95" t="str">
        <f t="array" ref="O95">_xlfn.IFS(orders[[#This Row],[Customer Gender]]="M","Male", orders[[#This Row],[Customer Gender]]="F","Female", orders[[#This Row],[Customer Gender]]="O","Other", TRUE(),"Unknown")</f>
        <v>Unknown</v>
      </c>
    </row>
    <row r="96" spans="1:15" x14ac:dyDescent="0.25">
      <c r="A96" t="s">
        <v>324</v>
      </c>
      <c r="B96" t="s">
        <v>88</v>
      </c>
      <c r="C96">
        <v>4</v>
      </c>
      <c r="D96">
        <v>30.1</v>
      </c>
      <c r="E96">
        <v>120.4</v>
      </c>
      <c r="F96" s="58">
        <v>45661</v>
      </c>
      <c r="G96" s="58">
        <v>45662</v>
      </c>
      <c r="H96" t="s">
        <v>231</v>
      </c>
      <c r="I96" t="s">
        <v>59</v>
      </c>
      <c r="J96">
        <v>5</v>
      </c>
      <c r="K96" t="s">
        <v>103</v>
      </c>
      <c r="L96" t="s">
        <v>106</v>
      </c>
      <c r="M96">
        <f>orders[[#This Row],[Ship Date]]-orders[[#This Row],[Order Date]]</f>
        <v>1</v>
      </c>
      <c r="N96">
        <f>WEEKNUM(orders[[#This Row],[Order Date]],1)</f>
        <v>1</v>
      </c>
      <c r="O96" t="str">
        <f t="array" ref="O96">_xlfn.IFS(orders[[#This Row],[Customer Gender]]="M","Male", orders[[#This Row],[Customer Gender]]="F","Female", orders[[#This Row],[Customer Gender]]="O","Other", TRUE(),"Unknown")</f>
        <v>Female</v>
      </c>
    </row>
    <row r="97" spans="1:15" x14ac:dyDescent="0.25">
      <c r="A97" t="s">
        <v>325</v>
      </c>
      <c r="B97" t="s">
        <v>87</v>
      </c>
      <c r="C97">
        <v>5</v>
      </c>
      <c r="D97">
        <v>74.8</v>
      </c>
      <c r="E97">
        <v>374</v>
      </c>
      <c r="F97" s="58">
        <v>45661</v>
      </c>
      <c r="G97" s="58">
        <v>45662</v>
      </c>
      <c r="H97" t="s">
        <v>231</v>
      </c>
      <c r="I97" t="s">
        <v>63</v>
      </c>
      <c r="J97">
        <v>4</v>
      </c>
      <c r="K97" t="s">
        <v>103</v>
      </c>
      <c r="L97" t="s">
        <v>112</v>
      </c>
      <c r="M97">
        <f>orders[[#This Row],[Ship Date]]-orders[[#This Row],[Order Date]]</f>
        <v>1</v>
      </c>
      <c r="N97">
        <f>WEEKNUM(orders[[#This Row],[Order Date]],1)</f>
        <v>1</v>
      </c>
      <c r="O97" t="str">
        <f t="array" ref="O97">_xlfn.IFS(orders[[#This Row],[Customer Gender]]="M","Male", orders[[#This Row],[Customer Gender]]="F","Female", orders[[#This Row],[Customer Gender]]="O","Other", TRUE(),"Unknown")</f>
        <v>Female</v>
      </c>
    </row>
    <row r="98" spans="1:15" x14ac:dyDescent="0.25">
      <c r="A98" t="s">
        <v>326</v>
      </c>
      <c r="B98" t="s">
        <v>89</v>
      </c>
      <c r="C98">
        <v>3</v>
      </c>
      <c r="D98">
        <v>64.900000000000006</v>
      </c>
      <c r="E98">
        <v>194.7</v>
      </c>
      <c r="F98" s="58">
        <v>45661</v>
      </c>
      <c r="G98" s="58">
        <v>45668</v>
      </c>
      <c r="H98" t="s">
        <v>229</v>
      </c>
      <c r="I98" t="s">
        <v>59</v>
      </c>
      <c r="J98">
        <v>4</v>
      </c>
      <c r="K98" t="s">
        <v>103</v>
      </c>
      <c r="L98" t="s">
        <v>115</v>
      </c>
      <c r="M98">
        <f>orders[[#This Row],[Ship Date]]-orders[[#This Row],[Order Date]]</f>
        <v>7</v>
      </c>
      <c r="N98">
        <f>WEEKNUM(orders[[#This Row],[Order Date]],1)</f>
        <v>1</v>
      </c>
      <c r="O98" t="str">
        <f t="array" ref="O98">_xlfn.IFS(orders[[#This Row],[Customer Gender]]="M","Male", orders[[#This Row],[Customer Gender]]="F","Female", orders[[#This Row],[Customer Gender]]="O","Other", TRUE(),"Unknown")</f>
        <v>Male</v>
      </c>
    </row>
    <row r="99" spans="1:15" x14ac:dyDescent="0.25">
      <c r="A99" t="s">
        <v>327</v>
      </c>
      <c r="B99" t="s">
        <v>88</v>
      </c>
      <c r="C99">
        <v>2</v>
      </c>
      <c r="D99">
        <v>50.5</v>
      </c>
      <c r="E99">
        <v>101</v>
      </c>
      <c r="F99" s="58">
        <v>45661</v>
      </c>
      <c r="G99" s="58">
        <v>45663</v>
      </c>
      <c r="H99" t="s">
        <v>229</v>
      </c>
      <c r="I99" t="s">
        <v>63</v>
      </c>
      <c r="J99">
        <v>4</v>
      </c>
      <c r="K99" t="s">
        <v>103</v>
      </c>
      <c r="L99" t="s">
        <v>120</v>
      </c>
      <c r="M99">
        <f>orders[[#This Row],[Ship Date]]-orders[[#This Row],[Order Date]]</f>
        <v>2</v>
      </c>
      <c r="N99">
        <f>WEEKNUM(orders[[#This Row],[Order Date]],1)</f>
        <v>1</v>
      </c>
      <c r="O99" t="str">
        <f t="array" ref="O99">_xlfn.IFS(orders[[#This Row],[Customer Gender]]="M","Male", orders[[#This Row],[Customer Gender]]="F","Female", orders[[#This Row],[Customer Gender]]="O","Other", TRUE(),"Unknown")</f>
        <v>Male</v>
      </c>
    </row>
    <row r="100" spans="1:15" x14ac:dyDescent="0.25">
      <c r="A100" t="s">
        <v>328</v>
      </c>
      <c r="B100" t="s">
        <v>83</v>
      </c>
      <c r="C100">
        <v>7</v>
      </c>
      <c r="D100">
        <v>63</v>
      </c>
      <c r="E100">
        <v>441</v>
      </c>
      <c r="F100" s="58">
        <v>45661</v>
      </c>
      <c r="G100" s="58">
        <v>45664</v>
      </c>
      <c r="H100" t="s">
        <v>229</v>
      </c>
      <c r="I100" t="s">
        <v>60</v>
      </c>
      <c r="J100">
        <v>5</v>
      </c>
      <c r="K100" t="s">
        <v>103</v>
      </c>
      <c r="L100" t="s">
        <v>124</v>
      </c>
      <c r="M100">
        <f>orders[[#This Row],[Ship Date]]-orders[[#This Row],[Order Date]]</f>
        <v>3</v>
      </c>
      <c r="N100">
        <f>WEEKNUM(orders[[#This Row],[Order Date]],1)</f>
        <v>1</v>
      </c>
      <c r="O100" t="str">
        <f t="array" ref="O100">_xlfn.IFS(orders[[#This Row],[Customer Gender]]="M","Male", orders[[#This Row],[Customer Gender]]="F","Female", orders[[#This Row],[Customer Gender]]="O","Other", TRUE(),"Unknown")</f>
        <v>Male</v>
      </c>
    </row>
    <row r="101" spans="1:15" x14ac:dyDescent="0.25">
      <c r="A101" t="s">
        <v>329</v>
      </c>
      <c r="B101" t="s">
        <v>87</v>
      </c>
      <c r="C101">
        <v>3</v>
      </c>
      <c r="D101">
        <v>93.6</v>
      </c>
      <c r="E101">
        <v>280.8</v>
      </c>
      <c r="F101" s="58">
        <v>45661</v>
      </c>
      <c r="G101" s="58">
        <v>45674</v>
      </c>
      <c r="H101" t="s">
        <v>231</v>
      </c>
      <c r="I101" t="s">
        <v>59</v>
      </c>
      <c r="J101">
        <v>5</v>
      </c>
      <c r="K101" t="s">
        <v>103</v>
      </c>
      <c r="L101" t="s">
        <v>124</v>
      </c>
      <c r="M101">
        <f>orders[[#This Row],[Ship Date]]-orders[[#This Row],[Order Date]]</f>
        <v>13</v>
      </c>
      <c r="N101">
        <f>WEEKNUM(orders[[#This Row],[Order Date]],1)</f>
        <v>1</v>
      </c>
      <c r="O101" t="str">
        <f t="array" ref="O101">_xlfn.IFS(orders[[#This Row],[Customer Gender]]="M","Male", orders[[#This Row],[Customer Gender]]="F","Female", orders[[#This Row],[Customer Gender]]="O","Other", TRUE(),"Unknown")</f>
        <v>Female</v>
      </c>
    </row>
    <row r="102" spans="1:15" x14ac:dyDescent="0.25">
      <c r="A102" t="s">
        <v>330</v>
      </c>
      <c r="B102" t="s">
        <v>85</v>
      </c>
      <c r="C102">
        <v>30</v>
      </c>
      <c r="D102">
        <v>41.4</v>
      </c>
      <c r="E102">
        <v>1242</v>
      </c>
      <c r="F102" s="58">
        <v>45661</v>
      </c>
      <c r="G102" s="58">
        <v>45665</v>
      </c>
      <c r="H102" t="s">
        <v>229</v>
      </c>
      <c r="I102" t="s">
        <v>62</v>
      </c>
      <c r="J102">
        <v>5</v>
      </c>
      <c r="K102" t="s">
        <v>103</v>
      </c>
      <c r="L102" t="s">
        <v>124</v>
      </c>
      <c r="M102">
        <f>orders[[#This Row],[Ship Date]]-orders[[#This Row],[Order Date]]</f>
        <v>4</v>
      </c>
      <c r="N102">
        <f>WEEKNUM(orders[[#This Row],[Order Date]],1)</f>
        <v>1</v>
      </c>
      <c r="O102" t="str">
        <f t="array" ref="O102">_xlfn.IFS(orders[[#This Row],[Customer Gender]]="M","Male", orders[[#This Row],[Customer Gender]]="F","Female", orders[[#This Row],[Customer Gender]]="O","Other", TRUE(),"Unknown")</f>
        <v>Male</v>
      </c>
    </row>
    <row r="103" spans="1:15" x14ac:dyDescent="0.25">
      <c r="A103" t="s">
        <v>331</v>
      </c>
      <c r="B103" t="s">
        <v>87</v>
      </c>
      <c r="C103">
        <v>2</v>
      </c>
      <c r="D103">
        <v>160</v>
      </c>
      <c r="E103">
        <v>320</v>
      </c>
      <c r="F103" s="58">
        <v>45662</v>
      </c>
      <c r="G103" s="58">
        <v>45663</v>
      </c>
      <c r="H103" t="s">
        <v>229</v>
      </c>
      <c r="I103" t="s">
        <v>62</v>
      </c>
      <c r="J103">
        <v>5</v>
      </c>
      <c r="K103" t="s">
        <v>103</v>
      </c>
      <c r="L103" t="s">
        <v>136</v>
      </c>
      <c r="M103">
        <f>orders[[#This Row],[Ship Date]]-orders[[#This Row],[Order Date]]</f>
        <v>1</v>
      </c>
      <c r="N103">
        <f>WEEKNUM(orders[[#This Row],[Order Date]],1)</f>
        <v>2</v>
      </c>
      <c r="O103" t="str">
        <f t="array" ref="O103">_xlfn.IFS(orders[[#This Row],[Customer Gender]]="M","Male", orders[[#This Row],[Customer Gender]]="F","Female", orders[[#This Row],[Customer Gender]]="O","Other", TRUE(),"Unknown")</f>
        <v>Male</v>
      </c>
    </row>
    <row r="104" spans="1:15" x14ac:dyDescent="0.25">
      <c r="A104" t="s">
        <v>332</v>
      </c>
      <c r="B104" t="s">
        <v>81</v>
      </c>
      <c r="C104">
        <v>11</v>
      </c>
      <c r="D104">
        <v>10.5</v>
      </c>
      <c r="E104">
        <v>115.5</v>
      </c>
      <c r="F104" s="58">
        <v>45662</v>
      </c>
      <c r="G104" s="58">
        <v>45665</v>
      </c>
      <c r="H104" t="s">
        <v>231</v>
      </c>
      <c r="I104" t="s">
        <v>61</v>
      </c>
      <c r="J104">
        <v>4</v>
      </c>
      <c r="K104" t="s">
        <v>103</v>
      </c>
      <c r="L104" t="s">
        <v>142</v>
      </c>
      <c r="M104">
        <f>orders[[#This Row],[Ship Date]]-orders[[#This Row],[Order Date]]</f>
        <v>3</v>
      </c>
      <c r="N104">
        <f>WEEKNUM(orders[[#This Row],[Order Date]],1)</f>
        <v>2</v>
      </c>
      <c r="O104" t="str">
        <f t="array" ref="O104">_xlfn.IFS(orders[[#This Row],[Customer Gender]]="M","Male", orders[[#This Row],[Customer Gender]]="F","Female", orders[[#This Row],[Customer Gender]]="O","Other", TRUE(),"Unknown")</f>
        <v>Female</v>
      </c>
    </row>
    <row r="105" spans="1:15" x14ac:dyDescent="0.25">
      <c r="A105" t="s">
        <v>333</v>
      </c>
      <c r="B105" t="s">
        <v>75</v>
      </c>
      <c r="C105">
        <v>2</v>
      </c>
      <c r="D105">
        <v>53</v>
      </c>
      <c r="E105">
        <v>106</v>
      </c>
      <c r="F105" s="58">
        <v>45662</v>
      </c>
      <c r="G105" s="58">
        <v>45662</v>
      </c>
      <c r="H105" t="s">
        <v>229</v>
      </c>
      <c r="I105" t="s">
        <v>62</v>
      </c>
      <c r="J105">
        <v>2</v>
      </c>
      <c r="K105" t="s">
        <v>103</v>
      </c>
      <c r="L105" t="s">
        <v>143</v>
      </c>
      <c r="M105">
        <f>orders[[#This Row],[Ship Date]]-orders[[#This Row],[Order Date]]</f>
        <v>0</v>
      </c>
      <c r="N105">
        <f>WEEKNUM(orders[[#This Row],[Order Date]],1)</f>
        <v>2</v>
      </c>
      <c r="O105" t="str">
        <f t="array" ref="O105">_xlfn.IFS(orders[[#This Row],[Customer Gender]]="M","Male", orders[[#This Row],[Customer Gender]]="F","Female", orders[[#This Row],[Customer Gender]]="O","Other", TRUE(),"Unknown")</f>
        <v>Male</v>
      </c>
    </row>
    <row r="106" spans="1:15" x14ac:dyDescent="0.25">
      <c r="A106" t="s">
        <v>334</v>
      </c>
      <c r="B106" t="s">
        <v>90</v>
      </c>
      <c r="C106">
        <v>3</v>
      </c>
      <c r="D106">
        <v>18.5</v>
      </c>
      <c r="E106">
        <v>55.5</v>
      </c>
      <c r="F106" s="58">
        <v>45662</v>
      </c>
      <c r="G106" s="58">
        <v>45667</v>
      </c>
      <c r="H106" t="s">
        <v>231</v>
      </c>
      <c r="I106" t="s">
        <v>63</v>
      </c>
      <c r="J106">
        <v>5</v>
      </c>
      <c r="K106" t="s">
        <v>103</v>
      </c>
      <c r="L106" t="s">
        <v>148</v>
      </c>
      <c r="M106">
        <f>orders[[#This Row],[Ship Date]]-orders[[#This Row],[Order Date]]</f>
        <v>5</v>
      </c>
      <c r="N106">
        <f>WEEKNUM(orders[[#This Row],[Order Date]],1)</f>
        <v>2</v>
      </c>
      <c r="O106" t="str">
        <f t="array" ref="O106">_xlfn.IFS(orders[[#This Row],[Customer Gender]]="M","Male", orders[[#This Row],[Customer Gender]]="F","Female", orders[[#This Row],[Customer Gender]]="O","Other", TRUE(),"Unknown")</f>
        <v>Female</v>
      </c>
    </row>
    <row r="107" spans="1:15" x14ac:dyDescent="0.25">
      <c r="A107" t="s">
        <v>335</v>
      </c>
      <c r="B107" t="s">
        <v>89</v>
      </c>
      <c r="C107">
        <v>3</v>
      </c>
      <c r="D107">
        <v>84.5</v>
      </c>
      <c r="E107">
        <v>253.5</v>
      </c>
      <c r="F107" s="58">
        <v>45662</v>
      </c>
      <c r="G107" s="58">
        <v>45664</v>
      </c>
      <c r="H107" t="s">
        <v>231</v>
      </c>
      <c r="I107" t="s">
        <v>61</v>
      </c>
      <c r="J107">
        <v>3</v>
      </c>
      <c r="K107" t="s">
        <v>103</v>
      </c>
      <c r="L107" t="s">
        <v>161</v>
      </c>
      <c r="M107">
        <f>orders[[#This Row],[Ship Date]]-orders[[#This Row],[Order Date]]</f>
        <v>2</v>
      </c>
      <c r="N107">
        <f>WEEKNUM(orders[[#This Row],[Order Date]],1)</f>
        <v>2</v>
      </c>
      <c r="O107" t="str">
        <f t="array" ref="O107">_xlfn.IFS(orders[[#This Row],[Customer Gender]]="M","Male", orders[[#This Row],[Customer Gender]]="F","Female", orders[[#This Row],[Customer Gender]]="O","Other", TRUE(),"Unknown")</f>
        <v>Female</v>
      </c>
    </row>
    <row r="108" spans="1:15" x14ac:dyDescent="0.25">
      <c r="A108" t="s">
        <v>336</v>
      </c>
      <c r="B108" t="s">
        <v>77</v>
      </c>
      <c r="C108">
        <v>7</v>
      </c>
      <c r="D108">
        <v>31.2</v>
      </c>
      <c r="E108">
        <v>218.4</v>
      </c>
      <c r="F108" s="58">
        <v>45662</v>
      </c>
      <c r="G108" s="58">
        <v>45662</v>
      </c>
      <c r="H108" t="s">
        <v>231</v>
      </c>
      <c r="I108" t="s">
        <v>62</v>
      </c>
      <c r="J108">
        <v>5</v>
      </c>
      <c r="K108" t="s">
        <v>103</v>
      </c>
      <c r="L108" t="s">
        <v>124</v>
      </c>
      <c r="M108">
        <f>orders[[#This Row],[Ship Date]]-orders[[#This Row],[Order Date]]</f>
        <v>0</v>
      </c>
      <c r="N108">
        <f>WEEKNUM(orders[[#This Row],[Order Date]],1)</f>
        <v>2</v>
      </c>
      <c r="O108" t="str">
        <f t="array" ref="O108">_xlfn.IFS(orders[[#This Row],[Customer Gender]]="M","Male", orders[[#This Row],[Customer Gender]]="F","Female", orders[[#This Row],[Customer Gender]]="O","Other", TRUE(),"Unknown")</f>
        <v>Female</v>
      </c>
    </row>
    <row r="109" spans="1:15" x14ac:dyDescent="0.25">
      <c r="A109" t="s">
        <v>337</v>
      </c>
      <c r="B109" t="s">
        <v>90</v>
      </c>
      <c r="C109">
        <v>18</v>
      </c>
      <c r="D109">
        <v>32.6</v>
      </c>
      <c r="E109">
        <v>586.79999999999995</v>
      </c>
      <c r="F109" s="58">
        <v>45662</v>
      </c>
      <c r="G109" s="58">
        <v>45663</v>
      </c>
      <c r="H109" t="s">
        <v>229</v>
      </c>
      <c r="I109" t="s">
        <v>63</v>
      </c>
      <c r="J109">
        <v>3</v>
      </c>
      <c r="K109" t="s">
        <v>103</v>
      </c>
      <c r="L109" t="s">
        <v>124</v>
      </c>
      <c r="M109">
        <f>orders[[#This Row],[Ship Date]]-orders[[#This Row],[Order Date]]</f>
        <v>1</v>
      </c>
      <c r="N109">
        <f>WEEKNUM(orders[[#This Row],[Order Date]],1)</f>
        <v>2</v>
      </c>
      <c r="O109" t="str">
        <f t="array" ref="O109">_xlfn.IFS(orders[[#This Row],[Customer Gender]]="M","Male", orders[[#This Row],[Customer Gender]]="F","Female", orders[[#This Row],[Customer Gender]]="O","Other", TRUE(),"Unknown")</f>
        <v>Male</v>
      </c>
    </row>
    <row r="110" spans="1:15" x14ac:dyDescent="0.25">
      <c r="A110" t="s">
        <v>338</v>
      </c>
      <c r="B110" t="s">
        <v>75</v>
      </c>
      <c r="C110">
        <v>4</v>
      </c>
      <c r="D110">
        <v>45.4</v>
      </c>
      <c r="E110">
        <v>181.6</v>
      </c>
      <c r="F110" s="58">
        <v>45662</v>
      </c>
      <c r="G110" s="58">
        <v>45664</v>
      </c>
      <c r="H110" t="s">
        <v>229</v>
      </c>
      <c r="I110" t="s">
        <v>63</v>
      </c>
      <c r="J110">
        <v>4</v>
      </c>
      <c r="K110" t="s">
        <v>103</v>
      </c>
      <c r="L110" t="s">
        <v>124</v>
      </c>
      <c r="M110">
        <f>orders[[#This Row],[Ship Date]]-orders[[#This Row],[Order Date]]</f>
        <v>2</v>
      </c>
      <c r="N110">
        <f>WEEKNUM(orders[[#This Row],[Order Date]],1)</f>
        <v>2</v>
      </c>
      <c r="O110" t="str">
        <f t="array" ref="O110">_xlfn.IFS(orders[[#This Row],[Customer Gender]]="M","Male", orders[[#This Row],[Customer Gender]]="F","Female", orders[[#This Row],[Customer Gender]]="O","Other", TRUE(),"Unknown")</f>
        <v>Male</v>
      </c>
    </row>
    <row r="111" spans="1:15" x14ac:dyDescent="0.25">
      <c r="A111" t="s">
        <v>339</v>
      </c>
      <c r="B111" t="s">
        <v>87</v>
      </c>
      <c r="C111">
        <v>12</v>
      </c>
      <c r="D111">
        <v>120</v>
      </c>
      <c r="E111">
        <v>1440</v>
      </c>
      <c r="F111" s="58">
        <v>45662</v>
      </c>
      <c r="G111" s="58">
        <v>45663</v>
      </c>
      <c r="H111" t="s">
        <v>231</v>
      </c>
      <c r="I111" t="s">
        <v>62</v>
      </c>
      <c r="J111">
        <v>2</v>
      </c>
      <c r="K111" t="s">
        <v>103</v>
      </c>
      <c r="L111" t="s">
        <v>124</v>
      </c>
      <c r="M111">
        <f>orders[[#This Row],[Ship Date]]-orders[[#This Row],[Order Date]]</f>
        <v>1</v>
      </c>
      <c r="N111">
        <f>WEEKNUM(orders[[#This Row],[Order Date]],1)</f>
        <v>2</v>
      </c>
      <c r="O111" t="str">
        <f t="array" ref="O111">_xlfn.IFS(orders[[#This Row],[Customer Gender]]="M","Male", orders[[#This Row],[Customer Gender]]="F","Female", orders[[#This Row],[Customer Gender]]="O","Other", TRUE(),"Unknown")</f>
        <v>Female</v>
      </c>
    </row>
    <row r="112" spans="1:15" x14ac:dyDescent="0.25">
      <c r="A112" t="s">
        <v>340</v>
      </c>
      <c r="B112" t="s">
        <v>86</v>
      </c>
      <c r="C112">
        <v>4</v>
      </c>
      <c r="D112">
        <v>18.899999999999999</v>
      </c>
      <c r="E112">
        <v>75.599999999999994</v>
      </c>
      <c r="F112" s="58">
        <v>45662</v>
      </c>
      <c r="G112" s="58">
        <v>45664</v>
      </c>
      <c r="H112" t="s">
        <v>229</v>
      </c>
      <c r="I112" t="s">
        <v>59</v>
      </c>
      <c r="J112">
        <v>5</v>
      </c>
      <c r="K112" t="s">
        <v>103</v>
      </c>
      <c r="L112" t="s">
        <v>124</v>
      </c>
      <c r="M112">
        <f>orders[[#This Row],[Ship Date]]-orders[[#This Row],[Order Date]]</f>
        <v>2</v>
      </c>
      <c r="N112">
        <f>WEEKNUM(orders[[#This Row],[Order Date]],1)</f>
        <v>2</v>
      </c>
      <c r="O112" t="str">
        <f t="array" ref="O112">_xlfn.IFS(orders[[#This Row],[Customer Gender]]="M","Male", orders[[#This Row],[Customer Gender]]="F","Female", orders[[#This Row],[Customer Gender]]="O","Other", TRUE(),"Unknown")</f>
        <v>Male</v>
      </c>
    </row>
    <row r="113" spans="1:15" x14ac:dyDescent="0.25">
      <c r="A113" t="s">
        <v>341</v>
      </c>
      <c r="B113" t="s">
        <v>78</v>
      </c>
      <c r="C113">
        <v>1</v>
      </c>
      <c r="D113">
        <v>32</v>
      </c>
      <c r="E113">
        <v>32</v>
      </c>
      <c r="F113" s="58">
        <v>45662</v>
      </c>
      <c r="G113" s="58">
        <v>45664</v>
      </c>
      <c r="H113" t="s">
        <v>231</v>
      </c>
      <c r="I113" t="s">
        <v>61</v>
      </c>
      <c r="J113">
        <v>4</v>
      </c>
      <c r="K113" t="s">
        <v>103</v>
      </c>
      <c r="L113" t="s">
        <v>124</v>
      </c>
      <c r="M113">
        <f>orders[[#This Row],[Ship Date]]-orders[[#This Row],[Order Date]]</f>
        <v>2</v>
      </c>
      <c r="N113">
        <f>WEEKNUM(orders[[#This Row],[Order Date]],1)</f>
        <v>2</v>
      </c>
      <c r="O113" t="str">
        <f t="array" ref="O113">_xlfn.IFS(orders[[#This Row],[Customer Gender]]="M","Male", orders[[#This Row],[Customer Gender]]="F","Female", orders[[#This Row],[Customer Gender]]="O","Other", TRUE(),"Unknown")</f>
        <v>Female</v>
      </c>
    </row>
    <row r="114" spans="1:15" x14ac:dyDescent="0.25">
      <c r="A114" t="s">
        <v>342</v>
      </c>
      <c r="B114" t="s">
        <v>79</v>
      </c>
      <c r="C114">
        <v>2</v>
      </c>
      <c r="D114">
        <v>37.299999999999997</v>
      </c>
      <c r="E114">
        <v>74.599999999999994</v>
      </c>
      <c r="F114" s="58">
        <v>45662</v>
      </c>
      <c r="G114" s="58">
        <v>45663</v>
      </c>
      <c r="H114" t="s">
        <v>229</v>
      </c>
      <c r="I114" t="s">
        <v>62</v>
      </c>
      <c r="J114">
        <v>4</v>
      </c>
      <c r="K114" t="s">
        <v>103</v>
      </c>
      <c r="L114" t="s">
        <v>124</v>
      </c>
      <c r="M114">
        <f>orders[[#This Row],[Ship Date]]-orders[[#This Row],[Order Date]]</f>
        <v>1</v>
      </c>
      <c r="N114">
        <f>WEEKNUM(orders[[#This Row],[Order Date]],1)</f>
        <v>2</v>
      </c>
      <c r="O114" t="str">
        <f t="array" ref="O114">_xlfn.IFS(orders[[#This Row],[Customer Gender]]="M","Male", orders[[#This Row],[Customer Gender]]="F","Female", orders[[#This Row],[Customer Gender]]="O","Other", TRUE(),"Unknown")</f>
        <v>Male</v>
      </c>
    </row>
    <row r="115" spans="1:15" x14ac:dyDescent="0.25">
      <c r="A115" t="s">
        <v>343</v>
      </c>
      <c r="B115" t="s">
        <v>82</v>
      </c>
      <c r="C115">
        <v>1</v>
      </c>
      <c r="D115">
        <v>119.8</v>
      </c>
      <c r="E115">
        <v>119.8</v>
      </c>
      <c r="F115" s="58">
        <v>45662</v>
      </c>
      <c r="G115" s="58">
        <v>45663</v>
      </c>
      <c r="H115" t="s">
        <v>229</v>
      </c>
      <c r="I115" t="s">
        <v>63</v>
      </c>
      <c r="J115">
        <v>3</v>
      </c>
      <c r="K115" t="s">
        <v>103</v>
      </c>
      <c r="L115" t="s">
        <v>124</v>
      </c>
      <c r="M115">
        <f>orders[[#This Row],[Ship Date]]-orders[[#This Row],[Order Date]]</f>
        <v>1</v>
      </c>
      <c r="N115">
        <f>WEEKNUM(orders[[#This Row],[Order Date]],1)</f>
        <v>2</v>
      </c>
      <c r="O115" t="str">
        <f t="array" ref="O115">_xlfn.IFS(orders[[#This Row],[Customer Gender]]="M","Male", orders[[#This Row],[Customer Gender]]="F","Female", orders[[#This Row],[Customer Gender]]="O","Other", TRUE(),"Unknown")</f>
        <v>Male</v>
      </c>
    </row>
    <row r="116" spans="1:15" x14ac:dyDescent="0.25">
      <c r="A116" t="s">
        <v>344</v>
      </c>
      <c r="B116" t="s">
        <v>75</v>
      </c>
      <c r="C116">
        <v>2</v>
      </c>
      <c r="D116">
        <v>26.4</v>
      </c>
      <c r="E116">
        <v>52.8</v>
      </c>
      <c r="F116" s="58">
        <v>45662</v>
      </c>
      <c r="G116" s="58">
        <v>45665</v>
      </c>
      <c r="H116" t="s">
        <v>229</v>
      </c>
      <c r="I116" t="s">
        <v>62</v>
      </c>
      <c r="J116">
        <v>4</v>
      </c>
      <c r="K116" t="s">
        <v>103</v>
      </c>
      <c r="L116" t="s">
        <v>124</v>
      </c>
      <c r="M116">
        <f>orders[[#This Row],[Ship Date]]-orders[[#This Row],[Order Date]]</f>
        <v>3</v>
      </c>
      <c r="N116">
        <f>WEEKNUM(orders[[#This Row],[Order Date]],1)</f>
        <v>2</v>
      </c>
      <c r="O116" t="str">
        <f t="array" ref="O116">_xlfn.IFS(orders[[#This Row],[Customer Gender]]="M","Male", orders[[#This Row],[Customer Gender]]="F","Female", orders[[#This Row],[Customer Gender]]="O","Other", TRUE(),"Unknown")</f>
        <v>Male</v>
      </c>
    </row>
    <row r="117" spans="1:15" x14ac:dyDescent="0.25">
      <c r="A117" t="s">
        <v>345</v>
      </c>
      <c r="B117" t="s">
        <v>80</v>
      </c>
      <c r="C117">
        <v>6</v>
      </c>
      <c r="D117">
        <v>76.5</v>
      </c>
      <c r="E117">
        <v>459</v>
      </c>
      <c r="F117" s="58">
        <v>45662</v>
      </c>
      <c r="G117" s="58">
        <v>45663</v>
      </c>
      <c r="H117" t="s">
        <v>231</v>
      </c>
      <c r="I117" t="s">
        <v>63</v>
      </c>
      <c r="J117">
        <v>3</v>
      </c>
      <c r="K117" t="s">
        <v>103</v>
      </c>
      <c r="L117" t="s">
        <v>124</v>
      </c>
      <c r="M117">
        <f>orders[[#This Row],[Ship Date]]-orders[[#This Row],[Order Date]]</f>
        <v>1</v>
      </c>
      <c r="N117">
        <f>WEEKNUM(orders[[#This Row],[Order Date]],1)</f>
        <v>2</v>
      </c>
      <c r="O117" t="str">
        <f t="array" ref="O117">_xlfn.IFS(orders[[#This Row],[Customer Gender]]="M","Male", orders[[#This Row],[Customer Gender]]="F","Female", orders[[#This Row],[Customer Gender]]="O","Other", TRUE(),"Unknown")</f>
        <v>Female</v>
      </c>
    </row>
    <row r="118" spans="1:15" x14ac:dyDescent="0.25">
      <c r="A118" t="s">
        <v>346</v>
      </c>
      <c r="B118" t="s">
        <v>78</v>
      </c>
      <c r="C118">
        <v>10</v>
      </c>
      <c r="D118">
        <v>45.7</v>
      </c>
      <c r="E118">
        <v>457</v>
      </c>
      <c r="F118" s="58">
        <v>45662</v>
      </c>
      <c r="G118" s="58">
        <v>45663</v>
      </c>
      <c r="H118" t="s">
        <v>231</v>
      </c>
      <c r="I118" t="s">
        <v>62</v>
      </c>
      <c r="J118">
        <v>4</v>
      </c>
      <c r="K118" t="s">
        <v>103</v>
      </c>
      <c r="L118" t="s">
        <v>129</v>
      </c>
      <c r="M118">
        <f>orders[[#This Row],[Ship Date]]-orders[[#This Row],[Order Date]]</f>
        <v>1</v>
      </c>
      <c r="N118">
        <f>WEEKNUM(orders[[#This Row],[Order Date]],1)</f>
        <v>2</v>
      </c>
      <c r="O118" t="str">
        <f t="array" ref="O118">_xlfn.IFS(orders[[#This Row],[Customer Gender]]="M","Male", orders[[#This Row],[Customer Gender]]="F","Female", orders[[#This Row],[Customer Gender]]="O","Other", TRUE(),"Unknown")</f>
        <v>Female</v>
      </c>
    </row>
    <row r="119" spans="1:15" x14ac:dyDescent="0.25">
      <c r="A119" t="s">
        <v>347</v>
      </c>
      <c r="B119" t="s">
        <v>91</v>
      </c>
      <c r="C119">
        <v>12</v>
      </c>
      <c r="D119">
        <v>92.6</v>
      </c>
      <c r="E119">
        <v>1111.2</v>
      </c>
      <c r="F119" s="58">
        <v>45662</v>
      </c>
      <c r="G119" s="58">
        <v>45664</v>
      </c>
      <c r="H119" t="s">
        <v>231</v>
      </c>
      <c r="I119" t="s">
        <v>62</v>
      </c>
      <c r="J119">
        <v>4</v>
      </c>
      <c r="K119" t="s">
        <v>103</v>
      </c>
      <c r="L119" t="s">
        <v>135</v>
      </c>
      <c r="M119">
        <f>orders[[#This Row],[Ship Date]]-orders[[#This Row],[Order Date]]</f>
        <v>2</v>
      </c>
      <c r="N119">
        <f>WEEKNUM(orders[[#This Row],[Order Date]],1)</f>
        <v>2</v>
      </c>
      <c r="O119" t="str">
        <f t="array" ref="O119">_xlfn.IFS(orders[[#This Row],[Customer Gender]]="M","Male", orders[[#This Row],[Customer Gender]]="F","Female", orders[[#This Row],[Customer Gender]]="O","Other", TRUE(),"Unknown")</f>
        <v>Female</v>
      </c>
    </row>
    <row r="120" spans="1:15" x14ac:dyDescent="0.25">
      <c r="A120" t="s">
        <v>348</v>
      </c>
      <c r="B120" t="s">
        <v>80</v>
      </c>
      <c r="C120">
        <v>6</v>
      </c>
      <c r="D120">
        <v>60.1</v>
      </c>
      <c r="E120">
        <v>360.6</v>
      </c>
      <c r="F120" s="58">
        <v>45662</v>
      </c>
      <c r="G120" s="58">
        <v>45663</v>
      </c>
      <c r="H120" t="s">
        <v>229</v>
      </c>
      <c r="I120" t="s">
        <v>63</v>
      </c>
      <c r="J120">
        <v>4</v>
      </c>
      <c r="K120" t="s">
        <v>103</v>
      </c>
      <c r="L120" t="s">
        <v>138</v>
      </c>
      <c r="M120">
        <f>orders[[#This Row],[Ship Date]]-orders[[#This Row],[Order Date]]</f>
        <v>1</v>
      </c>
      <c r="N120">
        <f>WEEKNUM(orders[[#This Row],[Order Date]],1)</f>
        <v>2</v>
      </c>
      <c r="O120" t="str">
        <f t="array" ref="O120">_xlfn.IFS(orders[[#This Row],[Customer Gender]]="M","Male", orders[[#This Row],[Customer Gender]]="F","Female", orders[[#This Row],[Customer Gender]]="O","Other", TRUE(),"Unknown")</f>
        <v>Male</v>
      </c>
    </row>
    <row r="121" spans="1:15" x14ac:dyDescent="0.25">
      <c r="A121" t="s">
        <v>349</v>
      </c>
      <c r="B121" t="s">
        <v>91</v>
      </c>
      <c r="C121">
        <v>3</v>
      </c>
      <c r="D121">
        <v>73</v>
      </c>
      <c r="E121">
        <v>219</v>
      </c>
      <c r="F121" s="58">
        <v>45662</v>
      </c>
      <c r="G121" s="58">
        <v>45663</v>
      </c>
      <c r="H121" t="s">
        <v>231</v>
      </c>
      <c r="I121" t="s">
        <v>60</v>
      </c>
      <c r="J121">
        <v>3</v>
      </c>
      <c r="K121" t="s">
        <v>103</v>
      </c>
      <c r="L121" t="s">
        <v>139</v>
      </c>
      <c r="M121">
        <f>orders[[#This Row],[Ship Date]]-orders[[#This Row],[Order Date]]</f>
        <v>1</v>
      </c>
      <c r="N121">
        <f>WEEKNUM(orders[[#This Row],[Order Date]],1)</f>
        <v>2</v>
      </c>
      <c r="O121" t="str">
        <f t="array" ref="O121">_xlfn.IFS(orders[[#This Row],[Customer Gender]]="M","Male", orders[[#This Row],[Customer Gender]]="F","Female", orders[[#This Row],[Customer Gender]]="O","Other", TRUE(),"Unknown")</f>
        <v>Female</v>
      </c>
    </row>
    <row r="122" spans="1:15" x14ac:dyDescent="0.25">
      <c r="A122" t="s">
        <v>350</v>
      </c>
      <c r="B122" t="s">
        <v>80</v>
      </c>
      <c r="C122">
        <v>3</v>
      </c>
      <c r="D122">
        <v>44.3</v>
      </c>
      <c r="E122">
        <v>132.9</v>
      </c>
      <c r="F122" s="58">
        <v>45662</v>
      </c>
      <c r="G122" s="58">
        <v>45666</v>
      </c>
      <c r="I122" t="s">
        <v>62</v>
      </c>
      <c r="J122">
        <v>5</v>
      </c>
      <c r="K122" t="s">
        <v>103</v>
      </c>
      <c r="L122" t="s">
        <v>139</v>
      </c>
      <c r="M122">
        <f>orders[[#This Row],[Ship Date]]-orders[[#This Row],[Order Date]]</f>
        <v>4</v>
      </c>
      <c r="N122">
        <f>WEEKNUM(orders[[#This Row],[Order Date]],1)</f>
        <v>2</v>
      </c>
      <c r="O122" t="str">
        <f t="array" ref="O122">_xlfn.IFS(orders[[#This Row],[Customer Gender]]="M","Male", orders[[#This Row],[Customer Gender]]="F","Female", orders[[#This Row],[Customer Gender]]="O","Other", TRUE(),"Unknown")</f>
        <v>Unknown</v>
      </c>
    </row>
    <row r="123" spans="1:15" x14ac:dyDescent="0.25">
      <c r="A123" t="s">
        <v>351</v>
      </c>
      <c r="B123" t="s">
        <v>80</v>
      </c>
      <c r="C123">
        <v>3</v>
      </c>
      <c r="D123">
        <v>63.3</v>
      </c>
      <c r="E123">
        <v>189.9</v>
      </c>
      <c r="F123" s="58">
        <v>45662</v>
      </c>
      <c r="G123" s="58">
        <v>45663</v>
      </c>
      <c r="H123" t="s">
        <v>229</v>
      </c>
      <c r="I123" t="s">
        <v>62</v>
      </c>
      <c r="J123">
        <v>4</v>
      </c>
      <c r="K123" t="s">
        <v>103</v>
      </c>
      <c r="L123" t="s">
        <v>139</v>
      </c>
      <c r="M123">
        <f>orders[[#This Row],[Ship Date]]-orders[[#This Row],[Order Date]]</f>
        <v>1</v>
      </c>
      <c r="N123">
        <f>WEEKNUM(orders[[#This Row],[Order Date]],1)</f>
        <v>2</v>
      </c>
      <c r="O123" t="str">
        <f t="array" ref="O123">_xlfn.IFS(orders[[#This Row],[Customer Gender]]="M","Male", orders[[#This Row],[Customer Gender]]="F","Female", orders[[#This Row],[Customer Gender]]="O","Other", TRUE(),"Unknown")</f>
        <v>Male</v>
      </c>
    </row>
    <row r="124" spans="1:15" x14ac:dyDescent="0.25">
      <c r="A124" t="s">
        <v>352</v>
      </c>
      <c r="B124" t="s">
        <v>76</v>
      </c>
      <c r="C124">
        <v>1</v>
      </c>
      <c r="D124">
        <v>66.8</v>
      </c>
      <c r="E124">
        <v>66.8</v>
      </c>
      <c r="F124" s="58">
        <v>45662</v>
      </c>
      <c r="G124" s="58">
        <v>45663</v>
      </c>
      <c r="H124" t="s">
        <v>231</v>
      </c>
      <c r="I124" t="s">
        <v>63</v>
      </c>
      <c r="J124">
        <v>4</v>
      </c>
      <c r="K124" t="s">
        <v>103</v>
      </c>
      <c r="L124" t="s">
        <v>139</v>
      </c>
      <c r="M124">
        <f>orders[[#This Row],[Ship Date]]-orders[[#This Row],[Order Date]]</f>
        <v>1</v>
      </c>
      <c r="N124">
        <f>WEEKNUM(orders[[#This Row],[Order Date]],1)</f>
        <v>2</v>
      </c>
      <c r="O124" t="str">
        <f t="array" ref="O124">_xlfn.IFS(orders[[#This Row],[Customer Gender]]="M","Male", orders[[#This Row],[Customer Gender]]="F","Female", orders[[#This Row],[Customer Gender]]="O","Other", TRUE(),"Unknown")</f>
        <v>Female</v>
      </c>
    </row>
    <row r="125" spans="1:15" x14ac:dyDescent="0.25">
      <c r="A125" t="s">
        <v>353</v>
      </c>
      <c r="B125" t="s">
        <v>87</v>
      </c>
      <c r="C125">
        <v>2</v>
      </c>
      <c r="D125">
        <v>59.7</v>
      </c>
      <c r="E125">
        <v>119.4</v>
      </c>
      <c r="F125" s="58">
        <v>45662</v>
      </c>
      <c r="G125" s="58">
        <v>45663</v>
      </c>
      <c r="H125" t="s">
        <v>231</v>
      </c>
      <c r="I125" t="s">
        <v>59</v>
      </c>
      <c r="J125">
        <v>4</v>
      </c>
      <c r="K125" t="s">
        <v>103</v>
      </c>
      <c r="L125" t="s">
        <v>141</v>
      </c>
      <c r="M125">
        <f>orders[[#This Row],[Ship Date]]-orders[[#This Row],[Order Date]]</f>
        <v>1</v>
      </c>
      <c r="N125">
        <f>WEEKNUM(orders[[#This Row],[Order Date]],1)</f>
        <v>2</v>
      </c>
      <c r="O125" t="str">
        <f t="array" ref="O125">_xlfn.IFS(orders[[#This Row],[Customer Gender]]="M","Male", orders[[#This Row],[Customer Gender]]="F","Female", orders[[#This Row],[Customer Gender]]="O","Other", TRUE(),"Unknown")</f>
        <v>Female</v>
      </c>
    </row>
    <row r="126" spans="1:15" x14ac:dyDescent="0.25">
      <c r="A126" t="s">
        <v>354</v>
      </c>
      <c r="B126" t="s">
        <v>91</v>
      </c>
      <c r="C126">
        <v>6</v>
      </c>
      <c r="D126">
        <v>92</v>
      </c>
      <c r="E126">
        <v>552</v>
      </c>
      <c r="F126" s="58">
        <v>45662</v>
      </c>
      <c r="G126" s="58">
        <v>45664</v>
      </c>
      <c r="H126" t="s">
        <v>229</v>
      </c>
      <c r="I126" t="s">
        <v>59</v>
      </c>
      <c r="J126">
        <v>2</v>
      </c>
      <c r="K126" t="s">
        <v>103</v>
      </c>
      <c r="L126" t="s">
        <v>141</v>
      </c>
      <c r="M126">
        <f>orders[[#This Row],[Ship Date]]-orders[[#This Row],[Order Date]]</f>
        <v>2</v>
      </c>
      <c r="N126">
        <f>WEEKNUM(orders[[#This Row],[Order Date]],1)</f>
        <v>2</v>
      </c>
      <c r="O126" t="str">
        <f t="array" ref="O126">_xlfn.IFS(orders[[#This Row],[Customer Gender]]="M","Male", orders[[#This Row],[Customer Gender]]="F","Female", orders[[#This Row],[Customer Gender]]="O","Other", TRUE(),"Unknown")</f>
        <v>Male</v>
      </c>
    </row>
    <row r="127" spans="1:15" x14ac:dyDescent="0.25">
      <c r="A127" t="s">
        <v>355</v>
      </c>
      <c r="B127" t="s">
        <v>79</v>
      </c>
      <c r="C127">
        <v>2</v>
      </c>
      <c r="D127">
        <v>87.6</v>
      </c>
      <c r="E127">
        <v>175.2</v>
      </c>
      <c r="F127" s="58">
        <v>45662</v>
      </c>
      <c r="G127" s="58">
        <v>45664</v>
      </c>
      <c r="H127" t="s">
        <v>229</v>
      </c>
      <c r="I127" t="s">
        <v>63</v>
      </c>
      <c r="J127">
        <v>3</v>
      </c>
      <c r="K127" t="s">
        <v>103</v>
      </c>
      <c r="L127" t="s">
        <v>142</v>
      </c>
      <c r="M127">
        <f>orders[[#This Row],[Ship Date]]-orders[[#This Row],[Order Date]]</f>
        <v>2</v>
      </c>
      <c r="N127">
        <f>WEEKNUM(orders[[#This Row],[Order Date]],1)</f>
        <v>2</v>
      </c>
      <c r="O127" t="str">
        <f t="array" ref="O127">_xlfn.IFS(orders[[#This Row],[Customer Gender]]="M","Male", orders[[#This Row],[Customer Gender]]="F","Female", orders[[#This Row],[Customer Gender]]="O","Other", TRUE(),"Unknown")</f>
        <v>Male</v>
      </c>
    </row>
    <row r="128" spans="1:15" x14ac:dyDescent="0.25">
      <c r="A128" t="s">
        <v>356</v>
      </c>
      <c r="B128" t="s">
        <v>80</v>
      </c>
      <c r="C128">
        <v>3</v>
      </c>
      <c r="D128">
        <v>84.5</v>
      </c>
      <c r="E128">
        <v>253.5</v>
      </c>
      <c r="F128" s="58">
        <v>45662</v>
      </c>
      <c r="G128" s="58">
        <v>45663</v>
      </c>
      <c r="H128" t="s">
        <v>231</v>
      </c>
      <c r="I128" t="s">
        <v>63</v>
      </c>
      <c r="J128">
        <v>3</v>
      </c>
      <c r="K128" t="s">
        <v>103</v>
      </c>
      <c r="L128" t="s">
        <v>142</v>
      </c>
      <c r="M128">
        <f>orders[[#This Row],[Ship Date]]-orders[[#This Row],[Order Date]]</f>
        <v>1</v>
      </c>
      <c r="N128">
        <f>WEEKNUM(orders[[#This Row],[Order Date]],1)</f>
        <v>2</v>
      </c>
      <c r="O128" t="str">
        <f t="array" ref="O128">_xlfn.IFS(orders[[#This Row],[Customer Gender]]="M","Male", orders[[#This Row],[Customer Gender]]="F","Female", orders[[#This Row],[Customer Gender]]="O","Other", TRUE(),"Unknown")</f>
        <v>Female</v>
      </c>
    </row>
    <row r="129" spans="1:15" x14ac:dyDescent="0.25">
      <c r="A129" t="s">
        <v>357</v>
      </c>
      <c r="B129" t="s">
        <v>91</v>
      </c>
      <c r="C129">
        <v>2</v>
      </c>
      <c r="D129">
        <v>116.3</v>
      </c>
      <c r="E129">
        <v>232.6</v>
      </c>
      <c r="F129" s="58">
        <v>45663</v>
      </c>
      <c r="G129" s="58">
        <v>45665</v>
      </c>
      <c r="H129" t="s">
        <v>229</v>
      </c>
      <c r="I129" t="s">
        <v>62</v>
      </c>
      <c r="J129">
        <v>5</v>
      </c>
      <c r="K129" t="s">
        <v>103</v>
      </c>
      <c r="L129" t="s">
        <v>142</v>
      </c>
      <c r="M129">
        <f>orders[[#This Row],[Ship Date]]-orders[[#This Row],[Order Date]]</f>
        <v>2</v>
      </c>
      <c r="N129">
        <f>WEEKNUM(orders[[#This Row],[Order Date]],1)</f>
        <v>2</v>
      </c>
      <c r="O129" t="str">
        <f t="array" ref="O129">_xlfn.IFS(orders[[#This Row],[Customer Gender]]="M","Male", orders[[#This Row],[Customer Gender]]="F","Female", orders[[#This Row],[Customer Gender]]="O","Other", TRUE(),"Unknown")</f>
        <v>Male</v>
      </c>
    </row>
    <row r="130" spans="1:15" x14ac:dyDescent="0.25">
      <c r="A130" t="s">
        <v>358</v>
      </c>
      <c r="B130" t="s">
        <v>80</v>
      </c>
      <c r="C130">
        <v>5</v>
      </c>
      <c r="D130">
        <v>52.7</v>
      </c>
      <c r="E130">
        <v>263.5</v>
      </c>
      <c r="F130" s="58">
        <v>45663</v>
      </c>
      <c r="G130" s="58">
        <v>45667</v>
      </c>
      <c r="H130" t="s">
        <v>229</v>
      </c>
      <c r="I130" t="s">
        <v>59</v>
      </c>
      <c r="J130">
        <v>4</v>
      </c>
      <c r="K130" t="s">
        <v>103</v>
      </c>
      <c r="L130" t="s">
        <v>142</v>
      </c>
      <c r="M130">
        <f>orders[[#This Row],[Ship Date]]-orders[[#This Row],[Order Date]]</f>
        <v>4</v>
      </c>
      <c r="N130">
        <f>WEEKNUM(orders[[#This Row],[Order Date]],1)</f>
        <v>2</v>
      </c>
      <c r="O130" t="str">
        <f t="array" ref="O130">_xlfn.IFS(orders[[#This Row],[Customer Gender]]="M","Male", orders[[#This Row],[Customer Gender]]="F","Female", orders[[#This Row],[Customer Gender]]="O","Other", TRUE(),"Unknown")</f>
        <v>Male</v>
      </c>
    </row>
    <row r="131" spans="1:15" x14ac:dyDescent="0.25">
      <c r="A131" t="s">
        <v>359</v>
      </c>
      <c r="B131" t="s">
        <v>89</v>
      </c>
      <c r="C131">
        <v>3</v>
      </c>
      <c r="D131">
        <v>34.200000000000003</v>
      </c>
      <c r="E131">
        <v>102.6</v>
      </c>
      <c r="F131" s="58">
        <v>45663</v>
      </c>
      <c r="G131" s="58">
        <v>45664</v>
      </c>
      <c r="H131" t="s">
        <v>229</v>
      </c>
      <c r="I131" t="s">
        <v>59</v>
      </c>
      <c r="J131">
        <v>5</v>
      </c>
      <c r="K131" t="s">
        <v>103</v>
      </c>
      <c r="L131" t="s">
        <v>144</v>
      </c>
      <c r="M131">
        <f>orders[[#This Row],[Ship Date]]-orders[[#This Row],[Order Date]]</f>
        <v>1</v>
      </c>
      <c r="N131">
        <f>WEEKNUM(orders[[#This Row],[Order Date]],1)</f>
        <v>2</v>
      </c>
      <c r="O131" t="str">
        <f t="array" ref="O131">_xlfn.IFS(orders[[#This Row],[Customer Gender]]="M","Male", orders[[#This Row],[Customer Gender]]="F","Female", orders[[#This Row],[Customer Gender]]="O","Other", TRUE(),"Unknown")</f>
        <v>Male</v>
      </c>
    </row>
    <row r="132" spans="1:15" x14ac:dyDescent="0.25">
      <c r="A132" t="s">
        <v>360</v>
      </c>
      <c r="B132" t="s">
        <v>88</v>
      </c>
      <c r="C132">
        <v>1</v>
      </c>
      <c r="D132">
        <v>23.3</v>
      </c>
      <c r="E132">
        <v>23.3</v>
      </c>
      <c r="F132" s="58">
        <v>45663</v>
      </c>
      <c r="G132" s="58">
        <v>45672</v>
      </c>
      <c r="H132" t="s">
        <v>263</v>
      </c>
      <c r="I132" t="s">
        <v>62</v>
      </c>
      <c r="J132">
        <v>5</v>
      </c>
      <c r="K132" t="s">
        <v>103</v>
      </c>
      <c r="L132" t="s">
        <v>146</v>
      </c>
      <c r="M132">
        <f>orders[[#This Row],[Ship Date]]-orders[[#This Row],[Order Date]]</f>
        <v>9</v>
      </c>
      <c r="N132">
        <f>WEEKNUM(orders[[#This Row],[Order Date]],1)</f>
        <v>2</v>
      </c>
      <c r="O132" t="str">
        <f t="array" ref="O132">_xlfn.IFS(orders[[#This Row],[Customer Gender]]="M","Male", orders[[#This Row],[Customer Gender]]="F","Female", orders[[#This Row],[Customer Gender]]="O","Other", TRUE(),"Unknown")</f>
        <v>Other</v>
      </c>
    </row>
    <row r="133" spans="1:15" x14ac:dyDescent="0.25">
      <c r="A133" t="s">
        <v>361</v>
      </c>
      <c r="B133" t="s">
        <v>86</v>
      </c>
      <c r="C133">
        <v>26</v>
      </c>
      <c r="D133">
        <v>25.9</v>
      </c>
      <c r="E133">
        <v>673.4</v>
      </c>
      <c r="F133" s="58">
        <v>45663</v>
      </c>
      <c r="G133" s="58">
        <v>45666</v>
      </c>
      <c r="H133" t="s">
        <v>231</v>
      </c>
      <c r="I133" t="s">
        <v>61</v>
      </c>
      <c r="J133">
        <v>3</v>
      </c>
      <c r="K133" t="s">
        <v>103</v>
      </c>
      <c r="L133" t="s">
        <v>146</v>
      </c>
      <c r="M133">
        <f>orders[[#This Row],[Ship Date]]-orders[[#This Row],[Order Date]]</f>
        <v>3</v>
      </c>
      <c r="N133">
        <f>WEEKNUM(orders[[#This Row],[Order Date]],1)</f>
        <v>2</v>
      </c>
      <c r="O133" t="str">
        <f t="array" ref="O133">_xlfn.IFS(orders[[#This Row],[Customer Gender]]="M","Male", orders[[#This Row],[Customer Gender]]="F","Female", orders[[#This Row],[Customer Gender]]="O","Other", TRUE(),"Unknown")</f>
        <v>Female</v>
      </c>
    </row>
    <row r="134" spans="1:15" x14ac:dyDescent="0.25">
      <c r="A134" t="s">
        <v>362</v>
      </c>
      <c r="B134" t="s">
        <v>80</v>
      </c>
      <c r="C134">
        <v>29</v>
      </c>
      <c r="D134">
        <v>54.9</v>
      </c>
      <c r="E134">
        <v>1592.1</v>
      </c>
      <c r="F134" s="58">
        <v>45663</v>
      </c>
      <c r="G134" s="58">
        <v>45664</v>
      </c>
      <c r="H134" t="s">
        <v>229</v>
      </c>
      <c r="I134" t="s">
        <v>63</v>
      </c>
      <c r="J134">
        <v>5</v>
      </c>
      <c r="K134" t="s">
        <v>103</v>
      </c>
      <c r="L134" t="s">
        <v>146</v>
      </c>
      <c r="M134">
        <f>orders[[#This Row],[Ship Date]]-orders[[#This Row],[Order Date]]</f>
        <v>1</v>
      </c>
      <c r="N134">
        <f>WEEKNUM(orders[[#This Row],[Order Date]],1)</f>
        <v>2</v>
      </c>
      <c r="O134" t="str">
        <f t="array" ref="O134">_xlfn.IFS(orders[[#This Row],[Customer Gender]]="M","Male", orders[[#This Row],[Customer Gender]]="F","Female", orders[[#This Row],[Customer Gender]]="O","Other", TRUE(),"Unknown")</f>
        <v>Male</v>
      </c>
    </row>
    <row r="135" spans="1:15" x14ac:dyDescent="0.25">
      <c r="A135" t="s">
        <v>363</v>
      </c>
      <c r="B135" t="s">
        <v>85</v>
      </c>
      <c r="C135">
        <v>3</v>
      </c>
      <c r="D135">
        <v>75.8</v>
      </c>
      <c r="E135">
        <v>227.4</v>
      </c>
      <c r="F135" s="58">
        <v>45663</v>
      </c>
      <c r="G135" s="58">
        <v>45668</v>
      </c>
      <c r="H135" t="s">
        <v>263</v>
      </c>
      <c r="I135" t="s">
        <v>63</v>
      </c>
      <c r="J135">
        <v>4</v>
      </c>
      <c r="K135" t="s">
        <v>103</v>
      </c>
      <c r="L135" t="s">
        <v>154</v>
      </c>
      <c r="M135">
        <f>orders[[#This Row],[Ship Date]]-orders[[#This Row],[Order Date]]</f>
        <v>5</v>
      </c>
      <c r="N135">
        <f>WEEKNUM(orders[[#This Row],[Order Date]],1)</f>
        <v>2</v>
      </c>
      <c r="O135" t="str">
        <f t="array" ref="O135">_xlfn.IFS(orders[[#This Row],[Customer Gender]]="M","Male", orders[[#This Row],[Customer Gender]]="F","Female", orders[[#This Row],[Customer Gender]]="O","Other", TRUE(),"Unknown")</f>
        <v>Other</v>
      </c>
    </row>
    <row r="136" spans="1:15" x14ac:dyDescent="0.25">
      <c r="A136" t="s">
        <v>364</v>
      </c>
      <c r="B136" t="s">
        <v>91</v>
      </c>
      <c r="C136">
        <v>9</v>
      </c>
      <c r="D136">
        <v>44.9</v>
      </c>
      <c r="E136">
        <v>404.1</v>
      </c>
      <c r="F136" s="58">
        <v>45663</v>
      </c>
      <c r="G136" s="58">
        <v>45666</v>
      </c>
      <c r="H136" t="s">
        <v>231</v>
      </c>
      <c r="I136" t="s">
        <v>62</v>
      </c>
      <c r="J136">
        <v>5</v>
      </c>
      <c r="K136" t="s">
        <v>103</v>
      </c>
      <c r="L136" t="s">
        <v>115</v>
      </c>
      <c r="M136">
        <f>orders[[#This Row],[Ship Date]]-orders[[#This Row],[Order Date]]</f>
        <v>3</v>
      </c>
      <c r="N136">
        <f>WEEKNUM(orders[[#This Row],[Order Date]],1)</f>
        <v>2</v>
      </c>
      <c r="O136" t="str">
        <f t="array" ref="O136">_xlfn.IFS(orders[[#This Row],[Customer Gender]]="M","Male", orders[[#This Row],[Customer Gender]]="F","Female", orders[[#This Row],[Customer Gender]]="O","Other", TRUE(),"Unknown")</f>
        <v>Female</v>
      </c>
    </row>
    <row r="137" spans="1:15" x14ac:dyDescent="0.25">
      <c r="A137" t="s">
        <v>365</v>
      </c>
      <c r="B137" t="s">
        <v>83</v>
      </c>
      <c r="C137">
        <v>2</v>
      </c>
      <c r="D137">
        <v>48.8</v>
      </c>
      <c r="E137">
        <v>97.6</v>
      </c>
      <c r="F137" s="58">
        <v>45663</v>
      </c>
      <c r="G137" s="58">
        <v>45665</v>
      </c>
      <c r="H137" t="s">
        <v>231</v>
      </c>
      <c r="I137" t="s">
        <v>60</v>
      </c>
      <c r="J137">
        <v>4</v>
      </c>
      <c r="K137" t="s">
        <v>103</v>
      </c>
      <c r="L137" t="s">
        <v>116</v>
      </c>
      <c r="M137">
        <f>orders[[#This Row],[Ship Date]]-orders[[#This Row],[Order Date]]</f>
        <v>2</v>
      </c>
      <c r="N137">
        <f>WEEKNUM(orders[[#This Row],[Order Date]],1)</f>
        <v>2</v>
      </c>
      <c r="O137" t="str">
        <f t="array" ref="O137">_xlfn.IFS(orders[[#This Row],[Customer Gender]]="M","Male", orders[[#This Row],[Customer Gender]]="F","Female", orders[[#This Row],[Customer Gender]]="O","Other", TRUE(),"Unknown")</f>
        <v>Female</v>
      </c>
    </row>
    <row r="138" spans="1:15" x14ac:dyDescent="0.25">
      <c r="A138" t="s">
        <v>366</v>
      </c>
      <c r="B138" t="s">
        <v>77</v>
      </c>
      <c r="C138">
        <v>1</v>
      </c>
      <c r="D138">
        <v>20.3</v>
      </c>
      <c r="E138">
        <v>20.3</v>
      </c>
      <c r="F138" s="58">
        <v>45663</v>
      </c>
      <c r="G138" s="58">
        <v>45664</v>
      </c>
      <c r="H138" t="s">
        <v>231</v>
      </c>
      <c r="I138" t="s">
        <v>59</v>
      </c>
      <c r="J138">
        <v>5</v>
      </c>
      <c r="K138" t="s">
        <v>103</v>
      </c>
      <c r="L138" t="s">
        <v>120</v>
      </c>
      <c r="M138">
        <f>orders[[#This Row],[Ship Date]]-orders[[#This Row],[Order Date]]</f>
        <v>1</v>
      </c>
      <c r="N138">
        <f>WEEKNUM(orders[[#This Row],[Order Date]],1)</f>
        <v>2</v>
      </c>
      <c r="O138" t="str">
        <f t="array" ref="O138">_xlfn.IFS(orders[[#This Row],[Customer Gender]]="M","Male", orders[[#This Row],[Customer Gender]]="F","Female", orders[[#This Row],[Customer Gender]]="O","Other", TRUE(),"Unknown")</f>
        <v>Female</v>
      </c>
    </row>
    <row r="139" spans="1:15" x14ac:dyDescent="0.25">
      <c r="A139" t="s">
        <v>367</v>
      </c>
      <c r="B139" t="s">
        <v>85</v>
      </c>
      <c r="C139">
        <v>7</v>
      </c>
      <c r="D139">
        <v>36.4</v>
      </c>
      <c r="E139">
        <v>254.8</v>
      </c>
      <c r="F139" s="58">
        <v>45663</v>
      </c>
      <c r="G139" s="58">
        <v>45666</v>
      </c>
      <c r="H139" t="s">
        <v>231</v>
      </c>
      <c r="I139" t="s">
        <v>59</v>
      </c>
      <c r="J139">
        <v>3</v>
      </c>
      <c r="K139" t="s">
        <v>103</v>
      </c>
      <c r="L139" t="s">
        <v>124</v>
      </c>
      <c r="M139">
        <f>orders[[#This Row],[Ship Date]]-orders[[#This Row],[Order Date]]</f>
        <v>3</v>
      </c>
      <c r="N139">
        <f>WEEKNUM(orders[[#This Row],[Order Date]],1)</f>
        <v>2</v>
      </c>
      <c r="O139" t="str">
        <f t="array" ref="O139">_xlfn.IFS(orders[[#This Row],[Customer Gender]]="M","Male", orders[[#This Row],[Customer Gender]]="F","Female", orders[[#This Row],[Customer Gender]]="O","Other", TRUE(),"Unknown")</f>
        <v>Female</v>
      </c>
    </row>
    <row r="140" spans="1:15" x14ac:dyDescent="0.25">
      <c r="A140" t="s">
        <v>368</v>
      </c>
      <c r="B140" t="s">
        <v>86</v>
      </c>
      <c r="C140">
        <v>1</v>
      </c>
      <c r="D140">
        <v>19</v>
      </c>
      <c r="E140">
        <v>19</v>
      </c>
      <c r="F140" s="58">
        <v>45663</v>
      </c>
      <c r="G140" s="58">
        <v>45668</v>
      </c>
      <c r="H140" t="s">
        <v>231</v>
      </c>
      <c r="I140" t="s">
        <v>63</v>
      </c>
      <c r="J140">
        <v>5</v>
      </c>
      <c r="K140" t="s">
        <v>103</v>
      </c>
      <c r="L140" t="s">
        <v>124</v>
      </c>
      <c r="M140">
        <f>orders[[#This Row],[Ship Date]]-orders[[#This Row],[Order Date]]</f>
        <v>5</v>
      </c>
      <c r="N140">
        <f>WEEKNUM(orders[[#This Row],[Order Date]],1)</f>
        <v>2</v>
      </c>
      <c r="O140" t="str">
        <f t="array" ref="O140">_xlfn.IFS(orders[[#This Row],[Customer Gender]]="M","Male", orders[[#This Row],[Customer Gender]]="F","Female", orders[[#This Row],[Customer Gender]]="O","Other", TRUE(),"Unknown")</f>
        <v>Female</v>
      </c>
    </row>
    <row r="141" spans="1:15" x14ac:dyDescent="0.25">
      <c r="A141" t="s">
        <v>369</v>
      </c>
      <c r="B141" t="s">
        <v>90</v>
      </c>
      <c r="C141">
        <v>1</v>
      </c>
      <c r="D141">
        <v>17.8</v>
      </c>
      <c r="E141">
        <v>17.8</v>
      </c>
      <c r="F141" s="58">
        <v>45663</v>
      </c>
      <c r="G141" s="58">
        <v>45663</v>
      </c>
      <c r="H141" t="s">
        <v>229</v>
      </c>
      <c r="I141" t="s">
        <v>59</v>
      </c>
      <c r="J141">
        <v>4</v>
      </c>
      <c r="K141" t="s">
        <v>103</v>
      </c>
      <c r="L141" t="s">
        <v>124</v>
      </c>
      <c r="M141">
        <f>orders[[#This Row],[Ship Date]]-orders[[#This Row],[Order Date]]</f>
        <v>0</v>
      </c>
      <c r="N141">
        <f>WEEKNUM(orders[[#This Row],[Order Date]],1)</f>
        <v>2</v>
      </c>
      <c r="O141" t="str">
        <f t="array" ref="O141">_xlfn.IFS(orders[[#This Row],[Customer Gender]]="M","Male", orders[[#This Row],[Customer Gender]]="F","Female", orders[[#This Row],[Customer Gender]]="O","Other", TRUE(),"Unknown")</f>
        <v>Male</v>
      </c>
    </row>
    <row r="142" spans="1:15" x14ac:dyDescent="0.25">
      <c r="A142" t="s">
        <v>370</v>
      </c>
      <c r="B142" t="s">
        <v>87</v>
      </c>
      <c r="C142">
        <v>6</v>
      </c>
      <c r="D142">
        <v>139.6</v>
      </c>
      <c r="E142">
        <v>837.6</v>
      </c>
      <c r="F142" s="58">
        <v>45663</v>
      </c>
      <c r="G142" s="58">
        <v>45666</v>
      </c>
      <c r="H142" t="s">
        <v>229</v>
      </c>
      <c r="I142" t="s">
        <v>59</v>
      </c>
      <c r="J142">
        <v>4</v>
      </c>
      <c r="K142" t="s">
        <v>103</v>
      </c>
      <c r="L142" t="s">
        <v>124</v>
      </c>
      <c r="M142">
        <f>orders[[#This Row],[Ship Date]]-orders[[#This Row],[Order Date]]</f>
        <v>3</v>
      </c>
      <c r="N142">
        <f>WEEKNUM(orders[[#This Row],[Order Date]],1)</f>
        <v>2</v>
      </c>
      <c r="O142" t="str">
        <f t="array" ref="O142">_xlfn.IFS(orders[[#This Row],[Customer Gender]]="M","Male", orders[[#This Row],[Customer Gender]]="F","Female", orders[[#This Row],[Customer Gender]]="O","Other", TRUE(),"Unknown")</f>
        <v>Male</v>
      </c>
    </row>
    <row r="143" spans="1:15" x14ac:dyDescent="0.25">
      <c r="A143" t="s">
        <v>371</v>
      </c>
      <c r="B143" t="s">
        <v>88</v>
      </c>
      <c r="C143">
        <v>1</v>
      </c>
      <c r="D143">
        <v>31.7</v>
      </c>
      <c r="E143">
        <v>31.7</v>
      </c>
      <c r="F143" s="58">
        <v>45663</v>
      </c>
      <c r="G143" s="58">
        <v>45663</v>
      </c>
      <c r="I143" t="s">
        <v>59</v>
      </c>
      <c r="J143">
        <v>4</v>
      </c>
      <c r="K143" t="s">
        <v>103</v>
      </c>
      <c r="L143" t="s">
        <v>124</v>
      </c>
      <c r="M143">
        <f>orders[[#This Row],[Ship Date]]-orders[[#This Row],[Order Date]]</f>
        <v>0</v>
      </c>
      <c r="N143">
        <f>WEEKNUM(orders[[#This Row],[Order Date]],1)</f>
        <v>2</v>
      </c>
      <c r="O143" t="str">
        <f t="array" ref="O143">_xlfn.IFS(orders[[#This Row],[Customer Gender]]="M","Male", orders[[#This Row],[Customer Gender]]="F","Female", orders[[#This Row],[Customer Gender]]="O","Other", TRUE(),"Unknown")</f>
        <v>Unknown</v>
      </c>
    </row>
    <row r="144" spans="1:15" x14ac:dyDescent="0.25">
      <c r="A144" t="s">
        <v>372</v>
      </c>
      <c r="B144" t="s">
        <v>90</v>
      </c>
      <c r="C144">
        <v>8</v>
      </c>
      <c r="D144">
        <v>26.3</v>
      </c>
      <c r="E144">
        <v>210.4</v>
      </c>
      <c r="F144" s="58">
        <v>45663</v>
      </c>
      <c r="G144" s="58">
        <v>45666</v>
      </c>
      <c r="H144" t="s">
        <v>231</v>
      </c>
      <c r="I144" t="s">
        <v>61</v>
      </c>
      <c r="J144">
        <v>2</v>
      </c>
      <c r="K144" t="s">
        <v>103</v>
      </c>
      <c r="L144" t="s">
        <v>124</v>
      </c>
      <c r="M144">
        <f>orders[[#This Row],[Ship Date]]-orders[[#This Row],[Order Date]]</f>
        <v>3</v>
      </c>
      <c r="N144">
        <f>WEEKNUM(orders[[#This Row],[Order Date]],1)</f>
        <v>2</v>
      </c>
      <c r="O144" t="str">
        <f t="array" ref="O144">_xlfn.IFS(orders[[#This Row],[Customer Gender]]="M","Male", orders[[#This Row],[Customer Gender]]="F","Female", orders[[#This Row],[Customer Gender]]="O","Other", TRUE(),"Unknown")</f>
        <v>Female</v>
      </c>
    </row>
    <row r="145" spans="1:15" x14ac:dyDescent="0.25">
      <c r="A145" t="s">
        <v>373</v>
      </c>
      <c r="B145" t="s">
        <v>78</v>
      </c>
      <c r="C145">
        <v>2</v>
      </c>
      <c r="D145">
        <v>47.8</v>
      </c>
      <c r="E145">
        <v>95.6</v>
      </c>
      <c r="F145" s="58">
        <v>45663</v>
      </c>
      <c r="G145" s="58">
        <v>45664</v>
      </c>
      <c r="I145" t="s">
        <v>59</v>
      </c>
      <c r="J145">
        <v>4</v>
      </c>
      <c r="K145" t="s">
        <v>103</v>
      </c>
      <c r="L145" t="s">
        <v>124</v>
      </c>
      <c r="M145">
        <f>orders[[#This Row],[Ship Date]]-orders[[#This Row],[Order Date]]</f>
        <v>1</v>
      </c>
      <c r="N145">
        <f>WEEKNUM(orders[[#This Row],[Order Date]],1)</f>
        <v>2</v>
      </c>
      <c r="O145" t="str">
        <f t="array" ref="O145">_xlfn.IFS(orders[[#This Row],[Customer Gender]]="M","Male", orders[[#This Row],[Customer Gender]]="F","Female", orders[[#This Row],[Customer Gender]]="O","Other", TRUE(),"Unknown")</f>
        <v>Unknown</v>
      </c>
    </row>
    <row r="146" spans="1:15" x14ac:dyDescent="0.25">
      <c r="A146" t="s">
        <v>374</v>
      </c>
      <c r="B146" t="s">
        <v>88</v>
      </c>
      <c r="C146">
        <v>3</v>
      </c>
      <c r="D146">
        <v>69.400000000000006</v>
      </c>
      <c r="E146">
        <v>208.2</v>
      </c>
      <c r="F146" s="58">
        <v>45663</v>
      </c>
      <c r="G146" s="58">
        <v>45667</v>
      </c>
      <c r="H146" t="s">
        <v>231</v>
      </c>
      <c r="I146" t="s">
        <v>59</v>
      </c>
      <c r="J146">
        <v>4</v>
      </c>
      <c r="K146" t="s">
        <v>103</v>
      </c>
      <c r="L146" t="s">
        <v>124</v>
      </c>
      <c r="M146">
        <f>orders[[#This Row],[Ship Date]]-orders[[#This Row],[Order Date]]</f>
        <v>4</v>
      </c>
      <c r="N146">
        <f>WEEKNUM(orders[[#This Row],[Order Date]],1)</f>
        <v>2</v>
      </c>
      <c r="O146" t="str">
        <f t="array" ref="O146">_xlfn.IFS(orders[[#This Row],[Customer Gender]]="M","Male", orders[[#This Row],[Customer Gender]]="F","Female", orders[[#This Row],[Customer Gender]]="O","Other", TRUE(),"Unknown")</f>
        <v>Female</v>
      </c>
    </row>
    <row r="147" spans="1:15" x14ac:dyDescent="0.25">
      <c r="A147" t="s">
        <v>375</v>
      </c>
      <c r="B147" t="s">
        <v>82</v>
      </c>
      <c r="C147">
        <v>12</v>
      </c>
      <c r="D147">
        <v>25.8</v>
      </c>
      <c r="E147">
        <v>309.60000000000002</v>
      </c>
      <c r="F147" s="58">
        <v>45663</v>
      </c>
      <c r="G147" s="58">
        <v>45664</v>
      </c>
      <c r="H147" t="s">
        <v>229</v>
      </c>
      <c r="I147" t="s">
        <v>61</v>
      </c>
      <c r="J147">
        <v>2</v>
      </c>
      <c r="K147" t="s">
        <v>103</v>
      </c>
      <c r="L147" t="s">
        <v>124</v>
      </c>
      <c r="M147">
        <f>orders[[#This Row],[Ship Date]]-orders[[#This Row],[Order Date]]</f>
        <v>1</v>
      </c>
      <c r="N147">
        <f>WEEKNUM(orders[[#This Row],[Order Date]],1)</f>
        <v>2</v>
      </c>
      <c r="O147" t="str">
        <f t="array" ref="O147">_xlfn.IFS(orders[[#This Row],[Customer Gender]]="M","Male", orders[[#This Row],[Customer Gender]]="F","Female", orders[[#This Row],[Customer Gender]]="O","Other", TRUE(),"Unknown")</f>
        <v>Male</v>
      </c>
    </row>
    <row r="148" spans="1:15" x14ac:dyDescent="0.25">
      <c r="A148" t="s">
        <v>376</v>
      </c>
      <c r="B148" t="s">
        <v>86</v>
      </c>
      <c r="C148">
        <v>4</v>
      </c>
      <c r="D148">
        <v>26.4</v>
      </c>
      <c r="E148">
        <v>105.6</v>
      </c>
      <c r="F148" s="58">
        <v>45663</v>
      </c>
      <c r="G148" s="58">
        <v>45664</v>
      </c>
      <c r="H148" t="s">
        <v>229</v>
      </c>
      <c r="I148" t="s">
        <v>63</v>
      </c>
      <c r="J148">
        <v>5</v>
      </c>
      <c r="K148" t="s">
        <v>103</v>
      </c>
      <c r="L148" t="s">
        <v>124</v>
      </c>
      <c r="M148">
        <f>orders[[#This Row],[Ship Date]]-orders[[#This Row],[Order Date]]</f>
        <v>1</v>
      </c>
      <c r="N148">
        <f>WEEKNUM(orders[[#This Row],[Order Date]],1)</f>
        <v>2</v>
      </c>
      <c r="O148" t="str">
        <f t="array" ref="O148">_xlfn.IFS(orders[[#This Row],[Customer Gender]]="M","Male", orders[[#This Row],[Customer Gender]]="F","Female", orders[[#This Row],[Customer Gender]]="O","Other", TRUE(),"Unknown")</f>
        <v>Male</v>
      </c>
    </row>
    <row r="149" spans="1:15" x14ac:dyDescent="0.25">
      <c r="A149" t="s">
        <v>377</v>
      </c>
      <c r="B149" t="s">
        <v>90</v>
      </c>
      <c r="C149">
        <v>4</v>
      </c>
      <c r="D149">
        <v>15.7</v>
      </c>
      <c r="E149">
        <v>62.8</v>
      </c>
      <c r="F149" s="58">
        <v>45663</v>
      </c>
      <c r="G149" s="58">
        <v>45664</v>
      </c>
      <c r="H149" t="s">
        <v>229</v>
      </c>
      <c r="I149" t="s">
        <v>62</v>
      </c>
      <c r="J149">
        <v>4</v>
      </c>
      <c r="K149" t="s">
        <v>103</v>
      </c>
      <c r="L149" t="s">
        <v>124</v>
      </c>
      <c r="M149">
        <f>orders[[#This Row],[Ship Date]]-orders[[#This Row],[Order Date]]</f>
        <v>1</v>
      </c>
      <c r="N149">
        <f>WEEKNUM(orders[[#This Row],[Order Date]],1)</f>
        <v>2</v>
      </c>
      <c r="O149" t="str">
        <f t="array" ref="O149">_xlfn.IFS(orders[[#This Row],[Customer Gender]]="M","Male", orders[[#This Row],[Customer Gender]]="F","Female", orders[[#This Row],[Customer Gender]]="O","Other", TRUE(),"Unknown")</f>
        <v>Male</v>
      </c>
    </row>
    <row r="150" spans="1:15" x14ac:dyDescent="0.25">
      <c r="A150" t="s">
        <v>378</v>
      </c>
      <c r="B150" t="s">
        <v>90</v>
      </c>
      <c r="C150">
        <v>1</v>
      </c>
      <c r="D150">
        <v>39.700000000000003</v>
      </c>
      <c r="E150">
        <v>39.700000000000003</v>
      </c>
      <c r="F150" s="58">
        <v>45663</v>
      </c>
      <c r="G150" s="58">
        <v>45667</v>
      </c>
      <c r="H150" t="s">
        <v>229</v>
      </c>
      <c r="I150" t="s">
        <v>59</v>
      </c>
      <c r="J150">
        <v>4</v>
      </c>
      <c r="K150" t="s">
        <v>103</v>
      </c>
      <c r="L150" t="s">
        <v>124</v>
      </c>
      <c r="M150">
        <f>orders[[#This Row],[Ship Date]]-orders[[#This Row],[Order Date]]</f>
        <v>4</v>
      </c>
      <c r="N150">
        <f>WEEKNUM(orders[[#This Row],[Order Date]],1)</f>
        <v>2</v>
      </c>
      <c r="O150" t="str">
        <f t="array" ref="O150">_xlfn.IFS(orders[[#This Row],[Customer Gender]]="M","Male", orders[[#This Row],[Customer Gender]]="F","Female", orders[[#This Row],[Customer Gender]]="O","Other", TRUE(),"Unknown")</f>
        <v>Male</v>
      </c>
    </row>
    <row r="151" spans="1:15" x14ac:dyDescent="0.25">
      <c r="A151" t="s">
        <v>379</v>
      </c>
      <c r="B151" t="s">
        <v>75</v>
      </c>
      <c r="C151">
        <v>4</v>
      </c>
      <c r="D151">
        <v>31.1</v>
      </c>
      <c r="E151">
        <v>124.4</v>
      </c>
      <c r="F151" s="58">
        <v>45663</v>
      </c>
      <c r="G151" s="58">
        <v>45665</v>
      </c>
      <c r="H151" t="s">
        <v>231</v>
      </c>
      <c r="I151" t="s">
        <v>62</v>
      </c>
      <c r="J151">
        <v>3</v>
      </c>
      <c r="K151" t="s">
        <v>103</v>
      </c>
      <c r="L151" t="s">
        <v>124</v>
      </c>
      <c r="M151">
        <f>orders[[#This Row],[Ship Date]]-orders[[#This Row],[Order Date]]</f>
        <v>2</v>
      </c>
      <c r="N151">
        <f>WEEKNUM(orders[[#This Row],[Order Date]],1)</f>
        <v>2</v>
      </c>
      <c r="O151" t="str">
        <f t="array" ref="O151">_xlfn.IFS(orders[[#This Row],[Customer Gender]]="M","Male", orders[[#This Row],[Customer Gender]]="F","Female", orders[[#This Row],[Customer Gender]]="O","Other", TRUE(),"Unknown")</f>
        <v>Female</v>
      </c>
    </row>
    <row r="152" spans="1:15" x14ac:dyDescent="0.25">
      <c r="A152" t="s">
        <v>380</v>
      </c>
      <c r="B152" t="s">
        <v>92</v>
      </c>
      <c r="C152">
        <v>15</v>
      </c>
      <c r="D152">
        <v>23.4</v>
      </c>
      <c r="E152">
        <v>351</v>
      </c>
      <c r="F152" s="58">
        <v>45663</v>
      </c>
      <c r="G152" s="58">
        <v>45672</v>
      </c>
      <c r="H152" t="s">
        <v>229</v>
      </c>
      <c r="I152" t="s">
        <v>59</v>
      </c>
      <c r="J152">
        <v>4</v>
      </c>
      <c r="K152" t="s">
        <v>103</v>
      </c>
      <c r="L152" t="s">
        <v>124</v>
      </c>
      <c r="M152">
        <f>orders[[#This Row],[Ship Date]]-orders[[#This Row],[Order Date]]</f>
        <v>9</v>
      </c>
      <c r="N152">
        <f>WEEKNUM(orders[[#This Row],[Order Date]],1)</f>
        <v>2</v>
      </c>
      <c r="O152" t="str">
        <f t="array" ref="O152">_xlfn.IFS(orders[[#This Row],[Customer Gender]]="M","Male", orders[[#This Row],[Customer Gender]]="F","Female", orders[[#This Row],[Customer Gender]]="O","Other", TRUE(),"Unknown")</f>
        <v>Male</v>
      </c>
    </row>
    <row r="153" spans="1:15" x14ac:dyDescent="0.25">
      <c r="A153" t="s">
        <v>381</v>
      </c>
      <c r="B153" t="s">
        <v>91</v>
      </c>
      <c r="C153">
        <v>4</v>
      </c>
      <c r="D153">
        <v>57.1</v>
      </c>
      <c r="E153">
        <v>228.4</v>
      </c>
      <c r="F153" s="58">
        <v>45664</v>
      </c>
      <c r="G153" s="58">
        <v>45665</v>
      </c>
      <c r="H153" t="s">
        <v>229</v>
      </c>
      <c r="I153" t="s">
        <v>62</v>
      </c>
      <c r="J153">
        <v>4</v>
      </c>
      <c r="K153" t="s">
        <v>103</v>
      </c>
      <c r="L153" t="s">
        <v>135</v>
      </c>
      <c r="M153">
        <f>orders[[#This Row],[Ship Date]]-orders[[#This Row],[Order Date]]</f>
        <v>1</v>
      </c>
      <c r="N153">
        <f>WEEKNUM(orders[[#This Row],[Order Date]],1)</f>
        <v>2</v>
      </c>
      <c r="O153" t="str">
        <f t="array" ref="O153">_xlfn.IFS(orders[[#This Row],[Customer Gender]]="M","Male", orders[[#This Row],[Customer Gender]]="F","Female", orders[[#This Row],[Customer Gender]]="O","Other", TRUE(),"Unknown")</f>
        <v>Male</v>
      </c>
    </row>
    <row r="154" spans="1:15" x14ac:dyDescent="0.25">
      <c r="A154" t="s">
        <v>382</v>
      </c>
      <c r="B154" t="s">
        <v>87</v>
      </c>
      <c r="C154">
        <v>5</v>
      </c>
      <c r="D154">
        <v>89.9</v>
      </c>
      <c r="E154">
        <v>449.5</v>
      </c>
      <c r="F154" s="58">
        <v>45664</v>
      </c>
      <c r="G154" s="58">
        <v>45664</v>
      </c>
      <c r="H154" t="s">
        <v>231</v>
      </c>
      <c r="I154" t="s">
        <v>59</v>
      </c>
      <c r="J154">
        <v>1</v>
      </c>
      <c r="K154" t="s">
        <v>103</v>
      </c>
      <c r="L154" t="s">
        <v>138</v>
      </c>
      <c r="M154">
        <f>orders[[#This Row],[Ship Date]]-orders[[#This Row],[Order Date]]</f>
        <v>0</v>
      </c>
      <c r="N154">
        <f>WEEKNUM(orders[[#This Row],[Order Date]],1)</f>
        <v>2</v>
      </c>
      <c r="O154" t="str">
        <f t="array" ref="O154">_xlfn.IFS(orders[[#This Row],[Customer Gender]]="M","Male", orders[[#This Row],[Customer Gender]]="F","Female", orders[[#This Row],[Customer Gender]]="O","Other", TRUE(),"Unknown")</f>
        <v>Female</v>
      </c>
    </row>
    <row r="155" spans="1:15" x14ac:dyDescent="0.25">
      <c r="A155" t="s">
        <v>383</v>
      </c>
      <c r="B155" t="s">
        <v>75</v>
      </c>
      <c r="C155">
        <v>7</v>
      </c>
      <c r="D155">
        <v>48.1</v>
      </c>
      <c r="E155">
        <v>336.7</v>
      </c>
      <c r="F155" s="58">
        <v>45664</v>
      </c>
      <c r="G155" s="58">
        <v>45666</v>
      </c>
      <c r="H155" t="s">
        <v>231</v>
      </c>
      <c r="I155" t="s">
        <v>63</v>
      </c>
      <c r="J155">
        <v>5</v>
      </c>
      <c r="K155" t="s">
        <v>103</v>
      </c>
      <c r="L155" t="s">
        <v>139</v>
      </c>
      <c r="M155">
        <f>orders[[#This Row],[Ship Date]]-orders[[#This Row],[Order Date]]</f>
        <v>2</v>
      </c>
      <c r="N155">
        <f>WEEKNUM(orders[[#This Row],[Order Date]],1)</f>
        <v>2</v>
      </c>
      <c r="O155" t="str">
        <f t="array" ref="O155">_xlfn.IFS(orders[[#This Row],[Customer Gender]]="M","Male", orders[[#This Row],[Customer Gender]]="F","Female", orders[[#This Row],[Customer Gender]]="O","Other", TRUE(),"Unknown")</f>
        <v>Female</v>
      </c>
    </row>
    <row r="156" spans="1:15" x14ac:dyDescent="0.25">
      <c r="A156" t="s">
        <v>384</v>
      </c>
      <c r="B156" t="s">
        <v>90</v>
      </c>
      <c r="C156">
        <v>2</v>
      </c>
      <c r="D156">
        <v>29.3</v>
      </c>
      <c r="E156">
        <v>58.6</v>
      </c>
      <c r="F156" s="58">
        <v>45664</v>
      </c>
      <c r="G156" s="58">
        <v>45664</v>
      </c>
      <c r="H156" t="s">
        <v>231</v>
      </c>
      <c r="I156" t="s">
        <v>63</v>
      </c>
      <c r="J156">
        <v>3</v>
      </c>
      <c r="K156" t="s">
        <v>103</v>
      </c>
      <c r="L156" t="s">
        <v>139</v>
      </c>
      <c r="M156">
        <f>orders[[#This Row],[Ship Date]]-orders[[#This Row],[Order Date]]</f>
        <v>0</v>
      </c>
      <c r="N156">
        <f>WEEKNUM(orders[[#This Row],[Order Date]],1)</f>
        <v>2</v>
      </c>
      <c r="O156" t="str">
        <f t="array" ref="O156">_xlfn.IFS(orders[[#This Row],[Customer Gender]]="M","Male", orders[[#This Row],[Customer Gender]]="F","Female", orders[[#This Row],[Customer Gender]]="O","Other", TRUE(),"Unknown")</f>
        <v>Female</v>
      </c>
    </row>
    <row r="157" spans="1:15" x14ac:dyDescent="0.25">
      <c r="A157" t="s">
        <v>385</v>
      </c>
      <c r="B157" t="s">
        <v>90</v>
      </c>
      <c r="C157">
        <v>4</v>
      </c>
      <c r="D157">
        <v>28.8</v>
      </c>
      <c r="E157">
        <v>115.2</v>
      </c>
      <c r="F157" s="58">
        <v>45664</v>
      </c>
      <c r="G157" s="58">
        <v>45665</v>
      </c>
      <c r="H157" t="s">
        <v>231</v>
      </c>
      <c r="I157" t="s">
        <v>59</v>
      </c>
      <c r="J157">
        <v>2</v>
      </c>
      <c r="K157" t="s">
        <v>103</v>
      </c>
      <c r="L157" t="s">
        <v>139</v>
      </c>
      <c r="M157">
        <f>orders[[#This Row],[Ship Date]]-orders[[#This Row],[Order Date]]</f>
        <v>1</v>
      </c>
      <c r="N157">
        <f>WEEKNUM(orders[[#This Row],[Order Date]],1)</f>
        <v>2</v>
      </c>
      <c r="O157" t="str">
        <f t="array" ref="O157">_xlfn.IFS(orders[[#This Row],[Customer Gender]]="M","Male", orders[[#This Row],[Customer Gender]]="F","Female", orders[[#This Row],[Customer Gender]]="O","Other", TRUE(),"Unknown")</f>
        <v>Female</v>
      </c>
    </row>
    <row r="158" spans="1:15" x14ac:dyDescent="0.25">
      <c r="A158" t="s">
        <v>386</v>
      </c>
      <c r="B158" t="s">
        <v>75</v>
      </c>
      <c r="C158">
        <v>5</v>
      </c>
      <c r="D158">
        <v>40.5</v>
      </c>
      <c r="E158">
        <v>202.5</v>
      </c>
      <c r="F158" s="58">
        <v>45664</v>
      </c>
      <c r="G158" s="58">
        <v>45668</v>
      </c>
      <c r="H158" t="s">
        <v>231</v>
      </c>
      <c r="I158" t="s">
        <v>60</v>
      </c>
      <c r="J158">
        <v>4</v>
      </c>
      <c r="K158" t="s">
        <v>103</v>
      </c>
      <c r="L158" t="s">
        <v>139</v>
      </c>
      <c r="M158">
        <f>orders[[#This Row],[Ship Date]]-orders[[#This Row],[Order Date]]</f>
        <v>4</v>
      </c>
      <c r="N158">
        <f>WEEKNUM(orders[[#This Row],[Order Date]],1)</f>
        <v>2</v>
      </c>
      <c r="O158" t="str">
        <f t="array" ref="O158">_xlfn.IFS(orders[[#This Row],[Customer Gender]]="M","Male", orders[[#This Row],[Customer Gender]]="F","Female", orders[[#This Row],[Customer Gender]]="O","Other", TRUE(),"Unknown")</f>
        <v>Female</v>
      </c>
    </row>
    <row r="159" spans="1:15" x14ac:dyDescent="0.25">
      <c r="A159" t="s">
        <v>387</v>
      </c>
      <c r="B159" t="s">
        <v>82</v>
      </c>
      <c r="C159">
        <v>14</v>
      </c>
      <c r="D159">
        <v>65.099999999999994</v>
      </c>
      <c r="E159">
        <v>911.4</v>
      </c>
      <c r="F159" s="58">
        <v>45664</v>
      </c>
      <c r="G159" s="58">
        <v>45665</v>
      </c>
      <c r="H159" t="s">
        <v>231</v>
      </c>
      <c r="I159" t="s">
        <v>61</v>
      </c>
      <c r="J159">
        <v>4</v>
      </c>
      <c r="K159" t="s">
        <v>103</v>
      </c>
      <c r="L159" t="s">
        <v>141</v>
      </c>
      <c r="M159">
        <f>orders[[#This Row],[Ship Date]]-orders[[#This Row],[Order Date]]</f>
        <v>1</v>
      </c>
      <c r="N159">
        <f>WEEKNUM(orders[[#This Row],[Order Date]],1)</f>
        <v>2</v>
      </c>
      <c r="O159" t="str">
        <f t="array" ref="O159">_xlfn.IFS(orders[[#This Row],[Customer Gender]]="M","Male", orders[[#This Row],[Customer Gender]]="F","Female", orders[[#This Row],[Customer Gender]]="O","Other", TRUE(),"Unknown")</f>
        <v>Female</v>
      </c>
    </row>
    <row r="160" spans="1:15" x14ac:dyDescent="0.25">
      <c r="A160" t="s">
        <v>388</v>
      </c>
      <c r="B160" t="s">
        <v>90</v>
      </c>
      <c r="C160">
        <v>4</v>
      </c>
      <c r="D160">
        <v>40.299999999999997</v>
      </c>
      <c r="E160">
        <v>161.19999999999999</v>
      </c>
      <c r="F160" s="58">
        <v>45664</v>
      </c>
      <c r="G160" s="58">
        <v>45669</v>
      </c>
      <c r="H160" t="s">
        <v>231</v>
      </c>
      <c r="I160" t="s">
        <v>62</v>
      </c>
      <c r="J160">
        <v>4</v>
      </c>
      <c r="K160" t="s">
        <v>103</v>
      </c>
      <c r="L160" t="s">
        <v>141</v>
      </c>
      <c r="M160">
        <f>orders[[#This Row],[Ship Date]]-orders[[#This Row],[Order Date]]</f>
        <v>5</v>
      </c>
      <c r="N160">
        <f>WEEKNUM(orders[[#This Row],[Order Date]],1)</f>
        <v>2</v>
      </c>
      <c r="O160" t="str">
        <f t="array" ref="O160">_xlfn.IFS(orders[[#This Row],[Customer Gender]]="M","Male", orders[[#This Row],[Customer Gender]]="F","Female", orders[[#This Row],[Customer Gender]]="O","Other", TRUE(),"Unknown")</f>
        <v>Female</v>
      </c>
    </row>
    <row r="161" spans="1:15" x14ac:dyDescent="0.25">
      <c r="A161" t="s">
        <v>389</v>
      </c>
      <c r="B161" t="s">
        <v>80</v>
      </c>
      <c r="C161">
        <v>5</v>
      </c>
      <c r="D161">
        <v>51.8</v>
      </c>
      <c r="E161">
        <v>259</v>
      </c>
      <c r="F161" s="58">
        <v>45664</v>
      </c>
      <c r="G161" s="58">
        <v>45665</v>
      </c>
      <c r="H161" t="s">
        <v>229</v>
      </c>
      <c r="I161" t="s">
        <v>62</v>
      </c>
      <c r="J161">
        <v>5</v>
      </c>
      <c r="K161" t="s">
        <v>103</v>
      </c>
      <c r="L161" t="s">
        <v>142</v>
      </c>
      <c r="M161">
        <f>orders[[#This Row],[Ship Date]]-orders[[#This Row],[Order Date]]</f>
        <v>1</v>
      </c>
      <c r="N161">
        <f>WEEKNUM(orders[[#This Row],[Order Date]],1)</f>
        <v>2</v>
      </c>
      <c r="O161" t="str">
        <f t="array" ref="O161">_xlfn.IFS(orders[[#This Row],[Customer Gender]]="M","Male", orders[[#This Row],[Customer Gender]]="F","Female", orders[[#This Row],[Customer Gender]]="O","Other", TRUE(),"Unknown")</f>
        <v>Male</v>
      </c>
    </row>
    <row r="162" spans="1:15" x14ac:dyDescent="0.25">
      <c r="A162" t="s">
        <v>390</v>
      </c>
      <c r="B162" t="s">
        <v>80</v>
      </c>
      <c r="C162">
        <v>3</v>
      </c>
      <c r="D162">
        <v>61.3</v>
      </c>
      <c r="E162">
        <v>183.9</v>
      </c>
      <c r="F162" s="58">
        <v>45664</v>
      </c>
      <c r="G162" s="58">
        <v>45665</v>
      </c>
      <c r="H162" t="s">
        <v>231</v>
      </c>
      <c r="I162" t="s">
        <v>60</v>
      </c>
      <c r="J162">
        <v>4</v>
      </c>
      <c r="K162" t="s">
        <v>103</v>
      </c>
      <c r="L162" t="s">
        <v>142</v>
      </c>
      <c r="M162">
        <f>orders[[#This Row],[Ship Date]]-orders[[#This Row],[Order Date]]</f>
        <v>1</v>
      </c>
      <c r="N162">
        <f>WEEKNUM(orders[[#This Row],[Order Date]],1)</f>
        <v>2</v>
      </c>
      <c r="O162" t="str">
        <f t="array" ref="O162">_xlfn.IFS(orders[[#This Row],[Customer Gender]]="M","Male", orders[[#This Row],[Customer Gender]]="F","Female", orders[[#This Row],[Customer Gender]]="O","Other", TRUE(),"Unknown")</f>
        <v>Female</v>
      </c>
    </row>
    <row r="163" spans="1:15" x14ac:dyDescent="0.25">
      <c r="A163" t="s">
        <v>391</v>
      </c>
      <c r="B163" t="s">
        <v>87</v>
      </c>
      <c r="C163">
        <v>4</v>
      </c>
      <c r="D163">
        <v>122.5</v>
      </c>
      <c r="E163">
        <v>490</v>
      </c>
      <c r="F163" s="58">
        <v>45664</v>
      </c>
      <c r="G163" s="58">
        <v>45665</v>
      </c>
      <c r="H163" t="s">
        <v>229</v>
      </c>
      <c r="I163" t="s">
        <v>59</v>
      </c>
      <c r="J163">
        <v>4</v>
      </c>
      <c r="K163" t="s">
        <v>103</v>
      </c>
      <c r="L163" t="s">
        <v>142</v>
      </c>
      <c r="M163">
        <f>orders[[#This Row],[Ship Date]]-orders[[#This Row],[Order Date]]</f>
        <v>1</v>
      </c>
      <c r="N163">
        <f>WEEKNUM(orders[[#This Row],[Order Date]],1)</f>
        <v>2</v>
      </c>
      <c r="O163" t="str">
        <f t="array" ref="O163">_xlfn.IFS(orders[[#This Row],[Customer Gender]]="M","Male", orders[[#This Row],[Customer Gender]]="F","Female", orders[[#This Row],[Customer Gender]]="O","Other", TRUE(),"Unknown")</f>
        <v>Male</v>
      </c>
    </row>
    <row r="164" spans="1:15" x14ac:dyDescent="0.25">
      <c r="A164" t="s">
        <v>392</v>
      </c>
      <c r="B164" t="s">
        <v>86</v>
      </c>
      <c r="C164">
        <v>9</v>
      </c>
      <c r="D164">
        <v>12.5</v>
      </c>
      <c r="E164">
        <v>112.5</v>
      </c>
      <c r="F164" s="58">
        <v>45664</v>
      </c>
      <c r="G164" s="58">
        <v>45665</v>
      </c>
      <c r="I164" t="s">
        <v>63</v>
      </c>
      <c r="J164">
        <v>5</v>
      </c>
      <c r="K164" t="s">
        <v>103</v>
      </c>
      <c r="L164" t="s">
        <v>142</v>
      </c>
      <c r="M164">
        <f>orders[[#This Row],[Ship Date]]-orders[[#This Row],[Order Date]]</f>
        <v>1</v>
      </c>
      <c r="N164">
        <f>WEEKNUM(orders[[#This Row],[Order Date]],1)</f>
        <v>2</v>
      </c>
      <c r="O164" t="str">
        <f t="array" ref="O164">_xlfn.IFS(orders[[#This Row],[Customer Gender]]="M","Male", orders[[#This Row],[Customer Gender]]="F","Female", orders[[#This Row],[Customer Gender]]="O","Other", TRUE(),"Unknown")</f>
        <v>Unknown</v>
      </c>
    </row>
    <row r="165" spans="1:15" x14ac:dyDescent="0.25">
      <c r="A165" t="s">
        <v>393</v>
      </c>
      <c r="B165" t="s">
        <v>77</v>
      </c>
      <c r="C165">
        <v>8</v>
      </c>
      <c r="D165">
        <v>37.5</v>
      </c>
      <c r="E165">
        <v>300</v>
      </c>
      <c r="F165" s="58">
        <v>45664</v>
      </c>
      <c r="G165" s="58">
        <v>45665</v>
      </c>
      <c r="H165" t="s">
        <v>231</v>
      </c>
      <c r="I165" t="s">
        <v>59</v>
      </c>
      <c r="J165">
        <v>4</v>
      </c>
      <c r="K165" t="s">
        <v>103</v>
      </c>
      <c r="L165" t="s">
        <v>146</v>
      </c>
      <c r="M165">
        <f>orders[[#This Row],[Ship Date]]-orders[[#This Row],[Order Date]]</f>
        <v>1</v>
      </c>
      <c r="N165">
        <f>WEEKNUM(orders[[#This Row],[Order Date]],1)</f>
        <v>2</v>
      </c>
      <c r="O165" t="str">
        <f t="array" ref="O165">_xlfn.IFS(orders[[#This Row],[Customer Gender]]="M","Male", orders[[#This Row],[Customer Gender]]="F","Female", orders[[#This Row],[Customer Gender]]="O","Other", TRUE(),"Unknown")</f>
        <v>Female</v>
      </c>
    </row>
    <row r="166" spans="1:15" x14ac:dyDescent="0.25">
      <c r="A166" t="s">
        <v>394</v>
      </c>
      <c r="B166" t="s">
        <v>80</v>
      </c>
      <c r="C166">
        <v>3</v>
      </c>
      <c r="D166">
        <v>40</v>
      </c>
      <c r="E166">
        <v>120</v>
      </c>
      <c r="F166" s="58">
        <v>45664</v>
      </c>
      <c r="G166" s="58">
        <v>45667</v>
      </c>
      <c r="H166" t="s">
        <v>229</v>
      </c>
      <c r="I166" t="s">
        <v>59</v>
      </c>
      <c r="J166">
        <v>2</v>
      </c>
      <c r="K166" t="s">
        <v>103</v>
      </c>
      <c r="L166" t="s">
        <v>148</v>
      </c>
      <c r="M166">
        <f>orders[[#This Row],[Ship Date]]-orders[[#This Row],[Order Date]]</f>
        <v>3</v>
      </c>
      <c r="N166">
        <f>WEEKNUM(orders[[#This Row],[Order Date]],1)</f>
        <v>2</v>
      </c>
      <c r="O166" t="str">
        <f t="array" ref="O166">_xlfn.IFS(orders[[#This Row],[Customer Gender]]="M","Male", orders[[#This Row],[Customer Gender]]="F","Female", orders[[#This Row],[Customer Gender]]="O","Other", TRUE(),"Unknown")</f>
        <v>Male</v>
      </c>
    </row>
    <row r="167" spans="1:15" x14ac:dyDescent="0.25">
      <c r="A167" t="s">
        <v>395</v>
      </c>
      <c r="B167" t="s">
        <v>84</v>
      </c>
      <c r="C167">
        <v>8</v>
      </c>
      <c r="D167">
        <v>38.5</v>
      </c>
      <c r="E167">
        <v>308</v>
      </c>
      <c r="F167" s="58">
        <v>45664</v>
      </c>
      <c r="G167" s="58">
        <v>45669</v>
      </c>
      <c r="H167" t="s">
        <v>231</v>
      </c>
      <c r="I167" t="s">
        <v>62</v>
      </c>
      <c r="J167">
        <v>3</v>
      </c>
      <c r="K167" t="s">
        <v>103</v>
      </c>
      <c r="L167" t="s">
        <v>148</v>
      </c>
      <c r="M167">
        <f>orders[[#This Row],[Ship Date]]-orders[[#This Row],[Order Date]]</f>
        <v>5</v>
      </c>
      <c r="N167">
        <f>WEEKNUM(orders[[#This Row],[Order Date]],1)</f>
        <v>2</v>
      </c>
      <c r="O167" t="str">
        <f t="array" ref="O167">_xlfn.IFS(orders[[#This Row],[Customer Gender]]="M","Male", orders[[#This Row],[Customer Gender]]="F","Female", orders[[#This Row],[Customer Gender]]="O","Other", TRUE(),"Unknown")</f>
        <v>Female</v>
      </c>
    </row>
    <row r="168" spans="1:15" x14ac:dyDescent="0.25">
      <c r="A168" t="s">
        <v>396</v>
      </c>
      <c r="B168" t="s">
        <v>87</v>
      </c>
      <c r="C168">
        <v>2</v>
      </c>
      <c r="D168">
        <v>86.4</v>
      </c>
      <c r="E168">
        <v>172.8</v>
      </c>
      <c r="F168" s="58">
        <v>45664</v>
      </c>
      <c r="G168" s="58">
        <v>45666</v>
      </c>
      <c r="H168" t="s">
        <v>231</v>
      </c>
      <c r="I168" t="s">
        <v>59</v>
      </c>
      <c r="J168">
        <v>4</v>
      </c>
      <c r="K168" t="s">
        <v>103</v>
      </c>
      <c r="L168" t="s">
        <v>154</v>
      </c>
      <c r="M168">
        <f>orders[[#This Row],[Ship Date]]-orders[[#This Row],[Order Date]]</f>
        <v>2</v>
      </c>
      <c r="N168">
        <f>WEEKNUM(orders[[#This Row],[Order Date]],1)</f>
        <v>2</v>
      </c>
      <c r="O168" t="str">
        <f t="array" ref="O168">_xlfn.IFS(orders[[#This Row],[Customer Gender]]="M","Male", orders[[#This Row],[Customer Gender]]="F","Female", orders[[#This Row],[Customer Gender]]="O","Other", TRUE(),"Unknown")</f>
        <v>Female</v>
      </c>
    </row>
    <row r="169" spans="1:15" x14ac:dyDescent="0.25">
      <c r="A169" t="s">
        <v>397</v>
      </c>
      <c r="B169" t="s">
        <v>75</v>
      </c>
      <c r="C169">
        <v>1</v>
      </c>
      <c r="D169">
        <v>50.7</v>
      </c>
      <c r="E169">
        <v>50.7</v>
      </c>
      <c r="F169" s="58">
        <v>45664</v>
      </c>
      <c r="G169" s="58">
        <v>45668</v>
      </c>
      <c r="H169" t="s">
        <v>231</v>
      </c>
      <c r="I169" t="s">
        <v>63</v>
      </c>
      <c r="J169">
        <v>4</v>
      </c>
      <c r="K169" t="s">
        <v>103</v>
      </c>
      <c r="L169" t="s">
        <v>154</v>
      </c>
      <c r="M169">
        <f>orders[[#This Row],[Ship Date]]-orders[[#This Row],[Order Date]]</f>
        <v>4</v>
      </c>
      <c r="N169">
        <f>WEEKNUM(orders[[#This Row],[Order Date]],1)</f>
        <v>2</v>
      </c>
      <c r="O169" t="str">
        <f t="array" ref="O169">_xlfn.IFS(orders[[#This Row],[Customer Gender]]="M","Male", orders[[#This Row],[Customer Gender]]="F","Female", orders[[#This Row],[Customer Gender]]="O","Other", TRUE(),"Unknown")</f>
        <v>Female</v>
      </c>
    </row>
    <row r="170" spans="1:15" x14ac:dyDescent="0.25">
      <c r="A170" t="s">
        <v>398</v>
      </c>
      <c r="B170" t="s">
        <v>75</v>
      </c>
      <c r="C170">
        <v>2</v>
      </c>
      <c r="D170">
        <v>61</v>
      </c>
      <c r="E170">
        <v>122</v>
      </c>
      <c r="F170" s="58">
        <v>45664</v>
      </c>
      <c r="G170" s="58">
        <v>45675</v>
      </c>
      <c r="H170" t="s">
        <v>231</v>
      </c>
      <c r="I170" t="s">
        <v>61</v>
      </c>
      <c r="J170">
        <v>3</v>
      </c>
      <c r="K170" t="s">
        <v>103</v>
      </c>
      <c r="L170" t="s">
        <v>154</v>
      </c>
      <c r="M170">
        <f>orders[[#This Row],[Ship Date]]-orders[[#This Row],[Order Date]]</f>
        <v>11</v>
      </c>
      <c r="N170">
        <f>WEEKNUM(orders[[#This Row],[Order Date]],1)</f>
        <v>2</v>
      </c>
      <c r="O170" t="str">
        <f t="array" ref="O170">_xlfn.IFS(orders[[#This Row],[Customer Gender]]="M","Male", orders[[#This Row],[Customer Gender]]="F","Female", orders[[#This Row],[Customer Gender]]="O","Other", TRUE(),"Unknown")</f>
        <v>Female</v>
      </c>
    </row>
    <row r="171" spans="1:15" x14ac:dyDescent="0.25">
      <c r="A171" t="s">
        <v>399</v>
      </c>
      <c r="B171" t="s">
        <v>78</v>
      </c>
      <c r="C171">
        <v>2</v>
      </c>
      <c r="D171">
        <v>19.899999999999999</v>
      </c>
      <c r="E171">
        <v>39.799999999999997</v>
      </c>
      <c r="F171" s="58">
        <v>45664</v>
      </c>
      <c r="G171" s="58">
        <v>45667</v>
      </c>
      <c r="H171" t="s">
        <v>231</v>
      </c>
      <c r="I171" t="s">
        <v>63</v>
      </c>
      <c r="J171">
        <v>4</v>
      </c>
      <c r="K171" t="s">
        <v>103</v>
      </c>
      <c r="L171" t="s">
        <v>162</v>
      </c>
      <c r="M171">
        <f>orders[[#This Row],[Ship Date]]-orders[[#This Row],[Order Date]]</f>
        <v>3</v>
      </c>
      <c r="N171">
        <f>WEEKNUM(orders[[#This Row],[Order Date]],1)</f>
        <v>2</v>
      </c>
      <c r="O171" t="str">
        <f t="array" ref="O171">_xlfn.IFS(orders[[#This Row],[Customer Gender]]="M","Male", orders[[#This Row],[Customer Gender]]="F","Female", orders[[#This Row],[Customer Gender]]="O","Other", TRUE(),"Unknown")</f>
        <v>Female</v>
      </c>
    </row>
    <row r="172" spans="1:15" x14ac:dyDescent="0.25">
      <c r="A172" t="s">
        <v>400</v>
      </c>
      <c r="B172" t="s">
        <v>85</v>
      </c>
      <c r="C172">
        <v>1</v>
      </c>
      <c r="D172">
        <v>78.3</v>
      </c>
      <c r="E172">
        <v>78.3</v>
      </c>
      <c r="F172" s="58">
        <v>45664</v>
      </c>
      <c r="G172" s="58">
        <v>45664</v>
      </c>
      <c r="H172" t="s">
        <v>231</v>
      </c>
      <c r="I172" t="s">
        <v>59</v>
      </c>
      <c r="J172">
        <v>5</v>
      </c>
      <c r="K172" t="s">
        <v>103</v>
      </c>
      <c r="L172" t="s">
        <v>112</v>
      </c>
      <c r="M172">
        <f>orders[[#This Row],[Ship Date]]-orders[[#This Row],[Order Date]]</f>
        <v>0</v>
      </c>
      <c r="N172">
        <f>WEEKNUM(orders[[#This Row],[Order Date]],1)</f>
        <v>2</v>
      </c>
      <c r="O172" t="str">
        <f t="array" ref="O172">_xlfn.IFS(orders[[#This Row],[Customer Gender]]="M","Male", orders[[#This Row],[Customer Gender]]="F","Female", orders[[#This Row],[Customer Gender]]="O","Other", TRUE(),"Unknown")</f>
        <v>Female</v>
      </c>
    </row>
    <row r="173" spans="1:15" x14ac:dyDescent="0.25">
      <c r="A173" t="s">
        <v>401</v>
      </c>
      <c r="B173" t="s">
        <v>86</v>
      </c>
      <c r="C173">
        <v>19</v>
      </c>
      <c r="D173">
        <v>10.4</v>
      </c>
      <c r="E173">
        <v>197.6</v>
      </c>
      <c r="F173" s="58">
        <v>45664</v>
      </c>
      <c r="G173" s="58">
        <v>45666</v>
      </c>
      <c r="H173" t="s">
        <v>229</v>
      </c>
      <c r="I173" t="s">
        <v>59</v>
      </c>
      <c r="J173">
        <v>5</v>
      </c>
      <c r="K173" t="s">
        <v>103</v>
      </c>
      <c r="L173" t="s">
        <v>115</v>
      </c>
      <c r="M173">
        <f>orders[[#This Row],[Ship Date]]-orders[[#This Row],[Order Date]]</f>
        <v>2</v>
      </c>
      <c r="N173">
        <f>WEEKNUM(orders[[#This Row],[Order Date]],1)</f>
        <v>2</v>
      </c>
      <c r="O173" t="str">
        <f t="array" ref="O173">_xlfn.IFS(orders[[#This Row],[Customer Gender]]="M","Male", orders[[#This Row],[Customer Gender]]="F","Female", orders[[#This Row],[Customer Gender]]="O","Other", TRUE(),"Unknown")</f>
        <v>Male</v>
      </c>
    </row>
    <row r="174" spans="1:15" x14ac:dyDescent="0.25">
      <c r="A174" t="s">
        <v>402</v>
      </c>
      <c r="B174" t="s">
        <v>75</v>
      </c>
      <c r="C174">
        <v>1</v>
      </c>
      <c r="D174">
        <v>36.1</v>
      </c>
      <c r="E174">
        <v>36.1</v>
      </c>
      <c r="F174" s="58">
        <v>45664</v>
      </c>
      <c r="G174" s="58">
        <v>45667</v>
      </c>
      <c r="H174" t="s">
        <v>229</v>
      </c>
      <c r="I174" t="s">
        <v>60</v>
      </c>
      <c r="J174">
        <v>5</v>
      </c>
      <c r="K174" t="s">
        <v>103</v>
      </c>
      <c r="L174" t="s">
        <v>124</v>
      </c>
      <c r="M174">
        <f>orders[[#This Row],[Ship Date]]-orders[[#This Row],[Order Date]]</f>
        <v>3</v>
      </c>
      <c r="N174">
        <f>WEEKNUM(orders[[#This Row],[Order Date]],1)</f>
        <v>2</v>
      </c>
      <c r="O174" t="str">
        <f t="array" ref="O174">_xlfn.IFS(orders[[#This Row],[Customer Gender]]="M","Male", orders[[#This Row],[Customer Gender]]="F","Female", orders[[#This Row],[Customer Gender]]="O","Other", TRUE(),"Unknown")</f>
        <v>Male</v>
      </c>
    </row>
    <row r="175" spans="1:15" x14ac:dyDescent="0.25">
      <c r="A175" t="s">
        <v>403</v>
      </c>
      <c r="B175" t="s">
        <v>74</v>
      </c>
      <c r="C175">
        <v>2</v>
      </c>
      <c r="D175">
        <v>17.3</v>
      </c>
      <c r="E175">
        <v>34.6</v>
      </c>
      <c r="F175" s="58">
        <v>45664</v>
      </c>
      <c r="G175" s="58">
        <v>45666</v>
      </c>
      <c r="H175" t="s">
        <v>231</v>
      </c>
      <c r="I175" t="s">
        <v>63</v>
      </c>
      <c r="J175">
        <v>5</v>
      </c>
      <c r="K175" t="s">
        <v>103</v>
      </c>
      <c r="L175" t="s">
        <v>124</v>
      </c>
      <c r="M175">
        <f>orders[[#This Row],[Ship Date]]-orders[[#This Row],[Order Date]]</f>
        <v>2</v>
      </c>
      <c r="N175">
        <f>WEEKNUM(orders[[#This Row],[Order Date]],1)</f>
        <v>2</v>
      </c>
      <c r="O175" t="str">
        <f t="array" ref="O175">_xlfn.IFS(orders[[#This Row],[Customer Gender]]="M","Male", orders[[#This Row],[Customer Gender]]="F","Female", orders[[#This Row],[Customer Gender]]="O","Other", TRUE(),"Unknown")</f>
        <v>Female</v>
      </c>
    </row>
    <row r="176" spans="1:15" x14ac:dyDescent="0.25">
      <c r="A176" t="s">
        <v>404</v>
      </c>
      <c r="B176" t="s">
        <v>75</v>
      </c>
      <c r="C176">
        <v>2</v>
      </c>
      <c r="D176">
        <v>30.5</v>
      </c>
      <c r="E176">
        <v>61</v>
      </c>
      <c r="F176" s="58">
        <v>45664</v>
      </c>
      <c r="G176" s="58">
        <v>45665</v>
      </c>
      <c r="H176" t="s">
        <v>231</v>
      </c>
      <c r="I176" t="s">
        <v>63</v>
      </c>
      <c r="J176">
        <v>5</v>
      </c>
      <c r="K176" t="s">
        <v>103</v>
      </c>
      <c r="L176" t="s">
        <v>124</v>
      </c>
      <c r="M176">
        <f>orders[[#This Row],[Ship Date]]-orders[[#This Row],[Order Date]]</f>
        <v>1</v>
      </c>
      <c r="N176">
        <f>WEEKNUM(orders[[#This Row],[Order Date]],1)</f>
        <v>2</v>
      </c>
      <c r="O176" t="str">
        <f t="array" ref="O176">_xlfn.IFS(orders[[#This Row],[Customer Gender]]="M","Male", orders[[#This Row],[Customer Gender]]="F","Female", orders[[#This Row],[Customer Gender]]="O","Other", TRUE(),"Unknown")</f>
        <v>Female</v>
      </c>
    </row>
    <row r="177" spans="1:15" x14ac:dyDescent="0.25">
      <c r="A177" t="s">
        <v>405</v>
      </c>
      <c r="B177" t="s">
        <v>82</v>
      </c>
      <c r="C177">
        <v>62</v>
      </c>
      <c r="D177">
        <v>70.099999999999994</v>
      </c>
      <c r="E177">
        <v>4346.2</v>
      </c>
      <c r="F177" s="58">
        <v>45664</v>
      </c>
      <c r="G177" s="58">
        <v>45664</v>
      </c>
      <c r="H177" t="s">
        <v>231</v>
      </c>
      <c r="I177" t="s">
        <v>62</v>
      </c>
      <c r="J177">
        <v>4</v>
      </c>
      <c r="K177" t="s">
        <v>103</v>
      </c>
      <c r="L177" t="s">
        <v>124</v>
      </c>
      <c r="M177">
        <f>orders[[#This Row],[Ship Date]]-orders[[#This Row],[Order Date]]</f>
        <v>0</v>
      </c>
      <c r="N177">
        <f>WEEKNUM(orders[[#This Row],[Order Date]],1)</f>
        <v>2</v>
      </c>
      <c r="O177" t="str">
        <f t="array" ref="O177">_xlfn.IFS(orders[[#This Row],[Customer Gender]]="M","Male", orders[[#This Row],[Customer Gender]]="F","Female", orders[[#This Row],[Customer Gender]]="O","Other", TRUE(),"Unknown")</f>
        <v>Female</v>
      </c>
    </row>
    <row r="178" spans="1:15" x14ac:dyDescent="0.25">
      <c r="A178" t="s">
        <v>406</v>
      </c>
      <c r="B178" t="s">
        <v>93</v>
      </c>
      <c r="C178">
        <v>1</v>
      </c>
      <c r="D178">
        <v>76.099999999999994</v>
      </c>
      <c r="E178">
        <v>76.099999999999994</v>
      </c>
      <c r="F178" s="58">
        <v>45664</v>
      </c>
      <c r="G178" s="58">
        <v>45664</v>
      </c>
      <c r="H178" t="s">
        <v>231</v>
      </c>
      <c r="I178" t="s">
        <v>62</v>
      </c>
      <c r="J178">
        <v>3</v>
      </c>
      <c r="K178" t="s">
        <v>103</v>
      </c>
      <c r="L178" t="s">
        <v>124</v>
      </c>
      <c r="M178">
        <f>orders[[#This Row],[Ship Date]]-orders[[#This Row],[Order Date]]</f>
        <v>0</v>
      </c>
      <c r="N178">
        <f>WEEKNUM(orders[[#This Row],[Order Date]],1)</f>
        <v>2</v>
      </c>
      <c r="O178" t="str">
        <f t="array" ref="O178">_xlfn.IFS(orders[[#This Row],[Customer Gender]]="M","Male", orders[[#This Row],[Customer Gender]]="F","Female", orders[[#This Row],[Customer Gender]]="O","Other", TRUE(),"Unknown")</f>
        <v>Female</v>
      </c>
    </row>
    <row r="179" spans="1:15" x14ac:dyDescent="0.25">
      <c r="A179" t="s">
        <v>407</v>
      </c>
      <c r="B179" t="s">
        <v>77</v>
      </c>
      <c r="C179">
        <v>13</v>
      </c>
      <c r="D179">
        <v>34.200000000000003</v>
      </c>
      <c r="E179">
        <v>444.6</v>
      </c>
      <c r="F179" s="58">
        <v>45664</v>
      </c>
      <c r="G179" s="58">
        <v>45665</v>
      </c>
      <c r="H179" t="s">
        <v>229</v>
      </c>
      <c r="I179" t="s">
        <v>59</v>
      </c>
      <c r="J179">
        <v>4</v>
      </c>
      <c r="K179" t="s">
        <v>103</v>
      </c>
      <c r="L179" t="s">
        <v>124</v>
      </c>
      <c r="M179">
        <f>orders[[#This Row],[Ship Date]]-orders[[#This Row],[Order Date]]</f>
        <v>1</v>
      </c>
      <c r="N179">
        <f>WEEKNUM(orders[[#This Row],[Order Date]],1)</f>
        <v>2</v>
      </c>
      <c r="O179" t="str">
        <f t="array" ref="O179">_xlfn.IFS(orders[[#This Row],[Customer Gender]]="M","Male", orders[[#This Row],[Customer Gender]]="F","Female", orders[[#This Row],[Customer Gender]]="O","Other", TRUE(),"Unknown")</f>
        <v>Male</v>
      </c>
    </row>
    <row r="180" spans="1:15" x14ac:dyDescent="0.25">
      <c r="A180" t="s">
        <v>408</v>
      </c>
      <c r="B180" t="s">
        <v>90</v>
      </c>
      <c r="C180">
        <v>5</v>
      </c>
      <c r="D180">
        <v>30.3</v>
      </c>
      <c r="E180">
        <v>151.5</v>
      </c>
      <c r="F180" s="58">
        <v>45664</v>
      </c>
      <c r="G180" s="58">
        <v>45669</v>
      </c>
      <c r="H180" t="s">
        <v>231</v>
      </c>
      <c r="I180" t="s">
        <v>61</v>
      </c>
      <c r="J180">
        <v>4</v>
      </c>
      <c r="K180" t="s">
        <v>103</v>
      </c>
      <c r="L180" t="s">
        <v>124</v>
      </c>
      <c r="M180">
        <f>orders[[#This Row],[Ship Date]]-orders[[#This Row],[Order Date]]</f>
        <v>5</v>
      </c>
      <c r="N180">
        <f>WEEKNUM(orders[[#This Row],[Order Date]],1)</f>
        <v>2</v>
      </c>
      <c r="O180" t="str">
        <f t="array" ref="O180">_xlfn.IFS(orders[[#This Row],[Customer Gender]]="M","Male", orders[[#This Row],[Customer Gender]]="F","Female", orders[[#This Row],[Customer Gender]]="O","Other", TRUE(),"Unknown")</f>
        <v>Female</v>
      </c>
    </row>
    <row r="181" spans="1:15" x14ac:dyDescent="0.25">
      <c r="A181" t="s">
        <v>409</v>
      </c>
      <c r="B181" t="s">
        <v>80</v>
      </c>
      <c r="C181">
        <v>5</v>
      </c>
      <c r="D181">
        <v>52.5</v>
      </c>
      <c r="E181">
        <v>262.5</v>
      </c>
      <c r="F181" s="58">
        <v>45664</v>
      </c>
      <c r="G181" s="58">
        <v>45668</v>
      </c>
      <c r="I181" t="s">
        <v>60</v>
      </c>
      <c r="J181">
        <v>4</v>
      </c>
      <c r="K181" t="s">
        <v>103</v>
      </c>
      <c r="L181" t="s">
        <v>124</v>
      </c>
      <c r="M181">
        <f>orders[[#This Row],[Ship Date]]-orders[[#This Row],[Order Date]]</f>
        <v>4</v>
      </c>
      <c r="N181">
        <f>WEEKNUM(orders[[#This Row],[Order Date]],1)</f>
        <v>2</v>
      </c>
      <c r="O181" t="str">
        <f t="array" ref="O181">_xlfn.IFS(orders[[#This Row],[Customer Gender]]="M","Male", orders[[#This Row],[Customer Gender]]="F","Female", orders[[#This Row],[Customer Gender]]="O","Other", TRUE(),"Unknown")</f>
        <v>Unknown</v>
      </c>
    </row>
    <row r="182" spans="1:15" x14ac:dyDescent="0.25">
      <c r="A182" t="s">
        <v>410</v>
      </c>
      <c r="B182" t="s">
        <v>88</v>
      </c>
      <c r="C182">
        <v>11</v>
      </c>
      <c r="D182">
        <v>28.7</v>
      </c>
      <c r="E182">
        <v>315.7</v>
      </c>
      <c r="F182" s="58">
        <v>45664</v>
      </c>
      <c r="G182" s="58">
        <v>45665</v>
      </c>
      <c r="H182" t="s">
        <v>231</v>
      </c>
      <c r="I182" t="s">
        <v>62</v>
      </c>
      <c r="J182">
        <v>4</v>
      </c>
      <c r="K182" t="s">
        <v>103</v>
      </c>
      <c r="L182" t="s">
        <v>124</v>
      </c>
      <c r="M182">
        <f>orders[[#This Row],[Ship Date]]-orders[[#This Row],[Order Date]]</f>
        <v>1</v>
      </c>
      <c r="N182">
        <f>WEEKNUM(orders[[#This Row],[Order Date]],1)</f>
        <v>2</v>
      </c>
      <c r="O182" t="str">
        <f t="array" ref="O182">_xlfn.IFS(orders[[#This Row],[Customer Gender]]="M","Male", orders[[#This Row],[Customer Gender]]="F","Female", orders[[#This Row],[Customer Gender]]="O","Other", TRUE(),"Unknown")</f>
        <v>Female</v>
      </c>
    </row>
    <row r="183" spans="1:15" x14ac:dyDescent="0.25">
      <c r="A183" t="s">
        <v>411</v>
      </c>
      <c r="B183" t="s">
        <v>79</v>
      </c>
      <c r="C183">
        <v>7</v>
      </c>
      <c r="D183">
        <v>52</v>
      </c>
      <c r="E183">
        <v>364</v>
      </c>
      <c r="F183" s="58">
        <v>45664</v>
      </c>
      <c r="G183" s="58">
        <v>45665</v>
      </c>
      <c r="H183" t="s">
        <v>229</v>
      </c>
      <c r="I183" t="s">
        <v>63</v>
      </c>
      <c r="J183">
        <v>2</v>
      </c>
      <c r="K183" t="s">
        <v>103</v>
      </c>
      <c r="L183" t="s">
        <v>124</v>
      </c>
      <c r="M183">
        <f>orders[[#This Row],[Ship Date]]-orders[[#This Row],[Order Date]]</f>
        <v>1</v>
      </c>
      <c r="N183">
        <f>WEEKNUM(orders[[#This Row],[Order Date]],1)</f>
        <v>2</v>
      </c>
      <c r="O183" t="str">
        <f t="array" ref="O183">_xlfn.IFS(orders[[#This Row],[Customer Gender]]="M","Male", orders[[#This Row],[Customer Gender]]="F","Female", orders[[#This Row],[Customer Gender]]="O","Other", TRUE(),"Unknown")</f>
        <v>Male</v>
      </c>
    </row>
    <row r="184" spans="1:15" x14ac:dyDescent="0.25">
      <c r="A184" t="s">
        <v>412</v>
      </c>
      <c r="B184" t="s">
        <v>86</v>
      </c>
      <c r="C184">
        <v>1</v>
      </c>
      <c r="D184">
        <v>13.3</v>
      </c>
      <c r="E184">
        <v>13.3</v>
      </c>
      <c r="F184" s="58">
        <v>45665</v>
      </c>
      <c r="G184" s="58">
        <v>45669</v>
      </c>
      <c r="H184" t="s">
        <v>231</v>
      </c>
      <c r="I184" t="s">
        <v>62</v>
      </c>
      <c r="J184">
        <v>3</v>
      </c>
      <c r="K184" t="s">
        <v>103</v>
      </c>
      <c r="L184" t="s">
        <v>124</v>
      </c>
      <c r="M184">
        <f>orders[[#This Row],[Ship Date]]-orders[[#This Row],[Order Date]]</f>
        <v>4</v>
      </c>
      <c r="N184">
        <f>WEEKNUM(orders[[#This Row],[Order Date]],1)</f>
        <v>2</v>
      </c>
      <c r="O184" t="str">
        <f t="array" ref="O184">_xlfn.IFS(orders[[#This Row],[Customer Gender]]="M","Male", orders[[#This Row],[Customer Gender]]="F","Female", orders[[#This Row],[Customer Gender]]="O","Other", TRUE(),"Unknown")</f>
        <v>Female</v>
      </c>
    </row>
    <row r="185" spans="1:15" x14ac:dyDescent="0.25">
      <c r="A185" t="s">
        <v>413</v>
      </c>
      <c r="B185" t="s">
        <v>86</v>
      </c>
      <c r="C185">
        <v>3</v>
      </c>
      <c r="D185">
        <v>15.7</v>
      </c>
      <c r="E185">
        <v>47.1</v>
      </c>
      <c r="F185" s="58">
        <v>45665</v>
      </c>
      <c r="G185" s="58">
        <v>45666</v>
      </c>
      <c r="H185" t="s">
        <v>231</v>
      </c>
      <c r="I185" t="s">
        <v>63</v>
      </c>
      <c r="J185">
        <v>4</v>
      </c>
      <c r="K185" t="s">
        <v>103</v>
      </c>
      <c r="L185" t="s">
        <v>128</v>
      </c>
      <c r="M185">
        <f>orders[[#This Row],[Ship Date]]-orders[[#This Row],[Order Date]]</f>
        <v>1</v>
      </c>
      <c r="N185">
        <f>WEEKNUM(orders[[#This Row],[Order Date]],1)</f>
        <v>2</v>
      </c>
      <c r="O185" t="str">
        <f t="array" ref="O185">_xlfn.IFS(orders[[#This Row],[Customer Gender]]="M","Male", orders[[#This Row],[Customer Gender]]="F","Female", orders[[#This Row],[Customer Gender]]="O","Other", TRUE(),"Unknown")</f>
        <v>Female</v>
      </c>
    </row>
    <row r="186" spans="1:15" x14ac:dyDescent="0.25">
      <c r="A186" t="s">
        <v>414</v>
      </c>
      <c r="B186" t="s">
        <v>90</v>
      </c>
      <c r="C186">
        <v>2</v>
      </c>
      <c r="D186">
        <v>25.6</v>
      </c>
      <c r="E186">
        <v>51.2</v>
      </c>
      <c r="F186" s="58">
        <v>45665</v>
      </c>
      <c r="G186" s="58">
        <v>45666</v>
      </c>
      <c r="H186" t="s">
        <v>229</v>
      </c>
      <c r="I186" t="s">
        <v>59</v>
      </c>
      <c r="J186">
        <v>5</v>
      </c>
      <c r="K186" t="s">
        <v>103</v>
      </c>
      <c r="L186" t="s">
        <v>138</v>
      </c>
      <c r="M186">
        <f>orders[[#This Row],[Ship Date]]-orders[[#This Row],[Order Date]]</f>
        <v>1</v>
      </c>
      <c r="N186">
        <f>WEEKNUM(orders[[#This Row],[Order Date]],1)</f>
        <v>2</v>
      </c>
      <c r="O186" t="str">
        <f t="array" ref="O186">_xlfn.IFS(orders[[#This Row],[Customer Gender]]="M","Male", orders[[#This Row],[Customer Gender]]="F","Female", orders[[#This Row],[Customer Gender]]="O","Other", TRUE(),"Unknown")</f>
        <v>Male</v>
      </c>
    </row>
    <row r="187" spans="1:15" x14ac:dyDescent="0.25">
      <c r="A187" t="s">
        <v>415</v>
      </c>
      <c r="B187" t="s">
        <v>90</v>
      </c>
      <c r="C187">
        <v>1</v>
      </c>
      <c r="D187">
        <v>43.4</v>
      </c>
      <c r="E187">
        <v>43.4</v>
      </c>
      <c r="F187" s="58">
        <v>45665</v>
      </c>
      <c r="G187" s="58">
        <v>45670</v>
      </c>
      <c r="H187" t="s">
        <v>229</v>
      </c>
      <c r="I187" t="s">
        <v>59</v>
      </c>
      <c r="J187">
        <v>4</v>
      </c>
      <c r="K187" t="s">
        <v>103</v>
      </c>
      <c r="L187" t="s">
        <v>139</v>
      </c>
      <c r="M187">
        <f>orders[[#This Row],[Ship Date]]-orders[[#This Row],[Order Date]]</f>
        <v>5</v>
      </c>
      <c r="N187">
        <f>WEEKNUM(orders[[#This Row],[Order Date]],1)</f>
        <v>2</v>
      </c>
      <c r="O187" t="str">
        <f t="array" ref="O187">_xlfn.IFS(orders[[#This Row],[Customer Gender]]="M","Male", orders[[#This Row],[Customer Gender]]="F","Female", orders[[#This Row],[Customer Gender]]="O","Other", TRUE(),"Unknown")</f>
        <v>Male</v>
      </c>
    </row>
    <row r="188" spans="1:15" x14ac:dyDescent="0.25">
      <c r="A188" t="s">
        <v>416</v>
      </c>
      <c r="B188" t="s">
        <v>83</v>
      </c>
      <c r="C188">
        <v>9</v>
      </c>
      <c r="D188">
        <v>33.4</v>
      </c>
      <c r="E188">
        <v>300.60000000000002</v>
      </c>
      <c r="F188" s="58">
        <v>45665</v>
      </c>
      <c r="G188" s="58">
        <v>45665</v>
      </c>
      <c r="H188" t="s">
        <v>231</v>
      </c>
      <c r="I188" t="s">
        <v>59</v>
      </c>
      <c r="J188">
        <v>4</v>
      </c>
      <c r="K188" t="s">
        <v>103</v>
      </c>
      <c r="L188" t="s">
        <v>142</v>
      </c>
      <c r="M188">
        <f>orders[[#This Row],[Ship Date]]-orders[[#This Row],[Order Date]]</f>
        <v>0</v>
      </c>
      <c r="N188">
        <f>WEEKNUM(orders[[#This Row],[Order Date]],1)</f>
        <v>2</v>
      </c>
      <c r="O188" t="str">
        <f t="array" ref="O188">_xlfn.IFS(orders[[#This Row],[Customer Gender]]="M","Male", orders[[#This Row],[Customer Gender]]="F","Female", orders[[#This Row],[Customer Gender]]="O","Other", TRUE(),"Unknown")</f>
        <v>Female</v>
      </c>
    </row>
    <row r="189" spans="1:15" x14ac:dyDescent="0.25">
      <c r="A189" t="s">
        <v>417</v>
      </c>
      <c r="B189" t="s">
        <v>90</v>
      </c>
      <c r="C189">
        <v>19</v>
      </c>
      <c r="D189">
        <v>55</v>
      </c>
      <c r="E189">
        <v>1045</v>
      </c>
      <c r="F189" s="58">
        <v>45665</v>
      </c>
      <c r="G189" s="58">
        <v>45666</v>
      </c>
      <c r="H189" t="s">
        <v>231</v>
      </c>
      <c r="I189" t="s">
        <v>63</v>
      </c>
      <c r="J189">
        <v>5</v>
      </c>
      <c r="K189" t="s">
        <v>103</v>
      </c>
      <c r="L189" t="s">
        <v>142</v>
      </c>
      <c r="M189">
        <f>orders[[#This Row],[Ship Date]]-orders[[#This Row],[Order Date]]</f>
        <v>1</v>
      </c>
      <c r="N189">
        <f>WEEKNUM(orders[[#This Row],[Order Date]],1)</f>
        <v>2</v>
      </c>
      <c r="O189" t="str">
        <f t="array" ref="O189">_xlfn.IFS(orders[[#This Row],[Customer Gender]]="M","Male", orders[[#This Row],[Customer Gender]]="F","Female", orders[[#This Row],[Customer Gender]]="O","Other", TRUE(),"Unknown")</f>
        <v>Female</v>
      </c>
    </row>
    <row r="190" spans="1:15" x14ac:dyDescent="0.25">
      <c r="A190" t="s">
        <v>418</v>
      </c>
      <c r="B190" t="s">
        <v>90</v>
      </c>
      <c r="C190">
        <v>3</v>
      </c>
      <c r="D190">
        <v>23.6</v>
      </c>
      <c r="E190">
        <v>70.8</v>
      </c>
      <c r="F190" s="58">
        <v>45665</v>
      </c>
      <c r="G190" s="58">
        <v>45666</v>
      </c>
      <c r="H190" t="s">
        <v>229</v>
      </c>
      <c r="I190" t="s">
        <v>59</v>
      </c>
      <c r="J190">
        <v>5</v>
      </c>
      <c r="K190" t="s">
        <v>103</v>
      </c>
      <c r="L190" t="s">
        <v>142</v>
      </c>
      <c r="M190">
        <f>orders[[#This Row],[Ship Date]]-orders[[#This Row],[Order Date]]</f>
        <v>1</v>
      </c>
      <c r="N190">
        <f>WEEKNUM(orders[[#This Row],[Order Date]],1)</f>
        <v>2</v>
      </c>
      <c r="O190" t="str">
        <f t="array" ref="O190">_xlfn.IFS(orders[[#This Row],[Customer Gender]]="M","Male", orders[[#This Row],[Customer Gender]]="F","Female", orders[[#This Row],[Customer Gender]]="O","Other", TRUE(),"Unknown")</f>
        <v>Male</v>
      </c>
    </row>
    <row r="191" spans="1:15" x14ac:dyDescent="0.25">
      <c r="A191" t="s">
        <v>419</v>
      </c>
      <c r="B191" t="s">
        <v>76</v>
      </c>
      <c r="C191">
        <v>9</v>
      </c>
      <c r="D191">
        <v>104</v>
      </c>
      <c r="E191">
        <v>936</v>
      </c>
      <c r="F191" s="58">
        <v>45665</v>
      </c>
      <c r="G191" s="58">
        <v>45667</v>
      </c>
      <c r="H191" t="s">
        <v>231</v>
      </c>
      <c r="I191" t="s">
        <v>62</v>
      </c>
      <c r="J191">
        <v>5</v>
      </c>
      <c r="K191" t="s">
        <v>103</v>
      </c>
      <c r="L191" t="s">
        <v>143</v>
      </c>
      <c r="M191">
        <f>orders[[#This Row],[Ship Date]]-orders[[#This Row],[Order Date]]</f>
        <v>2</v>
      </c>
      <c r="N191">
        <f>WEEKNUM(orders[[#This Row],[Order Date]],1)</f>
        <v>2</v>
      </c>
      <c r="O191" t="str">
        <f t="array" ref="O191">_xlfn.IFS(orders[[#This Row],[Customer Gender]]="M","Male", orders[[#This Row],[Customer Gender]]="F","Female", orders[[#This Row],[Customer Gender]]="O","Other", TRUE(),"Unknown")</f>
        <v>Female</v>
      </c>
    </row>
    <row r="192" spans="1:15" x14ac:dyDescent="0.25">
      <c r="A192" t="s">
        <v>420</v>
      </c>
      <c r="B192" t="s">
        <v>80</v>
      </c>
      <c r="C192">
        <v>2</v>
      </c>
      <c r="D192">
        <v>51.8</v>
      </c>
      <c r="E192">
        <v>103.6</v>
      </c>
      <c r="F192" s="58">
        <v>45665</v>
      </c>
      <c r="G192" s="58">
        <v>45669</v>
      </c>
      <c r="I192" t="s">
        <v>59</v>
      </c>
      <c r="J192">
        <v>5</v>
      </c>
      <c r="K192" t="s">
        <v>103</v>
      </c>
      <c r="L192" t="s">
        <v>147</v>
      </c>
      <c r="M192">
        <f>orders[[#This Row],[Ship Date]]-orders[[#This Row],[Order Date]]</f>
        <v>4</v>
      </c>
      <c r="N192">
        <f>WEEKNUM(orders[[#This Row],[Order Date]],1)</f>
        <v>2</v>
      </c>
      <c r="O192" t="str">
        <f t="array" ref="O192">_xlfn.IFS(orders[[#This Row],[Customer Gender]]="M","Male", orders[[#This Row],[Customer Gender]]="F","Female", orders[[#This Row],[Customer Gender]]="O","Other", TRUE(),"Unknown")</f>
        <v>Unknown</v>
      </c>
    </row>
    <row r="193" spans="1:15" x14ac:dyDescent="0.25">
      <c r="A193" t="s">
        <v>421</v>
      </c>
      <c r="B193" t="s">
        <v>75</v>
      </c>
      <c r="C193">
        <v>5</v>
      </c>
      <c r="D193">
        <v>34.5</v>
      </c>
      <c r="E193">
        <v>172.5</v>
      </c>
      <c r="F193" s="58">
        <v>45665</v>
      </c>
      <c r="G193" s="58">
        <v>45667</v>
      </c>
      <c r="I193" t="s">
        <v>62</v>
      </c>
      <c r="J193">
        <v>5</v>
      </c>
      <c r="K193" t="s">
        <v>103</v>
      </c>
      <c r="L193" t="s">
        <v>148</v>
      </c>
      <c r="M193">
        <f>orders[[#This Row],[Ship Date]]-orders[[#This Row],[Order Date]]</f>
        <v>2</v>
      </c>
      <c r="N193">
        <f>WEEKNUM(orders[[#This Row],[Order Date]],1)</f>
        <v>2</v>
      </c>
      <c r="O193" t="str">
        <f t="array" ref="O193">_xlfn.IFS(orders[[#This Row],[Customer Gender]]="M","Male", orders[[#This Row],[Customer Gender]]="F","Female", orders[[#This Row],[Customer Gender]]="O","Other", TRUE(),"Unknown")</f>
        <v>Unknown</v>
      </c>
    </row>
    <row r="194" spans="1:15" x14ac:dyDescent="0.25">
      <c r="A194" t="s">
        <v>422</v>
      </c>
      <c r="B194" t="s">
        <v>80</v>
      </c>
      <c r="C194">
        <v>2</v>
      </c>
      <c r="D194">
        <v>51.8</v>
      </c>
      <c r="E194">
        <v>103.6</v>
      </c>
      <c r="F194" s="58">
        <v>45665</v>
      </c>
      <c r="G194" s="58">
        <v>45667</v>
      </c>
      <c r="H194" t="s">
        <v>229</v>
      </c>
      <c r="I194" t="s">
        <v>63</v>
      </c>
      <c r="J194">
        <v>5</v>
      </c>
      <c r="K194" t="s">
        <v>103</v>
      </c>
      <c r="L194" t="s">
        <v>152</v>
      </c>
      <c r="M194">
        <f>orders[[#This Row],[Ship Date]]-orders[[#This Row],[Order Date]]</f>
        <v>2</v>
      </c>
      <c r="N194">
        <f>WEEKNUM(orders[[#This Row],[Order Date]],1)</f>
        <v>2</v>
      </c>
      <c r="O194" t="str">
        <f t="array" ref="O194">_xlfn.IFS(orders[[#This Row],[Customer Gender]]="M","Male", orders[[#This Row],[Customer Gender]]="F","Female", orders[[#This Row],[Customer Gender]]="O","Other", TRUE(),"Unknown")</f>
        <v>Male</v>
      </c>
    </row>
    <row r="195" spans="1:15" x14ac:dyDescent="0.25">
      <c r="A195" t="s">
        <v>423</v>
      </c>
      <c r="B195" t="s">
        <v>82</v>
      </c>
      <c r="C195">
        <v>43</v>
      </c>
      <c r="D195">
        <v>131.5</v>
      </c>
      <c r="E195">
        <v>5654.5</v>
      </c>
      <c r="F195" s="58">
        <v>45665</v>
      </c>
      <c r="G195" s="58">
        <v>45666</v>
      </c>
      <c r="H195" t="s">
        <v>231</v>
      </c>
      <c r="I195" t="s">
        <v>59</v>
      </c>
      <c r="J195">
        <v>5</v>
      </c>
      <c r="K195" t="s">
        <v>103</v>
      </c>
      <c r="L195" t="s">
        <v>154</v>
      </c>
      <c r="M195">
        <f>orders[[#This Row],[Ship Date]]-orders[[#This Row],[Order Date]]</f>
        <v>1</v>
      </c>
      <c r="N195">
        <f>WEEKNUM(orders[[#This Row],[Order Date]],1)</f>
        <v>2</v>
      </c>
      <c r="O195" t="str">
        <f t="array" ref="O195">_xlfn.IFS(orders[[#This Row],[Customer Gender]]="M","Male", orders[[#This Row],[Customer Gender]]="F","Female", orders[[#This Row],[Customer Gender]]="O","Other", TRUE(),"Unknown")</f>
        <v>Female</v>
      </c>
    </row>
    <row r="196" spans="1:15" x14ac:dyDescent="0.25">
      <c r="A196" t="s">
        <v>424</v>
      </c>
      <c r="B196" t="s">
        <v>90</v>
      </c>
      <c r="C196">
        <v>7</v>
      </c>
      <c r="D196">
        <v>47.8</v>
      </c>
      <c r="E196">
        <v>334.6</v>
      </c>
      <c r="F196" s="58">
        <v>45665</v>
      </c>
      <c r="G196" s="58">
        <v>45665</v>
      </c>
      <c r="H196" t="s">
        <v>231</v>
      </c>
      <c r="I196" t="s">
        <v>59</v>
      </c>
      <c r="J196">
        <v>4</v>
      </c>
      <c r="K196" t="s">
        <v>103</v>
      </c>
      <c r="L196" t="s">
        <v>155</v>
      </c>
      <c r="M196">
        <f>orders[[#This Row],[Ship Date]]-orders[[#This Row],[Order Date]]</f>
        <v>0</v>
      </c>
      <c r="N196">
        <f>WEEKNUM(orders[[#This Row],[Order Date]],1)</f>
        <v>2</v>
      </c>
      <c r="O196" t="str">
        <f t="array" ref="O196">_xlfn.IFS(orders[[#This Row],[Customer Gender]]="M","Male", orders[[#This Row],[Customer Gender]]="F","Female", orders[[#This Row],[Customer Gender]]="O","Other", TRUE(),"Unknown")</f>
        <v>Female</v>
      </c>
    </row>
    <row r="197" spans="1:15" x14ac:dyDescent="0.25">
      <c r="A197" t="s">
        <v>425</v>
      </c>
      <c r="B197" t="s">
        <v>86</v>
      </c>
      <c r="C197">
        <v>2</v>
      </c>
      <c r="D197">
        <v>10.199999999999999</v>
      </c>
      <c r="E197">
        <v>20.399999999999999</v>
      </c>
      <c r="F197" s="58">
        <v>45665</v>
      </c>
      <c r="G197" s="58">
        <v>45667</v>
      </c>
      <c r="H197" t="s">
        <v>231</v>
      </c>
      <c r="I197" t="s">
        <v>59</v>
      </c>
      <c r="J197">
        <v>4</v>
      </c>
      <c r="K197" t="s">
        <v>103</v>
      </c>
      <c r="L197" t="s">
        <v>155</v>
      </c>
      <c r="M197">
        <f>orders[[#This Row],[Ship Date]]-orders[[#This Row],[Order Date]]</f>
        <v>2</v>
      </c>
      <c r="N197">
        <f>WEEKNUM(orders[[#This Row],[Order Date]],1)</f>
        <v>2</v>
      </c>
      <c r="O197" t="str">
        <f t="array" ref="O197">_xlfn.IFS(orders[[#This Row],[Customer Gender]]="M","Male", orders[[#This Row],[Customer Gender]]="F","Female", orders[[#This Row],[Customer Gender]]="O","Other", TRUE(),"Unknown")</f>
        <v>Female</v>
      </c>
    </row>
    <row r="198" spans="1:15" x14ac:dyDescent="0.25">
      <c r="A198" t="s">
        <v>426</v>
      </c>
      <c r="B198" t="s">
        <v>90</v>
      </c>
      <c r="C198">
        <v>8</v>
      </c>
      <c r="D198">
        <v>41</v>
      </c>
      <c r="E198">
        <v>328</v>
      </c>
      <c r="F198" s="58">
        <v>45665</v>
      </c>
      <c r="G198" s="58">
        <v>45665</v>
      </c>
      <c r="H198" t="s">
        <v>231</v>
      </c>
      <c r="I198" t="s">
        <v>63</v>
      </c>
      <c r="J198">
        <v>5</v>
      </c>
      <c r="K198" t="s">
        <v>103</v>
      </c>
      <c r="L198" t="s">
        <v>155</v>
      </c>
      <c r="M198">
        <f>orders[[#This Row],[Ship Date]]-orders[[#This Row],[Order Date]]</f>
        <v>0</v>
      </c>
      <c r="N198">
        <f>WEEKNUM(orders[[#This Row],[Order Date]],1)</f>
        <v>2</v>
      </c>
      <c r="O198" t="str">
        <f t="array" ref="O198">_xlfn.IFS(orders[[#This Row],[Customer Gender]]="M","Male", orders[[#This Row],[Customer Gender]]="F","Female", orders[[#This Row],[Customer Gender]]="O","Other", TRUE(),"Unknown")</f>
        <v>Female</v>
      </c>
    </row>
    <row r="199" spans="1:15" x14ac:dyDescent="0.25">
      <c r="A199" t="s">
        <v>427</v>
      </c>
      <c r="B199" t="s">
        <v>75</v>
      </c>
      <c r="C199">
        <v>7</v>
      </c>
      <c r="D199">
        <v>50.8</v>
      </c>
      <c r="E199">
        <v>355.6</v>
      </c>
      <c r="F199" s="58">
        <v>45665</v>
      </c>
      <c r="G199" s="58">
        <v>45668</v>
      </c>
      <c r="H199" t="s">
        <v>231</v>
      </c>
      <c r="I199" t="s">
        <v>63</v>
      </c>
      <c r="J199">
        <v>4</v>
      </c>
      <c r="K199" t="s">
        <v>103</v>
      </c>
      <c r="L199" t="s">
        <v>106</v>
      </c>
      <c r="M199">
        <f>orders[[#This Row],[Ship Date]]-orders[[#This Row],[Order Date]]</f>
        <v>3</v>
      </c>
      <c r="N199">
        <f>WEEKNUM(orders[[#This Row],[Order Date]],1)</f>
        <v>2</v>
      </c>
      <c r="O199" t="str">
        <f t="array" ref="O199">_xlfn.IFS(orders[[#This Row],[Customer Gender]]="M","Male", orders[[#This Row],[Customer Gender]]="F","Female", orders[[#This Row],[Customer Gender]]="O","Other", TRUE(),"Unknown")</f>
        <v>Female</v>
      </c>
    </row>
    <row r="200" spans="1:15" x14ac:dyDescent="0.25">
      <c r="A200" t="s">
        <v>428</v>
      </c>
      <c r="B200" t="s">
        <v>82</v>
      </c>
      <c r="C200">
        <v>3</v>
      </c>
      <c r="D200">
        <v>39.6</v>
      </c>
      <c r="E200">
        <v>118.8</v>
      </c>
      <c r="F200" s="58">
        <v>45665</v>
      </c>
      <c r="G200" s="58">
        <v>45666</v>
      </c>
      <c r="H200" t="s">
        <v>229</v>
      </c>
      <c r="I200" t="s">
        <v>62</v>
      </c>
      <c r="J200">
        <v>5</v>
      </c>
      <c r="K200" t="s">
        <v>103</v>
      </c>
      <c r="L200" t="s">
        <v>112</v>
      </c>
      <c r="M200">
        <f>orders[[#This Row],[Ship Date]]-orders[[#This Row],[Order Date]]</f>
        <v>1</v>
      </c>
      <c r="N200">
        <f>WEEKNUM(orders[[#This Row],[Order Date]],1)</f>
        <v>2</v>
      </c>
      <c r="O200" t="str">
        <f t="array" ref="O200">_xlfn.IFS(orders[[#This Row],[Customer Gender]]="M","Male", orders[[#This Row],[Customer Gender]]="F","Female", orders[[#This Row],[Customer Gender]]="O","Other", TRUE(),"Unknown")</f>
        <v>Male</v>
      </c>
    </row>
    <row r="201" spans="1:15" x14ac:dyDescent="0.25">
      <c r="A201" t="s">
        <v>429</v>
      </c>
      <c r="B201" t="s">
        <v>85</v>
      </c>
      <c r="C201">
        <v>2</v>
      </c>
      <c r="D201">
        <v>69.5</v>
      </c>
      <c r="E201">
        <v>139</v>
      </c>
      <c r="F201" s="58">
        <v>45665</v>
      </c>
      <c r="G201" s="58">
        <v>45667</v>
      </c>
      <c r="H201" t="s">
        <v>229</v>
      </c>
      <c r="I201" t="s">
        <v>59</v>
      </c>
      <c r="J201">
        <v>5</v>
      </c>
      <c r="K201" t="s">
        <v>103</v>
      </c>
      <c r="L201" t="s">
        <v>115</v>
      </c>
      <c r="M201">
        <f>orders[[#This Row],[Ship Date]]-orders[[#This Row],[Order Date]]</f>
        <v>2</v>
      </c>
      <c r="N201">
        <f>WEEKNUM(orders[[#This Row],[Order Date]],1)</f>
        <v>2</v>
      </c>
      <c r="O201" t="str">
        <f t="array" ref="O201">_xlfn.IFS(orders[[#This Row],[Customer Gender]]="M","Male", orders[[#This Row],[Customer Gender]]="F","Female", orders[[#This Row],[Customer Gender]]="O","Other", TRUE(),"Unknown")</f>
        <v>Male</v>
      </c>
    </row>
    <row r="202" spans="1:15" x14ac:dyDescent="0.25">
      <c r="A202" t="s">
        <v>430</v>
      </c>
      <c r="B202" t="s">
        <v>90</v>
      </c>
      <c r="C202">
        <v>8</v>
      </c>
      <c r="D202">
        <v>32.6</v>
      </c>
      <c r="E202">
        <v>260.8</v>
      </c>
      <c r="F202" s="58">
        <v>45665</v>
      </c>
      <c r="G202" s="58">
        <v>45668</v>
      </c>
      <c r="H202" t="s">
        <v>229</v>
      </c>
      <c r="I202" t="s">
        <v>63</v>
      </c>
      <c r="J202">
        <v>4</v>
      </c>
      <c r="K202" t="s">
        <v>103</v>
      </c>
      <c r="L202" t="s">
        <v>124</v>
      </c>
      <c r="M202">
        <f>orders[[#This Row],[Ship Date]]-orders[[#This Row],[Order Date]]</f>
        <v>3</v>
      </c>
      <c r="N202">
        <f>WEEKNUM(orders[[#This Row],[Order Date]],1)</f>
        <v>2</v>
      </c>
      <c r="O202" t="str">
        <f t="array" ref="O202">_xlfn.IFS(orders[[#This Row],[Customer Gender]]="M","Male", orders[[#This Row],[Customer Gender]]="F","Female", orders[[#This Row],[Customer Gender]]="O","Other", TRUE(),"Unknown")</f>
        <v>Male</v>
      </c>
    </row>
    <row r="203" spans="1:15" x14ac:dyDescent="0.25">
      <c r="A203" t="s">
        <v>431</v>
      </c>
      <c r="B203" t="s">
        <v>79</v>
      </c>
      <c r="C203">
        <v>2</v>
      </c>
      <c r="D203">
        <v>49.1</v>
      </c>
      <c r="E203">
        <v>98.2</v>
      </c>
      <c r="F203" s="58">
        <v>45665</v>
      </c>
      <c r="G203" s="58">
        <v>45673</v>
      </c>
      <c r="H203" t="s">
        <v>229</v>
      </c>
      <c r="I203" t="s">
        <v>60</v>
      </c>
      <c r="J203">
        <v>5</v>
      </c>
      <c r="K203" t="s">
        <v>103</v>
      </c>
      <c r="L203" t="s">
        <v>124</v>
      </c>
      <c r="M203">
        <f>orders[[#This Row],[Ship Date]]-orders[[#This Row],[Order Date]]</f>
        <v>8</v>
      </c>
      <c r="N203">
        <f>WEEKNUM(orders[[#This Row],[Order Date]],1)</f>
        <v>2</v>
      </c>
      <c r="O203" t="str">
        <f t="array" ref="O203">_xlfn.IFS(orders[[#This Row],[Customer Gender]]="M","Male", orders[[#This Row],[Customer Gender]]="F","Female", orders[[#This Row],[Customer Gender]]="O","Other", TRUE(),"Unknown")</f>
        <v>Male</v>
      </c>
    </row>
    <row r="204" spans="1:15" x14ac:dyDescent="0.25">
      <c r="A204" t="s">
        <v>432</v>
      </c>
      <c r="B204" t="s">
        <v>80</v>
      </c>
      <c r="C204">
        <v>2</v>
      </c>
      <c r="D204">
        <v>49.4</v>
      </c>
      <c r="E204">
        <v>98.8</v>
      </c>
      <c r="F204" s="58">
        <v>45666</v>
      </c>
      <c r="G204" s="58">
        <v>45667</v>
      </c>
      <c r="H204" t="s">
        <v>231</v>
      </c>
      <c r="I204" t="s">
        <v>62</v>
      </c>
      <c r="J204">
        <v>4</v>
      </c>
      <c r="K204" t="s">
        <v>103</v>
      </c>
      <c r="L204" t="s">
        <v>124</v>
      </c>
      <c r="M204">
        <f>orders[[#This Row],[Ship Date]]-orders[[#This Row],[Order Date]]</f>
        <v>1</v>
      </c>
      <c r="N204">
        <f>WEEKNUM(orders[[#This Row],[Order Date]],1)</f>
        <v>2</v>
      </c>
      <c r="O204" t="str">
        <f t="array" ref="O204">_xlfn.IFS(orders[[#This Row],[Customer Gender]]="M","Male", orders[[#This Row],[Customer Gender]]="F","Female", orders[[#This Row],[Customer Gender]]="O","Other", TRUE(),"Unknown")</f>
        <v>Female</v>
      </c>
    </row>
    <row r="205" spans="1:15" x14ac:dyDescent="0.25">
      <c r="A205" t="s">
        <v>433</v>
      </c>
      <c r="B205" t="s">
        <v>79</v>
      </c>
      <c r="C205">
        <v>7</v>
      </c>
      <c r="D205">
        <v>65.099999999999994</v>
      </c>
      <c r="E205">
        <v>455.7</v>
      </c>
      <c r="F205" s="58">
        <v>45666</v>
      </c>
      <c r="G205" s="58">
        <v>45669</v>
      </c>
      <c r="H205" t="s">
        <v>231</v>
      </c>
      <c r="I205" t="s">
        <v>62</v>
      </c>
      <c r="J205">
        <v>5</v>
      </c>
      <c r="K205" t="s">
        <v>103</v>
      </c>
      <c r="L205" t="s">
        <v>124</v>
      </c>
      <c r="M205">
        <f>orders[[#This Row],[Ship Date]]-orders[[#This Row],[Order Date]]</f>
        <v>3</v>
      </c>
      <c r="N205">
        <f>WEEKNUM(orders[[#This Row],[Order Date]],1)</f>
        <v>2</v>
      </c>
      <c r="O205" t="str">
        <f t="array" ref="O205">_xlfn.IFS(orders[[#This Row],[Customer Gender]]="M","Male", orders[[#This Row],[Customer Gender]]="F","Female", orders[[#This Row],[Customer Gender]]="O","Other", TRUE(),"Unknown")</f>
        <v>Female</v>
      </c>
    </row>
    <row r="206" spans="1:15" x14ac:dyDescent="0.25">
      <c r="A206" t="s">
        <v>434</v>
      </c>
      <c r="B206" t="s">
        <v>93</v>
      </c>
      <c r="C206">
        <v>2</v>
      </c>
      <c r="D206">
        <v>52.1</v>
      </c>
      <c r="E206">
        <v>104.2</v>
      </c>
      <c r="F206" s="58">
        <v>45666</v>
      </c>
      <c r="G206" s="58">
        <v>45670</v>
      </c>
      <c r="H206" t="s">
        <v>231</v>
      </c>
      <c r="I206" t="s">
        <v>62</v>
      </c>
      <c r="J206">
        <v>4</v>
      </c>
      <c r="K206" t="s">
        <v>103</v>
      </c>
      <c r="L206" t="s">
        <v>124</v>
      </c>
      <c r="M206">
        <f>orders[[#This Row],[Ship Date]]-orders[[#This Row],[Order Date]]</f>
        <v>4</v>
      </c>
      <c r="N206">
        <f>WEEKNUM(orders[[#This Row],[Order Date]],1)</f>
        <v>2</v>
      </c>
      <c r="O206" t="str">
        <f t="array" ref="O206">_xlfn.IFS(orders[[#This Row],[Customer Gender]]="M","Male", orders[[#This Row],[Customer Gender]]="F","Female", orders[[#This Row],[Customer Gender]]="O","Other", TRUE(),"Unknown")</f>
        <v>Female</v>
      </c>
    </row>
    <row r="207" spans="1:15" x14ac:dyDescent="0.25">
      <c r="A207" t="s">
        <v>435</v>
      </c>
      <c r="B207" t="s">
        <v>87</v>
      </c>
      <c r="C207">
        <v>4</v>
      </c>
      <c r="D207">
        <v>129.19999999999999</v>
      </c>
      <c r="E207">
        <v>516.79999999999995</v>
      </c>
      <c r="F207" s="58">
        <v>45666</v>
      </c>
      <c r="G207" s="58">
        <v>45667</v>
      </c>
      <c r="H207" t="s">
        <v>231</v>
      </c>
      <c r="I207" t="s">
        <v>63</v>
      </c>
      <c r="J207">
        <v>4</v>
      </c>
      <c r="K207" t="s">
        <v>103</v>
      </c>
      <c r="L207" t="s">
        <v>124</v>
      </c>
      <c r="M207">
        <f>orders[[#This Row],[Ship Date]]-orders[[#This Row],[Order Date]]</f>
        <v>1</v>
      </c>
      <c r="N207">
        <f>WEEKNUM(orders[[#This Row],[Order Date]],1)</f>
        <v>2</v>
      </c>
      <c r="O207" t="str">
        <f t="array" ref="O207">_xlfn.IFS(orders[[#This Row],[Customer Gender]]="M","Male", orders[[#This Row],[Customer Gender]]="F","Female", orders[[#This Row],[Customer Gender]]="O","Other", TRUE(),"Unknown")</f>
        <v>Female</v>
      </c>
    </row>
    <row r="208" spans="1:15" x14ac:dyDescent="0.25">
      <c r="A208" t="s">
        <v>436</v>
      </c>
      <c r="B208" t="s">
        <v>91</v>
      </c>
      <c r="C208">
        <v>19</v>
      </c>
      <c r="D208">
        <v>81.8</v>
      </c>
      <c r="E208">
        <v>1554.2</v>
      </c>
      <c r="F208" s="58">
        <v>45666</v>
      </c>
      <c r="G208" s="58">
        <v>45666</v>
      </c>
      <c r="H208" t="s">
        <v>231</v>
      </c>
      <c r="I208" t="s">
        <v>63</v>
      </c>
      <c r="J208">
        <v>3</v>
      </c>
      <c r="K208" t="s">
        <v>103</v>
      </c>
      <c r="L208" t="s">
        <v>124</v>
      </c>
      <c r="M208">
        <f>orders[[#This Row],[Ship Date]]-orders[[#This Row],[Order Date]]</f>
        <v>0</v>
      </c>
      <c r="N208">
        <f>WEEKNUM(orders[[#This Row],[Order Date]],1)</f>
        <v>2</v>
      </c>
      <c r="O208" t="str">
        <f t="array" ref="O208">_xlfn.IFS(orders[[#This Row],[Customer Gender]]="M","Male", orders[[#This Row],[Customer Gender]]="F","Female", orders[[#This Row],[Customer Gender]]="O","Other", TRUE(),"Unknown")</f>
        <v>Female</v>
      </c>
    </row>
    <row r="209" spans="1:15" x14ac:dyDescent="0.25">
      <c r="A209" t="s">
        <v>437</v>
      </c>
      <c r="B209" t="s">
        <v>84</v>
      </c>
      <c r="C209">
        <v>1</v>
      </c>
      <c r="D209">
        <v>24.9</v>
      </c>
      <c r="E209">
        <v>24.9</v>
      </c>
      <c r="F209" s="58">
        <v>45666</v>
      </c>
      <c r="G209" s="58">
        <v>45670</v>
      </c>
      <c r="H209" t="s">
        <v>231</v>
      </c>
      <c r="I209" t="s">
        <v>63</v>
      </c>
      <c r="J209">
        <v>4</v>
      </c>
      <c r="K209" t="s">
        <v>103</v>
      </c>
      <c r="L209" t="s">
        <v>124</v>
      </c>
      <c r="M209">
        <f>orders[[#This Row],[Ship Date]]-orders[[#This Row],[Order Date]]</f>
        <v>4</v>
      </c>
      <c r="N209">
        <f>WEEKNUM(orders[[#This Row],[Order Date]],1)</f>
        <v>2</v>
      </c>
      <c r="O209" t="str">
        <f t="array" ref="O209">_xlfn.IFS(orders[[#This Row],[Customer Gender]]="M","Male", orders[[#This Row],[Customer Gender]]="F","Female", orders[[#This Row],[Customer Gender]]="O","Other", TRUE(),"Unknown")</f>
        <v>Female</v>
      </c>
    </row>
    <row r="210" spans="1:15" x14ac:dyDescent="0.25">
      <c r="A210" t="s">
        <v>438</v>
      </c>
      <c r="B210" t="s">
        <v>86</v>
      </c>
      <c r="C210">
        <v>3</v>
      </c>
      <c r="D210">
        <v>49.4</v>
      </c>
      <c r="E210">
        <v>148.19999999999999</v>
      </c>
      <c r="F210" s="58">
        <v>45666</v>
      </c>
      <c r="G210" s="58">
        <v>45669</v>
      </c>
      <c r="H210" t="s">
        <v>231</v>
      </c>
      <c r="I210" t="s">
        <v>61</v>
      </c>
      <c r="J210">
        <v>2</v>
      </c>
      <c r="K210" t="s">
        <v>103</v>
      </c>
      <c r="L210" t="s">
        <v>124</v>
      </c>
      <c r="M210">
        <f>orders[[#This Row],[Ship Date]]-orders[[#This Row],[Order Date]]</f>
        <v>3</v>
      </c>
      <c r="N210">
        <f>WEEKNUM(orders[[#This Row],[Order Date]],1)</f>
        <v>2</v>
      </c>
      <c r="O210" t="str">
        <f t="array" ref="O210">_xlfn.IFS(orders[[#This Row],[Customer Gender]]="M","Male", orders[[#This Row],[Customer Gender]]="F","Female", orders[[#This Row],[Customer Gender]]="O","Other", TRUE(),"Unknown")</f>
        <v>Female</v>
      </c>
    </row>
    <row r="211" spans="1:15" x14ac:dyDescent="0.25">
      <c r="A211" t="s">
        <v>439</v>
      </c>
      <c r="B211" t="s">
        <v>90</v>
      </c>
      <c r="C211">
        <v>2</v>
      </c>
      <c r="D211">
        <v>22.7</v>
      </c>
      <c r="E211">
        <v>45.4</v>
      </c>
      <c r="F211" s="58">
        <v>45666</v>
      </c>
      <c r="G211" s="58">
        <v>45667</v>
      </c>
      <c r="H211" t="s">
        <v>229</v>
      </c>
      <c r="I211" t="s">
        <v>60</v>
      </c>
      <c r="J211">
        <v>5</v>
      </c>
      <c r="K211" t="s">
        <v>103</v>
      </c>
      <c r="L211" t="s">
        <v>124</v>
      </c>
      <c r="M211">
        <f>orders[[#This Row],[Ship Date]]-orders[[#This Row],[Order Date]]</f>
        <v>1</v>
      </c>
      <c r="N211">
        <f>WEEKNUM(orders[[#This Row],[Order Date]],1)</f>
        <v>2</v>
      </c>
      <c r="O211" t="str">
        <f t="array" ref="O211">_xlfn.IFS(orders[[#This Row],[Customer Gender]]="M","Male", orders[[#This Row],[Customer Gender]]="F","Female", orders[[#This Row],[Customer Gender]]="O","Other", TRUE(),"Unknown")</f>
        <v>Male</v>
      </c>
    </row>
    <row r="212" spans="1:15" x14ac:dyDescent="0.25">
      <c r="A212" t="s">
        <v>440</v>
      </c>
      <c r="B212" t="s">
        <v>91</v>
      </c>
      <c r="C212">
        <v>1</v>
      </c>
      <c r="D212">
        <v>77.3</v>
      </c>
      <c r="E212">
        <v>77.3</v>
      </c>
      <c r="F212" s="58">
        <v>45666</v>
      </c>
      <c r="G212" s="58">
        <v>45666</v>
      </c>
      <c r="H212" t="s">
        <v>231</v>
      </c>
      <c r="I212" t="s">
        <v>59</v>
      </c>
      <c r="J212">
        <v>5</v>
      </c>
      <c r="K212" t="s">
        <v>103</v>
      </c>
      <c r="L212" t="s">
        <v>139</v>
      </c>
      <c r="M212">
        <f>orders[[#This Row],[Ship Date]]-orders[[#This Row],[Order Date]]</f>
        <v>0</v>
      </c>
      <c r="N212">
        <f>WEEKNUM(orders[[#This Row],[Order Date]],1)</f>
        <v>2</v>
      </c>
      <c r="O212" t="str">
        <f t="array" ref="O212">_xlfn.IFS(orders[[#This Row],[Customer Gender]]="M","Male", orders[[#This Row],[Customer Gender]]="F","Female", orders[[#This Row],[Customer Gender]]="O","Other", TRUE(),"Unknown")</f>
        <v>Female</v>
      </c>
    </row>
    <row r="213" spans="1:15" x14ac:dyDescent="0.25">
      <c r="A213" t="s">
        <v>441</v>
      </c>
      <c r="B213" t="s">
        <v>91</v>
      </c>
      <c r="C213">
        <v>5</v>
      </c>
      <c r="D213">
        <v>109.1</v>
      </c>
      <c r="E213">
        <v>545.5</v>
      </c>
      <c r="F213" s="58">
        <v>45666</v>
      </c>
      <c r="G213" s="58">
        <v>45669</v>
      </c>
      <c r="H213" t="s">
        <v>231</v>
      </c>
      <c r="I213" t="s">
        <v>59</v>
      </c>
      <c r="J213">
        <v>4</v>
      </c>
      <c r="K213" t="s">
        <v>103</v>
      </c>
      <c r="L213" t="s">
        <v>139</v>
      </c>
      <c r="M213">
        <f>orders[[#This Row],[Ship Date]]-orders[[#This Row],[Order Date]]</f>
        <v>3</v>
      </c>
      <c r="N213">
        <f>WEEKNUM(orders[[#This Row],[Order Date]],1)</f>
        <v>2</v>
      </c>
      <c r="O213" t="str">
        <f t="array" ref="O213">_xlfn.IFS(orders[[#This Row],[Customer Gender]]="M","Male", orders[[#This Row],[Customer Gender]]="F","Female", orders[[#This Row],[Customer Gender]]="O","Other", TRUE(),"Unknown")</f>
        <v>Female</v>
      </c>
    </row>
    <row r="214" spans="1:15" x14ac:dyDescent="0.25">
      <c r="A214" t="s">
        <v>442</v>
      </c>
      <c r="B214" t="s">
        <v>87</v>
      </c>
      <c r="C214">
        <v>4</v>
      </c>
      <c r="D214">
        <v>53.9</v>
      </c>
      <c r="E214">
        <v>215.6</v>
      </c>
      <c r="F214" s="58">
        <v>45666</v>
      </c>
      <c r="G214" s="58">
        <v>45667</v>
      </c>
      <c r="H214" t="s">
        <v>229</v>
      </c>
      <c r="I214" t="s">
        <v>59</v>
      </c>
      <c r="J214">
        <v>3</v>
      </c>
      <c r="K214" t="s">
        <v>103</v>
      </c>
      <c r="L214" t="s">
        <v>142</v>
      </c>
      <c r="M214">
        <f>orders[[#This Row],[Ship Date]]-orders[[#This Row],[Order Date]]</f>
        <v>1</v>
      </c>
      <c r="N214">
        <f>WEEKNUM(orders[[#This Row],[Order Date]],1)</f>
        <v>2</v>
      </c>
      <c r="O214" t="str">
        <f t="array" ref="O214">_xlfn.IFS(orders[[#This Row],[Customer Gender]]="M","Male", orders[[#This Row],[Customer Gender]]="F","Female", orders[[#This Row],[Customer Gender]]="O","Other", TRUE(),"Unknown")</f>
        <v>Male</v>
      </c>
    </row>
    <row r="215" spans="1:15" x14ac:dyDescent="0.25">
      <c r="A215" t="s">
        <v>443</v>
      </c>
      <c r="B215" t="s">
        <v>88</v>
      </c>
      <c r="C215">
        <v>26</v>
      </c>
      <c r="D215">
        <v>21.2</v>
      </c>
      <c r="E215">
        <v>551.20000000000005</v>
      </c>
      <c r="F215" s="58">
        <v>45666</v>
      </c>
      <c r="G215" s="58">
        <v>45666</v>
      </c>
      <c r="H215" t="s">
        <v>231</v>
      </c>
      <c r="I215" t="s">
        <v>59</v>
      </c>
      <c r="J215">
        <v>4</v>
      </c>
      <c r="K215" t="s">
        <v>103</v>
      </c>
      <c r="L215" t="s">
        <v>146</v>
      </c>
      <c r="M215">
        <f>orders[[#This Row],[Ship Date]]-orders[[#This Row],[Order Date]]</f>
        <v>0</v>
      </c>
      <c r="N215">
        <f>WEEKNUM(orders[[#This Row],[Order Date]],1)</f>
        <v>2</v>
      </c>
      <c r="O215" t="str">
        <f t="array" ref="O215">_xlfn.IFS(orders[[#This Row],[Customer Gender]]="M","Male", orders[[#This Row],[Customer Gender]]="F","Female", orders[[#This Row],[Customer Gender]]="O","Other", TRUE(),"Unknown")</f>
        <v>Female</v>
      </c>
    </row>
    <row r="216" spans="1:15" x14ac:dyDescent="0.25">
      <c r="A216" t="s">
        <v>444</v>
      </c>
      <c r="B216" t="s">
        <v>89</v>
      </c>
      <c r="C216">
        <v>4</v>
      </c>
      <c r="D216">
        <v>69</v>
      </c>
      <c r="E216">
        <v>276</v>
      </c>
      <c r="F216" s="58">
        <v>45666</v>
      </c>
      <c r="G216" s="58">
        <v>45668</v>
      </c>
      <c r="H216" t="s">
        <v>231</v>
      </c>
      <c r="I216" t="s">
        <v>63</v>
      </c>
      <c r="J216">
        <v>3</v>
      </c>
      <c r="K216" t="s">
        <v>103</v>
      </c>
      <c r="L216" t="s">
        <v>154</v>
      </c>
      <c r="M216">
        <f>orders[[#This Row],[Ship Date]]-orders[[#This Row],[Order Date]]</f>
        <v>2</v>
      </c>
      <c r="N216">
        <f>WEEKNUM(orders[[#This Row],[Order Date]],1)</f>
        <v>2</v>
      </c>
      <c r="O216" t="str">
        <f t="array" ref="O216">_xlfn.IFS(orders[[#This Row],[Customer Gender]]="M","Male", orders[[#This Row],[Customer Gender]]="F","Female", orders[[#This Row],[Customer Gender]]="O","Other", TRUE(),"Unknown")</f>
        <v>Female</v>
      </c>
    </row>
    <row r="217" spans="1:15" x14ac:dyDescent="0.25">
      <c r="A217" t="s">
        <v>445</v>
      </c>
      <c r="B217" t="s">
        <v>80</v>
      </c>
      <c r="C217">
        <v>3</v>
      </c>
      <c r="D217">
        <v>46.2</v>
      </c>
      <c r="E217">
        <v>138.6</v>
      </c>
      <c r="F217" s="58">
        <v>45666</v>
      </c>
      <c r="G217" s="58">
        <v>45668</v>
      </c>
      <c r="H217" t="s">
        <v>231</v>
      </c>
      <c r="I217" t="s">
        <v>59</v>
      </c>
      <c r="J217">
        <v>5</v>
      </c>
      <c r="K217" t="s">
        <v>103</v>
      </c>
      <c r="L217" t="s">
        <v>156</v>
      </c>
      <c r="M217">
        <f>orders[[#This Row],[Ship Date]]-orders[[#This Row],[Order Date]]</f>
        <v>2</v>
      </c>
      <c r="N217">
        <f>WEEKNUM(orders[[#This Row],[Order Date]],1)</f>
        <v>2</v>
      </c>
      <c r="O217" t="str">
        <f t="array" ref="O217">_xlfn.IFS(orders[[#This Row],[Customer Gender]]="M","Male", orders[[#This Row],[Customer Gender]]="F","Female", orders[[#This Row],[Customer Gender]]="O","Other", TRUE(),"Unknown")</f>
        <v>Female</v>
      </c>
    </row>
    <row r="218" spans="1:15" x14ac:dyDescent="0.25">
      <c r="A218" t="s">
        <v>446</v>
      </c>
      <c r="B218" t="s">
        <v>91</v>
      </c>
      <c r="C218">
        <v>5</v>
      </c>
      <c r="D218">
        <v>97.4</v>
      </c>
      <c r="E218">
        <v>487</v>
      </c>
      <c r="F218" s="58">
        <v>45666</v>
      </c>
      <c r="G218" s="58">
        <v>45670</v>
      </c>
      <c r="H218" t="s">
        <v>231</v>
      </c>
      <c r="I218" t="s">
        <v>61</v>
      </c>
      <c r="J218">
        <v>5</v>
      </c>
      <c r="K218" t="s">
        <v>103</v>
      </c>
      <c r="L218" t="s">
        <v>106</v>
      </c>
      <c r="M218">
        <f>orders[[#This Row],[Ship Date]]-orders[[#This Row],[Order Date]]</f>
        <v>4</v>
      </c>
      <c r="N218">
        <f>WEEKNUM(orders[[#This Row],[Order Date]],1)</f>
        <v>2</v>
      </c>
      <c r="O218" t="str">
        <f t="array" ref="O218">_xlfn.IFS(orders[[#This Row],[Customer Gender]]="M","Male", orders[[#This Row],[Customer Gender]]="F","Female", orders[[#This Row],[Customer Gender]]="O","Other", TRUE(),"Unknown")</f>
        <v>Female</v>
      </c>
    </row>
    <row r="219" spans="1:15" x14ac:dyDescent="0.25">
      <c r="A219" t="s">
        <v>447</v>
      </c>
      <c r="B219" t="s">
        <v>90</v>
      </c>
      <c r="C219">
        <v>5</v>
      </c>
      <c r="D219">
        <v>21</v>
      </c>
      <c r="E219">
        <v>105</v>
      </c>
      <c r="F219" s="58">
        <v>45666</v>
      </c>
      <c r="G219" s="58">
        <v>45667</v>
      </c>
      <c r="H219" t="s">
        <v>229</v>
      </c>
      <c r="I219" t="s">
        <v>59</v>
      </c>
      <c r="J219">
        <v>3</v>
      </c>
      <c r="K219" t="s">
        <v>103</v>
      </c>
      <c r="L219" t="s">
        <v>106</v>
      </c>
      <c r="M219">
        <f>orders[[#This Row],[Ship Date]]-orders[[#This Row],[Order Date]]</f>
        <v>1</v>
      </c>
      <c r="N219">
        <f>WEEKNUM(orders[[#This Row],[Order Date]],1)</f>
        <v>2</v>
      </c>
      <c r="O219" t="str">
        <f t="array" ref="O219">_xlfn.IFS(orders[[#This Row],[Customer Gender]]="M","Male", orders[[#This Row],[Customer Gender]]="F","Female", orders[[#This Row],[Customer Gender]]="O","Other", TRUE(),"Unknown")</f>
        <v>Male</v>
      </c>
    </row>
    <row r="220" spans="1:15" x14ac:dyDescent="0.25">
      <c r="A220" t="s">
        <v>448</v>
      </c>
      <c r="B220" t="s">
        <v>85</v>
      </c>
      <c r="C220">
        <v>2</v>
      </c>
      <c r="D220">
        <v>32.700000000000003</v>
      </c>
      <c r="E220">
        <v>65.400000000000006</v>
      </c>
      <c r="F220" s="58">
        <v>45667</v>
      </c>
      <c r="G220" s="58">
        <v>45670</v>
      </c>
      <c r="H220" t="s">
        <v>231</v>
      </c>
      <c r="I220" t="s">
        <v>63</v>
      </c>
      <c r="J220">
        <v>4</v>
      </c>
      <c r="K220" t="s">
        <v>103</v>
      </c>
      <c r="L220" t="s">
        <v>115</v>
      </c>
      <c r="M220">
        <f>orders[[#This Row],[Ship Date]]-orders[[#This Row],[Order Date]]</f>
        <v>3</v>
      </c>
      <c r="N220">
        <f>WEEKNUM(orders[[#This Row],[Order Date]],1)</f>
        <v>2</v>
      </c>
      <c r="O220" t="str">
        <f t="array" ref="O220">_xlfn.IFS(orders[[#This Row],[Customer Gender]]="M","Male", orders[[#This Row],[Customer Gender]]="F","Female", orders[[#This Row],[Customer Gender]]="O","Other", TRUE(),"Unknown")</f>
        <v>Female</v>
      </c>
    </row>
    <row r="221" spans="1:15" x14ac:dyDescent="0.25">
      <c r="A221" t="s">
        <v>449</v>
      </c>
      <c r="B221" t="s">
        <v>80</v>
      </c>
      <c r="C221">
        <v>4</v>
      </c>
      <c r="D221">
        <v>48</v>
      </c>
      <c r="E221">
        <v>192</v>
      </c>
      <c r="F221" s="58">
        <v>45667</v>
      </c>
      <c r="G221" s="58">
        <v>45668</v>
      </c>
      <c r="H221" t="s">
        <v>229</v>
      </c>
      <c r="I221" t="s">
        <v>60</v>
      </c>
      <c r="J221">
        <v>4</v>
      </c>
      <c r="K221" t="s">
        <v>103</v>
      </c>
      <c r="L221" t="s">
        <v>124</v>
      </c>
      <c r="M221">
        <f>orders[[#This Row],[Ship Date]]-orders[[#This Row],[Order Date]]</f>
        <v>1</v>
      </c>
      <c r="N221">
        <f>WEEKNUM(orders[[#This Row],[Order Date]],1)</f>
        <v>2</v>
      </c>
      <c r="O221" t="str">
        <f t="array" ref="O221">_xlfn.IFS(orders[[#This Row],[Customer Gender]]="M","Male", orders[[#This Row],[Customer Gender]]="F","Female", orders[[#This Row],[Customer Gender]]="O","Other", TRUE(),"Unknown")</f>
        <v>Male</v>
      </c>
    </row>
    <row r="222" spans="1:15" x14ac:dyDescent="0.25">
      <c r="A222" t="s">
        <v>450</v>
      </c>
      <c r="B222" t="s">
        <v>80</v>
      </c>
      <c r="C222">
        <v>3</v>
      </c>
      <c r="D222">
        <v>68.2</v>
      </c>
      <c r="E222">
        <v>204.6</v>
      </c>
      <c r="F222" s="58">
        <v>45667</v>
      </c>
      <c r="G222" s="58">
        <v>45671</v>
      </c>
      <c r="I222" t="s">
        <v>59</v>
      </c>
      <c r="J222">
        <v>5</v>
      </c>
      <c r="K222" t="s">
        <v>103</v>
      </c>
      <c r="L222" t="s">
        <v>124</v>
      </c>
      <c r="M222">
        <f>orders[[#This Row],[Ship Date]]-orders[[#This Row],[Order Date]]</f>
        <v>4</v>
      </c>
      <c r="N222">
        <f>WEEKNUM(orders[[#This Row],[Order Date]],1)</f>
        <v>2</v>
      </c>
      <c r="O222" t="str">
        <f t="array" ref="O222">_xlfn.IFS(orders[[#This Row],[Customer Gender]]="M","Male", orders[[#This Row],[Customer Gender]]="F","Female", orders[[#This Row],[Customer Gender]]="O","Other", TRUE(),"Unknown")</f>
        <v>Unknown</v>
      </c>
    </row>
    <row r="223" spans="1:15" x14ac:dyDescent="0.25">
      <c r="A223" t="s">
        <v>451</v>
      </c>
      <c r="B223" t="s">
        <v>85</v>
      </c>
      <c r="C223">
        <v>1</v>
      </c>
      <c r="D223">
        <v>45.4</v>
      </c>
      <c r="E223">
        <v>45.4</v>
      </c>
      <c r="F223" s="58">
        <v>45667</v>
      </c>
      <c r="G223" s="58">
        <v>45669</v>
      </c>
      <c r="H223" t="s">
        <v>229</v>
      </c>
      <c r="I223" t="s">
        <v>63</v>
      </c>
      <c r="J223">
        <v>4</v>
      </c>
      <c r="K223" t="s">
        <v>103</v>
      </c>
      <c r="L223" t="s">
        <v>124</v>
      </c>
      <c r="M223">
        <f>orders[[#This Row],[Ship Date]]-orders[[#This Row],[Order Date]]</f>
        <v>2</v>
      </c>
      <c r="N223">
        <f>WEEKNUM(orders[[#This Row],[Order Date]],1)</f>
        <v>2</v>
      </c>
      <c r="O223" t="str">
        <f t="array" ref="O223">_xlfn.IFS(orders[[#This Row],[Customer Gender]]="M","Male", orders[[#This Row],[Customer Gender]]="F","Female", orders[[#This Row],[Customer Gender]]="O","Other", TRUE(),"Unknown")</f>
        <v>Male</v>
      </c>
    </row>
    <row r="224" spans="1:15" x14ac:dyDescent="0.25">
      <c r="A224" t="s">
        <v>452</v>
      </c>
      <c r="B224" t="s">
        <v>76</v>
      </c>
      <c r="C224">
        <v>2</v>
      </c>
      <c r="D224">
        <v>53.9</v>
      </c>
      <c r="E224">
        <v>107.8</v>
      </c>
      <c r="F224" s="58">
        <v>45667</v>
      </c>
      <c r="G224" s="58">
        <v>45668</v>
      </c>
      <c r="H224" t="s">
        <v>231</v>
      </c>
      <c r="I224" t="s">
        <v>62</v>
      </c>
      <c r="J224">
        <v>4</v>
      </c>
      <c r="K224" t="s">
        <v>103</v>
      </c>
      <c r="L224" t="s">
        <v>124</v>
      </c>
      <c r="M224">
        <f>orders[[#This Row],[Ship Date]]-orders[[#This Row],[Order Date]]</f>
        <v>1</v>
      </c>
      <c r="N224">
        <f>WEEKNUM(orders[[#This Row],[Order Date]],1)</f>
        <v>2</v>
      </c>
      <c r="O224" t="str">
        <f t="array" ref="O224">_xlfn.IFS(orders[[#This Row],[Customer Gender]]="M","Male", orders[[#This Row],[Customer Gender]]="F","Female", orders[[#This Row],[Customer Gender]]="O","Other", TRUE(),"Unknown")</f>
        <v>Female</v>
      </c>
    </row>
    <row r="225" spans="1:15" x14ac:dyDescent="0.25">
      <c r="A225" t="s">
        <v>453</v>
      </c>
      <c r="B225" t="s">
        <v>87</v>
      </c>
      <c r="C225">
        <v>4</v>
      </c>
      <c r="D225">
        <v>62.1</v>
      </c>
      <c r="E225">
        <v>248.4</v>
      </c>
      <c r="F225" s="58">
        <v>45667</v>
      </c>
      <c r="G225" s="58">
        <v>45671</v>
      </c>
      <c r="H225" t="s">
        <v>231</v>
      </c>
      <c r="I225" t="s">
        <v>59</v>
      </c>
      <c r="J225">
        <v>4</v>
      </c>
      <c r="K225" t="s">
        <v>103</v>
      </c>
      <c r="L225" t="s">
        <v>134</v>
      </c>
      <c r="M225">
        <f>orders[[#This Row],[Ship Date]]-orders[[#This Row],[Order Date]]</f>
        <v>4</v>
      </c>
      <c r="N225">
        <f>WEEKNUM(orders[[#This Row],[Order Date]],1)</f>
        <v>2</v>
      </c>
      <c r="O225" t="str">
        <f t="array" ref="O225">_xlfn.IFS(orders[[#This Row],[Customer Gender]]="M","Male", orders[[#This Row],[Customer Gender]]="F","Female", orders[[#This Row],[Customer Gender]]="O","Other", TRUE(),"Unknown")</f>
        <v>Female</v>
      </c>
    </row>
    <row r="226" spans="1:15" x14ac:dyDescent="0.25">
      <c r="A226" t="s">
        <v>454</v>
      </c>
      <c r="B226" t="s">
        <v>92</v>
      </c>
      <c r="C226">
        <v>7</v>
      </c>
      <c r="D226">
        <v>33.1</v>
      </c>
      <c r="E226">
        <v>231.7</v>
      </c>
      <c r="F226" s="58">
        <v>45667</v>
      </c>
      <c r="G226" s="58">
        <v>45672</v>
      </c>
      <c r="H226" t="s">
        <v>229</v>
      </c>
      <c r="I226" t="s">
        <v>63</v>
      </c>
      <c r="J226">
        <v>4</v>
      </c>
      <c r="K226" t="s">
        <v>103</v>
      </c>
      <c r="L226" t="s">
        <v>139</v>
      </c>
      <c r="M226">
        <f>orders[[#This Row],[Ship Date]]-orders[[#This Row],[Order Date]]</f>
        <v>5</v>
      </c>
      <c r="N226">
        <f>WEEKNUM(orders[[#This Row],[Order Date]],1)</f>
        <v>2</v>
      </c>
      <c r="O226" t="str">
        <f t="array" ref="O226">_xlfn.IFS(orders[[#This Row],[Customer Gender]]="M","Male", orders[[#This Row],[Customer Gender]]="F","Female", orders[[#This Row],[Customer Gender]]="O","Other", TRUE(),"Unknown")</f>
        <v>Male</v>
      </c>
    </row>
    <row r="227" spans="1:15" x14ac:dyDescent="0.25">
      <c r="A227" t="s">
        <v>455</v>
      </c>
      <c r="B227" t="s">
        <v>82</v>
      </c>
      <c r="C227">
        <v>5</v>
      </c>
      <c r="D227">
        <v>35.200000000000003</v>
      </c>
      <c r="E227">
        <v>176</v>
      </c>
      <c r="F227" s="58">
        <v>45667</v>
      </c>
      <c r="G227" s="58">
        <v>45667</v>
      </c>
      <c r="H227" t="s">
        <v>231</v>
      </c>
      <c r="I227" t="s">
        <v>63</v>
      </c>
      <c r="J227">
        <v>4</v>
      </c>
      <c r="K227" t="s">
        <v>103</v>
      </c>
      <c r="L227" t="s">
        <v>139</v>
      </c>
      <c r="M227">
        <f>orders[[#This Row],[Ship Date]]-orders[[#This Row],[Order Date]]</f>
        <v>0</v>
      </c>
      <c r="N227">
        <f>WEEKNUM(orders[[#This Row],[Order Date]],1)</f>
        <v>2</v>
      </c>
      <c r="O227" t="str">
        <f t="array" ref="O227">_xlfn.IFS(orders[[#This Row],[Customer Gender]]="M","Male", orders[[#This Row],[Customer Gender]]="F","Female", orders[[#This Row],[Customer Gender]]="O","Other", TRUE(),"Unknown")</f>
        <v>Female</v>
      </c>
    </row>
    <row r="228" spans="1:15" x14ac:dyDescent="0.25">
      <c r="A228" t="s">
        <v>456</v>
      </c>
      <c r="B228" t="s">
        <v>88</v>
      </c>
      <c r="C228">
        <v>3</v>
      </c>
      <c r="D228">
        <v>32.1</v>
      </c>
      <c r="E228">
        <v>96.3</v>
      </c>
      <c r="F228" s="58">
        <v>45667</v>
      </c>
      <c r="G228" s="58">
        <v>45672</v>
      </c>
      <c r="H228" t="s">
        <v>229</v>
      </c>
      <c r="I228" t="s">
        <v>60</v>
      </c>
      <c r="J228">
        <v>4</v>
      </c>
      <c r="K228" t="s">
        <v>103</v>
      </c>
      <c r="L228" t="s">
        <v>142</v>
      </c>
      <c r="M228">
        <f>orders[[#This Row],[Ship Date]]-orders[[#This Row],[Order Date]]</f>
        <v>5</v>
      </c>
      <c r="N228">
        <f>WEEKNUM(orders[[#This Row],[Order Date]],1)</f>
        <v>2</v>
      </c>
      <c r="O228" t="str">
        <f t="array" ref="O228">_xlfn.IFS(orders[[#This Row],[Customer Gender]]="M","Male", orders[[#This Row],[Customer Gender]]="F","Female", orders[[#This Row],[Customer Gender]]="O","Other", TRUE(),"Unknown")</f>
        <v>Male</v>
      </c>
    </row>
    <row r="229" spans="1:15" x14ac:dyDescent="0.25">
      <c r="A229" t="s">
        <v>457</v>
      </c>
      <c r="B229" t="s">
        <v>83</v>
      </c>
      <c r="C229">
        <v>1</v>
      </c>
      <c r="D229">
        <v>38.1</v>
      </c>
      <c r="E229">
        <v>38.1</v>
      </c>
      <c r="F229" s="58">
        <v>45667</v>
      </c>
      <c r="G229" s="58">
        <v>45672</v>
      </c>
      <c r="H229" t="s">
        <v>231</v>
      </c>
      <c r="I229" t="s">
        <v>59</v>
      </c>
      <c r="J229">
        <v>5</v>
      </c>
      <c r="K229" t="s">
        <v>103</v>
      </c>
      <c r="L229" t="s">
        <v>142</v>
      </c>
      <c r="M229">
        <f>orders[[#This Row],[Ship Date]]-orders[[#This Row],[Order Date]]</f>
        <v>5</v>
      </c>
      <c r="N229">
        <f>WEEKNUM(orders[[#This Row],[Order Date]],1)</f>
        <v>2</v>
      </c>
      <c r="O229" t="str">
        <f t="array" ref="O229">_xlfn.IFS(orders[[#This Row],[Customer Gender]]="M","Male", orders[[#This Row],[Customer Gender]]="F","Female", orders[[#This Row],[Customer Gender]]="O","Other", TRUE(),"Unknown")</f>
        <v>Female</v>
      </c>
    </row>
    <row r="230" spans="1:15" x14ac:dyDescent="0.25">
      <c r="A230" t="s">
        <v>458</v>
      </c>
      <c r="B230" t="s">
        <v>90</v>
      </c>
      <c r="C230">
        <v>1</v>
      </c>
      <c r="D230">
        <v>65.2</v>
      </c>
      <c r="E230">
        <v>65.2</v>
      </c>
      <c r="F230" s="58">
        <v>45667</v>
      </c>
      <c r="G230" s="58">
        <v>45672</v>
      </c>
      <c r="H230" t="s">
        <v>231</v>
      </c>
      <c r="I230" t="s">
        <v>60</v>
      </c>
      <c r="J230">
        <v>3</v>
      </c>
      <c r="K230" t="s">
        <v>103</v>
      </c>
      <c r="L230" t="s">
        <v>142</v>
      </c>
      <c r="M230">
        <f>orders[[#This Row],[Ship Date]]-orders[[#This Row],[Order Date]]</f>
        <v>5</v>
      </c>
      <c r="N230">
        <f>WEEKNUM(orders[[#This Row],[Order Date]],1)</f>
        <v>2</v>
      </c>
      <c r="O230" t="str">
        <f t="array" ref="O230">_xlfn.IFS(orders[[#This Row],[Customer Gender]]="M","Male", orders[[#This Row],[Customer Gender]]="F","Female", orders[[#This Row],[Customer Gender]]="O","Other", TRUE(),"Unknown")</f>
        <v>Female</v>
      </c>
    </row>
    <row r="231" spans="1:15" x14ac:dyDescent="0.25">
      <c r="A231" t="s">
        <v>459</v>
      </c>
      <c r="B231" t="s">
        <v>75</v>
      </c>
      <c r="C231">
        <v>7</v>
      </c>
      <c r="D231">
        <v>55.2</v>
      </c>
      <c r="E231">
        <v>386.4</v>
      </c>
      <c r="F231" s="58">
        <v>45667</v>
      </c>
      <c r="G231" s="58">
        <v>45668</v>
      </c>
      <c r="H231" t="s">
        <v>229</v>
      </c>
      <c r="I231" t="s">
        <v>62</v>
      </c>
      <c r="J231">
        <v>4</v>
      </c>
      <c r="K231" t="s">
        <v>103</v>
      </c>
      <c r="L231" t="s">
        <v>148</v>
      </c>
      <c r="M231">
        <f>orders[[#This Row],[Ship Date]]-orders[[#This Row],[Order Date]]</f>
        <v>1</v>
      </c>
      <c r="N231">
        <f>WEEKNUM(orders[[#This Row],[Order Date]],1)</f>
        <v>2</v>
      </c>
      <c r="O231" t="str">
        <f t="array" ref="O231">_xlfn.IFS(orders[[#This Row],[Customer Gender]]="M","Male", orders[[#This Row],[Customer Gender]]="F","Female", orders[[#This Row],[Customer Gender]]="O","Other", TRUE(),"Unknown")</f>
        <v>Male</v>
      </c>
    </row>
    <row r="232" spans="1:15" x14ac:dyDescent="0.25">
      <c r="A232" t="s">
        <v>460</v>
      </c>
      <c r="B232" t="s">
        <v>80</v>
      </c>
      <c r="C232">
        <v>1</v>
      </c>
      <c r="D232">
        <v>62</v>
      </c>
      <c r="E232">
        <v>62</v>
      </c>
      <c r="F232" s="58">
        <v>45667</v>
      </c>
      <c r="G232" s="58">
        <v>45671</v>
      </c>
      <c r="H232" t="s">
        <v>231</v>
      </c>
      <c r="I232" t="s">
        <v>59</v>
      </c>
      <c r="J232">
        <v>4</v>
      </c>
      <c r="K232" t="s">
        <v>103</v>
      </c>
      <c r="L232" t="s">
        <v>148</v>
      </c>
      <c r="M232">
        <f>orders[[#This Row],[Ship Date]]-orders[[#This Row],[Order Date]]</f>
        <v>4</v>
      </c>
      <c r="N232">
        <f>WEEKNUM(orders[[#This Row],[Order Date]],1)</f>
        <v>2</v>
      </c>
      <c r="O232" t="str">
        <f t="array" ref="O232">_xlfn.IFS(orders[[#This Row],[Customer Gender]]="M","Male", orders[[#This Row],[Customer Gender]]="F","Female", orders[[#This Row],[Customer Gender]]="O","Other", TRUE(),"Unknown")</f>
        <v>Female</v>
      </c>
    </row>
    <row r="233" spans="1:15" x14ac:dyDescent="0.25">
      <c r="A233" t="s">
        <v>461</v>
      </c>
      <c r="B233" t="s">
        <v>79</v>
      </c>
      <c r="C233">
        <v>3</v>
      </c>
      <c r="D233">
        <v>45.9</v>
      </c>
      <c r="E233">
        <v>137.69999999999999</v>
      </c>
      <c r="F233" s="58">
        <v>45667</v>
      </c>
      <c r="G233" s="58">
        <v>45668</v>
      </c>
      <c r="H233" t="s">
        <v>231</v>
      </c>
      <c r="I233" t="s">
        <v>62</v>
      </c>
      <c r="J233">
        <v>4</v>
      </c>
      <c r="K233" t="s">
        <v>103</v>
      </c>
      <c r="L233" t="s">
        <v>149</v>
      </c>
      <c r="M233">
        <f>orders[[#This Row],[Ship Date]]-orders[[#This Row],[Order Date]]</f>
        <v>1</v>
      </c>
      <c r="N233">
        <f>WEEKNUM(orders[[#This Row],[Order Date]],1)</f>
        <v>2</v>
      </c>
      <c r="O233" t="str">
        <f t="array" ref="O233">_xlfn.IFS(orders[[#This Row],[Customer Gender]]="M","Male", orders[[#This Row],[Customer Gender]]="F","Female", orders[[#This Row],[Customer Gender]]="O","Other", TRUE(),"Unknown")</f>
        <v>Female</v>
      </c>
    </row>
    <row r="234" spans="1:15" x14ac:dyDescent="0.25">
      <c r="A234" t="s">
        <v>462</v>
      </c>
      <c r="B234" t="s">
        <v>82</v>
      </c>
      <c r="C234">
        <v>3</v>
      </c>
      <c r="D234">
        <v>58.3</v>
      </c>
      <c r="E234">
        <v>174.9</v>
      </c>
      <c r="F234" s="58">
        <v>45667</v>
      </c>
      <c r="G234" s="58">
        <v>45667</v>
      </c>
      <c r="H234" t="s">
        <v>229</v>
      </c>
      <c r="I234" t="s">
        <v>63</v>
      </c>
      <c r="J234">
        <v>3</v>
      </c>
      <c r="K234" t="s">
        <v>103</v>
      </c>
      <c r="L234" t="s">
        <v>154</v>
      </c>
      <c r="M234">
        <f>orders[[#This Row],[Ship Date]]-orders[[#This Row],[Order Date]]</f>
        <v>0</v>
      </c>
      <c r="N234">
        <f>WEEKNUM(orders[[#This Row],[Order Date]],1)</f>
        <v>2</v>
      </c>
      <c r="O234" t="str">
        <f t="array" ref="O234">_xlfn.IFS(orders[[#This Row],[Customer Gender]]="M","Male", orders[[#This Row],[Customer Gender]]="F","Female", orders[[#This Row],[Customer Gender]]="O","Other", TRUE(),"Unknown")</f>
        <v>Male</v>
      </c>
    </row>
    <row r="235" spans="1:15" x14ac:dyDescent="0.25">
      <c r="A235" t="s">
        <v>463</v>
      </c>
      <c r="B235" t="s">
        <v>90</v>
      </c>
      <c r="C235">
        <v>2</v>
      </c>
      <c r="D235">
        <v>22.3</v>
      </c>
      <c r="E235">
        <v>44.6</v>
      </c>
      <c r="F235" s="58">
        <v>45667</v>
      </c>
      <c r="G235" s="58">
        <v>45670</v>
      </c>
      <c r="H235" t="s">
        <v>231</v>
      </c>
      <c r="I235" t="s">
        <v>59</v>
      </c>
      <c r="J235">
        <v>5</v>
      </c>
      <c r="K235" t="s">
        <v>103</v>
      </c>
      <c r="L235" t="s">
        <v>159</v>
      </c>
      <c r="M235">
        <f>orders[[#This Row],[Ship Date]]-orders[[#This Row],[Order Date]]</f>
        <v>3</v>
      </c>
      <c r="N235">
        <f>WEEKNUM(orders[[#This Row],[Order Date]],1)</f>
        <v>2</v>
      </c>
      <c r="O235" t="str">
        <f t="array" ref="O235">_xlfn.IFS(orders[[#This Row],[Customer Gender]]="M","Male", orders[[#This Row],[Customer Gender]]="F","Female", orders[[#This Row],[Customer Gender]]="O","Other", TRUE(),"Unknown")</f>
        <v>Female</v>
      </c>
    </row>
    <row r="236" spans="1:15" x14ac:dyDescent="0.25">
      <c r="A236" t="s">
        <v>464</v>
      </c>
      <c r="B236" t="s">
        <v>81</v>
      </c>
      <c r="C236">
        <v>5</v>
      </c>
      <c r="D236">
        <v>24</v>
      </c>
      <c r="E236">
        <v>120</v>
      </c>
      <c r="F236" s="58">
        <v>45667</v>
      </c>
      <c r="G236" s="58">
        <v>45668</v>
      </c>
      <c r="H236" t="s">
        <v>229</v>
      </c>
      <c r="I236" t="s">
        <v>61</v>
      </c>
      <c r="J236">
        <v>4</v>
      </c>
      <c r="K236" t="s">
        <v>103</v>
      </c>
      <c r="L236" t="s">
        <v>112</v>
      </c>
      <c r="M236">
        <f>orders[[#This Row],[Ship Date]]-orders[[#This Row],[Order Date]]</f>
        <v>1</v>
      </c>
      <c r="N236">
        <f>WEEKNUM(orders[[#This Row],[Order Date]],1)</f>
        <v>2</v>
      </c>
      <c r="O236" t="str">
        <f t="array" ref="O236">_xlfn.IFS(orders[[#This Row],[Customer Gender]]="M","Male", orders[[#This Row],[Customer Gender]]="F","Female", orders[[#This Row],[Customer Gender]]="O","Other", TRUE(),"Unknown")</f>
        <v>Male</v>
      </c>
    </row>
    <row r="237" spans="1:15" x14ac:dyDescent="0.25">
      <c r="A237" t="s">
        <v>465</v>
      </c>
      <c r="B237" t="s">
        <v>86</v>
      </c>
      <c r="C237">
        <v>10</v>
      </c>
      <c r="D237">
        <v>21.3</v>
      </c>
      <c r="E237">
        <v>213</v>
      </c>
      <c r="F237" s="58">
        <v>45667</v>
      </c>
      <c r="G237" s="58">
        <v>45667</v>
      </c>
      <c r="H237" t="s">
        <v>231</v>
      </c>
      <c r="I237" t="s">
        <v>63</v>
      </c>
      <c r="J237">
        <v>5</v>
      </c>
      <c r="K237" t="s">
        <v>103</v>
      </c>
      <c r="L237" t="s">
        <v>120</v>
      </c>
      <c r="M237">
        <f>orders[[#This Row],[Ship Date]]-orders[[#This Row],[Order Date]]</f>
        <v>0</v>
      </c>
      <c r="N237">
        <f>WEEKNUM(orders[[#This Row],[Order Date]],1)</f>
        <v>2</v>
      </c>
      <c r="O237" t="str">
        <f t="array" ref="O237">_xlfn.IFS(orders[[#This Row],[Customer Gender]]="M","Male", orders[[#This Row],[Customer Gender]]="F","Female", orders[[#This Row],[Customer Gender]]="O","Other", TRUE(),"Unknown")</f>
        <v>Female</v>
      </c>
    </row>
    <row r="238" spans="1:15" x14ac:dyDescent="0.25">
      <c r="A238" t="s">
        <v>466</v>
      </c>
      <c r="B238" t="s">
        <v>80</v>
      </c>
      <c r="C238">
        <v>41</v>
      </c>
      <c r="D238">
        <v>57.8</v>
      </c>
      <c r="E238">
        <v>2369.8000000000002</v>
      </c>
      <c r="F238" s="58">
        <v>45667</v>
      </c>
      <c r="G238" s="58">
        <v>45669</v>
      </c>
      <c r="H238" t="s">
        <v>231</v>
      </c>
      <c r="I238" t="s">
        <v>59</v>
      </c>
      <c r="J238">
        <v>5</v>
      </c>
      <c r="K238" t="s">
        <v>103</v>
      </c>
      <c r="L238" t="s">
        <v>124</v>
      </c>
      <c r="M238">
        <f>orders[[#This Row],[Ship Date]]-orders[[#This Row],[Order Date]]</f>
        <v>2</v>
      </c>
      <c r="N238">
        <f>WEEKNUM(orders[[#This Row],[Order Date]],1)</f>
        <v>2</v>
      </c>
      <c r="O238" t="str">
        <f t="array" ref="O238">_xlfn.IFS(orders[[#This Row],[Customer Gender]]="M","Male", orders[[#This Row],[Customer Gender]]="F","Female", orders[[#This Row],[Customer Gender]]="O","Other", TRUE(),"Unknown")</f>
        <v>Female</v>
      </c>
    </row>
    <row r="239" spans="1:15" x14ac:dyDescent="0.25">
      <c r="A239" t="s">
        <v>467</v>
      </c>
      <c r="B239" t="s">
        <v>75</v>
      </c>
      <c r="C239">
        <v>3</v>
      </c>
      <c r="D239">
        <v>67.599999999999994</v>
      </c>
      <c r="E239">
        <v>202.8</v>
      </c>
      <c r="F239" s="58">
        <v>45667</v>
      </c>
      <c r="G239" s="58">
        <v>45668</v>
      </c>
      <c r="H239" t="s">
        <v>231</v>
      </c>
      <c r="I239" t="s">
        <v>59</v>
      </c>
      <c r="J239">
        <v>4</v>
      </c>
      <c r="K239" t="s">
        <v>103</v>
      </c>
      <c r="L239" t="s">
        <v>124</v>
      </c>
      <c r="M239">
        <f>orders[[#This Row],[Ship Date]]-orders[[#This Row],[Order Date]]</f>
        <v>1</v>
      </c>
      <c r="N239">
        <f>WEEKNUM(orders[[#This Row],[Order Date]],1)</f>
        <v>2</v>
      </c>
      <c r="O239" t="str">
        <f t="array" ref="O239">_xlfn.IFS(orders[[#This Row],[Customer Gender]]="M","Male", orders[[#This Row],[Customer Gender]]="F","Female", orders[[#This Row],[Customer Gender]]="O","Other", TRUE(),"Unknown")</f>
        <v>Female</v>
      </c>
    </row>
    <row r="240" spans="1:15" x14ac:dyDescent="0.25">
      <c r="A240" t="s">
        <v>468</v>
      </c>
      <c r="B240" t="s">
        <v>80</v>
      </c>
      <c r="C240">
        <v>6</v>
      </c>
      <c r="D240">
        <v>66.7</v>
      </c>
      <c r="E240">
        <v>400.2</v>
      </c>
      <c r="F240" s="58">
        <v>45667</v>
      </c>
      <c r="G240" s="58">
        <v>45671</v>
      </c>
      <c r="H240" t="s">
        <v>229</v>
      </c>
      <c r="I240" t="s">
        <v>61</v>
      </c>
      <c r="J240">
        <v>3</v>
      </c>
      <c r="K240" t="s">
        <v>103</v>
      </c>
      <c r="L240" t="s">
        <v>124</v>
      </c>
      <c r="M240">
        <f>orders[[#This Row],[Ship Date]]-orders[[#This Row],[Order Date]]</f>
        <v>4</v>
      </c>
      <c r="N240">
        <f>WEEKNUM(orders[[#This Row],[Order Date]],1)</f>
        <v>2</v>
      </c>
      <c r="O240" t="str">
        <f t="array" ref="O240">_xlfn.IFS(orders[[#This Row],[Customer Gender]]="M","Male", orders[[#This Row],[Customer Gender]]="F","Female", orders[[#This Row],[Customer Gender]]="O","Other", TRUE(),"Unknown")</f>
        <v>Male</v>
      </c>
    </row>
    <row r="241" spans="1:15" x14ac:dyDescent="0.25">
      <c r="A241" t="s">
        <v>469</v>
      </c>
      <c r="B241" t="s">
        <v>91</v>
      </c>
      <c r="C241">
        <v>4</v>
      </c>
      <c r="D241">
        <v>53.1</v>
      </c>
      <c r="E241">
        <v>212.4</v>
      </c>
      <c r="F241" s="58">
        <v>45667</v>
      </c>
      <c r="G241" s="58">
        <v>45669</v>
      </c>
      <c r="H241" t="s">
        <v>231</v>
      </c>
      <c r="I241" t="s">
        <v>63</v>
      </c>
      <c r="J241">
        <v>4</v>
      </c>
      <c r="K241" t="s">
        <v>103</v>
      </c>
      <c r="L241" t="s">
        <v>124</v>
      </c>
      <c r="M241">
        <f>orders[[#This Row],[Ship Date]]-orders[[#This Row],[Order Date]]</f>
        <v>2</v>
      </c>
      <c r="N241">
        <f>WEEKNUM(orders[[#This Row],[Order Date]],1)</f>
        <v>2</v>
      </c>
      <c r="O241" t="str">
        <f t="array" ref="O241">_xlfn.IFS(orders[[#This Row],[Customer Gender]]="M","Male", orders[[#This Row],[Customer Gender]]="F","Female", orders[[#This Row],[Customer Gender]]="O","Other", TRUE(),"Unknown")</f>
        <v>Female</v>
      </c>
    </row>
    <row r="242" spans="1:15" x14ac:dyDescent="0.25">
      <c r="A242" t="s">
        <v>470</v>
      </c>
      <c r="B242" t="s">
        <v>76</v>
      </c>
      <c r="C242">
        <v>3</v>
      </c>
      <c r="D242">
        <v>57.4</v>
      </c>
      <c r="E242">
        <v>172.2</v>
      </c>
      <c r="F242" s="58">
        <v>45667</v>
      </c>
      <c r="G242" s="58">
        <v>45670</v>
      </c>
      <c r="H242" t="s">
        <v>231</v>
      </c>
      <c r="I242" t="s">
        <v>59</v>
      </c>
      <c r="J242">
        <v>5</v>
      </c>
      <c r="K242" t="s">
        <v>103</v>
      </c>
      <c r="L242" t="s">
        <v>128</v>
      </c>
      <c r="M242">
        <f>orders[[#This Row],[Ship Date]]-orders[[#This Row],[Order Date]]</f>
        <v>3</v>
      </c>
      <c r="N242">
        <f>WEEKNUM(orders[[#This Row],[Order Date]],1)</f>
        <v>2</v>
      </c>
      <c r="O242" t="str">
        <f t="array" ref="O242">_xlfn.IFS(orders[[#This Row],[Customer Gender]]="M","Male", orders[[#This Row],[Customer Gender]]="F","Female", orders[[#This Row],[Customer Gender]]="O","Other", TRUE(),"Unknown")</f>
        <v>Female</v>
      </c>
    </row>
    <row r="243" spans="1:15" x14ac:dyDescent="0.25">
      <c r="A243" t="s">
        <v>471</v>
      </c>
      <c r="B243" t="s">
        <v>87</v>
      </c>
      <c r="C243">
        <v>5</v>
      </c>
      <c r="D243">
        <v>58.1</v>
      </c>
      <c r="E243">
        <v>290.5</v>
      </c>
      <c r="F243" s="58">
        <v>45667</v>
      </c>
      <c r="G243" s="58">
        <v>45667</v>
      </c>
      <c r="H243" t="s">
        <v>229</v>
      </c>
      <c r="I243" t="s">
        <v>62</v>
      </c>
      <c r="J243">
        <v>5</v>
      </c>
      <c r="K243" t="s">
        <v>103</v>
      </c>
      <c r="L243" t="s">
        <v>139</v>
      </c>
      <c r="M243">
        <f>orders[[#This Row],[Ship Date]]-orders[[#This Row],[Order Date]]</f>
        <v>0</v>
      </c>
      <c r="N243">
        <f>WEEKNUM(orders[[#This Row],[Order Date]],1)</f>
        <v>2</v>
      </c>
      <c r="O243" t="str">
        <f t="array" ref="O243">_xlfn.IFS(orders[[#This Row],[Customer Gender]]="M","Male", orders[[#This Row],[Customer Gender]]="F","Female", orders[[#This Row],[Customer Gender]]="O","Other", TRUE(),"Unknown")</f>
        <v>Male</v>
      </c>
    </row>
    <row r="244" spans="1:15" x14ac:dyDescent="0.25">
      <c r="A244" t="s">
        <v>472</v>
      </c>
      <c r="B244" t="s">
        <v>85</v>
      </c>
      <c r="C244">
        <v>3</v>
      </c>
      <c r="D244">
        <v>31.8</v>
      </c>
      <c r="E244">
        <v>95.4</v>
      </c>
      <c r="F244" s="58">
        <v>45668</v>
      </c>
      <c r="G244" s="58">
        <v>45670</v>
      </c>
      <c r="H244" t="s">
        <v>229</v>
      </c>
      <c r="I244" t="s">
        <v>60</v>
      </c>
      <c r="J244">
        <v>4</v>
      </c>
      <c r="K244" t="s">
        <v>103</v>
      </c>
      <c r="L244" t="s">
        <v>139</v>
      </c>
      <c r="M244">
        <f>orders[[#This Row],[Ship Date]]-orders[[#This Row],[Order Date]]</f>
        <v>2</v>
      </c>
      <c r="N244">
        <f>WEEKNUM(orders[[#This Row],[Order Date]],1)</f>
        <v>2</v>
      </c>
      <c r="O244" t="str">
        <f t="array" ref="O244">_xlfn.IFS(orders[[#This Row],[Customer Gender]]="M","Male", orders[[#This Row],[Customer Gender]]="F","Female", orders[[#This Row],[Customer Gender]]="O","Other", TRUE(),"Unknown")</f>
        <v>Male</v>
      </c>
    </row>
    <row r="245" spans="1:15" x14ac:dyDescent="0.25">
      <c r="A245" t="s">
        <v>473</v>
      </c>
      <c r="B245" t="s">
        <v>78</v>
      </c>
      <c r="C245">
        <v>3</v>
      </c>
      <c r="D245">
        <v>31.5</v>
      </c>
      <c r="E245">
        <v>94.5</v>
      </c>
      <c r="F245" s="58">
        <v>45668</v>
      </c>
      <c r="G245" s="58">
        <v>45671</v>
      </c>
      <c r="H245" t="s">
        <v>229</v>
      </c>
      <c r="I245" t="s">
        <v>59</v>
      </c>
      <c r="J245">
        <v>3</v>
      </c>
      <c r="K245" t="s">
        <v>103</v>
      </c>
      <c r="L245" t="s">
        <v>142</v>
      </c>
      <c r="M245">
        <f>orders[[#This Row],[Ship Date]]-orders[[#This Row],[Order Date]]</f>
        <v>3</v>
      </c>
      <c r="N245">
        <f>WEEKNUM(orders[[#This Row],[Order Date]],1)</f>
        <v>2</v>
      </c>
      <c r="O245" t="str">
        <f t="array" ref="O245">_xlfn.IFS(orders[[#This Row],[Customer Gender]]="M","Male", orders[[#This Row],[Customer Gender]]="F","Female", orders[[#This Row],[Customer Gender]]="O","Other", TRUE(),"Unknown")</f>
        <v>Male</v>
      </c>
    </row>
    <row r="246" spans="1:15" x14ac:dyDescent="0.25">
      <c r="A246" t="s">
        <v>474</v>
      </c>
      <c r="B246" t="s">
        <v>80</v>
      </c>
      <c r="C246">
        <v>7</v>
      </c>
      <c r="D246">
        <v>55.9</v>
      </c>
      <c r="E246">
        <v>391.3</v>
      </c>
      <c r="F246" s="58">
        <v>45668</v>
      </c>
      <c r="G246" s="58">
        <v>45672</v>
      </c>
      <c r="H246" t="s">
        <v>231</v>
      </c>
      <c r="I246" t="s">
        <v>63</v>
      </c>
      <c r="J246">
        <v>5</v>
      </c>
      <c r="K246" t="s">
        <v>103</v>
      </c>
      <c r="L246" t="s">
        <v>142</v>
      </c>
      <c r="M246">
        <f>orders[[#This Row],[Ship Date]]-orders[[#This Row],[Order Date]]</f>
        <v>4</v>
      </c>
      <c r="N246">
        <f>WEEKNUM(orders[[#This Row],[Order Date]],1)</f>
        <v>2</v>
      </c>
      <c r="O246" t="str">
        <f t="array" ref="O246">_xlfn.IFS(orders[[#This Row],[Customer Gender]]="M","Male", orders[[#This Row],[Customer Gender]]="F","Female", orders[[#This Row],[Customer Gender]]="O","Other", TRUE(),"Unknown")</f>
        <v>Female</v>
      </c>
    </row>
    <row r="247" spans="1:15" x14ac:dyDescent="0.25">
      <c r="A247" t="s">
        <v>475</v>
      </c>
      <c r="B247" t="s">
        <v>90</v>
      </c>
      <c r="C247">
        <v>2</v>
      </c>
      <c r="D247">
        <v>36.4</v>
      </c>
      <c r="E247">
        <v>72.8</v>
      </c>
      <c r="F247" s="58">
        <v>45668</v>
      </c>
      <c r="G247" s="58">
        <v>45669</v>
      </c>
      <c r="H247" t="s">
        <v>229</v>
      </c>
      <c r="I247" t="s">
        <v>63</v>
      </c>
      <c r="J247">
        <v>3</v>
      </c>
      <c r="K247" t="s">
        <v>103</v>
      </c>
      <c r="L247" t="s">
        <v>146</v>
      </c>
      <c r="M247">
        <f>orders[[#This Row],[Ship Date]]-orders[[#This Row],[Order Date]]</f>
        <v>1</v>
      </c>
      <c r="N247">
        <f>WEEKNUM(orders[[#This Row],[Order Date]],1)</f>
        <v>2</v>
      </c>
      <c r="O247" t="str">
        <f t="array" ref="O247">_xlfn.IFS(orders[[#This Row],[Customer Gender]]="M","Male", orders[[#This Row],[Customer Gender]]="F","Female", orders[[#This Row],[Customer Gender]]="O","Other", TRUE(),"Unknown")</f>
        <v>Male</v>
      </c>
    </row>
    <row r="248" spans="1:15" x14ac:dyDescent="0.25">
      <c r="A248" t="s">
        <v>476</v>
      </c>
      <c r="B248" t="s">
        <v>91</v>
      </c>
      <c r="C248">
        <v>5</v>
      </c>
      <c r="D248">
        <v>47.3</v>
      </c>
      <c r="E248">
        <v>236.5</v>
      </c>
      <c r="F248" s="58">
        <v>45668</v>
      </c>
      <c r="G248" s="58">
        <v>45671</v>
      </c>
      <c r="H248" t="s">
        <v>229</v>
      </c>
      <c r="I248" t="s">
        <v>62</v>
      </c>
      <c r="J248">
        <v>4</v>
      </c>
      <c r="K248" t="s">
        <v>103</v>
      </c>
      <c r="L248" t="s">
        <v>147</v>
      </c>
      <c r="M248">
        <f>orders[[#This Row],[Ship Date]]-orders[[#This Row],[Order Date]]</f>
        <v>3</v>
      </c>
      <c r="N248">
        <f>WEEKNUM(orders[[#This Row],[Order Date]],1)</f>
        <v>2</v>
      </c>
      <c r="O248" t="str">
        <f t="array" ref="O248">_xlfn.IFS(orders[[#This Row],[Customer Gender]]="M","Male", orders[[#This Row],[Customer Gender]]="F","Female", orders[[#This Row],[Customer Gender]]="O","Other", TRUE(),"Unknown")</f>
        <v>Male</v>
      </c>
    </row>
    <row r="249" spans="1:15" x14ac:dyDescent="0.25">
      <c r="A249" t="s">
        <v>477</v>
      </c>
      <c r="B249" t="s">
        <v>80</v>
      </c>
      <c r="C249">
        <v>3</v>
      </c>
      <c r="D249">
        <v>82.5</v>
      </c>
      <c r="E249">
        <v>247.5</v>
      </c>
      <c r="F249" s="58">
        <v>45668</v>
      </c>
      <c r="G249" s="58">
        <v>45669</v>
      </c>
      <c r="H249" t="s">
        <v>229</v>
      </c>
      <c r="I249" t="s">
        <v>59</v>
      </c>
      <c r="J249">
        <v>4</v>
      </c>
      <c r="K249" t="s">
        <v>103</v>
      </c>
      <c r="L249" t="s">
        <v>148</v>
      </c>
      <c r="M249">
        <f>orders[[#This Row],[Ship Date]]-orders[[#This Row],[Order Date]]</f>
        <v>1</v>
      </c>
      <c r="N249">
        <f>WEEKNUM(orders[[#This Row],[Order Date]],1)</f>
        <v>2</v>
      </c>
      <c r="O249" t="str">
        <f t="array" ref="O249">_xlfn.IFS(orders[[#This Row],[Customer Gender]]="M","Male", orders[[#This Row],[Customer Gender]]="F","Female", orders[[#This Row],[Customer Gender]]="O","Other", TRUE(),"Unknown")</f>
        <v>Male</v>
      </c>
    </row>
    <row r="250" spans="1:15" x14ac:dyDescent="0.25">
      <c r="A250" t="s">
        <v>478</v>
      </c>
      <c r="B250" t="s">
        <v>86</v>
      </c>
      <c r="C250">
        <v>1</v>
      </c>
      <c r="D250">
        <v>14.3</v>
      </c>
      <c r="E250">
        <v>14.3</v>
      </c>
      <c r="F250" s="58">
        <v>45668</v>
      </c>
      <c r="G250" s="58">
        <v>45669</v>
      </c>
      <c r="H250" t="s">
        <v>231</v>
      </c>
      <c r="I250" t="s">
        <v>59</v>
      </c>
      <c r="J250">
        <v>4</v>
      </c>
      <c r="K250" t="s">
        <v>103</v>
      </c>
      <c r="L250" t="s">
        <v>106</v>
      </c>
      <c r="M250">
        <f>orders[[#This Row],[Ship Date]]-orders[[#This Row],[Order Date]]</f>
        <v>1</v>
      </c>
      <c r="N250">
        <f>WEEKNUM(orders[[#This Row],[Order Date]],1)</f>
        <v>2</v>
      </c>
      <c r="O250" t="str">
        <f t="array" ref="O250">_xlfn.IFS(orders[[#This Row],[Customer Gender]]="M","Male", orders[[#This Row],[Customer Gender]]="F","Female", orders[[#This Row],[Customer Gender]]="O","Other", TRUE(),"Unknown")</f>
        <v>Female</v>
      </c>
    </row>
    <row r="251" spans="1:15" x14ac:dyDescent="0.25">
      <c r="A251" t="s">
        <v>479</v>
      </c>
      <c r="B251" t="s">
        <v>87</v>
      </c>
      <c r="C251">
        <v>6</v>
      </c>
      <c r="D251">
        <v>57.6</v>
      </c>
      <c r="E251">
        <v>345.6</v>
      </c>
      <c r="F251" s="58">
        <v>45668</v>
      </c>
      <c r="G251" s="58">
        <v>45682</v>
      </c>
      <c r="H251" t="s">
        <v>231</v>
      </c>
      <c r="I251" t="s">
        <v>59</v>
      </c>
      <c r="J251">
        <v>4</v>
      </c>
      <c r="K251" t="s">
        <v>103</v>
      </c>
      <c r="L251" t="s">
        <v>106</v>
      </c>
      <c r="M251">
        <f>orders[[#This Row],[Ship Date]]-orders[[#This Row],[Order Date]]</f>
        <v>14</v>
      </c>
      <c r="N251">
        <f>WEEKNUM(orders[[#This Row],[Order Date]],1)</f>
        <v>2</v>
      </c>
      <c r="O251" t="str">
        <f t="array" ref="O251">_xlfn.IFS(orders[[#This Row],[Customer Gender]]="M","Male", orders[[#This Row],[Customer Gender]]="F","Female", orders[[#This Row],[Customer Gender]]="O","Other", TRUE(),"Unknown")</f>
        <v>Female</v>
      </c>
    </row>
    <row r="252" spans="1:15" x14ac:dyDescent="0.25">
      <c r="A252" t="s">
        <v>480</v>
      </c>
      <c r="B252" t="s">
        <v>87</v>
      </c>
      <c r="C252">
        <v>3</v>
      </c>
      <c r="D252">
        <v>142.4</v>
      </c>
      <c r="E252">
        <v>427.2</v>
      </c>
      <c r="F252" s="58">
        <v>45668</v>
      </c>
      <c r="G252" s="58">
        <v>45670</v>
      </c>
      <c r="H252" t="s">
        <v>229</v>
      </c>
      <c r="I252" t="s">
        <v>61</v>
      </c>
      <c r="J252">
        <v>3</v>
      </c>
      <c r="K252" t="s">
        <v>103</v>
      </c>
      <c r="L252" t="s">
        <v>106</v>
      </c>
      <c r="M252">
        <f>orders[[#This Row],[Ship Date]]-orders[[#This Row],[Order Date]]</f>
        <v>2</v>
      </c>
      <c r="N252">
        <f>WEEKNUM(orders[[#This Row],[Order Date]],1)</f>
        <v>2</v>
      </c>
      <c r="O252" t="str">
        <f t="array" ref="O252">_xlfn.IFS(orders[[#This Row],[Customer Gender]]="M","Male", orders[[#This Row],[Customer Gender]]="F","Female", orders[[#This Row],[Customer Gender]]="O","Other", TRUE(),"Unknown")</f>
        <v>Male</v>
      </c>
    </row>
    <row r="253" spans="1:15" x14ac:dyDescent="0.25">
      <c r="A253" t="s">
        <v>481</v>
      </c>
      <c r="B253" t="s">
        <v>76</v>
      </c>
      <c r="C253">
        <v>1</v>
      </c>
      <c r="D253">
        <v>30.2</v>
      </c>
      <c r="E253">
        <v>30.2</v>
      </c>
      <c r="F253" s="58">
        <v>45668</v>
      </c>
      <c r="G253" s="58">
        <v>45672</v>
      </c>
      <c r="H253" t="s">
        <v>229</v>
      </c>
      <c r="I253" t="s">
        <v>63</v>
      </c>
      <c r="J253">
        <v>5</v>
      </c>
      <c r="K253" t="s">
        <v>103</v>
      </c>
      <c r="L253" t="s">
        <v>115</v>
      </c>
      <c r="M253">
        <f>orders[[#This Row],[Ship Date]]-orders[[#This Row],[Order Date]]</f>
        <v>4</v>
      </c>
      <c r="N253">
        <f>WEEKNUM(orders[[#This Row],[Order Date]],1)</f>
        <v>2</v>
      </c>
      <c r="O253" t="str">
        <f t="array" ref="O253">_xlfn.IFS(orders[[#This Row],[Customer Gender]]="M","Male", orders[[#This Row],[Customer Gender]]="F","Female", orders[[#This Row],[Customer Gender]]="O","Other", TRUE(),"Unknown")</f>
        <v>Male</v>
      </c>
    </row>
    <row r="254" spans="1:15" x14ac:dyDescent="0.25">
      <c r="A254" t="s">
        <v>482</v>
      </c>
      <c r="B254" t="s">
        <v>82</v>
      </c>
      <c r="C254">
        <v>3</v>
      </c>
      <c r="D254">
        <v>65.3</v>
      </c>
      <c r="E254">
        <v>195.9</v>
      </c>
      <c r="F254" s="58">
        <v>45668</v>
      </c>
      <c r="G254" s="58">
        <v>45669</v>
      </c>
      <c r="H254" t="s">
        <v>263</v>
      </c>
      <c r="I254" t="s">
        <v>63</v>
      </c>
      <c r="J254">
        <v>4</v>
      </c>
      <c r="K254" t="s">
        <v>103</v>
      </c>
      <c r="L254" t="s">
        <v>118</v>
      </c>
      <c r="M254">
        <f>orders[[#This Row],[Ship Date]]-orders[[#This Row],[Order Date]]</f>
        <v>1</v>
      </c>
      <c r="N254">
        <f>WEEKNUM(orders[[#This Row],[Order Date]],1)</f>
        <v>2</v>
      </c>
      <c r="O254" t="str">
        <f t="array" ref="O254">_xlfn.IFS(orders[[#This Row],[Customer Gender]]="M","Male", orders[[#This Row],[Customer Gender]]="F","Female", orders[[#This Row],[Customer Gender]]="O","Other", TRUE(),"Unknown")</f>
        <v>Other</v>
      </c>
    </row>
    <row r="255" spans="1:15" x14ac:dyDescent="0.25">
      <c r="A255" t="s">
        <v>483</v>
      </c>
      <c r="B255" t="s">
        <v>86</v>
      </c>
      <c r="C255">
        <v>2</v>
      </c>
      <c r="D255">
        <v>33.4</v>
      </c>
      <c r="E255">
        <v>66.8</v>
      </c>
      <c r="F255" s="58">
        <v>45668</v>
      </c>
      <c r="G255" s="58">
        <v>45669</v>
      </c>
      <c r="H255" t="s">
        <v>229</v>
      </c>
      <c r="I255" t="s">
        <v>63</v>
      </c>
      <c r="J255">
        <v>3</v>
      </c>
      <c r="K255" t="s">
        <v>103</v>
      </c>
      <c r="L255" t="s">
        <v>120</v>
      </c>
      <c r="M255">
        <f>orders[[#This Row],[Ship Date]]-orders[[#This Row],[Order Date]]</f>
        <v>1</v>
      </c>
      <c r="N255">
        <f>WEEKNUM(orders[[#This Row],[Order Date]],1)</f>
        <v>2</v>
      </c>
      <c r="O255" t="str">
        <f t="array" ref="O255">_xlfn.IFS(orders[[#This Row],[Customer Gender]]="M","Male", orders[[#This Row],[Customer Gender]]="F","Female", orders[[#This Row],[Customer Gender]]="O","Other", TRUE(),"Unknown")</f>
        <v>Male</v>
      </c>
    </row>
    <row r="256" spans="1:15" x14ac:dyDescent="0.25">
      <c r="A256" t="s">
        <v>484</v>
      </c>
      <c r="B256" t="s">
        <v>79</v>
      </c>
      <c r="C256">
        <v>2</v>
      </c>
      <c r="D256">
        <v>45.1</v>
      </c>
      <c r="E256">
        <v>90.2</v>
      </c>
      <c r="F256" s="58">
        <v>45668</v>
      </c>
      <c r="G256" s="58">
        <v>45676</v>
      </c>
      <c r="H256" t="s">
        <v>229</v>
      </c>
      <c r="I256" t="s">
        <v>59</v>
      </c>
      <c r="J256">
        <v>4</v>
      </c>
      <c r="K256" t="s">
        <v>103</v>
      </c>
      <c r="L256" t="s">
        <v>121</v>
      </c>
      <c r="M256">
        <f>orders[[#This Row],[Ship Date]]-orders[[#This Row],[Order Date]]</f>
        <v>8</v>
      </c>
      <c r="N256">
        <f>WEEKNUM(orders[[#This Row],[Order Date]],1)</f>
        <v>2</v>
      </c>
      <c r="O256" t="str">
        <f t="array" ref="O256">_xlfn.IFS(orders[[#This Row],[Customer Gender]]="M","Male", orders[[#This Row],[Customer Gender]]="F","Female", orders[[#This Row],[Customer Gender]]="O","Other", TRUE(),"Unknown")</f>
        <v>Male</v>
      </c>
    </row>
    <row r="257" spans="1:15" x14ac:dyDescent="0.25">
      <c r="A257" t="s">
        <v>485</v>
      </c>
      <c r="B257" t="s">
        <v>87</v>
      </c>
      <c r="C257">
        <v>7</v>
      </c>
      <c r="D257">
        <v>61.7</v>
      </c>
      <c r="E257">
        <v>431.9</v>
      </c>
      <c r="F257" s="58">
        <v>45668</v>
      </c>
      <c r="G257" s="58">
        <v>45670</v>
      </c>
      <c r="H257" t="s">
        <v>231</v>
      </c>
      <c r="I257" t="s">
        <v>61</v>
      </c>
      <c r="J257">
        <v>4</v>
      </c>
      <c r="K257" t="s">
        <v>103</v>
      </c>
      <c r="L257" t="s">
        <v>124</v>
      </c>
      <c r="M257">
        <f>orders[[#This Row],[Ship Date]]-orders[[#This Row],[Order Date]]</f>
        <v>2</v>
      </c>
      <c r="N257">
        <f>WEEKNUM(orders[[#This Row],[Order Date]],1)</f>
        <v>2</v>
      </c>
      <c r="O257" t="str">
        <f t="array" ref="O257">_xlfn.IFS(orders[[#This Row],[Customer Gender]]="M","Male", orders[[#This Row],[Customer Gender]]="F","Female", orders[[#This Row],[Customer Gender]]="O","Other", TRUE(),"Unknown")</f>
        <v>Female</v>
      </c>
    </row>
    <row r="258" spans="1:15" x14ac:dyDescent="0.25">
      <c r="A258" t="s">
        <v>486</v>
      </c>
      <c r="B258" t="s">
        <v>88</v>
      </c>
      <c r="C258">
        <v>3</v>
      </c>
      <c r="D258">
        <v>45.1</v>
      </c>
      <c r="E258">
        <v>135.30000000000001</v>
      </c>
      <c r="F258" s="58">
        <v>45669</v>
      </c>
      <c r="G258" s="58">
        <v>45670</v>
      </c>
      <c r="H258" t="s">
        <v>229</v>
      </c>
      <c r="I258" t="s">
        <v>61</v>
      </c>
      <c r="J258">
        <v>3</v>
      </c>
      <c r="K258" t="s">
        <v>103</v>
      </c>
      <c r="L258" t="s">
        <v>124</v>
      </c>
      <c r="M258">
        <f>orders[[#This Row],[Ship Date]]-orders[[#This Row],[Order Date]]</f>
        <v>1</v>
      </c>
      <c r="N258">
        <f>WEEKNUM(orders[[#This Row],[Order Date]],1)</f>
        <v>3</v>
      </c>
      <c r="O258" t="str">
        <f t="array" ref="O258">_xlfn.IFS(orders[[#This Row],[Customer Gender]]="M","Male", orders[[#This Row],[Customer Gender]]="F","Female", orders[[#This Row],[Customer Gender]]="O","Other", TRUE(),"Unknown")</f>
        <v>Male</v>
      </c>
    </row>
    <row r="259" spans="1:15" x14ac:dyDescent="0.25">
      <c r="A259" t="s">
        <v>487</v>
      </c>
      <c r="B259" t="s">
        <v>77</v>
      </c>
      <c r="C259">
        <v>5</v>
      </c>
      <c r="D259">
        <v>22.7</v>
      </c>
      <c r="E259">
        <v>113.5</v>
      </c>
      <c r="F259" s="58">
        <v>45669</v>
      </c>
      <c r="G259" s="58">
        <v>45674</v>
      </c>
      <c r="H259" t="s">
        <v>229</v>
      </c>
      <c r="I259" t="s">
        <v>59</v>
      </c>
      <c r="J259">
        <v>5</v>
      </c>
      <c r="K259" t="s">
        <v>103</v>
      </c>
      <c r="L259" t="s">
        <v>137</v>
      </c>
      <c r="M259">
        <f>orders[[#This Row],[Ship Date]]-orders[[#This Row],[Order Date]]</f>
        <v>5</v>
      </c>
      <c r="N259">
        <f>WEEKNUM(orders[[#This Row],[Order Date]],1)</f>
        <v>3</v>
      </c>
      <c r="O259" t="str">
        <f t="array" ref="O259">_xlfn.IFS(orders[[#This Row],[Customer Gender]]="M","Male", orders[[#This Row],[Customer Gender]]="F","Female", orders[[#This Row],[Customer Gender]]="O","Other", TRUE(),"Unknown")</f>
        <v>Male</v>
      </c>
    </row>
    <row r="260" spans="1:15" x14ac:dyDescent="0.25">
      <c r="A260" t="s">
        <v>488</v>
      </c>
      <c r="B260" t="s">
        <v>90</v>
      </c>
      <c r="C260">
        <v>1</v>
      </c>
      <c r="D260">
        <v>17.600000000000001</v>
      </c>
      <c r="E260">
        <v>17.600000000000001</v>
      </c>
      <c r="F260" s="58">
        <v>45669</v>
      </c>
      <c r="G260" s="58">
        <v>45670</v>
      </c>
      <c r="H260" t="s">
        <v>231</v>
      </c>
      <c r="I260" t="s">
        <v>59</v>
      </c>
      <c r="J260">
        <v>5</v>
      </c>
      <c r="K260" t="s">
        <v>103</v>
      </c>
      <c r="L260" t="s">
        <v>138</v>
      </c>
      <c r="M260">
        <f>orders[[#This Row],[Ship Date]]-orders[[#This Row],[Order Date]]</f>
        <v>1</v>
      </c>
      <c r="N260">
        <f>WEEKNUM(orders[[#This Row],[Order Date]],1)</f>
        <v>3</v>
      </c>
      <c r="O260" t="str">
        <f t="array" ref="O260">_xlfn.IFS(orders[[#This Row],[Customer Gender]]="M","Male", orders[[#This Row],[Customer Gender]]="F","Female", orders[[#This Row],[Customer Gender]]="O","Other", TRUE(),"Unknown")</f>
        <v>Female</v>
      </c>
    </row>
    <row r="261" spans="1:15" x14ac:dyDescent="0.25">
      <c r="A261" t="s">
        <v>489</v>
      </c>
      <c r="B261" t="s">
        <v>74</v>
      </c>
      <c r="C261">
        <v>2</v>
      </c>
      <c r="D261">
        <v>11.3</v>
      </c>
      <c r="E261">
        <v>22.6</v>
      </c>
      <c r="F261" s="58">
        <v>45669</v>
      </c>
      <c r="G261" s="58">
        <v>45672</v>
      </c>
      <c r="H261" t="s">
        <v>231</v>
      </c>
      <c r="I261" t="s">
        <v>60</v>
      </c>
      <c r="J261">
        <v>5</v>
      </c>
      <c r="K261" t="s">
        <v>103</v>
      </c>
      <c r="L261" t="s">
        <v>138</v>
      </c>
      <c r="M261">
        <f>orders[[#This Row],[Ship Date]]-orders[[#This Row],[Order Date]]</f>
        <v>3</v>
      </c>
      <c r="N261">
        <f>WEEKNUM(orders[[#This Row],[Order Date]],1)</f>
        <v>3</v>
      </c>
      <c r="O261" t="str">
        <f t="array" ref="O261">_xlfn.IFS(orders[[#This Row],[Customer Gender]]="M","Male", orders[[#This Row],[Customer Gender]]="F","Female", orders[[#This Row],[Customer Gender]]="O","Other", TRUE(),"Unknown")</f>
        <v>Female</v>
      </c>
    </row>
    <row r="262" spans="1:15" x14ac:dyDescent="0.25">
      <c r="A262" t="s">
        <v>490</v>
      </c>
      <c r="B262" t="s">
        <v>80</v>
      </c>
      <c r="C262">
        <v>3</v>
      </c>
      <c r="D262">
        <v>53.4</v>
      </c>
      <c r="E262">
        <v>160.19999999999999</v>
      </c>
      <c r="F262" s="58">
        <v>45669</v>
      </c>
      <c r="G262" s="58">
        <v>45672</v>
      </c>
      <c r="H262" t="s">
        <v>229</v>
      </c>
      <c r="I262" t="s">
        <v>60</v>
      </c>
      <c r="J262">
        <v>5</v>
      </c>
      <c r="K262" t="s">
        <v>103</v>
      </c>
      <c r="L262" t="s">
        <v>140</v>
      </c>
      <c r="M262">
        <f>orders[[#This Row],[Ship Date]]-orders[[#This Row],[Order Date]]</f>
        <v>3</v>
      </c>
      <c r="N262">
        <f>WEEKNUM(orders[[#This Row],[Order Date]],1)</f>
        <v>3</v>
      </c>
      <c r="O262" t="str">
        <f t="array" ref="O262">_xlfn.IFS(orders[[#This Row],[Customer Gender]]="M","Male", orders[[#This Row],[Customer Gender]]="F","Female", orders[[#This Row],[Customer Gender]]="O","Other", TRUE(),"Unknown")</f>
        <v>Male</v>
      </c>
    </row>
    <row r="263" spans="1:15" x14ac:dyDescent="0.25">
      <c r="A263" t="s">
        <v>491</v>
      </c>
      <c r="B263" t="s">
        <v>80</v>
      </c>
      <c r="C263">
        <v>11</v>
      </c>
      <c r="D263">
        <v>51.1</v>
      </c>
      <c r="E263">
        <v>562.1</v>
      </c>
      <c r="F263" s="58">
        <v>45669</v>
      </c>
      <c r="G263" s="58">
        <v>45671</v>
      </c>
      <c r="H263" t="s">
        <v>231</v>
      </c>
      <c r="I263" t="s">
        <v>62</v>
      </c>
      <c r="J263">
        <v>5</v>
      </c>
      <c r="K263" t="s">
        <v>103</v>
      </c>
      <c r="L263" t="s">
        <v>142</v>
      </c>
      <c r="M263">
        <f>orders[[#This Row],[Ship Date]]-orders[[#This Row],[Order Date]]</f>
        <v>2</v>
      </c>
      <c r="N263">
        <f>WEEKNUM(orders[[#This Row],[Order Date]],1)</f>
        <v>3</v>
      </c>
      <c r="O263" t="str">
        <f t="array" ref="O263">_xlfn.IFS(orders[[#This Row],[Customer Gender]]="M","Male", orders[[#This Row],[Customer Gender]]="F","Female", orders[[#This Row],[Customer Gender]]="O","Other", TRUE(),"Unknown")</f>
        <v>Female</v>
      </c>
    </row>
    <row r="264" spans="1:15" x14ac:dyDescent="0.25">
      <c r="A264" t="s">
        <v>492</v>
      </c>
      <c r="B264" t="s">
        <v>90</v>
      </c>
      <c r="C264">
        <v>2</v>
      </c>
      <c r="D264">
        <v>27.5</v>
      </c>
      <c r="E264">
        <v>55</v>
      </c>
      <c r="F264" s="58">
        <v>45669</v>
      </c>
      <c r="G264" s="58">
        <v>45670</v>
      </c>
      <c r="H264" t="s">
        <v>229</v>
      </c>
      <c r="I264" t="s">
        <v>61</v>
      </c>
      <c r="J264">
        <v>3</v>
      </c>
      <c r="K264" t="s">
        <v>103</v>
      </c>
      <c r="L264" t="s">
        <v>142</v>
      </c>
      <c r="M264">
        <f>orders[[#This Row],[Ship Date]]-orders[[#This Row],[Order Date]]</f>
        <v>1</v>
      </c>
      <c r="N264">
        <f>WEEKNUM(orders[[#This Row],[Order Date]],1)</f>
        <v>3</v>
      </c>
      <c r="O264" t="str">
        <f t="array" ref="O264">_xlfn.IFS(orders[[#This Row],[Customer Gender]]="M","Male", orders[[#This Row],[Customer Gender]]="F","Female", orders[[#This Row],[Customer Gender]]="O","Other", TRUE(),"Unknown")</f>
        <v>Male</v>
      </c>
    </row>
    <row r="265" spans="1:15" x14ac:dyDescent="0.25">
      <c r="A265" t="s">
        <v>493</v>
      </c>
      <c r="B265" t="s">
        <v>88</v>
      </c>
      <c r="C265">
        <v>1</v>
      </c>
      <c r="D265">
        <v>33.5</v>
      </c>
      <c r="E265">
        <v>33.5</v>
      </c>
      <c r="F265" s="58">
        <v>45669</v>
      </c>
      <c r="G265" s="58">
        <v>45671</v>
      </c>
      <c r="H265" t="s">
        <v>231</v>
      </c>
      <c r="I265" t="s">
        <v>59</v>
      </c>
      <c r="J265">
        <v>2</v>
      </c>
      <c r="K265" t="s">
        <v>103</v>
      </c>
      <c r="L265" t="s">
        <v>142</v>
      </c>
      <c r="M265">
        <f>orders[[#This Row],[Ship Date]]-orders[[#This Row],[Order Date]]</f>
        <v>2</v>
      </c>
      <c r="N265">
        <f>WEEKNUM(orders[[#This Row],[Order Date]],1)</f>
        <v>3</v>
      </c>
      <c r="O265" t="str">
        <f t="array" ref="O265">_xlfn.IFS(orders[[#This Row],[Customer Gender]]="M","Male", orders[[#This Row],[Customer Gender]]="F","Female", orders[[#This Row],[Customer Gender]]="O","Other", TRUE(),"Unknown")</f>
        <v>Female</v>
      </c>
    </row>
    <row r="266" spans="1:15" x14ac:dyDescent="0.25">
      <c r="A266" t="s">
        <v>494</v>
      </c>
      <c r="B266" t="s">
        <v>78</v>
      </c>
      <c r="C266">
        <v>1</v>
      </c>
      <c r="D266">
        <v>59.5</v>
      </c>
      <c r="E266">
        <v>59.5</v>
      </c>
      <c r="F266" s="58">
        <v>45669</v>
      </c>
      <c r="G266" s="58">
        <v>45669</v>
      </c>
      <c r="H266" t="s">
        <v>229</v>
      </c>
      <c r="I266" t="s">
        <v>59</v>
      </c>
      <c r="J266">
        <v>5</v>
      </c>
      <c r="K266" t="s">
        <v>103</v>
      </c>
      <c r="L266" t="s">
        <v>154</v>
      </c>
      <c r="M266">
        <f>orders[[#This Row],[Ship Date]]-orders[[#This Row],[Order Date]]</f>
        <v>0</v>
      </c>
      <c r="N266">
        <f>WEEKNUM(orders[[#This Row],[Order Date]],1)</f>
        <v>3</v>
      </c>
      <c r="O266" t="str">
        <f t="array" ref="O266">_xlfn.IFS(orders[[#This Row],[Customer Gender]]="M","Male", orders[[#This Row],[Customer Gender]]="F","Female", orders[[#This Row],[Customer Gender]]="O","Other", TRUE(),"Unknown")</f>
        <v>Male</v>
      </c>
    </row>
    <row r="267" spans="1:15" x14ac:dyDescent="0.25">
      <c r="A267" t="s">
        <v>495</v>
      </c>
      <c r="B267" t="s">
        <v>84</v>
      </c>
      <c r="C267">
        <v>4</v>
      </c>
      <c r="D267">
        <v>23.5</v>
      </c>
      <c r="E267">
        <v>94</v>
      </c>
      <c r="F267" s="58">
        <v>45669</v>
      </c>
      <c r="G267" s="58">
        <v>45670</v>
      </c>
      <c r="H267" t="s">
        <v>231</v>
      </c>
      <c r="I267" t="s">
        <v>60</v>
      </c>
      <c r="J267">
        <v>1</v>
      </c>
      <c r="K267" t="s">
        <v>103</v>
      </c>
      <c r="L267" t="s">
        <v>155</v>
      </c>
      <c r="M267">
        <f>orders[[#This Row],[Ship Date]]-orders[[#This Row],[Order Date]]</f>
        <v>1</v>
      </c>
      <c r="N267">
        <f>WEEKNUM(orders[[#This Row],[Order Date]],1)</f>
        <v>3</v>
      </c>
      <c r="O267" t="str">
        <f t="array" ref="O267">_xlfn.IFS(orders[[#This Row],[Customer Gender]]="M","Male", orders[[#This Row],[Customer Gender]]="F","Female", orders[[#This Row],[Customer Gender]]="O","Other", TRUE(),"Unknown")</f>
        <v>Female</v>
      </c>
    </row>
    <row r="268" spans="1:15" x14ac:dyDescent="0.25">
      <c r="A268" t="s">
        <v>496</v>
      </c>
      <c r="B268" t="s">
        <v>80</v>
      </c>
      <c r="C268">
        <v>1</v>
      </c>
      <c r="D268">
        <v>49.7</v>
      </c>
      <c r="E268">
        <v>49.7</v>
      </c>
      <c r="F268" s="58">
        <v>45669</v>
      </c>
      <c r="G268" s="58">
        <v>45670</v>
      </c>
      <c r="I268" t="s">
        <v>63</v>
      </c>
      <c r="J268">
        <v>5</v>
      </c>
      <c r="K268" t="s">
        <v>103</v>
      </c>
      <c r="L268" t="s">
        <v>159</v>
      </c>
      <c r="M268">
        <f>orders[[#This Row],[Ship Date]]-orders[[#This Row],[Order Date]]</f>
        <v>1</v>
      </c>
      <c r="N268">
        <f>WEEKNUM(orders[[#This Row],[Order Date]],1)</f>
        <v>3</v>
      </c>
      <c r="O268" t="str">
        <f t="array" ref="O268">_xlfn.IFS(orders[[#This Row],[Customer Gender]]="M","Male", orders[[#This Row],[Customer Gender]]="F","Female", orders[[#This Row],[Customer Gender]]="O","Other", TRUE(),"Unknown")</f>
        <v>Unknown</v>
      </c>
    </row>
    <row r="269" spans="1:15" x14ac:dyDescent="0.25">
      <c r="A269" t="s">
        <v>497</v>
      </c>
      <c r="B269" t="s">
        <v>80</v>
      </c>
      <c r="C269">
        <v>4</v>
      </c>
      <c r="D269">
        <v>44.2</v>
      </c>
      <c r="E269">
        <v>176.8</v>
      </c>
      <c r="F269" s="58">
        <v>45669</v>
      </c>
      <c r="G269" s="58">
        <v>45672</v>
      </c>
      <c r="H269" t="s">
        <v>231</v>
      </c>
      <c r="I269" t="s">
        <v>59</v>
      </c>
      <c r="J269">
        <v>5</v>
      </c>
      <c r="K269" t="s">
        <v>103</v>
      </c>
      <c r="L269" t="s">
        <v>106</v>
      </c>
      <c r="M269">
        <f>orders[[#This Row],[Ship Date]]-orders[[#This Row],[Order Date]]</f>
        <v>3</v>
      </c>
      <c r="N269">
        <f>WEEKNUM(orders[[#This Row],[Order Date]],1)</f>
        <v>3</v>
      </c>
      <c r="O269" t="str">
        <f t="array" ref="O269">_xlfn.IFS(orders[[#This Row],[Customer Gender]]="M","Male", orders[[#This Row],[Customer Gender]]="F","Female", orders[[#This Row],[Customer Gender]]="O","Other", TRUE(),"Unknown")</f>
        <v>Female</v>
      </c>
    </row>
    <row r="270" spans="1:15" x14ac:dyDescent="0.25">
      <c r="A270" t="s">
        <v>498</v>
      </c>
      <c r="B270" t="s">
        <v>90</v>
      </c>
      <c r="C270">
        <v>1</v>
      </c>
      <c r="D270">
        <v>22.1</v>
      </c>
      <c r="E270">
        <v>22.1</v>
      </c>
      <c r="F270" s="58">
        <v>45669</v>
      </c>
      <c r="G270" s="58">
        <v>45673</v>
      </c>
      <c r="H270" t="s">
        <v>231</v>
      </c>
      <c r="I270" t="s">
        <v>63</v>
      </c>
      <c r="J270">
        <v>3</v>
      </c>
      <c r="K270" t="s">
        <v>103</v>
      </c>
      <c r="L270" t="s">
        <v>118</v>
      </c>
      <c r="M270">
        <f>orders[[#This Row],[Ship Date]]-orders[[#This Row],[Order Date]]</f>
        <v>4</v>
      </c>
      <c r="N270">
        <f>WEEKNUM(orders[[#This Row],[Order Date]],1)</f>
        <v>3</v>
      </c>
      <c r="O270" t="str">
        <f t="array" ref="O270">_xlfn.IFS(orders[[#This Row],[Customer Gender]]="M","Male", orders[[#This Row],[Customer Gender]]="F","Female", orders[[#This Row],[Customer Gender]]="O","Other", TRUE(),"Unknown")</f>
        <v>Female</v>
      </c>
    </row>
    <row r="271" spans="1:15" x14ac:dyDescent="0.25">
      <c r="A271" t="s">
        <v>499</v>
      </c>
      <c r="B271" t="s">
        <v>80</v>
      </c>
      <c r="C271">
        <v>3</v>
      </c>
      <c r="D271">
        <v>90.9</v>
      </c>
      <c r="E271">
        <v>272.7</v>
      </c>
      <c r="F271" s="58">
        <v>45669</v>
      </c>
      <c r="G271" s="58">
        <v>45670</v>
      </c>
      <c r="H271" t="s">
        <v>231</v>
      </c>
      <c r="I271" t="s">
        <v>62</v>
      </c>
      <c r="J271">
        <v>2</v>
      </c>
      <c r="K271" t="s">
        <v>103</v>
      </c>
      <c r="L271" t="s">
        <v>124</v>
      </c>
      <c r="M271">
        <f>orders[[#This Row],[Ship Date]]-orders[[#This Row],[Order Date]]</f>
        <v>1</v>
      </c>
      <c r="N271">
        <f>WEEKNUM(orders[[#This Row],[Order Date]],1)</f>
        <v>3</v>
      </c>
      <c r="O271" t="str">
        <f t="array" ref="O271">_xlfn.IFS(orders[[#This Row],[Customer Gender]]="M","Male", orders[[#This Row],[Customer Gender]]="F","Female", orders[[#This Row],[Customer Gender]]="O","Other", TRUE(),"Unknown")</f>
        <v>Female</v>
      </c>
    </row>
    <row r="272" spans="1:15" x14ac:dyDescent="0.25">
      <c r="A272" t="s">
        <v>500</v>
      </c>
      <c r="B272" t="s">
        <v>90</v>
      </c>
      <c r="C272">
        <v>3</v>
      </c>
      <c r="D272">
        <v>44.5</v>
      </c>
      <c r="E272">
        <v>133.5</v>
      </c>
      <c r="F272" s="58">
        <v>45669</v>
      </c>
      <c r="G272" s="58">
        <v>45670</v>
      </c>
      <c r="H272" t="s">
        <v>231</v>
      </c>
      <c r="I272" t="s">
        <v>63</v>
      </c>
      <c r="J272">
        <v>4</v>
      </c>
      <c r="K272" t="s">
        <v>103</v>
      </c>
      <c r="L272" t="s">
        <v>124</v>
      </c>
      <c r="M272">
        <f>orders[[#This Row],[Ship Date]]-orders[[#This Row],[Order Date]]</f>
        <v>1</v>
      </c>
      <c r="N272">
        <f>WEEKNUM(orders[[#This Row],[Order Date]],1)</f>
        <v>3</v>
      </c>
      <c r="O272" t="str">
        <f t="array" ref="O272">_xlfn.IFS(orders[[#This Row],[Customer Gender]]="M","Male", orders[[#This Row],[Customer Gender]]="F","Female", orders[[#This Row],[Customer Gender]]="O","Other", TRUE(),"Unknown")</f>
        <v>Female</v>
      </c>
    </row>
    <row r="273" spans="1:15" x14ac:dyDescent="0.25">
      <c r="A273" t="s">
        <v>501</v>
      </c>
      <c r="B273" t="s">
        <v>88</v>
      </c>
      <c r="C273">
        <v>6</v>
      </c>
      <c r="D273">
        <v>32.299999999999997</v>
      </c>
      <c r="E273">
        <v>193.8</v>
      </c>
      <c r="F273" s="58">
        <v>45669</v>
      </c>
      <c r="G273" s="58">
        <v>45673</v>
      </c>
      <c r="H273" t="s">
        <v>231</v>
      </c>
      <c r="I273" t="s">
        <v>59</v>
      </c>
      <c r="J273">
        <v>4</v>
      </c>
      <c r="K273" t="s">
        <v>103</v>
      </c>
      <c r="L273" t="s">
        <v>124</v>
      </c>
      <c r="M273">
        <f>orders[[#This Row],[Ship Date]]-orders[[#This Row],[Order Date]]</f>
        <v>4</v>
      </c>
      <c r="N273">
        <f>WEEKNUM(orders[[#This Row],[Order Date]],1)</f>
        <v>3</v>
      </c>
      <c r="O273" t="str">
        <f t="array" ref="O273">_xlfn.IFS(orders[[#This Row],[Customer Gender]]="M","Male", orders[[#This Row],[Customer Gender]]="F","Female", orders[[#This Row],[Customer Gender]]="O","Other", TRUE(),"Unknown")</f>
        <v>Female</v>
      </c>
    </row>
    <row r="274" spans="1:15" x14ac:dyDescent="0.25">
      <c r="A274" t="s">
        <v>502</v>
      </c>
      <c r="B274" t="s">
        <v>84</v>
      </c>
      <c r="C274">
        <v>3</v>
      </c>
      <c r="D274">
        <v>87.5</v>
      </c>
      <c r="E274">
        <v>262.5</v>
      </c>
      <c r="F274" s="58">
        <v>45669</v>
      </c>
      <c r="G274" s="58">
        <v>45670</v>
      </c>
      <c r="H274" t="s">
        <v>231</v>
      </c>
      <c r="I274" t="s">
        <v>63</v>
      </c>
      <c r="J274">
        <v>3</v>
      </c>
      <c r="K274" t="s">
        <v>103</v>
      </c>
      <c r="L274" t="s">
        <v>124</v>
      </c>
      <c r="M274">
        <f>orders[[#This Row],[Ship Date]]-orders[[#This Row],[Order Date]]</f>
        <v>1</v>
      </c>
      <c r="N274">
        <f>WEEKNUM(orders[[#This Row],[Order Date]],1)</f>
        <v>3</v>
      </c>
      <c r="O274" t="str">
        <f t="array" ref="O274">_xlfn.IFS(orders[[#This Row],[Customer Gender]]="M","Male", orders[[#This Row],[Customer Gender]]="F","Female", orders[[#This Row],[Customer Gender]]="O","Other", TRUE(),"Unknown")</f>
        <v>Female</v>
      </c>
    </row>
    <row r="275" spans="1:15" x14ac:dyDescent="0.25">
      <c r="A275" t="s">
        <v>503</v>
      </c>
      <c r="B275" t="s">
        <v>89</v>
      </c>
      <c r="C275">
        <v>5</v>
      </c>
      <c r="D275">
        <v>48.7</v>
      </c>
      <c r="E275">
        <v>243.5</v>
      </c>
      <c r="F275" s="58">
        <v>45669</v>
      </c>
      <c r="G275" s="58">
        <v>45670</v>
      </c>
      <c r="H275" t="s">
        <v>229</v>
      </c>
      <c r="I275" t="s">
        <v>62</v>
      </c>
      <c r="J275">
        <v>4</v>
      </c>
      <c r="K275" t="s">
        <v>103</v>
      </c>
      <c r="L275" t="s">
        <v>124</v>
      </c>
      <c r="M275">
        <f>orders[[#This Row],[Ship Date]]-orders[[#This Row],[Order Date]]</f>
        <v>1</v>
      </c>
      <c r="N275">
        <f>WEEKNUM(orders[[#This Row],[Order Date]],1)</f>
        <v>3</v>
      </c>
      <c r="O275" t="str">
        <f t="array" ref="O275">_xlfn.IFS(orders[[#This Row],[Customer Gender]]="M","Male", orders[[#This Row],[Customer Gender]]="F","Female", orders[[#This Row],[Customer Gender]]="O","Other", TRUE(),"Unknown")</f>
        <v>Male</v>
      </c>
    </row>
    <row r="276" spans="1:15" x14ac:dyDescent="0.25">
      <c r="A276" t="s">
        <v>504</v>
      </c>
      <c r="B276" t="s">
        <v>86</v>
      </c>
      <c r="C276">
        <v>5</v>
      </c>
      <c r="D276">
        <v>22.5</v>
      </c>
      <c r="E276">
        <v>112.5</v>
      </c>
      <c r="F276" s="58">
        <v>45669</v>
      </c>
      <c r="G276" s="58">
        <v>45670</v>
      </c>
      <c r="H276" t="s">
        <v>229</v>
      </c>
      <c r="I276" t="s">
        <v>59</v>
      </c>
      <c r="J276">
        <v>4</v>
      </c>
      <c r="K276" t="s">
        <v>103</v>
      </c>
      <c r="L276" t="s">
        <v>124</v>
      </c>
      <c r="M276">
        <f>orders[[#This Row],[Ship Date]]-orders[[#This Row],[Order Date]]</f>
        <v>1</v>
      </c>
      <c r="N276">
        <f>WEEKNUM(orders[[#This Row],[Order Date]],1)</f>
        <v>3</v>
      </c>
      <c r="O276" t="str">
        <f t="array" ref="O276">_xlfn.IFS(orders[[#This Row],[Customer Gender]]="M","Male", orders[[#This Row],[Customer Gender]]="F","Female", orders[[#This Row],[Customer Gender]]="O","Other", TRUE(),"Unknown")</f>
        <v>Male</v>
      </c>
    </row>
    <row r="277" spans="1:15" x14ac:dyDescent="0.25">
      <c r="A277" t="s">
        <v>505</v>
      </c>
      <c r="B277" t="s">
        <v>91</v>
      </c>
      <c r="C277">
        <v>8</v>
      </c>
      <c r="D277">
        <v>65.900000000000006</v>
      </c>
      <c r="E277">
        <v>527.20000000000005</v>
      </c>
      <c r="F277" s="58">
        <v>45669</v>
      </c>
      <c r="G277" s="58">
        <v>45672</v>
      </c>
      <c r="H277" t="s">
        <v>231</v>
      </c>
      <c r="I277" t="s">
        <v>63</v>
      </c>
      <c r="J277">
        <v>5</v>
      </c>
      <c r="K277" t="s">
        <v>103</v>
      </c>
      <c r="L277" t="s">
        <v>124</v>
      </c>
      <c r="M277">
        <f>orders[[#This Row],[Ship Date]]-orders[[#This Row],[Order Date]]</f>
        <v>3</v>
      </c>
      <c r="N277">
        <f>WEEKNUM(orders[[#This Row],[Order Date]],1)</f>
        <v>3</v>
      </c>
      <c r="O277" t="str">
        <f t="array" ref="O277">_xlfn.IFS(orders[[#This Row],[Customer Gender]]="M","Male", orders[[#This Row],[Customer Gender]]="F","Female", orders[[#This Row],[Customer Gender]]="O","Other", TRUE(),"Unknown")</f>
        <v>Female</v>
      </c>
    </row>
    <row r="278" spans="1:15" x14ac:dyDescent="0.25">
      <c r="A278" t="s">
        <v>506</v>
      </c>
      <c r="B278" t="s">
        <v>80</v>
      </c>
      <c r="C278">
        <v>5</v>
      </c>
      <c r="D278">
        <v>41.9</v>
      </c>
      <c r="E278">
        <v>209.5</v>
      </c>
      <c r="F278" s="58">
        <v>45669</v>
      </c>
      <c r="G278" s="58">
        <v>45676</v>
      </c>
      <c r="I278" t="s">
        <v>59</v>
      </c>
      <c r="J278">
        <v>4</v>
      </c>
      <c r="K278" t="s">
        <v>103</v>
      </c>
      <c r="L278" t="s">
        <v>124</v>
      </c>
      <c r="M278">
        <f>orders[[#This Row],[Ship Date]]-orders[[#This Row],[Order Date]]</f>
        <v>7</v>
      </c>
      <c r="N278">
        <f>WEEKNUM(orders[[#This Row],[Order Date]],1)</f>
        <v>3</v>
      </c>
      <c r="O278" t="str">
        <f t="array" ref="O278">_xlfn.IFS(orders[[#This Row],[Customer Gender]]="M","Male", orders[[#This Row],[Customer Gender]]="F","Female", orders[[#This Row],[Customer Gender]]="O","Other", TRUE(),"Unknown")</f>
        <v>Unknown</v>
      </c>
    </row>
    <row r="279" spans="1:15" x14ac:dyDescent="0.25">
      <c r="A279" t="s">
        <v>507</v>
      </c>
      <c r="B279" t="s">
        <v>91</v>
      </c>
      <c r="C279">
        <v>5</v>
      </c>
      <c r="D279">
        <v>67.5</v>
      </c>
      <c r="E279">
        <v>337.5</v>
      </c>
      <c r="F279" s="58">
        <v>45669</v>
      </c>
      <c r="G279" s="58">
        <v>45670</v>
      </c>
      <c r="H279" t="s">
        <v>231</v>
      </c>
      <c r="I279" t="s">
        <v>59</v>
      </c>
      <c r="J279">
        <v>5</v>
      </c>
      <c r="K279" t="s">
        <v>103</v>
      </c>
      <c r="L279" t="s">
        <v>124</v>
      </c>
      <c r="M279">
        <f>orders[[#This Row],[Ship Date]]-orders[[#This Row],[Order Date]]</f>
        <v>1</v>
      </c>
      <c r="N279">
        <f>WEEKNUM(orders[[#This Row],[Order Date]],1)</f>
        <v>3</v>
      </c>
      <c r="O279" t="str">
        <f t="array" ref="O279">_xlfn.IFS(orders[[#This Row],[Customer Gender]]="M","Male", orders[[#This Row],[Customer Gender]]="F","Female", orders[[#This Row],[Customer Gender]]="O","Other", TRUE(),"Unknown")</f>
        <v>Female</v>
      </c>
    </row>
    <row r="280" spans="1:15" x14ac:dyDescent="0.25">
      <c r="A280" t="s">
        <v>508</v>
      </c>
      <c r="B280" t="s">
        <v>88</v>
      </c>
      <c r="C280">
        <v>1</v>
      </c>
      <c r="D280">
        <v>60.4</v>
      </c>
      <c r="E280">
        <v>60.4</v>
      </c>
      <c r="F280" s="58">
        <v>45670</v>
      </c>
      <c r="G280" s="58">
        <v>45672</v>
      </c>
      <c r="H280" t="s">
        <v>231</v>
      </c>
      <c r="I280" t="s">
        <v>63</v>
      </c>
      <c r="J280">
        <v>3</v>
      </c>
      <c r="K280" t="s">
        <v>103</v>
      </c>
      <c r="L280" t="s">
        <v>124</v>
      </c>
      <c r="M280">
        <f>orders[[#This Row],[Ship Date]]-orders[[#This Row],[Order Date]]</f>
        <v>2</v>
      </c>
      <c r="N280">
        <f>WEEKNUM(orders[[#This Row],[Order Date]],1)</f>
        <v>3</v>
      </c>
      <c r="O280" t="str">
        <f t="array" ref="O280">_xlfn.IFS(orders[[#This Row],[Customer Gender]]="M","Male", orders[[#This Row],[Customer Gender]]="F","Female", orders[[#This Row],[Customer Gender]]="O","Other", TRUE(),"Unknown")</f>
        <v>Female</v>
      </c>
    </row>
    <row r="281" spans="1:15" x14ac:dyDescent="0.25">
      <c r="A281" t="s">
        <v>509</v>
      </c>
      <c r="B281" t="s">
        <v>91</v>
      </c>
      <c r="C281">
        <v>7</v>
      </c>
      <c r="D281">
        <v>30.4</v>
      </c>
      <c r="E281">
        <v>212.8</v>
      </c>
      <c r="F281" s="58">
        <v>45670</v>
      </c>
      <c r="G281" s="58">
        <v>45673</v>
      </c>
      <c r="H281" t="s">
        <v>231</v>
      </c>
      <c r="I281" t="s">
        <v>61</v>
      </c>
      <c r="J281">
        <v>4</v>
      </c>
      <c r="K281" t="s">
        <v>103</v>
      </c>
      <c r="L281" t="s">
        <v>124</v>
      </c>
      <c r="M281">
        <f>orders[[#This Row],[Ship Date]]-orders[[#This Row],[Order Date]]</f>
        <v>3</v>
      </c>
      <c r="N281">
        <f>WEEKNUM(orders[[#This Row],[Order Date]],1)</f>
        <v>3</v>
      </c>
      <c r="O281" t="str">
        <f t="array" ref="O281">_xlfn.IFS(orders[[#This Row],[Customer Gender]]="M","Male", orders[[#This Row],[Customer Gender]]="F","Female", orders[[#This Row],[Customer Gender]]="O","Other", TRUE(),"Unknown")</f>
        <v>Female</v>
      </c>
    </row>
    <row r="282" spans="1:15" x14ac:dyDescent="0.25">
      <c r="A282" t="s">
        <v>510</v>
      </c>
      <c r="B282" t="s">
        <v>74</v>
      </c>
      <c r="C282">
        <v>2</v>
      </c>
      <c r="D282">
        <v>24.5</v>
      </c>
      <c r="E282">
        <v>49</v>
      </c>
      <c r="F282" s="58">
        <v>45670</v>
      </c>
      <c r="G282" s="58">
        <v>45671</v>
      </c>
      <c r="H282" t="s">
        <v>229</v>
      </c>
      <c r="I282" t="s">
        <v>60</v>
      </c>
      <c r="J282">
        <v>5</v>
      </c>
      <c r="K282" t="s">
        <v>103</v>
      </c>
      <c r="L282" t="s">
        <v>124</v>
      </c>
      <c r="M282">
        <f>orders[[#This Row],[Ship Date]]-orders[[#This Row],[Order Date]]</f>
        <v>1</v>
      </c>
      <c r="N282">
        <f>WEEKNUM(orders[[#This Row],[Order Date]],1)</f>
        <v>3</v>
      </c>
      <c r="O282" t="str">
        <f t="array" ref="O282">_xlfn.IFS(orders[[#This Row],[Customer Gender]]="M","Male", orders[[#This Row],[Customer Gender]]="F","Female", orders[[#This Row],[Customer Gender]]="O","Other", TRUE(),"Unknown")</f>
        <v>Male</v>
      </c>
    </row>
    <row r="283" spans="1:15" x14ac:dyDescent="0.25">
      <c r="A283" t="s">
        <v>511</v>
      </c>
      <c r="B283" t="s">
        <v>87</v>
      </c>
      <c r="C283">
        <v>3</v>
      </c>
      <c r="D283">
        <v>105.9</v>
      </c>
      <c r="E283">
        <v>317.7</v>
      </c>
      <c r="F283" s="58">
        <v>45670</v>
      </c>
      <c r="G283" s="58">
        <v>45675</v>
      </c>
      <c r="H283" t="s">
        <v>229</v>
      </c>
      <c r="I283" t="s">
        <v>59</v>
      </c>
      <c r="J283">
        <v>4</v>
      </c>
      <c r="K283" t="s">
        <v>103</v>
      </c>
      <c r="L283" t="s">
        <v>125</v>
      </c>
      <c r="M283">
        <f>orders[[#This Row],[Ship Date]]-orders[[#This Row],[Order Date]]</f>
        <v>5</v>
      </c>
      <c r="N283">
        <f>WEEKNUM(orders[[#This Row],[Order Date]],1)</f>
        <v>3</v>
      </c>
      <c r="O283" t="str">
        <f t="array" ref="O283">_xlfn.IFS(orders[[#This Row],[Customer Gender]]="M","Male", orders[[#This Row],[Customer Gender]]="F","Female", orders[[#This Row],[Customer Gender]]="O","Other", TRUE(),"Unknown")</f>
        <v>Male</v>
      </c>
    </row>
    <row r="284" spans="1:15" x14ac:dyDescent="0.25">
      <c r="A284" t="s">
        <v>512</v>
      </c>
      <c r="B284" t="s">
        <v>75</v>
      </c>
      <c r="C284">
        <v>24</v>
      </c>
      <c r="D284">
        <v>25.9</v>
      </c>
      <c r="E284">
        <v>621.6</v>
      </c>
      <c r="F284" s="58">
        <v>45670</v>
      </c>
      <c r="G284" s="58">
        <v>45671</v>
      </c>
      <c r="H284" t="s">
        <v>231</v>
      </c>
      <c r="I284" t="s">
        <v>61</v>
      </c>
      <c r="J284">
        <v>4</v>
      </c>
      <c r="K284" t="s">
        <v>103</v>
      </c>
      <c r="L284" t="s">
        <v>138</v>
      </c>
      <c r="M284">
        <f>orders[[#This Row],[Ship Date]]-orders[[#This Row],[Order Date]]</f>
        <v>1</v>
      </c>
      <c r="N284">
        <f>WEEKNUM(orders[[#This Row],[Order Date]],1)</f>
        <v>3</v>
      </c>
      <c r="O284" t="str">
        <f t="array" ref="O284">_xlfn.IFS(orders[[#This Row],[Customer Gender]]="M","Male", orders[[#This Row],[Customer Gender]]="F","Female", orders[[#This Row],[Customer Gender]]="O","Other", TRUE(),"Unknown")</f>
        <v>Female</v>
      </c>
    </row>
    <row r="285" spans="1:15" x14ac:dyDescent="0.25">
      <c r="A285" t="s">
        <v>513</v>
      </c>
      <c r="B285" t="s">
        <v>80</v>
      </c>
      <c r="C285">
        <v>3</v>
      </c>
      <c r="D285">
        <v>66.8</v>
      </c>
      <c r="E285">
        <v>200.4</v>
      </c>
      <c r="F285" s="58">
        <v>45670</v>
      </c>
      <c r="G285" s="58">
        <v>45670</v>
      </c>
      <c r="H285" t="s">
        <v>229</v>
      </c>
      <c r="I285" t="s">
        <v>59</v>
      </c>
      <c r="J285">
        <v>4</v>
      </c>
      <c r="K285" t="s">
        <v>103</v>
      </c>
      <c r="L285" t="s">
        <v>138</v>
      </c>
      <c r="M285">
        <f>orders[[#This Row],[Ship Date]]-orders[[#This Row],[Order Date]]</f>
        <v>0</v>
      </c>
      <c r="N285">
        <f>WEEKNUM(orders[[#This Row],[Order Date]],1)</f>
        <v>3</v>
      </c>
      <c r="O285" t="str">
        <f t="array" ref="O285">_xlfn.IFS(orders[[#This Row],[Customer Gender]]="M","Male", orders[[#This Row],[Customer Gender]]="F","Female", orders[[#This Row],[Customer Gender]]="O","Other", TRUE(),"Unknown")</f>
        <v>Male</v>
      </c>
    </row>
    <row r="286" spans="1:15" x14ac:dyDescent="0.25">
      <c r="A286" t="s">
        <v>514</v>
      </c>
      <c r="B286" t="s">
        <v>80</v>
      </c>
      <c r="C286">
        <v>3</v>
      </c>
      <c r="D286">
        <v>112.3</v>
      </c>
      <c r="E286">
        <v>336.9</v>
      </c>
      <c r="F286" s="58">
        <v>45670</v>
      </c>
      <c r="G286" s="58">
        <v>45671</v>
      </c>
      <c r="H286" t="s">
        <v>229</v>
      </c>
      <c r="I286" t="s">
        <v>62</v>
      </c>
      <c r="J286">
        <v>2</v>
      </c>
      <c r="K286" t="s">
        <v>103</v>
      </c>
      <c r="L286" t="s">
        <v>139</v>
      </c>
      <c r="M286">
        <f>orders[[#This Row],[Ship Date]]-orders[[#This Row],[Order Date]]</f>
        <v>1</v>
      </c>
      <c r="N286">
        <f>WEEKNUM(orders[[#This Row],[Order Date]],1)</f>
        <v>3</v>
      </c>
      <c r="O286" t="str">
        <f t="array" ref="O286">_xlfn.IFS(orders[[#This Row],[Customer Gender]]="M","Male", orders[[#This Row],[Customer Gender]]="F","Female", orders[[#This Row],[Customer Gender]]="O","Other", TRUE(),"Unknown")</f>
        <v>Male</v>
      </c>
    </row>
    <row r="287" spans="1:15" x14ac:dyDescent="0.25">
      <c r="A287" t="s">
        <v>515</v>
      </c>
      <c r="B287" t="s">
        <v>91</v>
      </c>
      <c r="C287">
        <v>6</v>
      </c>
      <c r="D287">
        <v>94.1</v>
      </c>
      <c r="E287">
        <v>564.6</v>
      </c>
      <c r="F287" s="58">
        <v>45670</v>
      </c>
      <c r="G287" s="58">
        <v>45671</v>
      </c>
      <c r="H287" t="s">
        <v>231</v>
      </c>
      <c r="I287" t="s">
        <v>59</v>
      </c>
      <c r="J287">
        <v>2</v>
      </c>
      <c r="K287" t="s">
        <v>103</v>
      </c>
      <c r="L287" t="s">
        <v>139</v>
      </c>
      <c r="M287">
        <f>orders[[#This Row],[Ship Date]]-orders[[#This Row],[Order Date]]</f>
        <v>1</v>
      </c>
      <c r="N287">
        <f>WEEKNUM(orders[[#This Row],[Order Date]],1)</f>
        <v>3</v>
      </c>
      <c r="O287" t="str">
        <f t="array" ref="O287">_xlfn.IFS(orders[[#This Row],[Customer Gender]]="M","Male", orders[[#This Row],[Customer Gender]]="F","Female", orders[[#This Row],[Customer Gender]]="O","Other", TRUE(),"Unknown")</f>
        <v>Female</v>
      </c>
    </row>
    <row r="288" spans="1:15" x14ac:dyDescent="0.25">
      <c r="A288" t="s">
        <v>516</v>
      </c>
      <c r="B288" t="s">
        <v>85</v>
      </c>
      <c r="C288">
        <v>1</v>
      </c>
      <c r="D288">
        <v>40.700000000000003</v>
      </c>
      <c r="E288">
        <v>40.700000000000003</v>
      </c>
      <c r="F288" s="58">
        <v>45670</v>
      </c>
      <c r="G288" s="58">
        <v>45673</v>
      </c>
      <c r="H288" t="s">
        <v>231</v>
      </c>
      <c r="I288" t="s">
        <v>62</v>
      </c>
      <c r="J288">
        <v>4</v>
      </c>
      <c r="K288" t="s">
        <v>103</v>
      </c>
      <c r="L288" t="s">
        <v>139</v>
      </c>
      <c r="M288">
        <f>orders[[#This Row],[Ship Date]]-orders[[#This Row],[Order Date]]</f>
        <v>3</v>
      </c>
      <c r="N288">
        <f>WEEKNUM(orders[[#This Row],[Order Date]],1)</f>
        <v>3</v>
      </c>
      <c r="O288" t="str">
        <f t="array" ref="O288">_xlfn.IFS(orders[[#This Row],[Customer Gender]]="M","Male", orders[[#This Row],[Customer Gender]]="F","Female", orders[[#This Row],[Customer Gender]]="O","Other", TRUE(),"Unknown")</f>
        <v>Female</v>
      </c>
    </row>
    <row r="289" spans="1:15" x14ac:dyDescent="0.25">
      <c r="A289" t="s">
        <v>517</v>
      </c>
      <c r="B289" t="s">
        <v>93</v>
      </c>
      <c r="C289">
        <v>2</v>
      </c>
      <c r="D289">
        <v>71.400000000000006</v>
      </c>
      <c r="E289">
        <v>142.80000000000001</v>
      </c>
      <c r="F289" s="58">
        <v>45670</v>
      </c>
      <c r="G289" s="58">
        <v>45671</v>
      </c>
      <c r="H289" t="s">
        <v>229</v>
      </c>
      <c r="I289" t="s">
        <v>59</v>
      </c>
      <c r="J289">
        <v>4</v>
      </c>
      <c r="K289" t="s">
        <v>103</v>
      </c>
      <c r="L289" t="s">
        <v>141</v>
      </c>
      <c r="M289">
        <f>orders[[#This Row],[Ship Date]]-orders[[#This Row],[Order Date]]</f>
        <v>1</v>
      </c>
      <c r="N289">
        <f>WEEKNUM(orders[[#This Row],[Order Date]],1)</f>
        <v>3</v>
      </c>
      <c r="O289" t="str">
        <f t="array" ref="O289">_xlfn.IFS(orders[[#This Row],[Customer Gender]]="M","Male", orders[[#This Row],[Customer Gender]]="F","Female", orders[[#This Row],[Customer Gender]]="O","Other", TRUE(),"Unknown")</f>
        <v>Male</v>
      </c>
    </row>
    <row r="290" spans="1:15" x14ac:dyDescent="0.25">
      <c r="A290" t="s">
        <v>518</v>
      </c>
      <c r="B290" t="s">
        <v>86</v>
      </c>
      <c r="C290">
        <v>18</v>
      </c>
      <c r="D290">
        <v>15.6</v>
      </c>
      <c r="E290">
        <v>280.8</v>
      </c>
      <c r="F290" s="58">
        <v>45670</v>
      </c>
      <c r="G290" s="58">
        <v>45671</v>
      </c>
      <c r="H290" t="s">
        <v>229</v>
      </c>
      <c r="I290" t="s">
        <v>63</v>
      </c>
      <c r="J290">
        <v>1</v>
      </c>
      <c r="K290" t="s">
        <v>103</v>
      </c>
      <c r="L290" t="s">
        <v>142</v>
      </c>
      <c r="M290">
        <f>orders[[#This Row],[Ship Date]]-orders[[#This Row],[Order Date]]</f>
        <v>1</v>
      </c>
      <c r="N290">
        <f>WEEKNUM(orders[[#This Row],[Order Date]],1)</f>
        <v>3</v>
      </c>
      <c r="O290" t="str">
        <f t="array" ref="O290">_xlfn.IFS(orders[[#This Row],[Customer Gender]]="M","Male", orders[[#This Row],[Customer Gender]]="F","Female", orders[[#This Row],[Customer Gender]]="O","Other", TRUE(),"Unknown")</f>
        <v>Male</v>
      </c>
    </row>
    <row r="291" spans="1:15" x14ac:dyDescent="0.25">
      <c r="A291" t="s">
        <v>519</v>
      </c>
      <c r="B291" t="s">
        <v>75</v>
      </c>
      <c r="C291">
        <v>4</v>
      </c>
      <c r="D291">
        <v>37.799999999999997</v>
      </c>
      <c r="E291">
        <v>151.19999999999999</v>
      </c>
      <c r="F291" s="58">
        <v>45670</v>
      </c>
      <c r="G291" s="58">
        <v>45671</v>
      </c>
      <c r="H291" t="s">
        <v>229</v>
      </c>
      <c r="I291" t="s">
        <v>62</v>
      </c>
      <c r="J291">
        <v>5</v>
      </c>
      <c r="K291" t="s">
        <v>103</v>
      </c>
      <c r="L291" t="s">
        <v>142</v>
      </c>
      <c r="M291">
        <f>orders[[#This Row],[Ship Date]]-orders[[#This Row],[Order Date]]</f>
        <v>1</v>
      </c>
      <c r="N291">
        <f>WEEKNUM(orders[[#This Row],[Order Date]],1)</f>
        <v>3</v>
      </c>
      <c r="O291" t="str">
        <f t="array" ref="O291">_xlfn.IFS(orders[[#This Row],[Customer Gender]]="M","Male", orders[[#This Row],[Customer Gender]]="F","Female", orders[[#This Row],[Customer Gender]]="O","Other", TRUE(),"Unknown")</f>
        <v>Male</v>
      </c>
    </row>
    <row r="292" spans="1:15" x14ac:dyDescent="0.25">
      <c r="A292" t="s">
        <v>520</v>
      </c>
      <c r="B292" t="s">
        <v>78</v>
      </c>
      <c r="C292">
        <v>3</v>
      </c>
      <c r="D292">
        <v>28.1</v>
      </c>
      <c r="E292">
        <v>84.3</v>
      </c>
      <c r="F292" s="58">
        <v>45670</v>
      </c>
      <c r="G292" s="58">
        <v>45674</v>
      </c>
      <c r="H292" t="s">
        <v>229</v>
      </c>
      <c r="I292" t="s">
        <v>59</v>
      </c>
      <c r="J292">
        <v>4</v>
      </c>
      <c r="K292" t="s">
        <v>103</v>
      </c>
      <c r="L292" t="s">
        <v>142</v>
      </c>
      <c r="M292">
        <f>orders[[#This Row],[Ship Date]]-orders[[#This Row],[Order Date]]</f>
        <v>4</v>
      </c>
      <c r="N292">
        <f>WEEKNUM(orders[[#This Row],[Order Date]],1)</f>
        <v>3</v>
      </c>
      <c r="O292" t="str">
        <f t="array" ref="O292">_xlfn.IFS(orders[[#This Row],[Customer Gender]]="M","Male", orders[[#This Row],[Customer Gender]]="F","Female", orders[[#This Row],[Customer Gender]]="O","Other", TRUE(),"Unknown")</f>
        <v>Male</v>
      </c>
    </row>
    <row r="293" spans="1:15" x14ac:dyDescent="0.25">
      <c r="A293" t="s">
        <v>521</v>
      </c>
      <c r="B293" t="s">
        <v>79</v>
      </c>
      <c r="C293">
        <v>6</v>
      </c>
      <c r="D293">
        <v>51.4</v>
      </c>
      <c r="E293">
        <v>308.39999999999998</v>
      </c>
      <c r="F293" s="58">
        <v>45670</v>
      </c>
      <c r="G293" s="58">
        <v>45674</v>
      </c>
      <c r="H293" t="s">
        <v>229</v>
      </c>
      <c r="I293" t="s">
        <v>59</v>
      </c>
      <c r="J293">
        <v>4</v>
      </c>
      <c r="K293" t="s">
        <v>103</v>
      </c>
      <c r="L293" t="s">
        <v>142</v>
      </c>
      <c r="M293">
        <f>orders[[#This Row],[Ship Date]]-orders[[#This Row],[Order Date]]</f>
        <v>4</v>
      </c>
      <c r="N293">
        <f>WEEKNUM(orders[[#This Row],[Order Date]],1)</f>
        <v>3</v>
      </c>
      <c r="O293" t="str">
        <f t="array" ref="O293">_xlfn.IFS(orders[[#This Row],[Customer Gender]]="M","Male", orders[[#This Row],[Customer Gender]]="F","Female", orders[[#This Row],[Customer Gender]]="O","Other", TRUE(),"Unknown")</f>
        <v>Male</v>
      </c>
    </row>
    <row r="294" spans="1:15" x14ac:dyDescent="0.25">
      <c r="A294" t="s">
        <v>522</v>
      </c>
      <c r="B294" t="s">
        <v>79</v>
      </c>
      <c r="C294">
        <v>2</v>
      </c>
      <c r="D294">
        <v>97.7</v>
      </c>
      <c r="E294">
        <v>195.4</v>
      </c>
      <c r="F294" s="58">
        <v>45670</v>
      </c>
      <c r="G294" s="58">
        <v>45672</v>
      </c>
      <c r="H294" t="s">
        <v>231</v>
      </c>
      <c r="I294" t="s">
        <v>61</v>
      </c>
      <c r="J294">
        <v>5</v>
      </c>
      <c r="K294" t="s">
        <v>103</v>
      </c>
      <c r="L294" t="s">
        <v>143</v>
      </c>
      <c r="M294">
        <f>orders[[#This Row],[Ship Date]]-orders[[#This Row],[Order Date]]</f>
        <v>2</v>
      </c>
      <c r="N294">
        <f>WEEKNUM(orders[[#This Row],[Order Date]],1)</f>
        <v>3</v>
      </c>
      <c r="O294" t="str">
        <f t="array" ref="O294">_xlfn.IFS(orders[[#This Row],[Customer Gender]]="M","Male", orders[[#This Row],[Customer Gender]]="F","Female", orders[[#This Row],[Customer Gender]]="O","Other", TRUE(),"Unknown")</f>
        <v>Female</v>
      </c>
    </row>
    <row r="295" spans="1:15" x14ac:dyDescent="0.25">
      <c r="A295" t="s">
        <v>523</v>
      </c>
      <c r="B295" t="s">
        <v>91</v>
      </c>
      <c r="C295">
        <v>4</v>
      </c>
      <c r="D295">
        <v>63.8</v>
      </c>
      <c r="E295">
        <v>255.2</v>
      </c>
      <c r="F295" s="58">
        <v>45670</v>
      </c>
      <c r="G295" s="58">
        <v>45671</v>
      </c>
      <c r="H295" t="s">
        <v>229</v>
      </c>
      <c r="I295" t="s">
        <v>62</v>
      </c>
      <c r="J295">
        <v>4</v>
      </c>
      <c r="K295" t="s">
        <v>103</v>
      </c>
      <c r="L295" t="s">
        <v>153</v>
      </c>
      <c r="M295">
        <f>orders[[#This Row],[Ship Date]]-orders[[#This Row],[Order Date]]</f>
        <v>1</v>
      </c>
      <c r="N295">
        <f>WEEKNUM(orders[[#This Row],[Order Date]],1)</f>
        <v>3</v>
      </c>
      <c r="O295" t="str">
        <f t="array" ref="O295">_xlfn.IFS(orders[[#This Row],[Customer Gender]]="M","Male", orders[[#This Row],[Customer Gender]]="F","Female", orders[[#This Row],[Customer Gender]]="O","Other", TRUE(),"Unknown")</f>
        <v>Male</v>
      </c>
    </row>
    <row r="296" spans="1:15" x14ac:dyDescent="0.25">
      <c r="A296" t="s">
        <v>524</v>
      </c>
      <c r="B296" t="s">
        <v>92</v>
      </c>
      <c r="C296">
        <v>2</v>
      </c>
      <c r="D296">
        <v>20.100000000000001</v>
      </c>
      <c r="E296">
        <v>40.200000000000003</v>
      </c>
      <c r="F296" s="58">
        <v>45670</v>
      </c>
      <c r="G296" s="58">
        <v>45672</v>
      </c>
      <c r="H296" t="s">
        <v>229</v>
      </c>
      <c r="I296" t="s">
        <v>59</v>
      </c>
      <c r="J296">
        <v>5</v>
      </c>
      <c r="K296" t="s">
        <v>103</v>
      </c>
      <c r="L296" t="s">
        <v>159</v>
      </c>
      <c r="M296">
        <f>orders[[#This Row],[Ship Date]]-orders[[#This Row],[Order Date]]</f>
        <v>2</v>
      </c>
      <c r="N296">
        <f>WEEKNUM(orders[[#This Row],[Order Date]],1)</f>
        <v>3</v>
      </c>
      <c r="O296" t="str">
        <f t="array" ref="O296">_xlfn.IFS(orders[[#This Row],[Customer Gender]]="M","Male", orders[[#This Row],[Customer Gender]]="F","Female", orders[[#This Row],[Customer Gender]]="O","Other", TRUE(),"Unknown")</f>
        <v>Male</v>
      </c>
    </row>
    <row r="297" spans="1:15" x14ac:dyDescent="0.25">
      <c r="A297" t="s">
        <v>525</v>
      </c>
      <c r="B297" t="s">
        <v>83</v>
      </c>
      <c r="C297">
        <v>3</v>
      </c>
      <c r="D297">
        <v>50.4</v>
      </c>
      <c r="E297">
        <v>151.19999999999999</v>
      </c>
      <c r="F297" s="58">
        <v>45670</v>
      </c>
      <c r="G297" s="58">
        <v>45673</v>
      </c>
      <c r="H297" t="s">
        <v>231</v>
      </c>
      <c r="I297" t="s">
        <v>60</v>
      </c>
      <c r="J297">
        <v>4</v>
      </c>
      <c r="K297" t="s">
        <v>103</v>
      </c>
      <c r="L297" t="s">
        <v>161</v>
      </c>
      <c r="M297">
        <f>orders[[#This Row],[Ship Date]]-orders[[#This Row],[Order Date]]</f>
        <v>3</v>
      </c>
      <c r="N297">
        <f>WEEKNUM(orders[[#This Row],[Order Date]],1)</f>
        <v>3</v>
      </c>
      <c r="O297" t="str">
        <f t="array" ref="O297">_xlfn.IFS(orders[[#This Row],[Customer Gender]]="M","Male", orders[[#This Row],[Customer Gender]]="F","Female", orders[[#This Row],[Customer Gender]]="O","Other", TRUE(),"Unknown")</f>
        <v>Female</v>
      </c>
    </row>
    <row r="298" spans="1:15" x14ac:dyDescent="0.25">
      <c r="A298" t="s">
        <v>526</v>
      </c>
      <c r="B298" t="s">
        <v>86</v>
      </c>
      <c r="C298">
        <v>1</v>
      </c>
      <c r="D298">
        <v>16.2</v>
      </c>
      <c r="E298">
        <v>16.2</v>
      </c>
      <c r="F298" s="58">
        <v>45670</v>
      </c>
      <c r="G298" s="58">
        <v>45683</v>
      </c>
      <c r="H298" t="s">
        <v>231</v>
      </c>
      <c r="I298" t="s">
        <v>63</v>
      </c>
      <c r="J298">
        <v>4</v>
      </c>
      <c r="K298" t="s">
        <v>103</v>
      </c>
      <c r="L298" t="s">
        <v>112</v>
      </c>
      <c r="M298">
        <f>orders[[#This Row],[Ship Date]]-orders[[#This Row],[Order Date]]</f>
        <v>13</v>
      </c>
      <c r="N298">
        <f>WEEKNUM(orders[[#This Row],[Order Date]],1)</f>
        <v>3</v>
      </c>
      <c r="O298" t="str">
        <f t="array" ref="O298">_xlfn.IFS(orders[[#This Row],[Customer Gender]]="M","Male", orders[[#This Row],[Customer Gender]]="F","Female", orders[[#This Row],[Customer Gender]]="O","Other", TRUE(),"Unknown")</f>
        <v>Female</v>
      </c>
    </row>
    <row r="299" spans="1:15" x14ac:dyDescent="0.25">
      <c r="A299" t="s">
        <v>527</v>
      </c>
      <c r="B299" t="s">
        <v>80</v>
      </c>
      <c r="C299">
        <v>7</v>
      </c>
      <c r="D299">
        <v>80.900000000000006</v>
      </c>
      <c r="E299">
        <v>566.29999999999995</v>
      </c>
      <c r="F299" s="58">
        <v>45670</v>
      </c>
      <c r="G299" s="58">
        <v>45672</v>
      </c>
      <c r="H299" t="s">
        <v>229</v>
      </c>
      <c r="I299" t="s">
        <v>61</v>
      </c>
      <c r="J299">
        <v>2</v>
      </c>
      <c r="K299" t="s">
        <v>103</v>
      </c>
      <c r="L299" t="s">
        <v>115</v>
      </c>
      <c r="M299">
        <f>orders[[#This Row],[Ship Date]]-orders[[#This Row],[Order Date]]</f>
        <v>2</v>
      </c>
      <c r="N299">
        <f>WEEKNUM(orders[[#This Row],[Order Date]],1)</f>
        <v>3</v>
      </c>
      <c r="O299" t="str">
        <f t="array" ref="O299">_xlfn.IFS(orders[[#This Row],[Customer Gender]]="M","Male", orders[[#This Row],[Customer Gender]]="F","Female", orders[[#This Row],[Customer Gender]]="O","Other", TRUE(),"Unknown")</f>
        <v>Male</v>
      </c>
    </row>
    <row r="300" spans="1:15" x14ac:dyDescent="0.25">
      <c r="A300" t="s">
        <v>528</v>
      </c>
      <c r="B300" t="s">
        <v>88</v>
      </c>
      <c r="C300">
        <v>6</v>
      </c>
      <c r="D300">
        <v>95.2</v>
      </c>
      <c r="E300">
        <v>571.20000000000005</v>
      </c>
      <c r="F300" s="58">
        <v>45670</v>
      </c>
      <c r="G300" s="58">
        <v>45672</v>
      </c>
      <c r="H300" t="s">
        <v>231</v>
      </c>
      <c r="I300" t="s">
        <v>59</v>
      </c>
      <c r="J300">
        <v>5</v>
      </c>
      <c r="K300" t="s">
        <v>103</v>
      </c>
      <c r="L300" t="s">
        <v>115</v>
      </c>
      <c r="M300">
        <f>orders[[#This Row],[Ship Date]]-orders[[#This Row],[Order Date]]</f>
        <v>2</v>
      </c>
      <c r="N300">
        <f>WEEKNUM(orders[[#This Row],[Order Date]],1)</f>
        <v>3</v>
      </c>
      <c r="O300" t="str">
        <f t="array" ref="O300">_xlfn.IFS(orders[[#This Row],[Customer Gender]]="M","Male", orders[[#This Row],[Customer Gender]]="F","Female", orders[[#This Row],[Customer Gender]]="O","Other", TRUE(),"Unknown")</f>
        <v>Female</v>
      </c>
    </row>
    <row r="301" spans="1:15" x14ac:dyDescent="0.25">
      <c r="A301" t="s">
        <v>529</v>
      </c>
      <c r="B301" t="s">
        <v>85</v>
      </c>
      <c r="C301">
        <v>8</v>
      </c>
      <c r="D301">
        <v>70.400000000000006</v>
      </c>
      <c r="E301">
        <v>563.20000000000005</v>
      </c>
      <c r="F301" s="58">
        <v>45670</v>
      </c>
      <c r="G301" s="58">
        <v>45671</v>
      </c>
      <c r="H301" t="s">
        <v>229</v>
      </c>
      <c r="I301" t="s">
        <v>63</v>
      </c>
      <c r="J301">
        <v>3</v>
      </c>
      <c r="K301" t="s">
        <v>103</v>
      </c>
      <c r="L301" t="s">
        <v>124</v>
      </c>
      <c r="M301">
        <f>orders[[#This Row],[Ship Date]]-orders[[#This Row],[Order Date]]</f>
        <v>1</v>
      </c>
      <c r="N301">
        <f>WEEKNUM(orders[[#This Row],[Order Date]],1)</f>
        <v>3</v>
      </c>
      <c r="O301" t="str">
        <f t="array" ref="O301">_xlfn.IFS(orders[[#This Row],[Customer Gender]]="M","Male", orders[[#This Row],[Customer Gender]]="F","Female", orders[[#This Row],[Customer Gender]]="O","Other", TRUE(),"Unknown")</f>
        <v>Male</v>
      </c>
    </row>
    <row r="302" spans="1:15" x14ac:dyDescent="0.25">
      <c r="A302" t="s">
        <v>530</v>
      </c>
      <c r="B302" t="s">
        <v>86</v>
      </c>
      <c r="C302">
        <v>5</v>
      </c>
      <c r="D302">
        <v>10.7</v>
      </c>
      <c r="E302">
        <v>53.5</v>
      </c>
      <c r="F302" s="58">
        <v>45670</v>
      </c>
      <c r="G302" s="58">
        <v>45674</v>
      </c>
      <c r="H302" t="s">
        <v>231</v>
      </c>
      <c r="I302" t="s">
        <v>62</v>
      </c>
      <c r="J302">
        <v>4</v>
      </c>
      <c r="K302" t="s">
        <v>103</v>
      </c>
      <c r="L302" t="s">
        <v>124</v>
      </c>
      <c r="M302">
        <f>orders[[#This Row],[Ship Date]]-orders[[#This Row],[Order Date]]</f>
        <v>4</v>
      </c>
      <c r="N302">
        <f>WEEKNUM(orders[[#This Row],[Order Date]],1)</f>
        <v>3</v>
      </c>
      <c r="O302" t="str">
        <f t="array" ref="O302">_xlfn.IFS(orders[[#This Row],[Customer Gender]]="M","Male", orders[[#This Row],[Customer Gender]]="F","Female", orders[[#This Row],[Customer Gender]]="O","Other", TRUE(),"Unknown")</f>
        <v>Female</v>
      </c>
    </row>
    <row r="303" spans="1:15" x14ac:dyDescent="0.25">
      <c r="A303" t="s">
        <v>531</v>
      </c>
      <c r="B303" t="s">
        <v>90</v>
      </c>
      <c r="C303">
        <v>5</v>
      </c>
      <c r="D303">
        <v>19.600000000000001</v>
      </c>
      <c r="E303">
        <v>98</v>
      </c>
      <c r="F303" s="58">
        <v>45670</v>
      </c>
      <c r="G303" s="58">
        <v>45672</v>
      </c>
      <c r="H303" t="s">
        <v>231</v>
      </c>
      <c r="I303" t="s">
        <v>59</v>
      </c>
      <c r="J303">
        <v>1</v>
      </c>
      <c r="K303" t="s">
        <v>103</v>
      </c>
      <c r="L303" t="s">
        <v>124</v>
      </c>
      <c r="M303">
        <f>orders[[#This Row],[Ship Date]]-orders[[#This Row],[Order Date]]</f>
        <v>2</v>
      </c>
      <c r="N303">
        <f>WEEKNUM(orders[[#This Row],[Order Date]],1)</f>
        <v>3</v>
      </c>
      <c r="O303" t="str">
        <f t="array" ref="O303">_xlfn.IFS(orders[[#This Row],[Customer Gender]]="M","Male", orders[[#This Row],[Customer Gender]]="F","Female", orders[[#This Row],[Customer Gender]]="O","Other", TRUE(),"Unknown")</f>
        <v>Female</v>
      </c>
    </row>
    <row r="304" spans="1:15" x14ac:dyDescent="0.25">
      <c r="A304" t="s">
        <v>532</v>
      </c>
      <c r="B304" t="s">
        <v>90</v>
      </c>
      <c r="C304">
        <v>11</v>
      </c>
      <c r="D304">
        <v>34.700000000000003</v>
      </c>
      <c r="E304">
        <v>381.7</v>
      </c>
      <c r="F304" s="58">
        <v>45670</v>
      </c>
      <c r="G304" s="58">
        <v>45672</v>
      </c>
      <c r="H304" t="s">
        <v>231</v>
      </c>
      <c r="I304" t="s">
        <v>59</v>
      </c>
      <c r="J304">
        <v>5</v>
      </c>
      <c r="K304" t="s">
        <v>103</v>
      </c>
      <c r="L304" t="s">
        <v>124</v>
      </c>
      <c r="M304">
        <f>orders[[#This Row],[Ship Date]]-orders[[#This Row],[Order Date]]</f>
        <v>2</v>
      </c>
      <c r="N304">
        <f>WEEKNUM(orders[[#This Row],[Order Date]],1)</f>
        <v>3</v>
      </c>
      <c r="O304" t="str">
        <f t="array" ref="O304">_xlfn.IFS(orders[[#This Row],[Customer Gender]]="M","Male", orders[[#This Row],[Customer Gender]]="F","Female", orders[[#This Row],[Customer Gender]]="O","Other", TRUE(),"Unknown")</f>
        <v>Female</v>
      </c>
    </row>
    <row r="305" spans="1:15" x14ac:dyDescent="0.25">
      <c r="A305" t="s">
        <v>533</v>
      </c>
      <c r="B305" t="s">
        <v>75</v>
      </c>
      <c r="C305">
        <v>9</v>
      </c>
      <c r="D305">
        <v>34.1</v>
      </c>
      <c r="E305">
        <v>306.89999999999998</v>
      </c>
      <c r="F305" s="58">
        <v>45670</v>
      </c>
      <c r="G305" s="58">
        <v>45671</v>
      </c>
      <c r="H305" t="s">
        <v>231</v>
      </c>
      <c r="I305" t="s">
        <v>61</v>
      </c>
      <c r="J305">
        <v>3</v>
      </c>
      <c r="K305" t="s">
        <v>103</v>
      </c>
      <c r="L305" t="s">
        <v>124</v>
      </c>
      <c r="M305">
        <f>orders[[#This Row],[Ship Date]]-orders[[#This Row],[Order Date]]</f>
        <v>1</v>
      </c>
      <c r="N305">
        <f>WEEKNUM(orders[[#This Row],[Order Date]],1)</f>
        <v>3</v>
      </c>
      <c r="O305" t="str">
        <f t="array" ref="O305">_xlfn.IFS(orders[[#This Row],[Customer Gender]]="M","Male", orders[[#This Row],[Customer Gender]]="F","Female", orders[[#This Row],[Customer Gender]]="O","Other", TRUE(),"Unknown")</f>
        <v>Female</v>
      </c>
    </row>
    <row r="306" spans="1:15" x14ac:dyDescent="0.25">
      <c r="A306" t="s">
        <v>534</v>
      </c>
      <c r="B306" t="s">
        <v>86</v>
      </c>
      <c r="C306">
        <v>49</v>
      </c>
      <c r="D306">
        <v>29.3</v>
      </c>
      <c r="E306">
        <v>1435.7</v>
      </c>
      <c r="F306" s="58">
        <v>45670</v>
      </c>
      <c r="G306" s="58">
        <v>45670</v>
      </c>
      <c r="H306" t="s">
        <v>229</v>
      </c>
      <c r="I306" t="s">
        <v>59</v>
      </c>
      <c r="J306">
        <v>3</v>
      </c>
      <c r="K306" t="s">
        <v>103</v>
      </c>
      <c r="L306" t="s">
        <v>124</v>
      </c>
      <c r="M306">
        <f>orders[[#This Row],[Ship Date]]-orders[[#This Row],[Order Date]]</f>
        <v>0</v>
      </c>
      <c r="N306">
        <f>WEEKNUM(orders[[#This Row],[Order Date]],1)</f>
        <v>3</v>
      </c>
      <c r="O306" t="str">
        <f t="array" ref="O306">_xlfn.IFS(orders[[#This Row],[Customer Gender]]="M","Male", orders[[#This Row],[Customer Gender]]="F","Female", orders[[#This Row],[Customer Gender]]="O","Other", TRUE(),"Unknown")</f>
        <v>Male</v>
      </c>
    </row>
    <row r="307" spans="1:15" x14ac:dyDescent="0.25">
      <c r="A307" t="s">
        <v>535</v>
      </c>
      <c r="B307" t="s">
        <v>91</v>
      </c>
      <c r="C307">
        <v>1</v>
      </c>
      <c r="D307">
        <v>55.2</v>
      </c>
      <c r="E307">
        <v>55.2</v>
      </c>
      <c r="F307" s="58">
        <v>45670</v>
      </c>
      <c r="G307" s="58">
        <v>45671</v>
      </c>
      <c r="H307" t="s">
        <v>231</v>
      </c>
      <c r="I307" t="s">
        <v>59</v>
      </c>
      <c r="J307">
        <v>3</v>
      </c>
      <c r="K307" t="s">
        <v>103</v>
      </c>
      <c r="L307" t="s">
        <v>124</v>
      </c>
      <c r="M307">
        <f>orders[[#This Row],[Ship Date]]-orders[[#This Row],[Order Date]]</f>
        <v>1</v>
      </c>
      <c r="N307">
        <f>WEEKNUM(orders[[#This Row],[Order Date]],1)</f>
        <v>3</v>
      </c>
      <c r="O307" t="str">
        <f t="array" ref="O307">_xlfn.IFS(orders[[#This Row],[Customer Gender]]="M","Male", orders[[#This Row],[Customer Gender]]="F","Female", orders[[#This Row],[Customer Gender]]="O","Other", TRUE(),"Unknown")</f>
        <v>Female</v>
      </c>
    </row>
    <row r="308" spans="1:15" x14ac:dyDescent="0.25">
      <c r="A308" t="s">
        <v>536</v>
      </c>
      <c r="B308" t="s">
        <v>82</v>
      </c>
      <c r="C308">
        <v>3</v>
      </c>
      <c r="D308">
        <v>26</v>
      </c>
      <c r="E308">
        <v>78</v>
      </c>
      <c r="F308" s="58">
        <v>45670</v>
      </c>
      <c r="G308" s="58">
        <v>45673</v>
      </c>
      <c r="H308" t="s">
        <v>231</v>
      </c>
      <c r="I308" t="s">
        <v>59</v>
      </c>
      <c r="J308">
        <v>5</v>
      </c>
      <c r="K308" t="s">
        <v>103</v>
      </c>
      <c r="L308" t="s">
        <v>124</v>
      </c>
      <c r="M308">
        <f>orders[[#This Row],[Ship Date]]-orders[[#This Row],[Order Date]]</f>
        <v>3</v>
      </c>
      <c r="N308">
        <f>WEEKNUM(orders[[#This Row],[Order Date]],1)</f>
        <v>3</v>
      </c>
      <c r="O308" t="str">
        <f t="array" ref="O308">_xlfn.IFS(orders[[#This Row],[Customer Gender]]="M","Male", orders[[#This Row],[Customer Gender]]="F","Female", orders[[#This Row],[Customer Gender]]="O","Other", TRUE(),"Unknown")</f>
        <v>Female</v>
      </c>
    </row>
    <row r="309" spans="1:15" x14ac:dyDescent="0.25">
      <c r="A309" t="s">
        <v>537</v>
      </c>
      <c r="B309" t="s">
        <v>74</v>
      </c>
      <c r="C309">
        <v>2</v>
      </c>
      <c r="D309">
        <v>14.2</v>
      </c>
      <c r="E309">
        <v>28.4</v>
      </c>
      <c r="F309" s="58">
        <v>45670</v>
      </c>
      <c r="G309" s="58">
        <v>45675</v>
      </c>
      <c r="H309" t="s">
        <v>231</v>
      </c>
      <c r="I309" t="s">
        <v>60</v>
      </c>
      <c r="J309">
        <v>4</v>
      </c>
      <c r="K309" t="s">
        <v>103</v>
      </c>
      <c r="L309" t="s">
        <v>130</v>
      </c>
      <c r="M309">
        <f>orders[[#This Row],[Ship Date]]-orders[[#This Row],[Order Date]]</f>
        <v>5</v>
      </c>
      <c r="N309">
        <f>WEEKNUM(orders[[#This Row],[Order Date]],1)</f>
        <v>3</v>
      </c>
      <c r="O309" t="str">
        <f t="array" ref="O309">_xlfn.IFS(orders[[#This Row],[Customer Gender]]="M","Male", orders[[#This Row],[Customer Gender]]="F","Female", orders[[#This Row],[Customer Gender]]="O","Other", TRUE(),"Unknown")</f>
        <v>Female</v>
      </c>
    </row>
    <row r="310" spans="1:15" x14ac:dyDescent="0.25">
      <c r="A310" t="s">
        <v>538</v>
      </c>
      <c r="B310" t="s">
        <v>90</v>
      </c>
      <c r="C310">
        <v>9</v>
      </c>
      <c r="D310">
        <v>22.7</v>
      </c>
      <c r="E310">
        <v>204.3</v>
      </c>
      <c r="F310" s="58">
        <v>45671</v>
      </c>
      <c r="G310" s="58">
        <v>45672</v>
      </c>
      <c r="H310" t="s">
        <v>229</v>
      </c>
      <c r="I310" t="s">
        <v>63</v>
      </c>
      <c r="J310">
        <v>4</v>
      </c>
      <c r="K310" t="s">
        <v>103</v>
      </c>
      <c r="L310" t="s">
        <v>139</v>
      </c>
      <c r="M310">
        <f>orders[[#This Row],[Ship Date]]-orders[[#This Row],[Order Date]]</f>
        <v>1</v>
      </c>
      <c r="N310">
        <f>WEEKNUM(orders[[#This Row],[Order Date]],1)</f>
        <v>3</v>
      </c>
      <c r="O310" t="str">
        <f t="array" ref="O310">_xlfn.IFS(orders[[#This Row],[Customer Gender]]="M","Male", orders[[#This Row],[Customer Gender]]="F","Female", orders[[#This Row],[Customer Gender]]="O","Other", TRUE(),"Unknown")</f>
        <v>Male</v>
      </c>
    </row>
    <row r="311" spans="1:15" x14ac:dyDescent="0.25">
      <c r="A311" t="s">
        <v>539</v>
      </c>
      <c r="B311" t="s">
        <v>86</v>
      </c>
      <c r="C311">
        <v>15</v>
      </c>
      <c r="D311">
        <v>19.8</v>
      </c>
      <c r="E311">
        <v>297</v>
      </c>
      <c r="F311" s="58">
        <v>45671</v>
      </c>
      <c r="G311" s="58">
        <v>45671</v>
      </c>
      <c r="H311" t="s">
        <v>231</v>
      </c>
      <c r="I311" t="s">
        <v>59</v>
      </c>
      <c r="J311">
        <v>5</v>
      </c>
      <c r="K311" t="s">
        <v>103</v>
      </c>
      <c r="L311" t="s">
        <v>139</v>
      </c>
      <c r="M311">
        <f>orders[[#This Row],[Ship Date]]-orders[[#This Row],[Order Date]]</f>
        <v>0</v>
      </c>
      <c r="N311">
        <f>WEEKNUM(orders[[#This Row],[Order Date]],1)</f>
        <v>3</v>
      </c>
      <c r="O311" t="str">
        <f t="array" ref="O311">_xlfn.IFS(orders[[#This Row],[Customer Gender]]="M","Male", orders[[#This Row],[Customer Gender]]="F","Female", orders[[#This Row],[Customer Gender]]="O","Other", TRUE(),"Unknown")</f>
        <v>Female</v>
      </c>
    </row>
    <row r="312" spans="1:15" x14ac:dyDescent="0.25">
      <c r="A312" t="s">
        <v>540</v>
      </c>
      <c r="B312" t="s">
        <v>86</v>
      </c>
      <c r="C312">
        <v>3</v>
      </c>
      <c r="D312">
        <v>31.7</v>
      </c>
      <c r="E312">
        <v>95.1</v>
      </c>
      <c r="F312" s="58">
        <v>45671</v>
      </c>
      <c r="G312" s="58">
        <v>45672</v>
      </c>
      <c r="H312" t="s">
        <v>229</v>
      </c>
      <c r="I312" t="s">
        <v>62</v>
      </c>
      <c r="J312">
        <v>4</v>
      </c>
      <c r="K312" t="s">
        <v>103</v>
      </c>
      <c r="L312" t="s">
        <v>139</v>
      </c>
      <c r="M312">
        <f>orders[[#This Row],[Ship Date]]-orders[[#This Row],[Order Date]]</f>
        <v>1</v>
      </c>
      <c r="N312">
        <f>WEEKNUM(orders[[#This Row],[Order Date]],1)</f>
        <v>3</v>
      </c>
      <c r="O312" t="str">
        <f t="array" ref="O312">_xlfn.IFS(orders[[#This Row],[Customer Gender]]="M","Male", orders[[#This Row],[Customer Gender]]="F","Female", orders[[#This Row],[Customer Gender]]="O","Other", TRUE(),"Unknown")</f>
        <v>Male</v>
      </c>
    </row>
    <row r="313" spans="1:15" x14ac:dyDescent="0.25">
      <c r="A313" t="s">
        <v>541</v>
      </c>
      <c r="B313" t="s">
        <v>90</v>
      </c>
      <c r="C313">
        <v>4</v>
      </c>
      <c r="D313">
        <v>30.4</v>
      </c>
      <c r="E313">
        <v>121.6</v>
      </c>
      <c r="F313" s="58">
        <v>45671</v>
      </c>
      <c r="G313" s="58">
        <v>45675</v>
      </c>
      <c r="H313" t="s">
        <v>229</v>
      </c>
      <c r="I313" t="s">
        <v>59</v>
      </c>
      <c r="J313">
        <v>4</v>
      </c>
      <c r="K313" t="s">
        <v>103</v>
      </c>
      <c r="L313" t="s">
        <v>139</v>
      </c>
      <c r="M313">
        <f>orders[[#This Row],[Ship Date]]-orders[[#This Row],[Order Date]]</f>
        <v>4</v>
      </c>
      <c r="N313">
        <f>WEEKNUM(orders[[#This Row],[Order Date]],1)</f>
        <v>3</v>
      </c>
      <c r="O313" t="str">
        <f t="array" ref="O313">_xlfn.IFS(orders[[#This Row],[Customer Gender]]="M","Male", orders[[#This Row],[Customer Gender]]="F","Female", orders[[#This Row],[Customer Gender]]="O","Other", TRUE(),"Unknown")</f>
        <v>Male</v>
      </c>
    </row>
    <row r="314" spans="1:15" x14ac:dyDescent="0.25">
      <c r="A314" t="s">
        <v>542</v>
      </c>
      <c r="B314" t="s">
        <v>86</v>
      </c>
      <c r="C314">
        <v>4</v>
      </c>
      <c r="D314">
        <v>25.6</v>
      </c>
      <c r="E314">
        <v>102.4</v>
      </c>
      <c r="F314" s="58">
        <v>45671</v>
      </c>
      <c r="G314" s="58">
        <v>45672</v>
      </c>
      <c r="H314" t="s">
        <v>229</v>
      </c>
      <c r="I314" t="s">
        <v>60</v>
      </c>
      <c r="J314">
        <v>4</v>
      </c>
      <c r="K314" t="s">
        <v>103</v>
      </c>
      <c r="L314" t="s">
        <v>142</v>
      </c>
      <c r="M314">
        <f>orders[[#This Row],[Ship Date]]-orders[[#This Row],[Order Date]]</f>
        <v>1</v>
      </c>
      <c r="N314">
        <f>WEEKNUM(orders[[#This Row],[Order Date]],1)</f>
        <v>3</v>
      </c>
      <c r="O314" t="str">
        <f t="array" ref="O314">_xlfn.IFS(orders[[#This Row],[Customer Gender]]="M","Male", orders[[#This Row],[Customer Gender]]="F","Female", orders[[#This Row],[Customer Gender]]="O","Other", TRUE(),"Unknown")</f>
        <v>Male</v>
      </c>
    </row>
    <row r="315" spans="1:15" x14ac:dyDescent="0.25">
      <c r="A315" t="s">
        <v>543</v>
      </c>
      <c r="B315" t="s">
        <v>85</v>
      </c>
      <c r="C315">
        <v>2</v>
      </c>
      <c r="D315">
        <v>34.9</v>
      </c>
      <c r="E315">
        <v>69.8</v>
      </c>
      <c r="F315" s="58">
        <v>45671</v>
      </c>
      <c r="G315" s="58">
        <v>45672</v>
      </c>
      <c r="H315" t="s">
        <v>231</v>
      </c>
      <c r="I315" t="s">
        <v>62</v>
      </c>
      <c r="J315">
        <v>4</v>
      </c>
      <c r="K315" t="s">
        <v>103</v>
      </c>
      <c r="L315" t="s">
        <v>146</v>
      </c>
      <c r="M315">
        <f>orders[[#This Row],[Ship Date]]-orders[[#This Row],[Order Date]]</f>
        <v>1</v>
      </c>
      <c r="N315">
        <f>WEEKNUM(orders[[#This Row],[Order Date]],1)</f>
        <v>3</v>
      </c>
      <c r="O315" t="str">
        <f t="array" ref="O315">_xlfn.IFS(orders[[#This Row],[Customer Gender]]="M","Male", orders[[#This Row],[Customer Gender]]="F","Female", orders[[#This Row],[Customer Gender]]="O","Other", TRUE(),"Unknown")</f>
        <v>Female</v>
      </c>
    </row>
    <row r="316" spans="1:15" x14ac:dyDescent="0.25">
      <c r="A316" t="s">
        <v>544</v>
      </c>
      <c r="B316" t="s">
        <v>79</v>
      </c>
      <c r="C316">
        <v>6</v>
      </c>
      <c r="D316">
        <v>42.7</v>
      </c>
      <c r="E316">
        <v>256.2</v>
      </c>
      <c r="F316" s="58">
        <v>45671</v>
      </c>
      <c r="G316" s="58">
        <v>45674</v>
      </c>
      <c r="H316" t="s">
        <v>229</v>
      </c>
      <c r="I316" t="s">
        <v>62</v>
      </c>
      <c r="J316">
        <v>3</v>
      </c>
      <c r="K316" t="s">
        <v>103</v>
      </c>
      <c r="L316" t="s">
        <v>148</v>
      </c>
      <c r="M316">
        <f>orders[[#This Row],[Ship Date]]-orders[[#This Row],[Order Date]]</f>
        <v>3</v>
      </c>
      <c r="N316">
        <f>WEEKNUM(orders[[#This Row],[Order Date]],1)</f>
        <v>3</v>
      </c>
      <c r="O316" t="str">
        <f t="array" ref="O316">_xlfn.IFS(orders[[#This Row],[Customer Gender]]="M","Male", orders[[#This Row],[Customer Gender]]="F","Female", orders[[#This Row],[Customer Gender]]="O","Other", TRUE(),"Unknown")</f>
        <v>Male</v>
      </c>
    </row>
    <row r="317" spans="1:15" x14ac:dyDescent="0.25">
      <c r="A317" t="s">
        <v>545</v>
      </c>
      <c r="B317" t="s">
        <v>90</v>
      </c>
      <c r="C317">
        <v>1</v>
      </c>
      <c r="D317">
        <v>23.9</v>
      </c>
      <c r="E317">
        <v>23.9</v>
      </c>
      <c r="F317" s="58">
        <v>45671</v>
      </c>
      <c r="G317" s="58">
        <v>45673</v>
      </c>
      <c r="H317" t="s">
        <v>231</v>
      </c>
      <c r="I317" t="s">
        <v>60</v>
      </c>
      <c r="J317">
        <v>4</v>
      </c>
      <c r="K317" t="s">
        <v>103</v>
      </c>
      <c r="L317" t="s">
        <v>148</v>
      </c>
      <c r="M317">
        <f>orders[[#This Row],[Ship Date]]-orders[[#This Row],[Order Date]]</f>
        <v>2</v>
      </c>
      <c r="N317">
        <f>WEEKNUM(orders[[#This Row],[Order Date]],1)</f>
        <v>3</v>
      </c>
      <c r="O317" t="str">
        <f t="array" ref="O317">_xlfn.IFS(orders[[#This Row],[Customer Gender]]="M","Male", orders[[#This Row],[Customer Gender]]="F","Female", orders[[#This Row],[Customer Gender]]="O","Other", TRUE(),"Unknown")</f>
        <v>Female</v>
      </c>
    </row>
    <row r="318" spans="1:15" x14ac:dyDescent="0.25">
      <c r="A318" t="s">
        <v>546</v>
      </c>
      <c r="B318" t="s">
        <v>80</v>
      </c>
      <c r="C318">
        <v>1</v>
      </c>
      <c r="D318">
        <v>124.3</v>
      </c>
      <c r="E318">
        <v>124.3</v>
      </c>
      <c r="F318" s="58">
        <v>45671</v>
      </c>
      <c r="G318" s="58">
        <v>45672</v>
      </c>
      <c r="I318" t="s">
        <v>62</v>
      </c>
      <c r="J318">
        <v>3</v>
      </c>
      <c r="K318" t="s">
        <v>103</v>
      </c>
      <c r="L318" t="s">
        <v>106</v>
      </c>
      <c r="M318">
        <f>orders[[#This Row],[Ship Date]]-orders[[#This Row],[Order Date]]</f>
        <v>1</v>
      </c>
      <c r="N318">
        <f>WEEKNUM(orders[[#This Row],[Order Date]],1)</f>
        <v>3</v>
      </c>
      <c r="O318" t="str">
        <f t="array" ref="O318">_xlfn.IFS(orders[[#This Row],[Customer Gender]]="M","Male", orders[[#This Row],[Customer Gender]]="F","Female", orders[[#This Row],[Customer Gender]]="O","Other", TRUE(),"Unknown")</f>
        <v>Unknown</v>
      </c>
    </row>
    <row r="319" spans="1:15" x14ac:dyDescent="0.25">
      <c r="A319" t="s">
        <v>547</v>
      </c>
      <c r="B319" t="s">
        <v>90</v>
      </c>
      <c r="C319">
        <v>6</v>
      </c>
      <c r="D319">
        <v>35.9</v>
      </c>
      <c r="E319">
        <v>215.4</v>
      </c>
      <c r="F319" s="58">
        <v>45671</v>
      </c>
      <c r="G319" s="58">
        <v>45672</v>
      </c>
      <c r="H319" t="s">
        <v>231</v>
      </c>
      <c r="I319" t="s">
        <v>59</v>
      </c>
      <c r="J319">
        <v>3</v>
      </c>
      <c r="K319" t="s">
        <v>103</v>
      </c>
      <c r="L319" t="s">
        <v>112</v>
      </c>
      <c r="M319">
        <f>orders[[#This Row],[Ship Date]]-orders[[#This Row],[Order Date]]</f>
        <v>1</v>
      </c>
      <c r="N319">
        <f>WEEKNUM(orders[[#This Row],[Order Date]],1)</f>
        <v>3</v>
      </c>
      <c r="O319" t="str">
        <f t="array" ref="O319">_xlfn.IFS(orders[[#This Row],[Customer Gender]]="M","Male", orders[[#This Row],[Customer Gender]]="F","Female", orders[[#This Row],[Customer Gender]]="O","Other", TRUE(),"Unknown")</f>
        <v>Female</v>
      </c>
    </row>
    <row r="320" spans="1:15" x14ac:dyDescent="0.25">
      <c r="A320" t="s">
        <v>548</v>
      </c>
      <c r="B320" t="s">
        <v>87</v>
      </c>
      <c r="C320">
        <v>2</v>
      </c>
      <c r="D320">
        <v>69.099999999999994</v>
      </c>
      <c r="E320">
        <v>138.19999999999999</v>
      </c>
      <c r="F320" s="58">
        <v>45671</v>
      </c>
      <c r="G320" s="58">
        <v>45674</v>
      </c>
      <c r="H320" t="s">
        <v>231</v>
      </c>
      <c r="I320" t="s">
        <v>59</v>
      </c>
      <c r="J320">
        <v>5</v>
      </c>
      <c r="K320" t="s">
        <v>103</v>
      </c>
      <c r="L320" t="s">
        <v>120</v>
      </c>
      <c r="M320">
        <f>orders[[#This Row],[Ship Date]]-orders[[#This Row],[Order Date]]</f>
        <v>3</v>
      </c>
      <c r="N320">
        <f>WEEKNUM(orders[[#This Row],[Order Date]],1)</f>
        <v>3</v>
      </c>
      <c r="O320" t="str">
        <f t="array" ref="O320">_xlfn.IFS(orders[[#This Row],[Customer Gender]]="M","Male", orders[[#This Row],[Customer Gender]]="F","Female", orders[[#This Row],[Customer Gender]]="O","Other", TRUE(),"Unknown")</f>
        <v>Female</v>
      </c>
    </row>
    <row r="321" spans="1:15" x14ac:dyDescent="0.25">
      <c r="A321" t="s">
        <v>549</v>
      </c>
      <c r="B321" t="s">
        <v>79</v>
      </c>
      <c r="C321">
        <v>1</v>
      </c>
      <c r="D321">
        <v>58.4</v>
      </c>
      <c r="E321">
        <v>58.4</v>
      </c>
      <c r="F321" s="58">
        <v>45671</v>
      </c>
      <c r="G321" s="58">
        <v>45675</v>
      </c>
      <c r="H321" t="s">
        <v>229</v>
      </c>
      <c r="I321" t="s">
        <v>59</v>
      </c>
      <c r="J321">
        <v>4</v>
      </c>
      <c r="K321" t="s">
        <v>103</v>
      </c>
      <c r="L321" t="s">
        <v>120</v>
      </c>
      <c r="M321">
        <f>orders[[#This Row],[Ship Date]]-orders[[#This Row],[Order Date]]</f>
        <v>4</v>
      </c>
      <c r="N321">
        <f>WEEKNUM(orders[[#This Row],[Order Date]],1)</f>
        <v>3</v>
      </c>
      <c r="O321" t="str">
        <f t="array" ref="O321">_xlfn.IFS(orders[[#This Row],[Customer Gender]]="M","Male", orders[[#This Row],[Customer Gender]]="F","Female", orders[[#This Row],[Customer Gender]]="O","Other", TRUE(),"Unknown")</f>
        <v>Male</v>
      </c>
    </row>
    <row r="322" spans="1:15" x14ac:dyDescent="0.25">
      <c r="A322" t="s">
        <v>550</v>
      </c>
      <c r="B322" t="s">
        <v>85</v>
      </c>
      <c r="C322">
        <v>1</v>
      </c>
      <c r="D322">
        <v>65.2</v>
      </c>
      <c r="E322">
        <v>65.2</v>
      </c>
      <c r="F322" s="58">
        <v>45671</v>
      </c>
      <c r="G322" s="58">
        <v>45673</v>
      </c>
      <c r="H322" t="s">
        <v>263</v>
      </c>
      <c r="I322" t="s">
        <v>61</v>
      </c>
      <c r="J322">
        <v>2</v>
      </c>
      <c r="K322" t="s">
        <v>103</v>
      </c>
      <c r="L322" t="s">
        <v>124</v>
      </c>
      <c r="M322">
        <f>orders[[#This Row],[Ship Date]]-orders[[#This Row],[Order Date]]</f>
        <v>2</v>
      </c>
      <c r="N322">
        <f>WEEKNUM(orders[[#This Row],[Order Date]],1)</f>
        <v>3</v>
      </c>
      <c r="O322" t="str">
        <f t="array" ref="O322">_xlfn.IFS(orders[[#This Row],[Customer Gender]]="M","Male", orders[[#This Row],[Customer Gender]]="F","Female", orders[[#This Row],[Customer Gender]]="O","Other", TRUE(),"Unknown")</f>
        <v>Other</v>
      </c>
    </row>
    <row r="323" spans="1:15" x14ac:dyDescent="0.25">
      <c r="A323" t="s">
        <v>551</v>
      </c>
      <c r="B323" t="s">
        <v>90</v>
      </c>
      <c r="C323">
        <v>17</v>
      </c>
      <c r="D323">
        <v>32.700000000000003</v>
      </c>
      <c r="E323">
        <v>555.9</v>
      </c>
      <c r="F323" s="58">
        <v>45671</v>
      </c>
      <c r="G323" s="58">
        <v>45678</v>
      </c>
      <c r="I323" t="s">
        <v>61</v>
      </c>
      <c r="J323">
        <v>4</v>
      </c>
      <c r="K323" t="s">
        <v>103</v>
      </c>
      <c r="L323" t="s">
        <v>124</v>
      </c>
      <c r="M323">
        <f>orders[[#This Row],[Ship Date]]-orders[[#This Row],[Order Date]]</f>
        <v>7</v>
      </c>
      <c r="N323">
        <f>WEEKNUM(orders[[#This Row],[Order Date]],1)</f>
        <v>3</v>
      </c>
      <c r="O323" t="str">
        <f t="array" ref="O323">_xlfn.IFS(orders[[#This Row],[Customer Gender]]="M","Male", orders[[#This Row],[Customer Gender]]="F","Female", orders[[#This Row],[Customer Gender]]="O","Other", TRUE(),"Unknown")</f>
        <v>Unknown</v>
      </c>
    </row>
    <row r="324" spans="1:15" x14ac:dyDescent="0.25">
      <c r="A324" t="s">
        <v>552</v>
      </c>
      <c r="B324" t="s">
        <v>75</v>
      </c>
      <c r="C324">
        <v>7</v>
      </c>
      <c r="D324">
        <v>24.4</v>
      </c>
      <c r="E324">
        <v>170.8</v>
      </c>
      <c r="F324" s="58">
        <v>45671</v>
      </c>
      <c r="G324" s="58">
        <v>45672</v>
      </c>
      <c r="H324" t="s">
        <v>231</v>
      </c>
      <c r="I324" t="s">
        <v>59</v>
      </c>
      <c r="J324">
        <v>4</v>
      </c>
      <c r="K324" t="s">
        <v>103</v>
      </c>
      <c r="L324" t="s">
        <v>124</v>
      </c>
      <c r="M324">
        <f>orders[[#This Row],[Ship Date]]-orders[[#This Row],[Order Date]]</f>
        <v>1</v>
      </c>
      <c r="N324">
        <f>WEEKNUM(orders[[#This Row],[Order Date]],1)</f>
        <v>3</v>
      </c>
      <c r="O324" t="str">
        <f t="array" ref="O324">_xlfn.IFS(orders[[#This Row],[Customer Gender]]="M","Male", orders[[#This Row],[Customer Gender]]="F","Female", orders[[#This Row],[Customer Gender]]="O","Other", TRUE(),"Unknown")</f>
        <v>Female</v>
      </c>
    </row>
    <row r="325" spans="1:15" x14ac:dyDescent="0.25">
      <c r="A325" t="s">
        <v>553</v>
      </c>
      <c r="B325" t="s">
        <v>74</v>
      </c>
      <c r="C325">
        <v>2</v>
      </c>
      <c r="D325">
        <v>50.4</v>
      </c>
      <c r="E325">
        <v>100.8</v>
      </c>
      <c r="F325" s="58">
        <v>45671</v>
      </c>
      <c r="G325" s="58">
        <v>45677</v>
      </c>
      <c r="H325" t="s">
        <v>229</v>
      </c>
      <c r="I325" t="s">
        <v>59</v>
      </c>
      <c r="J325">
        <v>3</v>
      </c>
      <c r="K325" t="s">
        <v>103</v>
      </c>
      <c r="L325" t="s">
        <v>124</v>
      </c>
      <c r="M325">
        <f>orders[[#This Row],[Ship Date]]-orders[[#This Row],[Order Date]]</f>
        <v>6</v>
      </c>
      <c r="N325">
        <f>WEEKNUM(orders[[#This Row],[Order Date]],1)</f>
        <v>3</v>
      </c>
      <c r="O325" t="str">
        <f t="array" ref="O325">_xlfn.IFS(orders[[#This Row],[Customer Gender]]="M","Male", orders[[#This Row],[Customer Gender]]="F","Female", orders[[#This Row],[Customer Gender]]="O","Other", TRUE(),"Unknown")</f>
        <v>Male</v>
      </c>
    </row>
    <row r="326" spans="1:15" x14ac:dyDescent="0.25">
      <c r="A326" t="s">
        <v>554</v>
      </c>
      <c r="B326" t="s">
        <v>91</v>
      </c>
      <c r="C326">
        <v>2</v>
      </c>
      <c r="D326">
        <v>100</v>
      </c>
      <c r="E326">
        <v>200</v>
      </c>
      <c r="F326" s="58">
        <v>45671</v>
      </c>
      <c r="G326" s="58">
        <v>45672</v>
      </c>
      <c r="H326" t="s">
        <v>231</v>
      </c>
      <c r="I326" t="s">
        <v>59</v>
      </c>
      <c r="J326">
        <v>4</v>
      </c>
      <c r="K326" t="s">
        <v>103</v>
      </c>
      <c r="L326" t="s">
        <v>124</v>
      </c>
      <c r="M326">
        <f>orders[[#This Row],[Ship Date]]-orders[[#This Row],[Order Date]]</f>
        <v>1</v>
      </c>
      <c r="N326">
        <f>WEEKNUM(orders[[#This Row],[Order Date]],1)</f>
        <v>3</v>
      </c>
      <c r="O326" t="str">
        <f t="array" ref="O326">_xlfn.IFS(orders[[#This Row],[Customer Gender]]="M","Male", orders[[#This Row],[Customer Gender]]="F","Female", orders[[#This Row],[Customer Gender]]="O","Other", TRUE(),"Unknown")</f>
        <v>Female</v>
      </c>
    </row>
    <row r="327" spans="1:15" x14ac:dyDescent="0.25">
      <c r="A327" t="s">
        <v>555</v>
      </c>
      <c r="B327" t="s">
        <v>75</v>
      </c>
      <c r="C327">
        <v>3</v>
      </c>
      <c r="D327">
        <v>43</v>
      </c>
      <c r="E327">
        <v>129</v>
      </c>
      <c r="F327" s="58">
        <v>45672</v>
      </c>
      <c r="G327" s="58">
        <v>45672</v>
      </c>
      <c r="H327" t="s">
        <v>231</v>
      </c>
      <c r="I327" t="s">
        <v>62</v>
      </c>
      <c r="J327">
        <v>3</v>
      </c>
      <c r="K327" t="s">
        <v>103</v>
      </c>
      <c r="L327" t="s">
        <v>124</v>
      </c>
      <c r="M327">
        <f>orders[[#This Row],[Ship Date]]-orders[[#This Row],[Order Date]]</f>
        <v>0</v>
      </c>
      <c r="N327">
        <f>WEEKNUM(orders[[#This Row],[Order Date]],1)</f>
        <v>3</v>
      </c>
      <c r="O327" t="str">
        <f t="array" ref="O327">_xlfn.IFS(orders[[#This Row],[Customer Gender]]="M","Male", orders[[#This Row],[Customer Gender]]="F","Female", orders[[#This Row],[Customer Gender]]="O","Other", TRUE(),"Unknown")</f>
        <v>Female</v>
      </c>
    </row>
    <row r="328" spans="1:15" x14ac:dyDescent="0.25">
      <c r="A328" t="s">
        <v>556</v>
      </c>
      <c r="B328" t="s">
        <v>91</v>
      </c>
      <c r="C328">
        <v>5</v>
      </c>
      <c r="D328">
        <v>64.400000000000006</v>
      </c>
      <c r="E328">
        <v>322</v>
      </c>
      <c r="F328" s="58">
        <v>45672</v>
      </c>
      <c r="G328" s="58">
        <v>45674</v>
      </c>
      <c r="H328" t="s">
        <v>229</v>
      </c>
      <c r="I328" t="s">
        <v>62</v>
      </c>
      <c r="J328">
        <v>3</v>
      </c>
      <c r="K328" t="s">
        <v>103</v>
      </c>
      <c r="L328" t="s">
        <v>124</v>
      </c>
      <c r="M328">
        <f>orders[[#This Row],[Ship Date]]-orders[[#This Row],[Order Date]]</f>
        <v>2</v>
      </c>
      <c r="N328">
        <f>WEEKNUM(orders[[#This Row],[Order Date]],1)</f>
        <v>3</v>
      </c>
      <c r="O328" t="str">
        <f t="array" ref="O328">_xlfn.IFS(orders[[#This Row],[Customer Gender]]="M","Male", orders[[#This Row],[Customer Gender]]="F","Female", orders[[#This Row],[Customer Gender]]="O","Other", TRUE(),"Unknown")</f>
        <v>Male</v>
      </c>
    </row>
    <row r="329" spans="1:15" x14ac:dyDescent="0.25">
      <c r="A329" t="s">
        <v>557</v>
      </c>
      <c r="B329" t="s">
        <v>82</v>
      </c>
      <c r="C329">
        <v>2</v>
      </c>
      <c r="D329">
        <v>57.4</v>
      </c>
      <c r="E329">
        <v>114.8</v>
      </c>
      <c r="F329" s="58">
        <v>45672</v>
      </c>
      <c r="G329" s="58">
        <v>45673</v>
      </c>
      <c r="H329" t="s">
        <v>229</v>
      </c>
      <c r="I329" t="s">
        <v>62</v>
      </c>
      <c r="J329">
        <v>3</v>
      </c>
      <c r="K329" t="s">
        <v>103</v>
      </c>
      <c r="L329" t="s">
        <v>124</v>
      </c>
      <c r="M329">
        <f>orders[[#This Row],[Ship Date]]-orders[[#This Row],[Order Date]]</f>
        <v>1</v>
      </c>
      <c r="N329">
        <f>WEEKNUM(orders[[#This Row],[Order Date]],1)</f>
        <v>3</v>
      </c>
      <c r="O329" t="str">
        <f t="array" ref="O329">_xlfn.IFS(orders[[#This Row],[Customer Gender]]="M","Male", orders[[#This Row],[Customer Gender]]="F","Female", orders[[#This Row],[Customer Gender]]="O","Other", TRUE(),"Unknown")</f>
        <v>Male</v>
      </c>
    </row>
    <row r="330" spans="1:15" x14ac:dyDescent="0.25">
      <c r="A330" t="s">
        <v>558</v>
      </c>
      <c r="B330" t="s">
        <v>87</v>
      </c>
      <c r="C330">
        <v>3</v>
      </c>
      <c r="D330">
        <v>55.1</v>
      </c>
      <c r="E330">
        <v>165.3</v>
      </c>
      <c r="F330" s="58">
        <v>45672</v>
      </c>
      <c r="G330" s="58">
        <v>45675</v>
      </c>
      <c r="H330" t="s">
        <v>231</v>
      </c>
      <c r="I330" t="s">
        <v>63</v>
      </c>
      <c r="J330">
        <v>4</v>
      </c>
      <c r="K330" t="s">
        <v>103</v>
      </c>
      <c r="L330" t="s">
        <v>124</v>
      </c>
      <c r="M330">
        <f>orders[[#This Row],[Ship Date]]-orders[[#This Row],[Order Date]]</f>
        <v>3</v>
      </c>
      <c r="N330">
        <f>WEEKNUM(orders[[#This Row],[Order Date]],1)</f>
        <v>3</v>
      </c>
      <c r="O330" t="str">
        <f t="array" ref="O330">_xlfn.IFS(orders[[#This Row],[Customer Gender]]="M","Male", orders[[#This Row],[Customer Gender]]="F","Female", orders[[#This Row],[Customer Gender]]="O","Other", TRUE(),"Unknown")</f>
        <v>Female</v>
      </c>
    </row>
    <row r="331" spans="1:15" x14ac:dyDescent="0.25">
      <c r="A331" t="s">
        <v>559</v>
      </c>
      <c r="B331" t="s">
        <v>79</v>
      </c>
      <c r="C331">
        <v>4</v>
      </c>
      <c r="D331">
        <v>45.4</v>
      </c>
      <c r="E331">
        <v>181.6</v>
      </c>
      <c r="F331" s="58">
        <v>45672</v>
      </c>
      <c r="G331" s="58">
        <v>45673</v>
      </c>
      <c r="H331" t="s">
        <v>231</v>
      </c>
      <c r="I331" t="s">
        <v>63</v>
      </c>
      <c r="J331">
        <v>4</v>
      </c>
      <c r="K331" t="s">
        <v>103</v>
      </c>
      <c r="L331" t="s">
        <v>124</v>
      </c>
      <c r="M331">
        <f>orders[[#This Row],[Ship Date]]-orders[[#This Row],[Order Date]]</f>
        <v>1</v>
      </c>
      <c r="N331">
        <f>WEEKNUM(orders[[#This Row],[Order Date]],1)</f>
        <v>3</v>
      </c>
      <c r="O331" t="str">
        <f t="array" ref="O331">_xlfn.IFS(orders[[#This Row],[Customer Gender]]="M","Male", orders[[#This Row],[Customer Gender]]="F","Female", orders[[#This Row],[Customer Gender]]="O","Other", TRUE(),"Unknown")</f>
        <v>Female</v>
      </c>
    </row>
    <row r="332" spans="1:15" x14ac:dyDescent="0.25">
      <c r="A332" t="s">
        <v>560</v>
      </c>
      <c r="B332" t="s">
        <v>93</v>
      </c>
      <c r="C332">
        <v>3</v>
      </c>
      <c r="D332">
        <v>93.3</v>
      </c>
      <c r="E332">
        <v>279.89999999999998</v>
      </c>
      <c r="F332" s="58">
        <v>45672</v>
      </c>
      <c r="G332" s="58">
        <v>45673</v>
      </c>
      <c r="H332" t="s">
        <v>231</v>
      </c>
      <c r="I332" t="s">
        <v>59</v>
      </c>
      <c r="J332">
        <v>4</v>
      </c>
      <c r="K332" t="s">
        <v>103</v>
      </c>
      <c r="L332" t="s">
        <v>127</v>
      </c>
      <c r="M332">
        <f>orders[[#This Row],[Ship Date]]-orders[[#This Row],[Order Date]]</f>
        <v>1</v>
      </c>
      <c r="N332">
        <f>WEEKNUM(orders[[#This Row],[Order Date]],1)</f>
        <v>3</v>
      </c>
      <c r="O332" t="str">
        <f t="array" ref="O332">_xlfn.IFS(orders[[#This Row],[Customer Gender]]="M","Male", orders[[#This Row],[Customer Gender]]="F","Female", orders[[#This Row],[Customer Gender]]="O","Other", TRUE(),"Unknown")</f>
        <v>Female</v>
      </c>
    </row>
    <row r="333" spans="1:15" x14ac:dyDescent="0.25">
      <c r="A333" t="s">
        <v>561</v>
      </c>
      <c r="B333" t="s">
        <v>87</v>
      </c>
      <c r="C333">
        <v>19</v>
      </c>
      <c r="D333">
        <v>158.19999999999999</v>
      </c>
      <c r="E333">
        <v>3005.8</v>
      </c>
      <c r="F333" s="58">
        <v>45672</v>
      </c>
      <c r="G333" s="58">
        <v>45673</v>
      </c>
      <c r="H333" t="s">
        <v>231</v>
      </c>
      <c r="I333" t="s">
        <v>63</v>
      </c>
      <c r="J333">
        <v>5</v>
      </c>
      <c r="K333" t="s">
        <v>103</v>
      </c>
      <c r="L333" t="s">
        <v>133</v>
      </c>
      <c r="M333">
        <f>orders[[#This Row],[Ship Date]]-orders[[#This Row],[Order Date]]</f>
        <v>1</v>
      </c>
      <c r="N333">
        <f>WEEKNUM(orders[[#This Row],[Order Date]],1)</f>
        <v>3</v>
      </c>
      <c r="O333" t="str">
        <f t="array" ref="O333">_xlfn.IFS(orders[[#This Row],[Customer Gender]]="M","Male", orders[[#This Row],[Customer Gender]]="F","Female", orders[[#This Row],[Customer Gender]]="O","Other", TRUE(),"Unknown")</f>
        <v>Female</v>
      </c>
    </row>
    <row r="334" spans="1:15" x14ac:dyDescent="0.25">
      <c r="A334" t="s">
        <v>562</v>
      </c>
      <c r="B334" t="s">
        <v>87</v>
      </c>
      <c r="C334">
        <v>2</v>
      </c>
      <c r="D334">
        <v>74.900000000000006</v>
      </c>
      <c r="E334">
        <v>149.80000000000001</v>
      </c>
      <c r="F334" s="58">
        <v>45672</v>
      </c>
      <c r="G334" s="58">
        <v>45674</v>
      </c>
      <c r="H334" t="s">
        <v>229</v>
      </c>
      <c r="I334" t="s">
        <v>60</v>
      </c>
      <c r="J334">
        <v>4</v>
      </c>
      <c r="K334" t="s">
        <v>103</v>
      </c>
      <c r="L334" t="s">
        <v>139</v>
      </c>
      <c r="M334">
        <f>orders[[#This Row],[Ship Date]]-orders[[#This Row],[Order Date]]</f>
        <v>2</v>
      </c>
      <c r="N334">
        <f>WEEKNUM(orders[[#This Row],[Order Date]],1)</f>
        <v>3</v>
      </c>
      <c r="O334" t="str">
        <f t="array" ref="O334">_xlfn.IFS(orders[[#This Row],[Customer Gender]]="M","Male", orders[[#This Row],[Customer Gender]]="F","Female", orders[[#This Row],[Customer Gender]]="O","Other", TRUE(),"Unknown")</f>
        <v>Male</v>
      </c>
    </row>
    <row r="335" spans="1:15" x14ac:dyDescent="0.25">
      <c r="A335" t="s">
        <v>563</v>
      </c>
      <c r="B335" t="s">
        <v>90</v>
      </c>
      <c r="C335">
        <v>7</v>
      </c>
      <c r="D335">
        <v>26</v>
      </c>
      <c r="E335">
        <v>182</v>
      </c>
      <c r="F335" s="58">
        <v>45672</v>
      </c>
      <c r="G335" s="58">
        <v>45675</v>
      </c>
      <c r="H335" t="s">
        <v>231</v>
      </c>
      <c r="I335" t="s">
        <v>63</v>
      </c>
      <c r="J335">
        <v>4</v>
      </c>
      <c r="K335" t="s">
        <v>103</v>
      </c>
      <c r="L335" t="s">
        <v>142</v>
      </c>
      <c r="M335">
        <f>orders[[#This Row],[Ship Date]]-orders[[#This Row],[Order Date]]</f>
        <v>3</v>
      </c>
      <c r="N335">
        <f>WEEKNUM(orders[[#This Row],[Order Date]],1)</f>
        <v>3</v>
      </c>
      <c r="O335" t="str">
        <f t="array" ref="O335">_xlfn.IFS(orders[[#This Row],[Customer Gender]]="M","Male", orders[[#This Row],[Customer Gender]]="F","Female", orders[[#This Row],[Customer Gender]]="O","Other", TRUE(),"Unknown")</f>
        <v>Female</v>
      </c>
    </row>
    <row r="336" spans="1:15" x14ac:dyDescent="0.25">
      <c r="A336" t="s">
        <v>564</v>
      </c>
      <c r="B336" t="s">
        <v>88</v>
      </c>
      <c r="C336">
        <v>6</v>
      </c>
      <c r="D336">
        <v>37.5</v>
      </c>
      <c r="E336">
        <v>225</v>
      </c>
      <c r="F336" s="58">
        <v>45672</v>
      </c>
      <c r="G336" s="58">
        <v>45673</v>
      </c>
      <c r="H336" t="s">
        <v>231</v>
      </c>
      <c r="I336" t="s">
        <v>59</v>
      </c>
      <c r="J336">
        <v>3</v>
      </c>
      <c r="K336" t="s">
        <v>103</v>
      </c>
      <c r="L336" t="s">
        <v>142</v>
      </c>
      <c r="M336">
        <f>orders[[#This Row],[Ship Date]]-orders[[#This Row],[Order Date]]</f>
        <v>1</v>
      </c>
      <c r="N336">
        <f>WEEKNUM(orders[[#This Row],[Order Date]],1)</f>
        <v>3</v>
      </c>
      <c r="O336" t="str">
        <f t="array" ref="O336">_xlfn.IFS(orders[[#This Row],[Customer Gender]]="M","Male", orders[[#This Row],[Customer Gender]]="F","Female", orders[[#This Row],[Customer Gender]]="O","Other", TRUE(),"Unknown")</f>
        <v>Female</v>
      </c>
    </row>
    <row r="337" spans="1:15" x14ac:dyDescent="0.25">
      <c r="A337" t="s">
        <v>565</v>
      </c>
      <c r="B337" t="s">
        <v>80</v>
      </c>
      <c r="C337">
        <v>2</v>
      </c>
      <c r="D337">
        <v>75.8</v>
      </c>
      <c r="E337">
        <v>151.6</v>
      </c>
      <c r="F337" s="58">
        <v>45672</v>
      </c>
      <c r="G337" s="58">
        <v>45678</v>
      </c>
      <c r="H337" t="s">
        <v>229</v>
      </c>
      <c r="I337" t="s">
        <v>59</v>
      </c>
      <c r="J337">
        <v>4</v>
      </c>
      <c r="K337" t="s">
        <v>103</v>
      </c>
      <c r="L337" t="s">
        <v>142</v>
      </c>
      <c r="M337">
        <f>orders[[#This Row],[Ship Date]]-orders[[#This Row],[Order Date]]</f>
        <v>6</v>
      </c>
      <c r="N337">
        <f>WEEKNUM(orders[[#This Row],[Order Date]],1)</f>
        <v>3</v>
      </c>
      <c r="O337" t="str">
        <f t="array" ref="O337">_xlfn.IFS(orders[[#This Row],[Customer Gender]]="M","Male", orders[[#This Row],[Customer Gender]]="F","Female", orders[[#This Row],[Customer Gender]]="O","Other", TRUE(),"Unknown")</f>
        <v>Male</v>
      </c>
    </row>
    <row r="338" spans="1:15" x14ac:dyDescent="0.25">
      <c r="A338" t="s">
        <v>566</v>
      </c>
      <c r="B338" t="s">
        <v>79</v>
      </c>
      <c r="C338">
        <v>1</v>
      </c>
      <c r="D338">
        <v>48.5</v>
      </c>
      <c r="E338">
        <v>48.5</v>
      </c>
      <c r="F338" s="58">
        <v>45672</v>
      </c>
      <c r="G338" s="58">
        <v>45684</v>
      </c>
      <c r="I338" t="s">
        <v>61</v>
      </c>
      <c r="J338">
        <v>5</v>
      </c>
      <c r="K338" t="s">
        <v>103</v>
      </c>
      <c r="L338" t="s">
        <v>142</v>
      </c>
      <c r="M338">
        <f>orders[[#This Row],[Ship Date]]-orders[[#This Row],[Order Date]]</f>
        <v>12</v>
      </c>
      <c r="N338">
        <f>WEEKNUM(orders[[#This Row],[Order Date]],1)</f>
        <v>3</v>
      </c>
      <c r="O338" t="str">
        <f t="array" ref="O338">_xlfn.IFS(orders[[#This Row],[Customer Gender]]="M","Male", orders[[#This Row],[Customer Gender]]="F","Female", orders[[#This Row],[Customer Gender]]="O","Other", TRUE(),"Unknown")</f>
        <v>Unknown</v>
      </c>
    </row>
    <row r="339" spans="1:15" x14ac:dyDescent="0.25">
      <c r="A339" t="s">
        <v>567</v>
      </c>
      <c r="B339" t="s">
        <v>80</v>
      </c>
      <c r="C339">
        <v>3</v>
      </c>
      <c r="D339">
        <v>98.9</v>
      </c>
      <c r="E339">
        <v>296.7</v>
      </c>
      <c r="F339" s="58">
        <v>45672</v>
      </c>
      <c r="G339" s="58">
        <v>45674</v>
      </c>
      <c r="H339" t="s">
        <v>231</v>
      </c>
      <c r="I339" t="s">
        <v>61</v>
      </c>
      <c r="J339">
        <v>3</v>
      </c>
      <c r="K339" t="s">
        <v>103</v>
      </c>
      <c r="L339" t="s">
        <v>142</v>
      </c>
      <c r="M339">
        <f>orders[[#This Row],[Ship Date]]-orders[[#This Row],[Order Date]]</f>
        <v>2</v>
      </c>
      <c r="N339">
        <f>WEEKNUM(orders[[#This Row],[Order Date]],1)</f>
        <v>3</v>
      </c>
      <c r="O339" t="str">
        <f t="array" ref="O339">_xlfn.IFS(orders[[#This Row],[Customer Gender]]="M","Male", orders[[#This Row],[Customer Gender]]="F","Female", orders[[#This Row],[Customer Gender]]="O","Other", TRUE(),"Unknown")</f>
        <v>Female</v>
      </c>
    </row>
    <row r="340" spans="1:15" x14ac:dyDescent="0.25">
      <c r="A340" t="s">
        <v>568</v>
      </c>
      <c r="B340" t="s">
        <v>91</v>
      </c>
      <c r="C340">
        <v>12</v>
      </c>
      <c r="D340">
        <v>50.9</v>
      </c>
      <c r="E340">
        <v>610.79999999999995</v>
      </c>
      <c r="F340" s="58">
        <v>45672</v>
      </c>
      <c r="G340" s="58">
        <v>45672</v>
      </c>
      <c r="H340" t="s">
        <v>229</v>
      </c>
      <c r="I340" t="s">
        <v>61</v>
      </c>
      <c r="J340">
        <v>4</v>
      </c>
      <c r="K340" t="s">
        <v>103</v>
      </c>
      <c r="L340" t="s">
        <v>142</v>
      </c>
      <c r="M340">
        <f>orders[[#This Row],[Ship Date]]-orders[[#This Row],[Order Date]]</f>
        <v>0</v>
      </c>
      <c r="N340">
        <f>WEEKNUM(orders[[#This Row],[Order Date]],1)</f>
        <v>3</v>
      </c>
      <c r="O340" t="str">
        <f t="array" ref="O340">_xlfn.IFS(orders[[#This Row],[Customer Gender]]="M","Male", orders[[#This Row],[Customer Gender]]="F","Female", orders[[#This Row],[Customer Gender]]="O","Other", TRUE(),"Unknown")</f>
        <v>Male</v>
      </c>
    </row>
    <row r="341" spans="1:15" x14ac:dyDescent="0.25">
      <c r="A341" t="s">
        <v>569</v>
      </c>
      <c r="B341" t="s">
        <v>76</v>
      </c>
      <c r="C341">
        <v>6</v>
      </c>
      <c r="D341">
        <v>84.7</v>
      </c>
      <c r="E341">
        <v>508.2</v>
      </c>
      <c r="F341" s="58">
        <v>45672</v>
      </c>
      <c r="G341" s="58">
        <v>45672</v>
      </c>
      <c r="H341" t="s">
        <v>231</v>
      </c>
      <c r="I341" t="s">
        <v>62</v>
      </c>
      <c r="J341">
        <v>4</v>
      </c>
      <c r="K341" t="s">
        <v>103</v>
      </c>
      <c r="L341" t="s">
        <v>142</v>
      </c>
      <c r="M341">
        <f>orders[[#This Row],[Ship Date]]-orders[[#This Row],[Order Date]]</f>
        <v>0</v>
      </c>
      <c r="N341">
        <f>WEEKNUM(orders[[#This Row],[Order Date]],1)</f>
        <v>3</v>
      </c>
      <c r="O341" t="str">
        <f t="array" ref="O341">_xlfn.IFS(orders[[#This Row],[Customer Gender]]="M","Male", orders[[#This Row],[Customer Gender]]="F","Female", orders[[#This Row],[Customer Gender]]="O","Other", TRUE(),"Unknown")</f>
        <v>Female</v>
      </c>
    </row>
    <row r="342" spans="1:15" x14ac:dyDescent="0.25">
      <c r="A342" t="s">
        <v>570</v>
      </c>
      <c r="B342" t="s">
        <v>90</v>
      </c>
      <c r="C342">
        <v>1</v>
      </c>
      <c r="D342">
        <v>20.7</v>
      </c>
      <c r="E342">
        <v>20.7</v>
      </c>
      <c r="F342" s="58">
        <v>45672</v>
      </c>
      <c r="G342" s="58">
        <v>45674</v>
      </c>
      <c r="H342" t="s">
        <v>231</v>
      </c>
      <c r="I342" t="s">
        <v>60</v>
      </c>
      <c r="J342">
        <v>5</v>
      </c>
      <c r="K342" t="s">
        <v>103</v>
      </c>
      <c r="L342" t="s">
        <v>142</v>
      </c>
      <c r="M342">
        <f>orders[[#This Row],[Ship Date]]-orders[[#This Row],[Order Date]]</f>
        <v>2</v>
      </c>
      <c r="N342">
        <f>WEEKNUM(orders[[#This Row],[Order Date]],1)</f>
        <v>3</v>
      </c>
      <c r="O342" t="str">
        <f t="array" ref="O342">_xlfn.IFS(orders[[#This Row],[Customer Gender]]="M","Male", orders[[#This Row],[Customer Gender]]="F","Female", orders[[#This Row],[Customer Gender]]="O","Other", TRUE(),"Unknown")</f>
        <v>Female</v>
      </c>
    </row>
    <row r="343" spans="1:15" x14ac:dyDescent="0.25">
      <c r="A343" t="s">
        <v>571</v>
      </c>
      <c r="B343" t="s">
        <v>76</v>
      </c>
      <c r="C343">
        <v>9</v>
      </c>
      <c r="D343">
        <v>57.8</v>
      </c>
      <c r="E343">
        <v>520.20000000000005</v>
      </c>
      <c r="F343" s="58">
        <v>45672</v>
      </c>
      <c r="G343" s="58">
        <v>45683</v>
      </c>
      <c r="H343" t="s">
        <v>229</v>
      </c>
      <c r="I343" t="s">
        <v>59</v>
      </c>
      <c r="J343">
        <v>2</v>
      </c>
      <c r="K343" t="s">
        <v>103</v>
      </c>
      <c r="L343" t="s">
        <v>143</v>
      </c>
      <c r="M343">
        <f>orders[[#This Row],[Ship Date]]-orders[[#This Row],[Order Date]]</f>
        <v>11</v>
      </c>
      <c r="N343">
        <f>WEEKNUM(orders[[#This Row],[Order Date]],1)</f>
        <v>3</v>
      </c>
      <c r="O343" t="str">
        <f t="array" ref="O343">_xlfn.IFS(orders[[#This Row],[Customer Gender]]="M","Male", orders[[#This Row],[Customer Gender]]="F","Female", orders[[#This Row],[Customer Gender]]="O","Other", TRUE(),"Unknown")</f>
        <v>Male</v>
      </c>
    </row>
    <row r="344" spans="1:15" x14ac:dyDescent="0.25">
      <c r="A344" t="s">
        <v>572</v>
      </c>
      <c r="B344" t="s">
        <v>87</v>
      </c>
      <c r="C344">
        <v>2</v>
      </c>
      <c r="D344">
        <v>106.9</v>
      </c>
      <c r="E344">
        <v>213.8</v>
      </c>
      <c r="F344" s="58">
        <v>45672</v>
      </c>
      <c r="G344" s="58">
        <v>45674</v>
      </c>
      <c r="H344" t="s">
        <v>231</v>
      </c>
      <c r="I344" t="s">
        <v>59</v>
      </c>
      <c r="J344">
        <v>5</v>
      </c>
      <c r="K344" t="s">
        <v>103</v>
      </c>
      <c r="L344" t="s">
        <v>145</v>
      </c>
      <c r="M344">
        <f>orders[[#This Row],[Ship Date]]-orders[[#This Row],[Order Date]]</f>
        <v>2</v>
      </c>
      <c r="N344">
        <f>WEEKNUM(orders[[#This Row],[Order Date]],1)</f>
        <v>3</v>
      </c>
      <c r="O344" t="str">
        <f t="array" ref="O344">_xlfn.IFS(orders[[#This Row],[Customer Gender]]="M","Male", orders[[#This Row],[Customer Gender]]="F","Female", orders[[#This Row],[Customer Gender]]="O","Other", TRUE(),"Unknown")</f>
        <v>Female</v>
      </c>
    </row>
    <row r="345" spans="1:15" x14ac:dyDescent="0.25">
      <c r="A345" t="s">
        <v>573</v>
      </c>
      <c r="B345" t="s">
        <v>93</v>
      </c>
      <c r="C345">
        <v>5</v>
      </c>
      <c r="D345">
        <v>45.2</v>
      </c>
      <c r="E345">
        <v>226</v>
      </c>
      <c r="F345" s="58">
        <v>45672</v>
      </c>
      <c r="G345" s="58">
        <v>45676</v>
      </c>
      <c r="H345" t="s">
        <v>231</v>
      </c>
      <c r="I345" t="s">
        <v>63</v>
      </c>
      <c r="J345">
        <v>4</v>
      </c>
      <c r="K345" t="s">
        <v>103</v>
      </c>
      <c r="L345" t="s">
        <v>106</v>
      </c>
      <c r="M345">
        <f>orders[[#This Row],[Ship Date]]-orders[[#This Row],[Order Date]]</f>
        <v>4</v>
      </c>
      <c r="N345">
        <f>WEEKNUM(orders[[#This Row],[Order Date]],1)</f>
        <v>3</v>
      </c>
      <c r="O345" t="str">
        <f t="array" ref="O345">_xlfn.IFS(orders[[#This Row],[Customer Gender]]="M","Male", orders[[#This Row],[Customer Gender]]="F","Female", orders[[#This Row],[Customer Gender]]="O","Other", TRUE(),"Unknown")</f>
        <v>Female</v>
      </c>
    </row>
    <row r="346" spans="1:15" x14ac:dyDescent="0.25">
      <c r="A346" t="s">
        <v>574</v>
      </c>
      <c r="B346" t="s">
        <v>90</v>
      </c>
      <c r="C346">
        <v>13</v>
      </c>
      <c r="D346">
        <v>34.6</v>
      </c>
      <c r="E346">
        <v>449.8</v>
      </c>
      <c r="F346" s="58">
        <v>45672</v>
      </c>
      <c r="G346" s="58">
        <v>45672</v>
      </c>
      <c r="H346" t="s">
        <v>231</v>
      </c>
      <c r="I346" t="s">
        <v>63</v>
      </c>
      <c r="J346">
        <v>3</v>
      </c>
      <c r="K346" t="s">
        <v>103</v>
      </c>
      <c r="L346" t="s">
        <v>106</v>
      </c>
      <c r="M346">
        <f>orders[[#This Row],[Ship Date]]-orders[[#This Row],[Order Date]]</f>
        <v>0</v>
      </c>
      <c r="N346">
        <f>WEEKNUM(orders[[#This Row],[Order Date]],1)</f>
        <v>3</v>
      </c>
      <c r="O346" t="str">
        <f t="array" ref="O346">_xlfn.IFS(orders[[#This Row],[Customer Gender]]="M","Male", orders[[#This Row],[Customer Gender]]="F","Female", orders[[#This Row],[Customer Gender]]="O","Other", TRUE(),"Unknown")</f>
        <v>Female</v>
      </c>
    </row>
    <row r="347" spans="1:15" x14ac:dyDescent="0.25">
      <c r="A347" t="s">
        <v>575</v>
      </c>
      <c r="B347" t="s">
        <v>77</v>
      </c>
      <c r="C347">
        <v>1</v>
      </c>
      <c r="D347">
        <v>43.8</v>
      </c>
      <c r="E347">
        <v>43.8</v>
      </c>
      <c r="F347" s="58">
        <v>45672</v>
      </c>
      <c r="G347" s="58">
        <v>45674</v>
      </c>
      <c r="I347" t="s">
        <v>59</v>
      </c>
      <c r="J347">
        <v>5</v>
      </c>
      <c r="K347" t="s">
        <v>103</v>
      </c>
      <c r="L347" t="s">
        <v>106</v>
      </c>
      <c r="M347">
        <f>orders[[#This Row],[Ship Date]]-orders[[#This Row],[Order Date]]</f>
        <v>2</v>
      </c>
      <c r="N347">
        <f>WEEKNUM(orders[[#This Row],[Order Date]],1)</f>
        <v>3</v>
      </c>
      <c r="O347" t="str">
        <f t="array" ref="O347">_xlfn.IFS(orders[[#This Row],[Customer Gender]]="M","Male", orders[[#This Row],[Customer Gender]]="F","Female", orders[[#This Row],[Customer Gender]]="O","Other", TRUE(),"Unknown")</f>
        <v>Unknown</v>
      </c>
    </row>
    <row r="348" spans="1:15" x14ac:dyDescent="0.25">
      <c r="A348" t="s">
        <v>576</v>
      </c>
      <c r="B348" t="s">
        <v>77</v>
      </c>
      <c r="C348">
        <v>1</v>
      </c>
      <c r="D348">
        <v>20.399999999999999</v>
      </c>
      <c r="E348">
        <v>20.399999999999999</v>
      </c>
      <c r="F348" s="58">
        <v>45672</v>
      </c>
      <c r="G348" s="58">
        <v>45674</v>
      </c>
      <c r="H348" t="s">
        <v>229</v>
      </c>
      <c r="I348" t="s">
        <v>61</v>
      </c>
      <c r="J348">
        <v>3</v>
      </c>
      <c r="K348" t="s">
        <v>103</v>
      </c>
      <c r="L348" t="s">
        <v>106</v>
      </c>
      <c r="M348">
        <f>orders[[#This Row],[Ship Date]]-orders[[#This Row],[Order Date]]</f>
        <v>2</v>
      </c>
      <c r="N348">
        <f>WEEKNUM(orders[[#This Row],[Order Date]],1)</f>
        <v>3</v>
      </c>
      <c r="O348" t="str">
        <f t="array" ref="O348">_xlfn.IFS(orders[[#This Row],[Customer Gender]]="M","Male", orders[[#This Row],[Customer Gender]]="F","Female", orders[[#This Row],[Customer Gender]]="O","Other", TRUE(),"Unknown")</f>
        <v>Male</v>
      </c>
    </row>
    <row r="349" spans="1:15" x14ac:dyDescent="0.25">
      <c r="A349" t="s">
        <v>577</v>
      </c>
      <c r="B349" t="s">
        <v>91</v>
      </c>
      <c r="C349">
        <v>1</v>
      </c>
      <c r="D349">
        <v>36.700000000000003</v>
      </c>
      <c r="E349">
        <v>36.700000000000003</v>
      </c>
      <c r="F349" s="58">
        <v>45672</v>
      </c>
      <c r="G349" s="58">
        <v>45673</v>
      </c>
      <c r="H349" t="s">
        <v>229</v>
      </c>
      <c r="I349" t="s">
        <v>59</v>
      </c>
      <c r="J349">
        <v>3</v>
      </c>
      <c r="K349" t="s">
        <v>103</v>
      </c>
      <c r="L349" t="s">
        <v>112</v>
      </c>
      <c r="M349">
        <f>orders[[#This Row],[Ship Date]]-orders[[#This Row],[Order Date]]</f>
        <v>1</v>
      </c>
      <c r="N349">
        <f>WEEKNUM(orders[[#This Row],[Order Date]],1)</f>
        <v>3</v>
      </c>
      <c r="O349" t="str">
        <f t="array" ref="O349">_xlfn.IFS(orders[[#This Row],[Customer Gender]]="M","Male", orders[[#This Row],[Customer Gender]]="F","Female", orders[[#This Row],[Customer Gender]]="O","Other", TRUE(),"Unknown")</f>
        <v>Male</v>
      </c>
    </row>
    <row r="350" spans="1:15" x14ac:dyDescent="0.25">
      <c r="A350" t="s">
        <v>578</v>
      </c>
      <c r="B350" t="s">
        <v>90</v>
      </c>
      <c r="C350">
        <v>3</v>
      </c>
      <c r="D350">
        <v>27.2</v>
      </c>
      <c r="E350">
        <v>81.599999999999994</v>
      </c>
      <c r="F350" s="58">
        <v>45672</v>
      </c>
      <c r="G350" s="58">
        <v>45676</v>
      </c>
      <c r="H350" t="s">
        <v>229</v>
      </c>
      <c r="I350" t="s">
        <v>59</v>
      </c>
      <c r="J350">
        <v>5</v>
      </c>
      <c r="K350" t="s">
        <v>103</v>
      </c>
      <c r="L350" t="s">
        <v>112</v>
      </c>
      <c r="M350">
        <f>orders[[#This Row],[Ship Date]]-orders[[#This Row],[Order Date]]</f>
        <v>4</v>
      </c>
      <c r="N350">
        <f>WEEKNUM(orders[[#This Row],[Order Date]],1)</f>
        <v>3</v>
      </c>
      <c r="O350" t="str">
        <f t="array" ref="O350">_xlfn.IFS(orders[[#This Row],[Customer Gender]]="M","Male", orders[[#This Row],[Customer Gender]]="F","Female", orders[[#This Row],[Customer Gender]]="O","Other", TRUE(),"Unknown")</f>
        <v>Male</v>
      </c>
    </row>
    <row r="351" spans="1:15" x14ac:dyDescent="0.25">
      <c r="A351" t="s">
        <v>579</v>
      </c>
      <c r="B351" t="s">
        <v>80</v>
      </c>
      <c r="C351">
        <v>1</v>
      </c>
      <c r="D351">
        <v>58.2</v>
      </c>
      <c r="E351">
        <v>58.2</v>
      </c>
      <c r="F351" s="58">
        <v>45672</v>
      </c>
      <c r="G351" s="58">
        <v>45673</v>
      </c>
      <c r="H351" t="s">
        <v>231</v>
      </c>
      <c r="I351" t="s">
        <v>59</v>
      </c>
      <c r="J351">
        <v>5</v>
      </c>
      <c r="K351" t="s">
        <v>103</v>
      </c>
      <c r="L351" t="s">
        <v>114</v>
      </c>
      <c r="M351">
        <f>orders[[#This Row],[Ship Date]]-orders[[#This Row],[Order Date]]</f>
        <v>1</v>
      </c>
      <c r="N351">
        <f>WEEKNUM(orders[[#This Row],[Order Date]],1)</f>
        <v>3</v>
      </c>
      <c r="O351" t="str">
        <f t="array" ref="O351">_xlfn.IFS(orders[[#This Row],[Customer Gender]]="M","Male", orders[[#This Row],[Customer Gender]]="F","Female", orders[[#This Row],[Customer Gender]]="O","Other", TRUE(),"Unknown")</f>
        <v>Female</v>
      </c>
    </row>
    <row r="352" spans="1:15" x14ac:dyDescent="0.25">
      <c r="A352" t="s">
        <v>580</v>
      </c>
      <c r="B352" t="s">
        <v>90</v>
      </c>
      <c r="C352">
        <v>3</v>
      </c>
      <c r="D352">
        <v>25.6</v>
      </c>
      <c r="E352">
        <v>76.8</v>
      </c>
      <c r="F352" s="58">
        <v>45672</v>
      </c>
      <c r="G352" s="58">
        <v>45673</v>
      </c>
      <c r="H352" t="s">
        <v>229</v>
      </c>
      <c r="I352" t="s">
        <v>61</v>
      </c>
      <c r="J352">
        <v>2</v>
      </c>
      <c r="K352" t="s">
        <v>103</v>
      </c>
      <c r="L352" t="s">
        <v>115</v>
      </c>
      <c r="M352">
        <f>orders[[#This Row],[Ship Date]]-orders[[#This Row],[Order Date]]</f>
        <v>1</v>
      </c>
      <c r="N352">
        <f>WEEKNUM(orders[[#This Row],[Order Date]],1)</f>
        <v>3</v>
      </c>
      <c r="O352" t="str">
        <f t="array" ref="O352">_xlfn.IFS(orders[[#This Row],[Customer Gender]]="M","Male", orders[[#This Row],[Customer Gender]]="F","Female", orders[[#This Row],[Customer Gender]]="O","Other", TRUE(),"Unknown")</f>
        <v>Male</v>
      </c>
    </row>
    <row r="353" spans="1:15" x14ac:dyDescent="0.25">
      <c r="A353" t="s">
        <v>581</v>
      </c>
      <c r="B353" t="s">
        <v>75</v>
      </c>
      <c r="C353">
        <v>1</v>
      </c>
      <c r="D353">
        <v>21.2</v>
      </c>
      <c r="E353">
        <v>21.2</v>
      </c>
      <c r="F353" s="58">
        <v>45672</v>
      </c>
      <c r="G353" s="58">
        <v>45672</v>
      </c>
      <c r="H353" t="s">
        <v>231</v>
      </c>
      <c r="I353" t="s">
        <v>63</v>
      </c>
      <c r="J353">
        <v>5</v>
      </c>
      <c r="K353" t="s">
        <v>103</v>
      </c>
      <c r="L353" t="s">
        <v>124</v>
      </c>
      <c r="M353">
        <f>orders[[#This Row],[Ship Date]]-orders[[#This Row],[Order Date]]</f>
        <v>0</v>
      </c>
      <c r="N353">
        <f>WEEKNUM(orders[[#This Row],[Order Date]],1)</f>
        <v>3</v>
      </c>
      <c r="O353" t="str">
        <f t="array" ref="O353">_xlfn.IFS(orders[[#This Row],[Customer Gender]]="M","Male", orders[[#This Row],[Customer Gender]]="F","Female", orders[[#This Row],[Customer Gender]]="O","Other", TRUE(),"Unknown")</f>
        <v>Female</v>
      </c>
    </row>
    <row r="354" spans="1:15" x14ac:dyDescent="0.25">
      <c r="A354" t="s">
        <v>582</v>
      </c>
      <c r="B354" t="s">
        <v>80</v>
      </c>
      <c r="C354">
        <v>2</v>
      </c>
      <c r="D354">
        <v>48.2</v>
      </c>
      <c r="E354">
        <v>96.4</v>
      </c>
      <c r="F354" s="58">
        <v>45672</v>
      </c>
      <c r="G354" s="58">
        <v>45680</v>
      </c>
      <c r="H354" t="s">
        <v>231</v>
      </c>
      <c r="I354" t="s">
        <v>59</v>
      </c>
      <c r="J354">
        <v>5</v>
      </c>
      <c r="K354" t="s">
        <v>103</v>
      </c>
      <c r="L354" t="s">
        <v>124</v>
      </c>
      <c r="M354">
        <f>orders[[#This Row],[Ship Date]]-orders[[#This Row],[Order Date]]</f>
        <v>8</v>
      </c>
      <c r="N354">
        <f>WEEKNUM(orders[[#This Row],[Order Date]],1)</f>
        <v>3</v>
      </c>
      <c r="O354" t="str">
        <f t="array" ref="O354">_xlfn.IFS(orders[[#This Row],[Customer Gender]]="M","Male", orders[[#This Row],[Customer Gender]]="F","Female", orders[[#This Row],[Customer Gender]]="O","Other", TRUE(),"Unknown")</f>
        <v>Female</v>
      </c>
    </row>
    <row r="355" spans="1:15" x14ac:dyDescent="0.25">
      <c r="A355" t="s">
        <v>583</v>
      </c>
      <c r="B355" t="s">
        <v>91</v>
      </c>
      <c r="C355">
        <v>4</v>
      </c>
      <c r="D355">
        <v>83.4</v>
      </c>
      <c r="E355">
        <v>333.6</v>
      </c>
      <c r="F355" s="58">
        <v>45673</v>
      </c>
      <c r="G355" s="58">
        <v>45674</v>
      </c>
      <c r="H355" t="s">
        <v>229</v>
      </c>
      <c r="I355" t="s">
        <v>59</v>
      </c>
      <c r="J355">
        <v>4</v>
      </c>
      <c r="K355" t="s">
        <v>103</v>
      </c>
      <c r="L355" t="s">
        <v>124</v>
      </c>
      <c r="M355">
        <f>orders[[#This Row],[Ship Date]]-orders[[#This Row],[Order Date]]</f>
        <v>1</v>
      </c>
      <c r="N355">
        <f>WEEKNUM(orders[[#This Row],[Order Date]],1)</f>
        <v>3</v>
      </c>
      <c r="O355" t="str">
        <f t="array" ref="O355">_xlfn.IFS(orders[[#This Row],[Customer Gender]]="M","Male", orders[[#This Row],[Customer Gender]]="F","Female", orders[[#This Row],[Customer Gender]]="O","Other", TRUE(),"Unknown")</f>
        <v>Male</v>
      </c>
    </row>
    <row r="356" spans="1:15" x14ac:dyDescent="0.25">
      <c r="A356" t="s">
        <v>584</v>
      </c>
      <c r="B356" t="s">
        <v>88</v>
      </c>
      <c r="C356">
        <v>3</v>
      </c>
      <c r="D356">
        <v>45.3</v>
      </c>
      <c r="E356">
        <v>135.9</v>
      </c>
      <c r="F356" s="58">
        <v>45673</v>
      </c>
      <c r="G356" s="58">
        <v>45679</v>
      </c>
      <c r="H356" t="s">
        <v>229</v>
      </c>
      <c r="I356" t="s">
        <v>62</v>
      </c>
      <c r="J356">
        <v>3</v>
      </c>
      <c r="K356" t="s">
        <v>103</v>
      </c>
      <c r="L356" t="s">
        <v>124</v>
      </c>
      <c r="M356">
        <f>orders[[#This Row],[Ship Date]]-orders[[#This Row],[Order Date]]</f>
        <v>6</v>
      </c>
      <c r="N356">
        <f>WEEKNUM(orders[[#This Row],[Order Date]],1)</f>
        <v>3</v>
      </c>
      <c r="O356" t="str">
        <f t="array" ref="O356">_xlfn.IFS(orders[[#This Row],[Customer Gender]]="M","Male", orders[[#This Row],[Customer Gender]]="F","Female", orders[[#This Row],[Customer Gender]]="O","Other", TRUE(),"Unknown")</f>
        <v>Male</v>
      </c>
    </row>
    <row r="357" spans="1:15" x14ac:dyDescent="0.25">
      <c r="A357" t="s">
        <v>585</v>
      </c>
      <c r="B357" t="s">
        <v>84</v>
      </c>
      <c r="C357">
        <v>1</v>
      </c>
      <c r="D357">
        <v>42</v>
      </c>
      <c r="E357">
        <v>42</v>
      </c>
      <c r="F357" s="58">
        <v>45673</v>
      </c>
      <c r="G357" s="58">
        <v>45674</v>
      </c>
      <c r="I357" t="s">
        <v>59</v>
      </c>
      <c r="J357">
        <v>4</v>
      </c>
      <c r="K357" t="s">
        <v>103</v>
      </c>
      <c r="L357" t="s">
        <v>124</v>
      </c>
      <c r="M357">
        <f>orders[[#This Row],[Ship Date]]-orders[[#This Row],[Order Date]]</f>
        <v>1</v>
      </c>
      <c r="N357">
        <f>WEEKNUM(orders[[#This Row],[Order Date]],1)</f>
        <v>3</v>
      </c>
      <c r="O357" t="str">
        <f t="array" ref="O357">_xlfn.IFS(orders[[#This Row],[Customer Gender]]="M","Male", orders[[#This Row],[Customer Gender]]="F","Female", orders[[#This Row],[Customer Gender]]="O","Other", TRUE(),"Unknown")</f>
        <v>Unknown</v>
      </c>
    </row>
    <row r="358" spans="1:15" x14ac:dyDescent="0.25">
      <c r="A358" t="s">
        <v>586</v>
      </c>
      <c r="B358" t="s">
        <v>86</v>
      </c>
      <c r="C358">
        <v>9</v>
      </c>
      <c r="D358">
        <v>21.8</v>
      </c>
      <c r="E358">
        <v>196.2</v>
      </c>
      <c r="F358" s="58">
        <v>45673</v>
      </c>
      <c r="G358" s="58">
        <v>45675</v>
      </c>
      <c r="H358" t="s">
        <v>231</v>
      </c>
      <c r="I358" t="s">
        <v>63</v>
      </c>
      <c r="J358">
        <v>4</v>
      </c>
      <c r="K358" t="s">
        <v>103</v>
      </c>
      <c r="L358" t="s">
        <v>124</v>
      </c>
      <c r="M358">
        <f>orders[[#This Row],[Ship Date]]-orders[[#This Row],[Order Date]]</f>
        <v>2</v>
      </c>
      <c r="N358">
        <f>WEEKNUM(orders[[#This Row],[Order Date]],1)</f>
        <v>3</v>
      </c>
      <c r="O358" t="str">
        <f t="array" ref="O358">_xlfn.IFS(orders[[#This Row],[Customer Gender]]="M","Male", orders[[#This Row],[Customer Gender]]="F","Female", orders[[#This Row],[Customer Gender]]="O","Other", TRUE(),"Unknown")</f>
        <v>Female</v>
      </c>
    </row>
    <row r="359" spans="1:15" x14ac:dyDescent="0.25">
      <c r="A359" t="s">
        <v>587</v>
      </c>
      <c r="B359" t="s">
        <v>90</v>
      </c>
      <c r="C359">
        <v>18</v>
      </c>
      <c r="D359">
        <v>21.4</v>
      </c>
      <c r="E359">
        <v>385.2</v>
      </c>
      <c r="F359" s="58">
        <v>45673</v>
      </c>
      <c r="G359" s="58">
        <v>45676</v>
      </c>
      <c r="H359" t="s">
        <v>231</v>
      </c>
      <c r="I359" t="s">
        <v>63</v>
      </c>
      <c r="J359">
        <v>5</v>
      </c>
      <c r="K359" t="s">
        <v>103</v>
      </c>
      <c r="L359" t="s">
        <v>124</v>
      </c>
      <c r="M359">
        <f>orders[[#This Row],[Ship Date]]-orders[[#This Row],[Order Date]]</f>
        <v>3</v>
      </c>
      <c r="N359">
        <f>WEEKNUM(orders[[#This Row],[Order Date]],1)</f>
        <v>3</v>
      </c>
      <c r="O359" t="str">
        <f t="array" ref="O359">_xlfn.IFS(orders[[#This Row],[Customer Gender]]="M","Male", orders[[#This Row],[Customer Gender]]="F","Female", orders[[#This Row],[Customer Gender]]="O","Other", TRUE(),"Unknown")</f>
        <v>Female</v>
      </c>
    </row>
    <row r="360" spans="1:15" x14ac:dyDescent="0.25">
      <c r="A360" t="s">
        <v>588</v>
      </c>
      <c r="B360" t="s">
        <v>75</v>
      </c>
      <c r="C360">
        <v>3</v>
      </c>
      <c r="D360">
        <v>45</v>
      </c>
      <c r="E360">
        <v>135</v>
      </c>
      <c r="F360" s="58">
        <v>45673</v>
      </c>
      <c r="G360" s="58">
        <v>45673</v>
      </c>
      <c r="H360" t="s">
        <v>231</v>
      </c>
      <c r="I360" t="s">
        <v>63</v>
      </c>
      <c r="J360">
        <v>5</v>
      </c>
      <c r="K360" t="s">
        <v>103</v>
      </c>
      <c r="L360" t="s">
        <v>124</v>
      </c>
      <c r="M360">
        <f>orders[[#This Row],[Ship Date]]-orders[[#This Row],[Order Date]]</f>
        <v>0</v>
      </c>
      <c r="N360">
        <f>WEEKNUM(orders[[#This Row],[Order Date]],1)</f>
        <v>3</v>
      </c>
      <c r="O360" t="str">
        <f t="array" ref="O360">_xlfn.IFS(orders[[#This Row],[Customer Gender]]="M","Male", orders[[#This Row],[Customer Gender]]="F","Female", orders[[#This Row],[Customer Gender]]="O","Other", TRUE(),"Unknown")</f>
        <v>Female</v>
      </c>
    </row>
    <row r="361" spans="1:15" x14ac:dyDescent="0.25">
      <c r="A361" t="s">
        <v>589</v>
      </c>
      <c r="B361" t="s">
        <v>74</v>
      </c>
      <c r="C361">
        <v>1</v>
      </c>
      <c r="D361">
        <v>39.6</v>
      </c>
      <c r="E361">
        <v>39.6</v>
      </c>
      <c r="F361" s="58">
        <v>45673</v>
      </c>
      <c r="G361" s="58">
        <v>45674</v>
      </c>
      <c r="H361" t="s">
        <v>229</v>
      </c>
      <c r="I361" t="s">
        <v>59</v>
      </c>
      <c r="J361">
        <v>5</v>
      </c>
      <c r="K361" t="s">
        <v>103</v>
      </c>
      <c r="L361" t="s">
        <v>124</v>
      </c>
      <c r="M361">
        <f>orders[[#This Row],[Ship Date]]-orders[[#This Row],[Order Date]]</f>
        <v>1</v>
      </c>
      <c r="N361">
        <f>WEEKNUM(orders[[#This Row],[Order Date]],1)</f>
        <v>3</v>
      </c>
      <c r="O361" t="str">
        <f t="array" ref="O361">_xlfn.IFS(orders[[#This Row],[Customer Gender]]="M","Male", orders[[#This Row],[Customer Gender]]="F","Female", orders[[#This Row],[Customer Gender]]="O","Other", TRUE(),"Unknown")</f>
        <v>Male</v>
      </c>
    </row>
    <row r="362" spans="1:15" x14ac:dyDescent="0.25">
      <c r="A362" t="s">
        <v>590</v>
      </c>
      <c r="B362" t="s">
        <v>76</v>
      </c>
      <c r="C362">
        <v>3</v>
      </c>
      <c r="D362">
        <v>79.8</v>
      </c>
      <c r="E362">
        <v>239.4</v>
      </c>
      <c r="F362" s="58">
        <v>45673</v>
      </c>
      <c r="G362" s="58">
        <v>45679</v>
      </c>
      <c r="H362" t="s">
        <v>231</v>
      </c>
      <c r="I362" t="s">
        <v>63</v>
      </c>
      <c r="J362">
        <v>2</v>
      </c>
      <c r="K362" t="s">
        <v>103</v>
      </c>
      <c r="L362" t="s">
        <v>124</v>
      </c>
      <c r="M362">
        <f>orders[[#This Row],[Ship Date]]-orders[[#This Row],[Order Date]]</f>
        <v>6</v>
      </c>
      <c r="N362">
        <f>WEEKNUM(orders[[#This Row],[Order Date]],1)</f>
        <v>3</v>
      </c>
      <c r="O362" t="str">
        <f t="array" ref="O362">_xlfn.IFS(orders[[#This Row],[Customer Gender]]="M","Male", orders[[#This Row],[Customer Gender]]="F","Female", orders[[#This Row],[Customer Gender]]="O","Other", TRUE(),"Unknown")</f>
        <v>Female</v>
      </c>
    </row>
    <row r="363" spans="1:15" x14ac:dyDescent="0.25">
      <c r="A363" t="s">
        <v>591</v>
      </c>
      <c r="B363" t="s">
        <v>91</v>
      </c>
      <c r="C363">
        <v>4</v>
      </c>
      <c r="D363">
        <v>63.6</v>
      </c>
      <c r="E363">
        <v>254.4</v>
      </c>
      <c r="F363" s="58">
        <v>45673</v>
      </c>
      <c r="G363" s="58">
        <v>45674</v>
      </c>
      <c r="H363" t="s">
        <v>263</v>
      </c>
      <c r="I363" t="s">
        <v>59</v>
      </c>
      <c r="J363">
        <v>5</v>
      </c>
      <c r="K363" t="s">
        <v>103</v>
      </c>
      <c r="L363" t="s">
        <v>129</v>
      </c>
      <c r="M363">
        <f>orders[[#This Row],[Ship Date]]-orders[[#This Row],[Order Date]]</f>
        <v>1</v>
      </c>
      <c r="N363">
        <f>WEEKNUM(orders[[#This Row],[Order Date]],1)</f>
        <v>3</v>
      </c>
      <c r="O363" t="str">
        <f t="array" ref="O363">_xlfn.IFS(orders[[#This Row],[Customer Gender]]="M","Male", orders[[#This Row],[Customer Gender]]="F","Female", orders[[#This Row],[Customer Gender]]="O","Other", TRUE(),"Unknown")</f>
        <v>Other</v>
      </c>
    </row>
    <row r="364" spans="1:15" x14ac:dyDescent="0.25">
      <c r="A364" t="s">
        <v>592</v>
      </c>
      <c r="B364" t="s">
        <v>79</v>
      </c>
      <c r="C364">
        <v>10</v>
      </c>
      <c r="D364">
        <v>92.7</v>
      </c>
      <c r="E364">
        <v>927</v>
      </c>
      <c r="F364" s="58">
        <v>45673</v>
      </c>
      <c r="G364" s="58">
        <v>45677</v>
      </c>
      <c r="H364" t="s">
        <v>229</v>
      </c>
      <c r="I364" t="s">
        <v>63</v>
      </c>
      <c r="J364">
        <v>5</v>
      </c>
      <c r="K364" t="s">
        <v>103</v>
      </c>
      <c r="L364" t="s">
        <v>139</v>
      </c>
      <c r="M364">
        <f>orders[[#This Row],[Ship Date]]-orders[[#This Row],[Order Date]]</f>
        <v>4</v>
      </c>
      <c r="N364">
        <f>WEEKNUM(orders[[#This Row],[Order Date]],1)</f>
        <v>3</v>
      </c>
      <c r="O364" t="str">
        <f t="array" ref="O364">_xlfn.IFS(orders[[#This Row],[Customer Gender]]="M","Male", orders[[#This Row],[Customer Gender]]="F","Female", orders[[#This Row],[Customer Gender]]="O","Other", TRUE(),"Unknown")</f>
        <v>Male</v>
      </c>
    </row>
    <row r="365" spans="1:15" x14ac:dyDescent="0.25">
      <c r="A365" t="s">
        <v>593</v>
      </c>
      <c r="B365" t="s">
        <v>91</v>
      </c>
      <c r="C365">
        <v>4</v>
      </c>
      <c r="D365">
        <v>48.4</v>
      </c>
      <c r="E365">
        <v>193.6</v>
      </c>
      <c r="F365" s="58">
        <v>45673</v>
      </c>
      <c r="G365" s="58">
        <v>45675</v>
      </c>
      <c r="H365" t="s">
        <v>231</v>
      </c>
      <c r="I365" t="s">
        <v>63</v>
      </c>
      <c r="J365">
        <v>5</v>
      </c>
      <c r="K365" t="s">
        <v>103</v>
      </c>
      <c r="L365" t="s">
        <v>139</v>
      </c>
      <c r="M365">
        <f>orders[[#This Row],[Ship Date]]-orders[[#This Row],[Order Date]]</f>
        <v>2</v>
      </c>
      <c r="N365">
        <f>WEEKNUM(orders[[#This Row],[Order Date]],1)</f>
        <v>3</v>
      </c>
      <c r="O365" t="str">
        <f t="array" ref="O365">_xlfn.IFS(orders[[#This Row],[Customer Gender]]="M","Male", orders[[#This Row],[Customer Gender]]="F","Female", orders[[#This Row],[Customer Gender]]="O","Other", TRUE(),"Unknown")</f>
        <v>Female</v>
      </c>
    </row>
    <row r="366" spans="1:15" x14ac:dyDescent="0.25">
      <c r="A366" t="s">
        <v>594</v>
      </c>
      <c r="B366" t="s">
        <v>88</v>
      </c>
      <c r="C366">
        <v>8</v>
      </c>
      <c r="D366">
        <v>36</v>
      </c>
      <c r="E366">
        <v>288</v>
      </c>
      <c r="F366" s="58">
        <v>45673</v>
      </c>
      <c r="G366" s="58">
        <v>45676</v>
      </c>
      <c r="H366" t="s">
        <v>229</v>
      </c>
      <c r="I366" t="s">
        <v>62</v>
      </c>
      <c r="J366">
        <v>5</v>
      </c>
      <c r="K366" t="s">
        <v>103</v>
      </c>
      <c r="L366" t="s">
        <v>142</v>
      </c>
      <c r="M366">
        <f>orders[[#This Row],[Ship Date]]-orders[[#This Row],[Order Date]]</f>
        <v>3</v>
      </c>
      <c r="N366">
        <f>WEEKNUM(orders[[#This Row],[Order Date]],1)</f>
        <v>3</v>
      </c>
      <c r="O366" t="str">
        <f t="array" ref="O366">_xlfn.IFS(orders[[#This Row],[Customer Gender]]="M","Male", orders[[#This Row],[Customer Gender]]="F","Female", orders[[#This Row],[Customer Gender]]="O","Other", TRUE(),"Unknown")</f>
        <v>Male</v>
      </c>
    </row>
    <row r="367" spans="1:15" x14ac:dyDescent="0.25">
      <c r="A367" t="s">
        <v>595</v>
      </c>
      <c r="B367" t="s">
        <v>90</v>
      </c>
      <c r="C367">
        <v>12</v>
      </c>
      <c r="D367">
        <v>27</v>
      </c>
      <c r="E367">
        <v>324</v>
      </c>
      <c r="F367" s="58">
        <v>45673</v>
      </c>
      <c r="G367" s="58">
        <v>45675</v>
      </c>
      <c r="H367" t="s">
        <v>231</v>
      </c>
      <c r="I367" t="s">
        <v>62</v>
      </c>
      <c r="J367">
        <v>3</v>
      </c>
      <c r="K367" t="s">
        <v>103</v>
      </c>
      <c r="L367" t="s">
        <v>142</v>
      </c>
      <c r="M367">
        <f>orders[[#This Row],[Ship Date]]-orders[[#This Row],[Order Date]]</f>
        <v>2</v>
      </c>
      <c r="N367">
        <f>WEEKNUM(orders[[#This Row],[Order Date]],1)</f>
        <v>3</v>
      </c>
      <c r="O367" t="str">
        <f t="array" ref="O367">_xlfn.IFS(orders[[#This Row],[Customer Gender]]="M","Male", orders[[#This Row],[Customer Gender]]="F","Female", orders[[#This Row],[Customer Gender]]="O","Other", TRUE(),"Unknown")</f>
        <v>Female</v>
      </c>
    </row>
    <row r="368" spans="1:15" x14ac:dyDescent="0.25">
      <c r="A368" t="s">
        <v>596</v>
      </c>
      <c r="B368" t="s">
        <v>87</v>
      </c>
      <c r="C368">
        <v>8</v>
      </c>
      <c r="D368">
        <v>53.9</v>
      </c>
      <c r="E368">
        <v>431.2</v>
      </c>
      <c r="F368" s="58">
        <v>45673</v>
      </c>
      <c r="G368" s="58">
        <v>45674</v>
      </c>
      <c r="I368" t="s">
        <v>59</v>
      </c>
      <c r="J368">
        <v>4</v>
      </c>
      <c r="K368" t="s">
        <v>103</v>
      </c>
      <c r="L368" t="s">
        <v>142</v>
      </c>
      <c r="M368">
        <f>orders[[#This Row],[Ship Date]]-orders[[#This Row],[Order Date]]</f>
        <v>1</v>
      </c>
      <c r="N368">
        <f>WEEKNUM(orders[[#This Row],[Order Date]],1)</f>
        <v>3</v>
      </c>
      <c r="O368" t="str">
        <f t="array" ref="O368">_xlfn.IFS(orders[[#This Row],[Customer Gender]]="M","Male", orders[[#This Row],[Customer Gender]]="F","Female", orders[[#This Row],[Customer Gender]]="O","Other", TRUE(),"Unknown")</f>
        <v>Unknown</v>
      </c>
    </row>
    <row r="369" spans="1:15" x14ac:dyDescent="0.25">
      <c r="A369" t="s">
        <v>597</v>
      </c>
      <c r="B369" t="s">
        <v>93</v>
      </c>
      <c r="C369">
        <v>9</v>
      </c>
      <c r="D369">
        <v>48.4</v>
      </c>
      <c r="E369">
        <v>435.6</v>
      </c>
      <c r="F369" s="58">
        <v>45673</v>
      </c>
      <c r="G369" s="58">
        <v>45674</v>
      </c>
      <c r="H369" t="s">
        <v>231</v>
      </c>
      <c r="I369" t="s">
        <v>63</v>
      </c>
      <c r="J369">
        <v>4</v>
      </c>
      <c r="K369" t="s">
        <v>103</v>
      </c>
      <c r="L369" t="s">
        <v>146</v>
      </c>
      <c r="M369">
        <f>orders[[#This Row],[Ship Date]]-orders[[#This Row],[Order Date]]</f>
        <v>1</v>
      </c>
      <c r="N369">
        <f>WEEKNUM(orders[[#This Row],[Order Date]],1)</f>
        <v>3</v>
      </c>
      <c r="O369" t="str">
        <f t="array" ref="O369">_xlfn.IFS(orders[[#This Row],[Customer Gender]]="M","Male", orders[[#This Row],[Customer Gender]]="F","Female", orders[[#This Row],[Customer Gender]]="O","Other", TRUE(),"Unknown")</f>
        <v>Female</v>
      </c>
    </row>
    <row r="370" spans="1:15" x14ac:dyDescent="0.25">
      <c r="A370" t="s">
        <v>598</v>
      </c>
      <c r="B370" t="s">
        <v>84</v>
      </c>
      <c r="C370">
        <v>2</v>
      </c>
      <c r="D370">
        <v>49.9</v>
      </c>
      <c r="E370">
        <v>99.8</v>
      </c>
      <c r="F370" s="58">
        <v>45673</v>
      </c>
      <c r="G370" s="58">
        <v>45678</v>
      </c>
      <c r="H370" t="s">
        <v>229</v>
      </c>
      <c r="I370" t="s">
        <v>61</v>
      </c>
      <c r="J370">
        <v>2</v>
      </c>
      <c r="K370" t="s">
        <v>103</v>
      </c>
      <c r="L370" t="s">
        <v>147</v>
      </c>
      <c r="M370">
        <f>orders[[#This Row],[Ship Date]]-orders[[#This Row],[Order Date]]</f>
        <v>5</v>
      </c>
      <c r="N370">
        <f>WEEKNUM(orders[[#This Row],[Order Date]],1)</f>
        <v>3</v>
      </c>
      <c r="O370" t="str">
        <f t="array" ref="O370">_xlfn.IFS(orders[[#This Row],[Customer Gender]]="M","Male", orders[[#This Row],[Customer Gender]]="F","Female", orders[[#This Row],[Customer Gender]]="O","Other", TRUE(),"Unknown")</f>
        <v>Male</v>
      </c>
    </row>
    <row r="371" spans="1:15" x14ac:dyDescent="0.25">
      <c r="A371" t="s">
        <v>599</v>
      </c>
      <c r="B371" t="s">
        <v>91</v>
      </c>
      <c r="C371">
        <v>3</v>
      </c>
      <c r="D371">
        <v>51.7</v>
      </c>
      <c r="E371">
        <v>155.1</v>
      </c>
      <c r="F371" s="58">
        <v>45673</v>
      </c>
      <c r="G371" s="58">
        <v>45674</v>
      </c>
      <c r="H371" t="s">
        <v>231</v>
      </c>
      <c r="I371" t="s">
        <v>59</v>
      </c>
      <c r="J371">
        <v>5</v>
      </c>
      <c r="K371" t="s">
        <v>103</v>
      </c>
      <c r="L371" t="s">
        <v>148</v>
      </c>
      <c r="M371">
        <f>orders[[#This Row],[Ship Date]]-orders[[#This Row],[Order Date]]</f>
        <v>1</v>
      </c>
      <c r="N371">
        <f>WEEKNUM(orders[[#This Row],[Order Date]],1)</f>
        <v>3</v>
      </c>
      <c r="O371" t="str">
        <f t="array" ref="O371">_xlfn.IFS(orders[[#This Row],[Customer Gender]]="M","Male", orders[[#This Row],[Customer Gender]]="F","Female", orders[[#This Row],[Customer Gender]]="O","Other", TRUE(),"Unknown")</f>
        <v>Female</v>
      </c>
    </row>
    <row r="372" spans="1:15" x14ac:dyDescent="0.25">
      <c r="A372" t="s">
        <v>600</v>
      </c>
      <c r="B372" t="s">
        <v>90</v>
      </c>
      <c r="C372">
        <v>3</v>
      </c>
      <c r="D372">
        <v>41.8</v>
      </c>
      <c r="E372">
        <v>125.4</v>
      </c>
      <c r="F372" s="58">
        <v>45673</v>
      </c>
      <c r="G372" s="58">
        <v>45675</v>
      </c>
      <c r="H372" t="s">
        <v>231</v>
      </c>
      <c r="I372" t="s">
        <v>62</v>
      </c>
      <c r="J372">
        <v>4</v>
      </c>
      <c r="K372" t="s">
        <v>103</v>
      </c>
      <c r="L372" t="s">
        <v>154</v>
      </c>
      <c r="M372">
        <f>orders[[#This Row],[Ship Date]]-orders[[#This Row],[Order Date]]</f>
        <v>2</v>
      </c>
      <c r="N372">
        <f>WEEKNUM(orders[[#This Row],[Order Date]],1)</f>
        <v>3</v>
      </c>
      <c r="O372" t="str">
        <f t="array" ref="O372">_xlfn.IFS(orders[[#This Row],[Customer Gender]]="M","Male", orders[[#This Row],[Customer Gender]]="F","Female", orders[[#This Row],[Customer Gender]]="O","Other", TRUE(),"Unknown")</f>
        <v>Female</v>
      </c>
    </row>
    <row r="373" spans="1:15" x14ac:dyDescent="0.25">
      <c r="A373" t="s">
        <v>601</v>
      </c>
      <c r="B373" t="s">
        <v>78</v>
      </c>
      <c r="C373">
        <v>4</v>
      </c>
      <c r="D373">
        <v>36.200000000000003</v>
      </c>
      <c r="E373">
        <v>144.80000000000001</v>
      </c>
      <c r="F373" s="58">
        <v>45674</v>
      </c>
      <c r="G373" s="58">
        <v>45675</v>
      </c>
      <c r="H373" t="s">
        <v>229</v>
      </c>
      <c r="I373" t="s">
        <v>62</v>
      </c>
      <c r="J373">
        <v>5</v>
      </c>
      <c r="K373" t="s">
        <v>103</v>
      </c>
      <c r="L373" t="s">
        <v>106</v>
      </c>
      <c r="M373">
        <f>orders[[#This Row],[Ship Date]]-orders[[#This Row],[Order Date]]</f>
        <v>1</v>
      </c>
      <c r="N373">
        <f>WEEKNUM(orders[[#This Row],[Order Date]],1)</f>
        <v>3</v>
      </c>
      <c r="O373" t="str">
        <f t="array" ref="O373">_xlfn.IFS(orders[[#This Row],[Customer Gender]]="M","Male", orders[[#This Row],[Customer Gender]]="F","Female", orders[[#This Row],[Customer Gender]]="O","Other", TRUE(),"Unknown")</f>
        <v>Male</v>
      </c>
    </row>
    <row r="374" spans="1:15" x14ac:dyDescent="0.25">
      <c r="A374" t="s">
        <v>602</v>
      </c>
      <c r="B374" t="s">
        <v>87</v>
      </c>
      <c r="C374">
        <v>1</v>
      </c>
      <c r="D374">
        <v>150.9</v>
      </c>
      <c r="E374">
        <v>150.9</v>
      </c>
      <c r="F374" s="58">
        <v>45674</v>
      </c>
      <c r="G374" s="58">
        <v>45684</v>
      </c>
      <c r="H374" t="s">
        <v>229</v>
      </c>
      <c r="I374" t="s">
        <v>59</v>
      </c>
      <c r="J374">
        <v>4</v>
      </c>
      <c r="K374" t="s">
        <v>103</v>
      </c>
      <c r="L374" t="s">
        <v>112</v>
      </c>
      <c r="M374">
        <f>orders[[#This Row],[Ship Date]]-orders[[#This Row],[Order Date]]</f>
        <v>10</v>
      </c>
      <c r="N374">
        <f>WEEKNUM(orders[[#This Row],[Order Date]],1)</f>
        <v>3</v>
      </c>
      <c r="O374" t="str">
        <f t="array" ref="O374">_xlfn.IFS(orders[[#This Row],[Customer Gender]]="M","Male", orders[[#This Row],[Customer Gender]]="F","Female", orders[[#This Row],[Customer Gender]]="O","Other", TRUE(),"Unknown")</f>
        <v>Male</v>
      </c>
    </row>
    <row r="375" spans="1:15" x14ac:dyDescent="0.25">
      <c r="A375" t="s">
        <v>603</v>
      </c>
      <c r="B375" t="s">
        <v>82</v>
      </c>
      <c r="C375">
        <v>4</v>
      </c>
      <c r="D375">
        <v>77.599999999999994</v>
      </c>
      <c r="E375">
        <v>310.39999999999998</v>
      </c>
      <c r="F375" s="58">
        <v>45674</v>
      </c>
      <c r="G375" s="58">
        <v>45675</v>
      </c>
      <c r="I375" t="s">
        <v>62</v>
      </c>
      <c r="J375">
        <v>4</v>
      </c>
      <c r="K375" t="s">
        <v>103</v>
      </c>
      <c r="L375" t="s">
        <v>124</v>
      </c>
      <c r="M375">
        <f>orders[[#This Row],[Ship Date]]-orders[[#This Row],[Order Date]]</f>
        <v>1</v>
      </c>
      <c r="N375">
        <f>WEEKNUM(orders[[#This Row],[Order Date]],1)</f>
        <v>3</v>
      </c>
      <c r="O375" t="str">
        <f t="array" ref="O375">_xlfn.IFS(orders[[#This Row],[Customer Gender]]="M","Male", orders[[#This Row],[Customer Gender]]="F","Female", orders[[#This Row],[Customer Gender]]="O","Other", TRUE(),"Unknown")</f>
        <v>Unknown</v>
      </c>
    </row>
    <row r="376" spans="1:15" x14ac:dyDescent="0.25">
      <c r="A376" t="s">
        <v>604</v>
      </c>
      <c r="B376" t="s">
        <v>92</v>
      </c>
      <c r="C376">
        <v>5</v>
      </c>
      <c r="D376">
        <v>65.5</v>
      </c>
      <c r="E376">
        <v>327.5</v>
      </c>
      <c r="F376" s="58">
        <v>45674</v>
      </c>
      <c r="G376" s="58">
        <v>45674</v>
      </c>
      <c r="H376" t="s">
        <v>229</v>
      </c>
      <c r="I376" t="s">
        <v>63</v>
      </c>
      <c r="J376">
        <v>4</v>
      </c>
      <c r="K376" t="s">
        <v>103</v>
      </c>
      <c r="L376" t="s">
        <v>124</v>
      </c>
      <c r="M376">
        <f>orders[[#This Row],[Ship Date]]-orders[[#This Row],[Order Date]]</f>
        <v>0</v>
      </c>
      <c r="N376">
        <f>WEEKNUM(orders[[#This Row],[Order Date]],1)</f>
        <v>3</v>
      </c>
      <c r="O376" t="str">
        <f t="array" ref="O376">_xlfn.IFS(orders[[#This Row],[Customer Gender]]="M","Male", orders[[#This Row],[Customer Gender]]="F","Female", orders[[#This Row],[Customer Gender]]="O","Other", TRUE(),"Unknown")</f>
        <v>Male</v>
      </c>
    </row>
    <row r="377" spans="1:15" x14ac:dyDescent="0.25">
      <c r="A377" t="s">
        <v>605</v>
      </c>
      <c r="B377" t="s">
        <v>80</v>
      </c>
      <c r="C377">
        <v>3</v>
      </c>
      <c r="D377">
        <v>90.1</v>
      </c>
      <c r="E377">
        <v>270.3</v>
      </c>
      <c r="F377" s="58">
        <v>45674</v>
      </c>
      <c r="G377" s="58">
        <v>45676</v>
      </c>
      <c r="H377" t="s">
        <v>231</v>
      </c>
      <c r="I377" t="s">
        <v>59</v>
      </c>
      <c r="J377">
        <v>4</v>
      </c>
      <c r="K377" t="s">
        <v>103</v>
      </c>
      <c r="L377" t="s">
        <v>124</v>
      </c>
      <c r="M377">
        <f>orders[[#This Row],[Ship Date]]-orders[[#This Row],[Order Date]]</f>
        <v>2</v>
      </c>
      <c r="N377">
        <f>WEEKNUM(orders[[#This Row],[Order Date]],1)</f>
        <v>3</v>
      </c>
      <c r="O377" t="str">
        <f t="array" ref="O377">_xlfn.IFS(orders[[#This Row],[Customer Gender]]="M","Male", orders[[#This Row],[Customer Gender]]="F","Female", orders[[#This Row],[Customer Gender]]="O","Other", TRUE(),"Unknown")</f>
        <v>Female</v>
      </c>
    </row>
    <row r="378" spans="1:15" x14ac:dyDescent="0.25">
      <c r="A378" t="s">
        <v>606</v>
      </c>
      <c r="B378" t="s">
        <v>91</v>
      </c>
      <c r="C378">
        <v>2</v>
      </c>
      <c r="D378">
        <v>108.3</v>
      </c>
      <c r="E378">
        <v>216.6</v>
      </c>
      <c r="F378" s="58">
        <v>45674</v>
      </c>
      <c r="G378" s="58">
        <v>45677</v>
      </c>
      <c r="H378" t="s">
        <v>263</v>
      </c>
      <c r="I378" t="s">
        <v>61</v>
      </c>
      <c r="J378">
        <v>4</v>
      </c>
      <c r="K378" t="s">
        <v>103</v>
      </c>
      <c r="L378" t="s">
        <v>124</v>
      </c>
      <c r="M378">
        <f>orders[[#This Row],[Ship Date]]-orders[[#This Row],[Order Date]]</f>
        <v>3</v>
      </c>
      <c r="N378">
        <f>WEEKNUM(orders[[#This Row],[Order Date]],1)</f>
        <v>3</v>
      </c>
      <c r="O378" t="str">
        <f t="array" ref="O378">_xlfn.IFS(orders[[#This Row],[Customer Gender]]="M","Male", orders[[#This Row],[Customer Gender]]="F","Female", orders[[#This Row],[Customer Gender]]="O","Other", TRUE(),"Unknown")</f>
        <v>Other</v>
      </c>
    </row>
    <row r="379" spans="1:15" x14ac:dyDescent="0.25">
      <c r="A379" t="s">
        <v>607</v>
      </c>
      <c r="B379" t="s">
        <v>85</v>
      </c>
      <c r="C379">
        <v>3</v>
      </c>
      <c r="D379">
        <v>59.9</v>
      </c>
      <c r="E379">
        <v>179.7</v>
      </c>
      <c r="F379" s="58">
        <v>45674</v>
      </c>
      <c r="G379" s="58">
        <v>45678</v>
      </c>
      <c r="H379" t="s">
        <v>231</v>
      </c>
      <c r="I379" t="s">
        <v>59</v>
      </c>
      <c r="J379">
        <v>4</v>
      </c>
      <c r="K379" t="s">
        <v>103</v>
      </c>
      <c r="L379" t="s">
        <v>124</v>
      </c>
      <c r="M379">
        <f>orders[[#This Row],[Ship Date]]-orders[[#This Row],[Order Date]]</f>
        <v>4</v>
      </c>
      <c r="N379">
        <f>WEEKNUM(orders[[#This Row],[Order Date]],1)</f>
        <v>3</v>
      </c>
      <c r="O379" t="str">
        <f t="array" ref="O379">_xlfn.IFS(orders[[#This Row],[Customer Gender]]="M","Male", orders[[#This Row],[Customer Gender]]="F","Female", orders[[#This Row],[Customer Gender]]="O","Other", TRUE(),"Unknown")</f>
        <v>Female</v>
      </c>
    </row>
    <row r="380" spans="1:15" x14ac:dyDescent="0.25">
      <c r="A380" t="s">
        <v>608</v>
      </c>
      <c r="B380" t="s">
        <v>87</v>
      </c>
      <c r="C380">
        <v>17</v>
      </c>
      <c r="D380">
        <v>139</v>
      </c>
      <c r="E380">
        <v>2363</v>
      </c>
      <c r="F380" s="58">
        <v>45674</v>
      </c>
      <c r="G380" s="58">
        <v>45676</v>
      </c>
      <c r="H380" t="s">
        <v>231</v>
      </c>
      <c r="I380" t="s">
        <v>63</v>
      </c>
      <c r="J380">
        <v>2</v>
      </c>
      <c r="K380" t="s">
        <v>103</v>
      </c>
      <c r="L380" t="s">
        <v>124</v>
      </c>
      <c r="M380">
        <f>orders[[#This Row],[Ship Date]]-orders[[#This Row],[Order Date]]</f>
        <v>2</v>
      </c>
      <c r="N380">
        <f>WEEKNUM(orders[[#This Row],[Order Date]],1)</f>
        <v>3</v>
      </c>
      <c r="O380" t="str">
        <f t="array" ref="O380">_xlfn.IFS(orders[[#This Row],[Customer Gender]]="M","Male", orders[[#This Row],[Customer Gender]]="F","Female", orders[[#This Row],[Customer Gender]]="O","Other", TRUE(),"Unknown")</f>
        <v>Female</v>
      </c>
    </row>
    <row r="381" spans="1:15" x14ac:dyDescent="0.25">
      <c r="A381" t="s">
        <v>609</v>
      </c>
      <c r="B381" t="s">
        <v>80</v>
      </c>
      <c r="C381">
        <v>3</v>
      </c>
      <c r="D381">
        <v>87.3</v>
      </c>
      <c r="E381">
        <v>261.89999999999998</v>
      </c>
      <c r="F381" s="58">
        <v>45674</v>
      </c>
      <c r="G381" s="58">
        <v>45675</v>
      </c>
      <c r="H381" t="s">
        <v>231</v>
      </c>
      <c r="I381" t="s">
        <v>59</v>
      </c>
      <c r="J381">
        <v>4</v>
      </c>
      <c r="K381" t="s">
        <v>103</v>
      </c>
      <c r="L381" t="s">
        <v>124</v>
      </c>
      <c r="M381">
        <f>orders[[#This Row],[Ship Date]]-orders[[#This Row],[Order Date]]</f>
        <v>1</v>
      </c>
      <c r="N381">
        <f>WEEKNUM(orders[[#This Row],[Order Date]],1)</f>
        <v>3</v>
      </c>
      <c r="O381" t="str">
        <f t="array" ref="O381">_xlfn.IFS(orders[[#This Row],[Customer Gender]]="M","Male", orders[[#This Row],[Customer Gender]]="F","Female", orders[[#This Row],[Customer Gender]]="O","Other", TRUE(),"Unknown")</f>
        <v>Female</v>
      </c>
    </row>
    <row r="382" spans="1:15" x14ac:dyDescent="0.25">
      <c r="A382" t="s">
        <v>610</v>
      </c>
      <c r="B382" t="s">
        <v>83</v>
      </c>
      <c r="C382">
        <v>4</v>
      </c>
      <c r="D382">
        <v>42.3</v>
      </c>
      <c r="E382">
        <v>169.2</v>
      </c>
      <c r="F382" s="58">
        <v>45674</v>
      </c>
      <c r="G382" s="58">
        <v>45674</v>
      </c>
      <c r="H382" t="s">
        <v>229</v>
      </c>
      <c r="I382" t="s">
        <v>59</v>
      </c>
      <c r="J382">
        <v>4</v>
      </c>
      <c r="K382" t="s">
        <v>103</v>
      </c>
      <c r="L382" t="s">
        <v>124</v>
      </c>
      <c r="M382">
        <f>orders[[#This Row],[Ship Date]]-orders[[#This Row],[Order Date]]</f>
        <v>0</v>
      </c>
      <c r="N382">
        <f>WEEKNUM(orders[[#This Row],[Order Date]],1)</f>
        <v>3</v>
      </c>
      <c r="O382" t="str">
        <f t="array" ref="O382">_xlfn.IFS(orders[[#This Row],[Customer Gender]]="M","Male", orders[[#This Row],[Customer Gender]]="F","Female", orders[[#This Row],[Customer Gender]]="O","Other", TRUE(),"Unknown")</f>
        <v>Male</v>
      </c>
    </row>
    <row r="383" spans="1:15" x14ac:dyDescent="0.25">
      <c r="A383" t="s">
        <v>611</v>
      </c>
      <c r="B383" t="s">
        <v>74</v>
      </c>
      <c r="C383">
        <v>8</v>
      </c>
      <c r="D383">
        <v>103.6</v>
      </c>
      <c r="E383">
        <v>828.8</v>
      </c>
      <c r="F383" s="58">
        <v>45674</v>
      </c>
      <c r="G383" s="58">
        <v>45675</v>
      </c>
      <c r="H383" t="s">
        <v>263</v>
      </c>
      <c r="I383" t="s">
        <v>59</v>
      </c>
      <c r="J383">
        <v>3</v>
      </c>
      <c r="K383" t="s">
        <v>103</v>
      </c>
      <c r="L383" t="s">
        <v>124</v>
      </c>
      <c r="M383">
        <f>orders[[#This Row],[Ship Date]]-orders[[#This Row],[Order Date]]</f>
        <v>1</v>
      </c>
      <c r="N383">
        <f>WEEKNUM(orders[[#This Row],[Order Date]],1)</f>
        <v>3</v>
      </c>
      <c r="O383" t="str">
        <f t="array" ref="O383">_xlfn.IFS(orders[[#This Row],[Customer Gender]]="M","Male", orders[[#This Row],[Customer Gender]]="F","Female", orders[[#This Row],[Customer Gender]]="O","Other", TRUE(),"Unknown")</f>
        <v>Other</v>
      </c>
    </row>
    <row r="384" spans="1:15" x14ac:dyDescent="0.25">
      <c r="A384" t="s">
        <v>612</v>
      </c>
      <c r="B384" t="s">
        <v>80</v>
      </c>
      <c r="C384">
        <v>2</v>
      </c>
      <c r="D384">
        <v>90.9</v>
      </c>
      <c r="E384">
        <v>181.8</v>
      </c>
      <c r="F384" s="58">
        <v>45674</v>
      </c>
      <c r="G384" s="58">
        <v>45675</v>
      </c>
      <c r="H384" t="s">
        <v>229</v>
      </c>
      <c r="I384" t="s">
        <v>63</v>
      </c>
      <c r="J384">
        <v>4</v>
      </c>
      <c r="K384" t="s">
        <v>103</v>
      </c>
      <c r="L384" t="s">
        <v>139</v>
      </c>
      <c r="M384">
        <f>orders[[#This Row],[Ship Date]]-orders[[#This Row],[Order Date]]</f>
        <v>1</v>
      </c>
      <c r="N384">
        <f>WEEKNUM(orders[[#This Row],[Order Date]],1)</f>
        <v>3</v>
      </c>
      <c r="O384" t="str">
        <f t="array" ref="O384">_xlfn.IFS(orders[[#This Row],[Customer Gender]]="M","Male", orders[[#This Row],[Customer Gender]]="F","Female", orders[[#This Row],[Customer Gender]]="O","Other", TRUE(),"Unknown")</f>
        <v>Male</v>
      </c>
    </row>
    <row r="385" spans="1:15" x14ac:dyDescent="0.25">
      <c r="A385" t="s">
        <v>613</v>
      </c>
      <c r="B385" t="s">
        <v>88</v>
      </c>
      <c r="C385">
        <v>16</v>
      </c>
      <c r="D385">
        <v>100.9</v>
      </c>
      <c r="E385">
        <v>1614.4</v>
      </c>
      <c r="F385" s="58">
        <v>45674</v>
      </c>
      <c r="G385" s="58">
        <v>45675</v>
      </c>
      <c r="H385" t="s">
        <v>231</v>
      </c>
      <c r="I385" t="s">
        <v>63</v>
      </c>
      <c r="J385">
        <v>4</v>
      </c>
      <c r="K385" t="s">
        <v>103</v>
      </c>
      <c r="L385" t="s">
        <v>139</v>
      </c>
      <c r="M385">
        <f>orders[[#This Row],[Ship Date]]-orders[[#This Row],[Order Date]]</f>
        <v>1</v>
      </c>
      <c r="N385">
        <f>WEEKNUM(orders[[#This Row],[Order Date]],1)</f>
        <v>3</v>
      </c>
      <c r="O385" t="str">
        <f t="array" ref="O385">_xlfn.IFS(orders[[#This Row],[Customer Gender]]="M","Male", orders[[#This Row],[Customer Gender]]="F","Female", orders[[#This Row],[Customer Gender]]="O","Other", TRUE(),"Unknown")</f>
        <v>Female</v>
      </c>
    </row>
    <row r="386" spans="1:15" x14ac:dyDescent="0.25">
      <c r="A386" t="s">
        <v>614</v>
      </c>
      <c r="B386" t="s">
        <v>78</v>
      </c>
      <c r="C386">
        <v>5</v>
      </c>
      <c r="D386">
        <v>36</v>
      </c>
      <c r="E386">
        <v>180</v>
      </c>
      <c r="F386" s="58">
        <v>45674</v>
      </c>
      <c r="G386" s="58">
        <v>45676</v>
      </c>
      <c r="H386" t="s">
        <v>231</v>
      </c>
      <c r="I386" t="s">
        <v>63</v>
      </c>
      <c r="J386">
        <v>4</v>
      </c>
      <c r="K386" t="s">
        <v>103</v>
      </c>
      <c r="L386" t="s">
        <v>141</v>
      </c>
      <c r="M386">
        <f>orders[[#This Row],[Ship Date]]-orders[[#This Row],[Order Date]]</f>
        <v>2</v>
      </c>
      <c r="N386">
        <f>WEEKNUM(orders[[#This Row],[Order Date]],1)</f>
        <v>3</v>
      </c>
      <c r="O386" t="str">
        <f t="array" ref="O386">_xlfn.IFS(orders[[#This Row],[Customer Gender]]="M","Male", orders[[#This Row],[Customer Gender]]="F","Female", orders[[#This Row],[Customer Gender]]="O","Other", TRUE(),"Unknown")</f>
        <v>Female</v>
      </c>
    </row>
    <row r="387" spans="1:15" x14ac:dyDescent="0.25">
      <c r="A387" t="s">
        <v>615</v>
      </c>
      <c r="B387" t="s">
        <v>80</v>
      </c>
      <c r="C387">
        <v>6</v>
      </c>
      <c r="D387">
        <v>83.3</v>
      </c>
      <c r="E387">
        <v>499.8</v>
      </c>
      <c r="F387" s="58">
        <v>45674</v>
      </c>
      <c r="G387" s="58">
        <v>45677</v>
      </c>
      <c r="I387" t="s">
        <v>62</v>
      </c>
      <c r="J387">
        <v>4</v>
      </c>
      <c r="K387" t="s">
        <v>103</v>
      </c>
      <c r="L387" t="s">
        <v>141</v>
      </c>
      <c r="M387">
        <f>orders[[#This Row],[Ship Date]]-orders[[#This Row],[Order Date]]</f>
        <v>3</v>
      </c>
      <c r="N387">
        <f>WEEKNUM(orders[[#This Row],[Order Date]],1)</f>
        <v>3</v>
      </c>
      <c r="O387" t="str">
        <f t="array" ref="O387">_xlfn.IFS(orders[[#This Row],[Customer Gender]]="M","Male", orders[[#This Row],[Customer Gender]]="F","Female", orders[[#This Row],[Customer Gender]]="O","Other", TRUE(),"Unknown")</f>
        <v>Unknown</v>
      </c>
    </row>
    <row r="388" spans="1:15" x14ac:dyDescent="0.25">
      <c r="A388" t="s">
        <v>616</v>
      </c>
      <c r="B388" t="s">
        <v>87</v>
      </c>
      <c r="C388">
        <v>17</v>
      </c>
      <c r="D388">
        <v>60.3</v>
      </c>
      <c r="E388">
        <v>1025.0999999999999</v>
      </c>
      <c r="F388" s="58">
        <v>45674</v>
      </c>
      <c r="G388" s="58">
        <v>45675</v>
      </c>
      <c r="H388" t="s">
        <v>229</v>
      </c>
      <c r="I388" t="s">
        <v>62</v>
      </c>
      <c r="J388">
        <v>3</v>
      </c>
      <c r="K388" t="s">
        <v>103</v>
      </c>
      <c r="L388" t="s">
        <v>141</v>
      </c>
      <c r="M388">
        <f>orders[[#This Row],[Ship Date]]-orders[[#This Row],[Order Date]]</f>
        <v>1</v>
      </c>
      <c r="N388">
        <f>WEEKNUM(orders[[#This Row],[Order Date]],1)</f>
        <v>3</v>
      </c>
      <c r="O388" t="str">
        <f t="array" ref="O388">_xlfn.IFS(orders[[#This Row],[Customer Gender]]="M","Male", orders[[#This Row],[Customer Gender]]="F","Female", orders[[#This Row],[Customer Gender]]="O","Other", TRUE(),"Unknown")</f>
        <v>Male</v>
      </c>
    </row>
    <row r="389" spans="1:15" x14ac:dyDescent="0.25">
      <c r="A389" t="s">
        <v>617</v>
      </c>
      <c r="B389" t="s">
        <v>87</v>
      </c>
      <c r="C389">
        <v>6</v>
      </c>
      <c r="D389">
        <v>120.3</v>
      </c>
      <c r="E389">
        <v>721.8</v>
      </c>
      <c r="F389" s="58">
        <v>45674</v>
      </c>
      <c r="G389" s="58">
        <v>45675</v>
      </c>
      <c r="H389" t="s">
        <v>229</v>
      </c>
      <c r="I389" t="s">
        <v>62</v>
      </c>
      <c r="J389">
        <v>4</v>
      </c>
      <c r="K389" t="s">
        <v>103</v>
      </c>
      <c r="L389" t="s">
        <v>142</v>
      </c>
      <c r="M389">
        <f>orders[[#This Row],[Ship Date]]-orders[[#This Row],[Order Date]]</f>
        <v>1</v>
      </c>
      <c r="N389">
        <f>WEEKNUM(orders[[#This Row],[Order Date]],1)</f>
        <v>3</v>
      </c>
      <c r="O389" t="str">
        <f t="array" ref="O389">_xlfn.IFS(orders[[#This Row],[Customer Gender]]="M","Male", orders[[#This Row],[Customer Gender]]="F","Female", orders[[#This Row],[Customer Gender]]="O","Other", TRUE(),"Unknown")</f>
        <v>Male</v>
      </c>
    </row>
    <row r="390" spans="1:15" x14ac:dyDescent="0.25">
      <c r="A390" t="s">
        <v>618</v>
      </c>
      <c r="B390" t="s">
        <v>78</v>
      </c>
      <c r="C390">
        <v>10</v>
      </c>
      <c r="D390">
        <v>34</v>
      </c>
      <c r="E390">
        <v>340</v>
      </c>
      <c r="F390" s="58">
        <v>45674</v>
      </c>
      <c r="G390" s="58">
        <v>45678</v>
      </c>
      <c r="H390" t="s">
        <v>231</v>
      </c>
      <c r="I390" t="s">
        <v>62</v>
      </c>
      <c r="J390">
        <v>4</v>
      </c>
      <c r="K390" t="s">
        <v>103</v>
      </c>
      <c r="L390" t="s">
        <v>142</v>
      </c>
      <c r="M390">
        <f>orders[[#This Row],[Ship Date]]-orders[[#This Row],[Order Date]]</f>
        <v>4</v>
      </c>
      <c r="N390">
        <f>WEEKNUM(orders[[#This Row],[Order Date]],1)</f>
        <v>3</v>
      </c>
      <c r="O390" t="str">
        <f t="array" ref="O390">_xlfn.IFS(orders[[#This Row],[Customer Gender]]="M","Male", orders[[#This Row],[Customer Gender]]="F","Female", orders[[#This Row],[Customer Gender]]="O","Other", TRUE(),"Unknown")</f>
        <v>Female</v>
      </c>
    </row>
    <row r="391" spans="1:15" x14ac:dyDescent="0.25">
      <c r="A391" t="s">
        <v>619</v>
      </c>
      <c r="B391" t="s">
        <v>75</v>
      </c>
      <c r="C391">
        <v>5</v>
      </c>
      <c r="D391">
        <v>42.6</v>
      </c>
      <c r="E391">
        <v>213</v>
      </c>
      <c r="F391" s="58">
        <v>45674</v>
      </c>
      <c r="G391" s="58">
        <v>45677</v>
      </c>
      <c r="H391" t="s">
        <v>229</v>
      </c>
      <c r="I391" t="s">
        <v>63</v>
      </c>
      <c r="J391">
        <v>4</v>
      </c>
      <c r="K391" t="s">
        <v>103</v>
      </c>
      <c r="L391" t="s">
        <v>142</v>
      </c>
      <c r="M391">
        <f>orders[[#This Row],[Ship Date]]-orders[[#This Row],[Order Date]]</f>
        <v>3</v>
      </c>
      <c r="N391">
        <f>WEEKNUM(orders[[#This Row],[Order Date]],1)</f>
        <v>3</v>
      </c>
      <c r="O391" t="str">
        <f t="array" ref="O391">_xlfn.IFS(orders[[#This Row],[Customer Gender]]="M","Male", orders[[#This Row],[Customer Gender]]="F","Female", orders[[#This Row],[Customer Gender]]="O","Other", TRUE(),"Unknown")</f>
        <v>Male</v>
      </c>
    </row>
    <row r="392" spans="1:15" x14ac:dyDescent="0.25">
      <c r="A392" t="s">
        <v>620</v>
      </c>
      <c r="B392" t="s">
        <v>85</v>
      </c>
      <c r="C392">
        <v>20</v>
      </c>
      <c r="D392">
        <v>47.4</v>
      </c>
      <c r="E392">
        <v>948</v>
      </c>
      <c r="F392" s="58">
        <v>45674</v>
      </c>
      <c r="G392" s="58">
        <v>45674</v>
      </c>
      <c r="H392" t="s">
        <v>231</v>
      </c>
      <c r="I392" t="s">
        <v>62</v>
      </c>
      <c r="J392">
        <v>3</v>
      </c>
      <c r="K392" t="s">
        <v>103</v>
      </c>
      <c r="L392" t="s">
        <v>143</v>
      </c>
      <c r="M392">
        <f>orders[[#This Row],[Ship Date]]-orders[[#This Row],[Order Date]]</f>
        <v>0</v>
      </c>
      <c r="N392">
        <f>WEEKNUM(orders[[#This Row],[Order Date]],1)</f>
        <v>3</v>
      </c>
      <c r="O392" t="str">
        <f t="array" ref="O392">_xlfn.IFS(orders[[#This Row],[Customer Gender]]="M","Male", orders[[#This Row],[Customer Gender]]="F","Female", orders[[#This Row],[Customer Gender]]="O","Other", TRUE(),"Unknown")</f>
        <v>Female</v>
      </c>
    </row>
    <row r="393" spans="1:15" x14ac:dyDescent="0.25">
      <c r="A393" t="s">
        <v>621</v>
      </c>
      <c r="B393" t="s">
        <v>87</v>
      </c>
      <c r="C393">
        <v>1</v>
      </c>
      <c r="D393">
        <v>74</v>
      </c>
      <c r="E393">
        <v>74</v>
      </c>
      <c r="F393" s="58">
        <v>45675</v>
      </c>
      <c r="G393" s="58">
        <v>45676</v>
      </c>
      <c r="H393" t="s">
        <v>229</v>
      </c>
      <c r="I393" t="s">
        <v>63</v>
      </c>
      <c r="J393">
        <v>4</v>
      </c>
      <c r="K393" t="s">
        <v>103</v>
      </c>
      <c r="L393" t="s">
        <v>148</v>
      </c>
      <c r="M393">
        <f>orders[[#This Row],[Ship Date]]-orders[[#This Row],[Order Date]]</f>
        <v>1</v>
      </c>
      <c r="N393">
        <f>WEEKNUM(orders[[#This Row],[Order Date]],1)</f>
        <v>3</v>
      </c>
      <c r="O393" t="str">
        <f t="array" ref="O393">_xlfn.IFS(orders[[#This Row],[Customer Gender]]="M","Male", orders[[#This Row],[Customer Gender]]="F","Female", orders[[#This Row],[Customer Gender]]="O","Other", TRUE(),"Unknown")</f>
        <v>Male</v>
      </c>
    </row>
    <row r="394" spans="1:15" x14ac:dyDescent="0.25">
      <c r="A394" t="s">
        <v>622</v>
      </c>
      <c r="B394" t="s">
        <v>87</v>
      </c>
      <c r="C394">
        <v>5</v>
      </c>
      <c r="D394">
        <v>60.4</v>
      </c>
      <c r="E394">
        <v>302</v>
      </c>
      <c r="F394" s="58">
        <v>45675</v>
      </c>
      <c r="G394" s="58">
        <v>45678</v>
      </c>
      <c r="H394" t="s">
        <v>231</v>
      </c>
      <c r="I394" t="s">
        <v>63</v>
      </c>
      <c r="J394">
        <v>2</v>
      </c>
      <c r="K394" t="s">
        <v>103</v>
      </c>
      <c r="L394" t="s">
        <v>154</v>
      </c>
      <c r="M394">
        <f>orders[[#This Row],[Ship Date]]-orders[[#This Row],[Order Date]]</f>
        <v>3</v>
      </c>
      <c r="N394">
        <f>WEEKNUM(orders[[#This Row],[Order Date]],1)</f>
        <v>3</v>
      </c>
      <c r="O394" t="str">
        <f t="array" ref="O394">_xlfn.IFS(orders[[#This Row],[Customer Gender]]="M","Male", orders[[#This Row],[Customer Gender]]="F","Female", orders[[#This Row],[Customer Gender]]="O","Other", TRUE(),"Unknown")</f>
        <v>Female</v>
      </c>
    </row>
    <row r="395" spans="1:15" x14ac:dyDescent="0.25">
      <c r="A395" t="s">
        <v>623</v>
      </c>
      <c r="B395" t="s">
        <v>76</v>
      </c>
      <c r="C395">
        <v>2</v>
      </c>
      <c r="D395">
        <v>69.3</v>
      </c>
      <c r="E395">
        <v>138.6</v>
      </c>
      <c r="F395" s="58">
        <v>45675</v>
      </c>
      <c r="G395" s="58">
        <v>45678</v>
      </c>
      <c r="H395" t="s">
        <v>229</v>
      </c>
      <c r="I395" t="s">
        <v>63</v>
      </c>
      <c r="J395">
        <v>3</v>
      </c>
      <c r="K395" t="s">
        <v>103</v>
      </c>
      <c r="L395" t="s">
        <v>161</v>
      </c>
      <c r="M395">
        <f>orders[[#This Row],[Ship Date]]-orders[[#This Row],[Order Date]]</f>
        <v>3</v>
      </c>
      <c r="N395">
        <f>WEEKNUM(orders[[#This Row],[Order Date]],1)</f>
        <v>3</v>
      </c>
      <c r="O395" t="str">
        <f t="array" ref="O395">_xlfn.IFS(orders[[#This Row],[Customer Gender]]="M","Male", orders[[#This Row],[Customer Gender]]="F","Female", orders[[#This Row],[Customer Gender]]="O","Other", TRUE(),"Unknown")</f>
        <v>Male</v>
      </c>
    </row>
    <row r="396" spans="1:15" x14ac:dyDescent="0.25">
      <c r="A396" t="s">
        <v>624</v>
      </c>
      <c r="B396" t="s">
        <v>85</v>
      </c>
      <c r="C396">
        <v>5</v>
      </c>
      <c r="D396">
        <v>81</v>
      </c>
      <c r="E396">
        <v>405</v>
      </c>
      <c r="F396" s="58">
        <v>45675</v>
      </c>
      <c r="G396" s="58">
        <v>45681</v>
      </c>
      <c r="H396" t="s">
        <v>229</v>
      </c>
      <c r="I396" t="s">
        <v>60</v>
      </c>
      <c r="J396">
        <v>4</v>
      </c>
      <c r="K396" t="s">
        <v>103</v>
      </c>
      <c r="L396" t="s">
        <v>106</v>
      </c>
      <c r="M396">
        <f>orders[[#This Row],[Ship Date]]-orders[[#This Row],[Order Date]]</f>
        <v>6</v>
      </c>
      <c r="N396">
        <f>WEEKNUM(orders[[#This Row],[Order Date]],1)</f>
        <v>3</v>
      </c>
      <c r="O396" t="str">
        <f t="array" ref="O396">_xlfn.IFS(orders[[#This Row],[Customer Gender]]="M","Male", orders[[#This Row],[Customer Gender]]="F","Female", orders[[#This Row],[Customer Gender]]="O","Other", TRUE(),"Unknown")</f>
        <v>Male</v>
      </c>
    </row>
    <row r="397" spans="1:15" x14ac:dyDescent="0.25">
      <c r="A397" t="s">
        <v>625</v>
      </c>
      <c r="B397" t="s">
        <v>77</v>
      </c>
      <c r="C397">
        <v>3</v>
      </c>
      <c r="D397">
        <v>41.5</v>
      </c>
      <c r="E397">
        <v>124.5</v>
      </c>
      <c r="F397" s="58">
        <v>45675</v>
      </c>
      <c r="G397" s="58">
        <v>45677</v>
      </c>
      <c r="H397" t="s">
        <v>263</v>
      </c>
      <c r="I397" t="s">
        <v>63</v>
      </c>
      <c r="J397">
        <v>4</v>
      </c>
      <c r="K397" t="s">
        <v>103</v>
      </c>
      <c r="L397" t="s">
        <v>106</v>
      </c>
      <c r="M397">
        <f>orders[[#This Row],[Ship Date]]-orders[[#This Row],[Order Date]]</f>
        <v>2</v>
      </c>
      <c r="N397">
        <f>WEEKNUM(orders[[#This Row],[Order Date]],1)</f>
        <v>3</v>
      </c>
      <c r="O397" t="str">
        <f t="array" ref="O397">_xlfn.IFS(orders[[#This Row],[Customer Gender]]="M","Male", orders[[#This Row],[Customer Gender]]="F","Female", orders[[#This Row],[Customer Gender]]="O","Other", TRUE(),"Unknown")</f>
        <v>Other</v>
      </c>
    </row>
    <row r="398" spans="1:15" x14ac:dyDescent="0.25">
      <c r="A398" t="s">
        <v>626</v>
      </c>
      <c r="B398" t="s">
        <v>82</v>
      </c>
      <c r="C398">
        <v>2</v>
      </c>
      <c r="D398">
        <v>69.7</v>
      </c>
      <c r="E398">
        <v>139.4</v>
      </c>
      <c r="F398" s="58">
        <v>45675</v>
      </c>
      <c r="G398" s="58">
        <v>45680</v>
      </c>
      <c r="H398" t="s">
        <v>229</v>
      </c>
      <c r="I398" t="s">
        <v>63</v>
      </c>
      <c r="J398">
        <v>4</v>
      </c>
      <c r="K398" t="s">
        <v>103</v>
      </c>
      <c r="L398" t="s">
        <v>106</v>
      </c>
      <c r="M398">
        <f>orders[[#This Row],[Ship Date]]-orders[[#This Row],[Order Date]]</f>
        <v>5</v>
      </c>
      <c r="N398">
        <f>WEEKNUM(orders[[#This Row],[Order Date]],1)</f>
        <v>3</v>
      </c>
      <c r="O398" t="str">
        <f t="array" ref="O398">_xlfn.IFS(orders[[#This Row],[Customer Gender]]="M","Male", orders[[#This Row],[Customer Gender]]="F","Female", orders[[#This Row],[Customer Gender]]="O","Other", TRUE(),"Unknown")</f>
        <v>Male</v>
      </c>
    </row>
    <row r="399" spans="1:15" x14ac:dyDescent="0.25">
      <c r="A399" t="s">
        <v>627</v>
      </c>
      <c r="B399" t="s">
        <v>87</v>
      </c>
      <c r="C399">
        <v>5</v>
      </c>
      <c r="D399">
        <v>83.6</v>
      </c>
      <c r="E399">
        <v>418</v>
      </c>
      <c r="F399" s="58">
        <v>45675</v>
      </c>
      <c r="G399" s="58">
        <v>45675</v>
      </c>
      <c r="H399" t="s">
        <v>231</v>
      </c>
      <c r="I399" t="s">
        <v>61</v>
      </c>
      <c r="J399">
        <v>4</v>
      </c>
      <c r="K399" t="s">
        <v>103</v>
      </c>
      <c r="L399" t="s">
        <v>112</v>
      </c>
      <c r="M399">
        <f>orders[[#This Row],[Ship Date]]-orders[[#This Row],[Order Date]]</f>
        <v>0</v>
      </c>
      <c r="N399">
        <f>WEEKNUM(orders[[#This Row],[Order Date]],1)</f>
        <v>3</v>
      </c>
      <c r="O399" t="str">
        <f t="array" ref="O399">_xlfn.IFS(orders[[#This Row],[Customer Gender]]="M","Male", orders[[#This Row],[Customer Gender]]="F","Female", orders[[#This Row],[Customer Gender]]="O","Other", TRUE(),"Unknown")</f>
        <v>Female</v>
      </c>
    </row>
    <row r="400" spans="1:15" x14ac:dyDescent="0.25">
      <c r="A400" t="s">
        <v>628</v>
      </c>
      <c r="B400" t="s">
        <v>90</v>
      </c>
      <c r="C400">
        <v>7</v>
      </c>
      <c r="D400">
        <v>21.5</v>
      </c>
      <c r="E400">
        <v>150.5</v>
      </c>
      <c r="F400" s="58">
        <v>45675</v>
      </c>
      <c r="G400" s="58">
        <v>45677</v>
      </c>
      <c r="H400" t="s">
        <v>229</v>
      </c>
      <c r="I400" t="s">
        <v>63</v>
      </c>
      <c r="J400">
        <v>2</v>
      </c>
      <c r="K400" t="s">
        <v>103</v>
      </c>
      <c r="L400" t="s">
        <v>121</v>
      </c>
      <c r="M400">
        <f>orders[[#This Row],[Ship Date]]-orders[[#This Row],[Order Date]]</f>
        <v>2</v>
      </c>
      <c r="N400">
        <f>WEEKNUM(orders[[#This Row],[Order Date]],1)</f>
        <v>3</v>
      </c>
      <c r="O400" t="str">
        <f t="array" ref="O400">_xlfn.IFS(orders[[#This Row],[Customer Gender]]="M","Male", orders[[#This Row],[Customer Gender]]="F","Female", orders[[#This Row],[Customer Gender]]="O","Other", TRUE(),"Unknown")</f>
        <v>Male</v>
      </c>
    </row>
    <row r="401" spans="1:15" x14ac:dyDescent="0.25">
      <c r="A401" t="s">
        <v>629</v>
      </c>
      <c r="B401" t="s">
        <v>90</v>
      </c>
      <c r="C401">
        <v>8</v>
      </c>
      <c r="D401">
        <v>28.6</v>
      </c>
      <c r="E401">
        <v>228.8</v>
      </c>
      <c r="F401" s="58">
        <v>45675</v>
      </c>
      <c r="G401" s="58">
        <v>45676</v>
      </c>
      <c r="H401" t="s">
        <v>229</v>
      </c>
      <c r="I401" t="s">
        <v>59</v>
      </c>
      <c r="J401">
        <v>4</v>
      </c>
      <c r="K401" t="s">
        <v>103</v>
      </c>
      <c r="L401" t="s">
        <v>124</v>
      </c>
      <c r="M401">
        <f>orders[[#This Row],[Ship Date]]-orders[[#This Row],[Order Date]]</f>
        <v>1</v>
      </c>
      <c r="N401">
        <f>WEEKNUM(orders[[#This Row],[Order Date]],1)</f>
        <v>3</v>
      </c>
      <c r="O401" t="str">
        <f t="array" ref="O401">_xlfn.IFS(orders[[#This Row],[Customer Gender]]="M","Male", orders[[#This Row],[Customer Gender]]="F","Female", orders[[#This Row],[Customer Gender]]="O","Other", TRUE(),"Unknown")</f>
        <v>Male</v>
      </c>
    </row>
    <row r="402" spans="1:15" x14ac:dyDescent="0.25">
      <c r="A402" t="s">
        <v>630</v>
      </c>
      <c r="B402" t="s">
        <v>90</v>
      </c>
      <c r="C402">
        <v>6</v>
      </c>
      <c r="D402">
        <v>18.8</v>
      </c>
      <c r="E402">
        <v>112.8</v>
      </c>
      <c r="F402" s="58">
        <v>45675</v>
      </c>
      <c r="G402" s="58">
        <v>45678</v>
      </c>
      <c r="H402" t="s">
        <v>229</v>
      </c>
      <c r="I402" t="s">
        <v>60</v>
      </c>
      <c r="J402">
        <v>5</v>
      </c>
      <c r="K402" t="s">
        <v>103</v>
      </c>
      <c r="L402" t="s">
        <v>124</v>
      </c>
      <c r="M402">
        <f>orders[[#This Row],[Ship Date]]-orders[[#This Row],[Order Date]]</f>
        <v>3</v>
      </c>
      <c r="N402">
        <f>WEEKNUM(orders[[#This Row],[Order Date]],1)</f>
        <v>3</v>
      </c>
      <c r="O402" t="str">
        <f t="array" ref="O402">_xlfn.IFS(orders[[#This Row],[Customer Gender]]="M","Male", orders[[#This Row],[Customer Gender]]="F","Female", orders[[#This Row],[Customer Gender]]="O","Other", TRUE(),"Unknown")</f>
        <v>Male</v>
      </c>
    </row>
    <row r="403" spans="1:15" x14ac:dyDescent="0.25">
      <c r="A403" t="s">
        <v>631</v>
      </c>
      <c r="B403" t="s">
        <v>75</v>
      </c>
      <c r="C403">
        <v>4</v>
      </c>
      <c r="D403">
        <v>35.1</v>
      </c>
      <c r="E403">
        <v>140.4</v>
      </c>
      <c r="F403" s="58">
        <v>45675</v>
      </c>
      <c r="G403" s="58">
        <v>45675</v>
      </c>
      <c r="H403" t="s">
        <v>231</v>
      </c>
      <c r="I403" t="s">
        <v>63</v>
      </c>
      <c r="J403">
        <v>3</v>
      </c>
      <c r="K403" t="s">
        <v>103</v>
      </c>
      <c r="L403" t="s">
        <v>124</v>
      </c>
      <c r="M403">
        <f>orders[[#This Row],[Ship Date]]-orders[[#This Row],[Order Date]]</f>
        <v>0</v>
      </c>
      <c r="N403">
        <f>WEEKNUM(orders[[#This Row],[Order Date]],1)</f>
        <v>3</v>
      </c>
      <c r="O403" t="str">
        <f t="array" ref="O403">_xlfn.IFS(orders[[#This Row],[Customer Gender]]="M","Male", orders[[#This Row],[Customer Gender]]="F","Female", orders[[#This Row],[Customer Gender]]="O","Other", TRUE(),"Unknown")</f>
        <v>Female</v>
      </c>
    </row>
    <row r="404" spans="1:15" x14ac:dyDescent="0.25">
      <c r="A404" t="s">
        <v>632</v>
      </c>
      <c r="B404" t="s">
        <v>86</v>
      </c>
      <c r="C404">
        <v>2</v>
      </c>
      <c r="D404">
        <v>12.7</v>
      </c>
      <c r="E404">
        <v>25.4</v>
      </c>
      <c r="F404" s="58">
        <v>45675</v>
      </c>
      <c r="G404" s="58">
        <v>45677</v>
      </c>
      <c r="H404" t="s">
        <v>231</v>
      </c>
      <c r="I404" t="s">
        <v>63</v>
      </c>
      <c r="J404">
        <v>5</v>
      </c>
      <c r="K404" t="s">
        <v>103</v>
      </c>
      <c r="L404" t="s">
        <v>124</v>
      </c>
      <c r="M404">
        <f>orders[[#This Row],[Ship Date]]-orders[[#This Row],[Order Date]]</f>
        <v>2</v>
      </c>
      <c r="N404">
        <f>WEEKNUM(orders[[#This Row],[Order Date]],1)</f>
        <v>3</v>
      </c>
      <c r="O404" t="str">
        <f t="array" ref="O404">_xlfn.IFS(orders[[#This Row],[Customer Gender]]="M","Male", orders[[#This Row],[Customer Gender]]="F","Female", orders[[#This Row],[Customer Gender]]="O","Other", TRUE(),"Unknown")</f>
        <v>Female</v>
      </c>
    </row>
    <row r="405" spans="1:15" x14ac:dyDescent="0.25">
      <c r="A405" t="s">
        <v>633</v>
      </c>
      <c r="B405" t="s">
        <v>90</v>
      </c>
      <c r="C405">
        <v>5</v>
      </c>
      <c r="D405">
        <v>27.4</v>
      </c>
      <c r="E405">
        <v>137</v>
      </c>
      <c r="F405" s="58">
        <v>45675</v>
      </c>
      <c r="G405" s="58">
        <v>45677</v>
      </c>
      <c r="H405" t="s">
        <v>263</v>
      </c>
      <c r="I405" t="s">
        <v>59</v>
      </c>
      <c r="J405">
        <v>4</v>
      </c>
      <c r="K405" t="s">
        <v>103</v>
      </c>
      <c r="L405" t="s">
        <v>124</v>
      </c>
      <c r="M405">
        <f>orders[[#This Row],[Ship Date]]-orders[[#This Row],[Order Date]]</f>
        <v>2</v>
      </c>
      <c r="N405">
        <f>WEEKNUM(orders[[#This Row],[Order Date]],1)</f>
        <v>3</v>
      </c>
      <c r="O405" t="str">
        <f t="array" ref="O405">_xlfn.IFS(orders[[#This Row],[Customer Gender]]="M","Male", orders[[#This Row],[Customer Gender]]="F","Female", orders[[#This Row],[Customer Gender]]="O","Other", TRUE(),"Unknown")</f>
        <v>Other</v>
      </c>
    </row>
    <row r="406" spans="1:15" x14ac:dyDescent="0.25">
      <c r="A406" t="s">
        <v>634</v>
      </c>
      <c r="B406" t="s">
        <v>75</v>
      </c>
      <c r="C406">
        <v>2</v>
      </c>
      <c r="D406">
        <v>61.3</v>
      </c>
      <c r="E406">
        <v>122.6</v>
      </c>
      <c r="F406" s="58">
        <v>45675</v>
      </c>
      <c r="G406" s="58">
        <v>45676</v>
      </c>
      <c r="H406" t="s">
        <v>231</v>
      </c>
      <c r="I406" t="s">
        <v>63</v>
      </c>
      <c r="J406">
        <v>4</v>
      </c>
      <c r="K406" t="s">
        <v>103</v>
      </c>
      <c r="L406" t="s">
        <v>139</v>
      </c>
      <c r="M406">
        <f>orders[[#This Row],[Ship Date]]-orders[[#This Row],[Order Date]]</f>
        <v>1</v>
      </c>
      <c r="N406">
        <f>WEEKNUM(orders[[#This Row],[Order Date]],1)</f>
        <v>3</v>
      </c>
      <c r="O406" t="str">
        <f t="array" ref="O406">_xlfn.IFS(orders[[#This Row],[Customer Gender]]="M","Male", orders[[#This Row],[Customer Gender]]="F","Female", orders[[#This Row],[Customer Gender]]="O","Other", TRUE(),"Unknown")</f>
        <v>Female</v>
      </c>
    </row>
    <row r="407" spans="1:15" x14ac:dyDescent="0.25">
      <c r="A407" t="s">
        <v>635</v>
      </c>
      <c r="B407" t="s">
        <v>90</v>
      </c>
      <c r="C407">
        <v>2</v>
      </c>
      <c r="D407">
        <v>64.7</v>
      </c>
      <c r="E407">
        <v>129.4</v>
      </c>
      <c r="F407" s="58">
        <v>45675</v>
      </c>
      <c r="G407" s="58">
        <v>45677</v>
      </c>
      <c r="H407" t="s">
        <v>231</v>
      </c>
      <c r="I407" t="s">
        <v>60</v>
      </c>
      <c r="J407">
        <v>5</v>
      </c>
      <c r="K407" t="s">
        <v>103</v>
      </c>
      <c r="L407" t="s">
        <v>139</v>
      </c>
      <c r="M407">
        <f>orders[[#This Row],[Ship Date]]-orders[[#This Row],[Order Date]]</f>
        <v>2</v>
      </c>
      <c r="N407">
        <f>WEEKNUM(orders[[#This Row],[Order Date]],1)</f>
        <v>3</v>
      </c>
      <c r="O407" t="str">
        <f t="array" ref="O407">_xlfn.IFS(orders[[#This Row],[Customer Gender]]="M","Male", orders[[#This Row],[Customer Gender]]="F","Female", orders[[#This Row],[Customer Gender]]="O","Other", TRUE(),"Unknown")</f>
        <v>Female</v>
      </c>
    </row>
    <row r="408" spans="1:15" x14ac:dyDescent="0.25">
      <c r="A408" t="s">
        <v>636</v>
      </c>
      <c r="B408" t="s">
        <v>79</v>
      </c>
      <c r="C408">
        <v>4</v>
      </c>
      <c r="D408">
        <v>91.4</v>
      </c>
      <c r="E408">
        <v>365.6</v>
      </c>
      <c r="F408" s="58">
        <v>45675</v>
      </c>
      <c r="G408" s="58">
        <v>45677</v>
      </c>
      <c r="H408" t="s">
        <v>231</v>
      </c>
      <c r="I408" t="s">
        <v>59</v>
      </c>
      <c r="J408">
        <v>4</v>
      </c>
      <c r="K408" t="s">
        <v>103</v>
      </c>
      <c r="L408" t="s">
        <v>142</v>
      </c>
      <c r="M408">
        <f>orders[[#This Row],[Ship Date]]-orders[[#This Row],[Order Date]]</f>
        <v>2</v>
      </c>
      <c r="N408">
        <f>WEEKNUM(orders[[#This Row],[Order Date]],1)</f>
        <v>3</v>
      </c>
      <c r="O408" t="str">
        <f t="array" ref="O408">_xlfn.IFS(orders[[#This Row],[Customer Gender]]="M","Male", orders[[#This Row],[Customer Gender]]="F","Female", orders[[#This Row],[Customer Gender]]="O","Other", TRUE(),"Unknown")</f>
        <v>Female</v>
      </c>
    </row>
    <row r="409" spans="1:15" x14ac:dyDescent="0.25">
      <c r="A409" t="s">
        <v>637</v>
      </c>
      <c r="B409" t="s">
        <v>86</v>
      </c>
      <c r="C409">
        <v>2</v>
      </c>
      <c r="D409">
        <v>33.1</v>
      </c>
      <c r="E409">
        <v>66.2</v>
      </c>
      <c r="F409" s="58">
        <v>45676</v>
      </c>
      <c r="G409" s="58">
        <v>45677</v>
      </c>
      <c r="H409" t="s">
        <v>229</v>
      </c>
      <c r="I409" t="s">
        <v>59</v>
      </c>
      <c r="J409">
        <v>5</v>
      </c>
      <c r="K409" t="s">
        <v>103</v>
      </c>
      <c r="L409" t="s">
        <v>142</v>
      </c>
      <c r="M409">
        <f>orders[[#This Row],[Ship Date]]-orders[[#This Row],[Order Date]]</f>
        <v>1</v>
      </c>
      <c r="N409">
        <f>WEEKNUM(orders[[#This Row],[Order Date]],1)</f>
        <v>4</v>
      </c>
      <c r="O409" t="str">
        <f t="array" ref="O409">_xlfn.IFS(orders[[#This Row],[Customer Gender]]="M","Male", orders[[#This Row],[Customer Gender]]="F","Female", orders[[#This Row],[Customer Gender]]="O","Other", TRUE(),"Unknown")</f>
        <v>Male</v>
      </c>
    </row>
    <row r="410" spans="1:15" x14ac:dyDescent="0.25">
      <c r="A410" t="s">
        <v>638</v>
      </c>
      <c r="B410" t="s">
        <v>93</v>
      </c>
      <c r="C410">
        <v>2</v>
      </c>
      <c r="D410">
        <v>105.6</v>
      </c>
      <c r="E410">
        <v>211.2</v>
      </c>
      <c r="F410" s="58">
        <v>45676</v>
      </c>
      <c r="G410" s="58">
        <v>45677</v>
      </c>
      <c r="H410" t="s">
        <v>229</v>
      </c>
      <c r="I410" t="s">
        <v>62</v>
      </c>
      <c r="J410">
        <v>3</v>
      </c>
      <c r="K410" t="s">
        <v>103</v>
      </c>
      <c r="L410" t="s">
        <v>142</v>
      </c>
      <c r="M410">
        <f>orders[[#This Row],[Ship Date]]-orders[[#This Row],[Order Date]]</f>
        <v>1</v>
      </c>
      <c r="N410">
        <f>WEEKNUM(orders[[#This Row],[Order Date]],1)</f>
        <v>4</v>
      </c>
      <c r="O410" t="str">
        <f t="array" ref="O410">_xlfn.IFS(orders[[#This Row],[Customer Gender]]="M","Male", orders[[#This Row],[Customer Gender]]="F","Female", orders[[#This Row],[Customer Gender]]="O","Other", TRUE(),"Unknown")</f>
        <v>Male</v>
      </c>
    </row>
    <row r="411" spans="1:15" x14ac:dyDescent="0.25">
      <c r="A411" t="s">
        <v>639</v>
      </c>
      <c r="B411" t="s">
        <v>75</v>
      </c>
      <c r="C411">
        <v>3</v>
      </c>
      <c r="D411">
        <v>46.4</v>
      </c>
      <c r="E411">
        <v>139.19999999999999</v>
      </c>
      <c r="F411" s="58">
        <v>45676</v>
      </c>
      <c r="G411" s="58">
        <v>45677</v>
      </c>
      <c r="H411" t="s">
        <v>229</v>
      </c>
      <c r="I411" t="s">
        <v>62</v>
      </c>
      <c r="J411">
        <v>4</v>
      </c>
      <c r="K411" t="s">
        <v>103</v>
      </c>
      <c r="L411" t="s">
        <v>146</v>
      </c>
      <c r="M411">
        <f>orders[[#This Row],[Ship Date]]-orders[[#This Row],[Order Date]]</f>
        <v>1</v>
      </c>
      <c r="N411">
        <f>WEEKNUM(orders[[#This Row],[Order Date]],1)</f>
        <v>4</v>
      </c>
      <c r="O411" t="str">
        <f t="array" ref="O411">_xlfn.IFS(orders[[#This Row],[Customer Gender]]="M","Male", orders[[#This Row],[Customer Gender]]="F","Female", orders[[#This Row],[Customer Gender]]="O","Other", TRUE(),"Unknown")</f>
        <v>Male</v>
      </c>
    </row>
    <row r="412" spans="1:15" x14ac:dyDescent="0.25">
      <c r="A412" t="s">
        <v>640</v>
      </c>
      <c r="B412" t="s">
        <v>88</v>
      </c>
      <c r="C412">
        <v>14</v>
      </c>
      <c r="D412">
        <v>35.299999999999997</v>
      </c>
      <c r="E412">
        <v>494.2</v>
      </c>
      <c r="F412" s="58">
        <v>45676</v>
      </c>
      <c r="G412" s="58">
        <v>45679</v>
      </c>
      <c r="H412" t="s">
        <v>231</v>
      </c>
      <c r="I412" t="s">
        <v>61</v>
      </c>
      <c r="J412">
        <v>3</v>
      </c>
      <c r="K412" t="s">
        <v>103</v>
      </c>
      <c r="L412" t="s">
        <v>148</v>
      </c>
      <c r="M412">
        <f>orders[[#This Row],[Ship Date]]-orders[[#This Row],[Order Date]]</f>
        <v>3</v>
      </c>
      <c r="N412">
        <f>WEEKNUM(orders[[#This Row],[Order Date]],1)</f>
        <v>4</v>
      </c>
      <c r="O412" t="str">
        <f t="array" ref="O412">_xlfn.IFS(orders[[#This Row],[Customer Gender]]="M","Male", orders[[#This Row],[Customer Gender]]="F","Female", orders[[#This Row],[Customer Gender]]="O","Other", TRUE(),"Unknown")</f>
        <v>Female</v>
      </c>
    </row>
    <row r="413" spans="1:15" x14ac:dyDescent="0.25">
      <c r="A413" t="s">
        <v>641</v>
      </c>
      <c r="B413" t="s">
        <v>86</v>
      </c>
      <c r="C413">
        <v>2</v>
      </c>
      <c r="D413">
        <v>16.100000000000001</v>
      </c>
      <c r="E413">
        <v>32.200000000000003</v>
      </c>
      <c r="F413" s="58">
        <v>45676</v>
      </c>
      <c r="G413" s="58">
        <v>45678</v>
      </c>
      <c r="H413" t="s">
        <v>229</v>
      </c>
      <c r="I413" t="s">
        <v>60</v>
      </c>
      <c r="J413">
        <v>5</v>
      </c>
      <c r="K413" t="s">
        <v>103</v>
      </c>
      <c r="L413" t="s">
        <v>149</v>
      </c>
      <c r="M413">
        <f>orders[[#This Row],[Ship Date]]-orders[[#This Row],[Order Date]]</f>
        <v>2</v>
      </c>
      <c r="N413">
        <f>WEEKNUM(orders[[#This Row],[Order Date]],1)</f>
        <v>4</v>
      </c>
      <c r="O413" t="str">
        <f t="array" ref="O413">_xlfn.IFS(orders[[#This Row],[Customer Gender]]="M","Male", orders[[#This Row],[Customer Gender]]="F","Female", orders[[#This Row],[Customer Gender]]="O","Other", TRUE(),"Unknown")</f>
        <v>Male</v>
      </c>
    </row>
    <row r="414" spans="1:15" x14ac:dyDescent="0.25">
      <c r="A414" t="s">
        <v>642</v>
      </c>
      <c r="B414" t="s">
        <v>78</v>
      </c>
      <c r="C414">
        <v>2</v>
      </c>
      <c r="D414">
        <v>27.9</v>
      </c>
      <c r="E414">
        <v>55.8</v>
      </c>
      <c r="F414" s="58">
        <v>45676</v>
      </c>
      <c r="G414" s="58">
        <v>45679</v>
      </c>
      <c r="H414" t="s">
        <v>229</v>
      </c>
      <c r="I414" t="s">
        <v>59</v>
      </c>
      <c r="J414">
        <v>4</v>
      </c>
      <c r="K414" t="s">
        <v>103</v>
      </c>
      <c r="L414" t="s">
        <v>161</v>
      </c>
      <c r="M414">
        <f>orders[[#This Row],[Ship Date]]-orders[[#This Row],[Order Date]]</f>
        <v>3</v>
      </c>
      <c r="N414">
        <f>WEEKNUM(orders[[#This Row],[Order Date]],1)</f>
        <v>4</v>
      </c>
      <c r="O414" t="str">
        <f t="array" ref="O414">_xlfn.IFS(orders[[#This Row],[Customer Gender]]="M","Male", orders[[#This Row],[Customer Gender]]="F","Female", orders[[#This Row],[Customer Gender]]="O","Other", TRUE(),"Unknown")</f>
        <v>Male</v>
      </c>
    </row>
    <row r="415" spans="1:15" x14ac:dyDescent="0.25">
      <c r="A415" t="s">
        <v>643</v>
      </c>
      <c r="B415" t="s">
        <v>90</v>
      </c>
      <c r="C415">
        <v>1</v>
      </c>
      <c r="D415">
        <v>47.1</v>
      </c>
      <c r="E415">
        <v>47.1</v>
      </c>
      <c r="F415" s="58">
        <v>45676</v>
      </c>
      <c r="G415" s="58">
        <v>45684</v>
      </c>
      <c r="H415" t="s">
        <v>231</v>
      </c>
      <c r="I415" t="s">
        <v>63</v>
      </c>
      <c r="J415">
        <v>4</v>
      </c>
      <c r="K415" t="s">
        <v>103</v>
      </c>
      <c r="L415" t="s">
        <v>115</v>
      </c>
      <c r="M415">
        <f>orders[[#This Row],[Ship Date]]-orders[[#This Row],[Order Date]]</f>
        <v>8</v>
      </c>
      <c r="N415">
        <f>WEEKNUM(orders[[#This Row],[Order Date]],1)</f>
        <v>4</v>
      </c>
      <c r="O415" t="str">
        <f t="array" ref="O415">_xlfn.IFS(orders[[#This Row],[Customer Gender]]="M","Male", orders[[#This Row],[Customer Gender]]="F","Female", orders[[#This Row],[Customer Gender]]="O","Other", TRUE(),"Unknown")</f>
        <v>Female</v>
      </c>
    </row>
    <row r="416" spans="1:15" x14ac:dyDescent="0.25">
      <c r="A416" t="s">
        <v>644</v>
      </c>
      <c r="B416" t="s">
        <v>80</v>
      </c>
      <c r="C416">
        <v>2</v>
      </c>
      <c r="D416">
        <v>85</v>
      </c>
      <c r="E416">
        <v>170</v>
      </c>
      <c r="F416" s="58">
        <v>45676</v>
      </c>
      <c r="G416" s="58">
        <v>45679</v>
      </c>
      <c r="I416" t="s">
        <v>62</v>
      </c>
      <c r="J416">
        <v>5</v>
      </c>
      <c r="K416" t="s">
        <v>103</v>
      </c>
      <c r="L416" t="s">
        <v>120</v>
      </c>
      <c r="M416">
        <f>orders[[#This Row],[Ship Date]]-orders[[#This Row],[Order Date]]</f>
        <v>3</v>
      </c>
      <c r="N416">
        <f>WEEKNUM(orders[[#This Row],[Order Date]],1)</f>
        <v>4</v>
      </c>
      <c r="O416" t="str">
        <f t="array" ref="O416">_xlfn.IFS(orders[[#This Row],[Customer Gender]]="M","Male", orders[[#This Row],[Customer Gender]]="F","Female", orders[[#This Row],[Customer Gender]]="O","Other", TRUE(),"Unknown")</f>
        <v>Unknown</v>
      </c>
    </row>
    <row r="417" spans="1:15" x14ac:dyDescent="0.25">
      <c r="A417" t="s">
        <v>645</v>
      </c>
      <c r="B417" t="s">
        <v>82</v>
      </c>
      <c r="C417">
        <v>2</v>
      </c>
      <c r="D417">
        <v>89</v>
      </c>
      <c r="E417">
        <v>178</v>
      </c>
      <c r="F417" s="58">
        <v>45676</v>
      </c>
      <c r="G417" s="58">
        <v>45678</v>
      </c>
      <c r="H417" t="s">
        <v>231</v>
      </c>
      <c r="I417" t="s">
        <v>59</v>
      </c>
      <c r="J417">
        <v>4</v>
      </c>
      <c r="K417" t="s">
        <v>103</v>
      </c>
      <c r="L417" t="s">
        <v>124</v>
      </c>
      <c r="M417">
        <f>orders[[#This Row],[Ship Date]]-orders[[#This Row],[Order Date]]</f>
        <v>2</v>
      </c>
      <c r="N417">
        <f>WEEKNUM(orders[[#This Row],[Order Date]],1)</f>
        <v>4</v>
      </c>
      <c r="O417" t="str">
        <f t="array" ref="O417">_xlfn.IFS(orders[[#This Row],[Customer Gender]]="M","Male", orders[[#This Row],[Customer Gender]]="F","Female", orders[[#This Row],[Customer Gender]]="O","Other", TRUE(),"Unknown")</f>
        <v>Female</v>
      </c>
    </row>
    <row r="418" spans="1:15" x14ac:dyDescent="0.25">
      <c r="A418" t="s">
        <v>646</v>
      </c>
      <c r="B418" t="s">
        <v>89</v>
      </c>
      <c r="C418">
        <v>3</v>
      </c>
      <c r="D418">
        <v>36.6</v>
      </c>
      <c r="E418">
        <v>109.8</v>
      </c>
      <c r="F418" s="58">
        <v>45676</v>
      </c>
      <c r="G418" s="58">
        <v>45677</v>
      </c>
      <c r="H418" t="s">
        <v>263</v>
      </c>
      <c r="I418" t="s">
        <v>60</v>
      </c>
      <c r="J418">
        <v>5</v>
      </c>
      <c r="K418" t="s">
        <v>103</v>
      </c>
      <c r="L418" t="s">
        <v>124</v>
      </c>
      <c r="M418">
        <f>orders[[#This Row],[Ship Date]]-orders[[#This Row],[Order Date]]</f>
        <v>1</v>
      </c>
      <c r="N418">
        <f>WEEKNUM(orders[[#This Row],[Order Date]],1)</f>
        <v>4</v>
      </c>
      <c r="O418" t="str">
        <f t="array" ref="O418">_xlfn.IFS(orders[[#This Row],[Customer Gender]]="M","Male", orders[[#This Row],[Customer Gender]]="F","Female", orders[[#This Row],[Customer Gender]]="O","Other", TRUE(),"Unknown")</f>
        <v>Other</v>
      </c>
    </row>
    <row r="419" spans="1:15" x14ac:dyDescent="0.25">
      <c r="A419" t="s">
        <v>647</v>
      </c>
      <c r="B419" t="s">
        <v>80</v>
      </c>
      <c r="C419">
        <v>7</v>
      </c>
      <c r="D419">
        <v>43.5</v>
      </c>
      <c r="E419">
        <v>304.5</v>
      </c>
      <c r="F419" s="58">
        <v>45676</v>
      </c>
      <c r="G419" s="58">
        <v>45677</v>
      </c>
      <c r="H419" t="s">
        <v>229</v>
      </c>
      <c r="I419" t="s">
        <v>63</v>
      </c>
      <c r="J419">
        <v>5</v>
      </c>
      <c r="K419" t="s">
        <v>103</v>
      </c>
      <c r="L419" t="s">
        <v>124</v>
      </c>
      <c r="M419">
        <f>orders[[#This Row],[Ship Date]]-orders[[#This Row],[Order Date]]</f>
        <v>1</v>
      </c>
      <c r="N419">
        <f>WEEKNUM(orders[[#This Row],[Order Date]],1)</f>
        <v>4</v>
      </c>
      <c r="O419" t="str">
        <f t="array" ref="O419">_xlfn.IFS(orders[[#This Row],[Customer Gender]]="M","Male", orders[[#This Row],[Customer Gender]]="F","Female", orders[[#This Row],[Customer Gender]]="O","Other", TRUE(),"Unknown")</f>
        <v>Male</v>
      </c>
    </row>
    <row r="420" spans="1:15" x14ac:dyDescent="0.25">
      <c r="A420" t="s">
        <v>648</v>
      </c>
      <c r="B420" t="s">
        <v>88</v>
      </c>
      <c r="C420">
        <v>19</v>
      </c>
      <c r="D420">
        <v>30.5</v>
      </c>
      <c r="E420">
        <v>579.5</v>
      </c>
      <c r="F420" s="58">
        <v>45676</v>
      </c>
      <c r="G420" s="58">
        <v>45676</v>
      </c>
      <c r="H420" t="s">
        <v>231</v>
      </c>
      <c r="I420" t="s">
        <v>60</v>
      </c>
      <c r="J420">
        <v>4</v>
      </c>
      <c r="K420" t="s">
        <v>103</v>
      </c>
      <c r="L420" t="s">
        <v>124</v>
      </c>
      <c r="M420">
        <f>orders[[#This Row],[Ship Date]]-orders[[#This Row],[Order Date]]</f>
        <v>0</v>
      </c>
      <c r="N420">
        <f>WEEKNUM(orders[[#This Row],[Order Date]],1)</f>
        <v>4</v>
      </c>
      <c r="O420" t="str">
        <f t="array" ref="O420">_xlfn.IFS(orders[[#This Row],[Customer Gender]]="M","Male", orders[[#This Row],[Customer Gender]]="F","Female", orders[[#This Row],[Customer Gender]]="O","Other", TRUE(),"Unknown")</f>
        <v>Female</v>
      </c>
    </row>
    <row r="421" spans="1:15" x14ac:dyDescent="0.25">
      <c r="A421" t="s">
        <v>649</v>
      </c>
      <c r="B421" t="s">
        <v>91</v>
      </c>
      <c r="C421">
        <v>2</v>
      </c>
      <c r="D421">
        <v>107.7</v>
      </c>
      <c r="E421">
        <v>215.4</v>
      </c>
      <c r="F421" s="58">
        <v>45676</v>
      </c>
      <c r="G421" s="58">
        <v>45680</v>
      </c>
      <c r="H421" t="s">
        <v>229</v>
      </c>
      <c r="I421" t="s">
        <v>60</v>
      </c>
      <c r="J421">
        <v>2</v>
      </c>
      <c r="K421" t="s">
        <v>103</v>
      </c>
      <c r="L421" t="s">
        <v>124</v>
      </c>
      <c r="M421">
        <f>orders[[#This Row],[Ship Date]]-orders[[#This Row],[Order Date]]</f>
        <v>4</v>
      </c>
      <c r="N421">
        <f>WEEKNUM(orders[[#This Row],[Order Date]],1)</f>
        <v>4</v>
      </c>
      <c r="O421" t="str">
        <f t="array" ref="O421">_xlfn.IFS(orders[[#This Row],[Customer Gender]]="M","Male", orders[[#This Row],[Customer Gender]]="F","Female", orders[[#This Row],[Customer Gender]]="O","Other", TRUE(),"Unknown")</f>
        <v>Male</v>
      </c>
    </row>
    <row r="422" spans="1:15" x14ac:dyDescent="0.25">
      <c r="A422" t="s">
        <v>650</v>
      </c>
      <c r="B422" t="s">
        <v>84</v>
      </c>
      <c r="C422">
        <v>26</v>
      </c>
      <c r="D422">
        <v>57.1</v>
      </c>
      <c r="E422">
        <v>1484.6</v>
      </c>
      <c r="F422" s="58">
        <v>45676</v>
      </c>
      <c r="G422" s="58">
        <v>45677</v>
      </c>
      <c r="H422" t="s">
        <v>229</v>
      </c>
      <c r="I422" t="s">
        <v>63</v>
      </c>
      <c r="J422">
        <v>4</v>
      </c>
      <c r="K422" t="s">
        <v>103</v>
      </c>
      <c r="L422" t="s">
        <v>124</v>
      </c>
      <c r="M422">
        <f>orders[[#This Row],[Ship Date]]-orders[[#This Row],[Order Date]]</f>
        <v>1</v>
      </c>
      <c r="N422">
        <f>WEEKNUM(orders[[#This Row],[Order Date]],1)</f>
        <v>4</v>
      </c>
      <c r="O422" t="str">
        <f t="array" ref="O422">_xlfn.IFS(orders[[#This Row],[Customer Gender]]="M","Male", orders[[#This Row],[Customer Gender]]="F","Female", orders[[#This Row],[Customer Gender]]="O","Other", TRUE(),"Unknown")</f>
        <v>Male</v>
      </c>
    </row>
    <row r="423" spans="1:15" x14ac:dyDescent="0.25">
      <c r="A423" t="s">
        <v>651</v>
      </c>
      <c r="B423" t="s">
        <v>87</v>
      </c>
      <c r="C423">
        <v>10</v>
      </c>
      <c r="D423">
        <v>111.7</v>
      </c>
      <c r="E423">
        <v>1117</v>
      </c>
      <c r="F423" s="58">
        <v>45676</v>
      </c>
      <c r="G423" s="58">
        <v>45677</v>
      </c>
      <c r="H423" t="s">
        <v>231</v>
      </c>
      <c r="I423" t="s">
        <v>61</v>
      </c>
      <c r="J423">
        <v>5</v>
      </c>
      <c r="K423" t="s">
        <v>103</v>
      </c>
      <c r="L423" t="s">
        <v>124</v>
      </c>
      <c r="M423">
        <f>orders[[#This Row],[Ship Date]]-orders[[#This Row],[Order Date]]</f>
        <v>1</v>
      </c>
      <c r="N423">
        <f>WEEKNUM(orders[[#This Row],[Order Date]],1)</f>
        <v>4</v>
      </c>
      <c r="O423" t="str">
        <f t="array" ref="O423">_xlfn.IFS(orders[[#This Row],[Customer Gender]]="M","Male", orders[[#This Row],[Customer Gender]]="F","Female", orders[[#This Row],[Customer Gender]]="O","Other", TRUE(),"Unknown")</f>
        <v>Female</v>
      </c>
    </row>
    <row r="424" spans="1:15" x14ac:dyDescent="0.25">
      <c r="A424" t="s">
        <v>652</v>
      </c>
      <c r="B424" t="s">
        <v>82</v>
      </c>
      <c r="C424">
        <v>7</v>
      </c>
      <c r="D424">
        <v>44.3</v>
      </c>
      <c r="E424">
        <v>310.10000000000002</v>
      </c>
      <c r="F424" s="58">
        <v>45676</v>
      </c>
      <c r="G424" s="58">
        <v>45679</v>
      </c>
      <c r="H424" t="s">
        <v>229</v>
      </c>
      <c r="I424" t="s">
        <v>60</v>
      </c>
      <c r="J424">
        <v>5</v>
      </c>
      <c r="K424" t="s">
        <v>103</v>
      </c>
      <c r="L424" t="s">
        <v>124</v>
      </c>
      <c r="M424">
        <f>orders[[#This Row],[Ship Date]]-orders[[#This Row],[Order Date]]</f>
        <v>3</v>
      </c>
      <c r="N424">
        <f>WEEKNUM(orders[[#This Row],[Order Date]],1)</f>
        <v>4</v>
      </c>
      <c r="O424" t="str">
        <f t="array" ref="O424">_xlfn.IFS(orders[[#This Row],[Customer Gender]]="M","Male", orders[[#This Row],[Customer Gender]]="F","Female", orders[[#This Row],[Customer Gender]]="O","Other", TRUE(),"Unknown")</f>
        <v>Male</v>
      </c>
    </row>
    <row r="425" spans="1:15" x14ac:dyDescent="0.25">
      <c r="A425" t="s">
        <v>653</v>
      </c>
      <c r="B425" t="s">
        <v>87</v>
      </c>
      <c r="C425">
        <v>8</v>
      </c>
      <c r="D425">
        <v>95.8</v>
      </c>
      <c r="E425">
        <v>766.4</v>
      </c>
      <c r="F425" s="58">
        <v>45676</v>
      </c>
      <c r="G425" s="58">
        <v>45682</v>
      </c>
      <c r="H425" t="s">
        <v>263</v>
      </c>
      <c r="I425" t="s">
        <v>59</v>
      </c>
      <c r="J425">
        <v>4</v>
      </c>
      <c r="K425" t="s">
        <v>103</v>
      </c>
      <c r="L425" t="s">
        <v>124</v>
      </c>
      <c r="M425">
        <f>orders[[#This Row],[Ship Date]]-orders[[#This Row],[Order Date]]</f>
        <v>6</v>
      </c>
      <c r="N425">
        <f>WEEKNUM(orders[[#This Row],[Order Date]],1)</f>
        <v>4</v>
      </c>
      <c r="O425" t="str">
        <f t="array" ref="O425">_xlfn.IFS(orders[[#This Row],[Customer Gender]]="M","Male", orders[[#This Row],[Customer Gender]]="F","Female", orders[[#This Row],[Customer Gender]]="O","Other", TRUE(),"Unknown")</f>
        <v>Other</v>
      </c>
    </row>
    <row r="426" spans="1:15" x14ac:dyDescent="0.25">
      <c r="A426" t="s">
        <v>654</v>
      </c>
      <c r="B426" t="s">
        <v>75</v>
      </c>
      <c r="C426">
        <v>7</v>
      </c>
      <c r="D426">
        <v>22.6</v>
      </c>
      <c r="E426">
        <v>158.19999999999999</v>
      </c>
      <c r="F426" s="58">
        <v>45676</v>
      </c>
      <c r="G426" s="58">
        <v>45679</v>
      </c>
      <c r="H426" t="s">
        <v>231</v>
      </c>
      <c r="I426" t="s">
        <v>60</v>
      </c>
      <c r="J426">
        <v>3</v>
      </c>
      <c r="K426" t="s">
        <v>103</v>
      </c>
      <c r="L426" t="s">
        <v>124</v>
      </c>
      <c r="M426">
        <f>orders[[#This Row],[Ship Date]]-orders[[#This Row],[Order Date]]</f>
        <v>3</v>
      </c>
      <c r="N426">
        <f>WEEKNUM(orders[[#This Row],[Order Date]],1)</f>
        <v>4</v>
      </c>
      <c r="O426" t="str">
        <f t="array" ref="O426">_xlfn.IFS(orders[[#This Row],[Customer Gender]]="M","Male", orders[[#This Row],[Customer Gender]]="F","Female", orders[[#This Row],[Customer Gender]]="O","Other", TRUE(),"Unknown")</f>
        <v>Female</v>
      </c>
    </row>
    <row r="427" spans="1:15" x14ac:dyDescent="0.25">
      <c r="A427" t="s">
        <v>655</v>
      </c>
      <c r="B427" t="s">
        <v>90</v>
      </c>
      <c r="C427">
        <v>8</v>
      </c>
      <c r="D427">
        <v>25.6</v>
      </c>
      <c r="E427">
        <v>204.8</v>
      </c>
      <c r="F427" s="58">
        <v>45676</v>
      </c>
      <c r="G427" s="58">
        <v>45678</v>
      </c>
      <c r="H427" t="s">
        <v>231</v>
      </c>
      <c r="I427" t="s">
        <v>61</v>
      </c>
      <c r="J427">
        <v>4</v>
      </c>
      <c r="K427" t="s">
        <v>103</v>
      </c>
      <c r="L427" t="s">
        <v>124</v>
      </c>
      <c r="M427">
        <f>orders[[#This Row],[Ship Date]]-orders[[#This Row],[Order Date]]</f>
        <v>2</v>
      </c>
      <c r="N427">
        <f>WEEKNUM(orders[[#This Row],[Order Date]],1)</f>
        <v>4</v>
      </c>
      <c r="O427" t="str">
        <f t="array" ref="O427">_xlfn.IFS(orders[[#This Row],[Customer Gender]]="M","Male", orders[[#This Row],[Customer Gender]]="F","Female", orders[[#This Row],[Customer Gender]]="O","Other", TRUE(),"Unknown")</f>
        <v>Female</v>
      </c>
    </row>
    <row r="428" spans="1:15" x14ac:dyDescent="0.25">
      <c r="A428" t="s">
        <v>656</v>
      </c>
      <c r="B428" t="s">
        <v>80</v>
      </c>
      <c r="C428">
        <v>16</v>
      </c>
      <c r="D428">
        <v>54.3</v>
      </c>
      <c r="E428">
        <v>868.8</v>
      </c>
      <c r="F428" s="58">
        <v>45676</v>
      </c>
      <c r="G428" s="58">
        <v>45679</v>
      </c>
      <c r="H428" t="s">
        <v>231</v>
      </c>
      <c r="I428" t="s">
        <v>61</v>
      </c>
      <c r="J428">
        <v>4</v>
      </c>
      <c r="K428" t="s">
        <v>103</v>
      </c>
      <c r="L428" t="s">
        <v>124</v>
      </c>
      <c r="M428">
        <f>orders[[#This Row],[Ship Date]]-orders[[#This Row],[Order Date]]</f>
        <v>3</v>
      </c>
      <c r="N428">
        <f>WEEKNUM(orders[[#This Row],[Order Date]],1)</f>
        <v>4</v>
      </c>
      <c r="O428" t="str">
        <f t="array" ref="O428">_xlfn.IFS(orders[[#This Row],[Customer Gender]]="M","Male", orders[[#This Row],[Customer Gender]]="F","Female", orders[[#This Row],[Customer Gender]]="O","Other", TRUE(),"Unknown")</f>
        <v>Female</v>
      </c>
    </row>
    <row r="429" spans="1:15" x14ac:dyDescent="0.25">
      <c r="A429" t="s">
        <v>657</v>
      </c>
      <c r="B429" t="s">
        <v>82</v>
      </c>
      <c r="C429">
        <v>13</v>
      </c>
      <c r="D429">
        <v>51.3</v>
      </c>
      <c r="E429">
        <v>666.9</v>
      </c>
      <c r="F429" s="58">
        <v>45676</v>
      </c>
      <c r="G429" s="58">
        <v>45678</v>
      </c>
      <c r="H429" t="s">
        <v>229</v>
      </c>
      <c r="I429" t="s">
        <v>59</v>
      </c>
      <c r="J429">
        <v>5</v>
      </c>
      <c r="K429" t="s">
        <v>103</v>
      </c>
      <c r="L429" t="s">
        <v>124</v>
      </c>
      <c r="M429">
        <f>orders[[#This Row],[Ship Date]]-orders[[#This Row],[Order Date]]</f>
        <v>2</v>
      </c>
      <c r="N429">
        <f>WEEKNUM(orders[[#This Row],[Order Date]],1)</f>
        <v>4</v>
      </c>
      <c r="O429" t="str">
        <f t="array" ref="O429">_xlfn.IFS(orders[[#This Row],[Customer Gender]]="M","Male", orders[[#This Row],[Customer Gender]]="F","Female", orders[[#This Row],[Customer Gender]]="O","Other", TRUE(),"Unknown")</f>
        <v>Male</v>
      </c>
    </row>
    <row r="430" spans="1:15" x14ac:dyDescent="0.25">
      <c r="A430" t="s">
        <v>658</v>
      </c>
      <c r="B430" t="s">
        <v>86</v>
      </c>
      <c r="C430">
        <v>8</v>
      </c>
      <c r="D430">
        <v>25.6</v>
      </c>
      <c r="E430">
        <v>204.8</v>
      </c>
      <c r="F430" s="58">
        <v>45676</v>
      </c>
      <c r="G430" s="58">
        <v>45677</v>
      </c>
      <c r="H430" t="s">
        <v>231</v>
      </c>
      <c r="I430" t="s">
        <v>63</v>
      </c>
      <c r="J430">
        <v>3</v>
      </c>
      <c r="K430" t="s">
        <v>103</v>
      </c>
      <c r="L430" t="s">
        <v>124</v>
      </c>
      <c r="M430">
        <f>orders[[#This Row],[Ship Date]]-orders[[#This Row],[Order Date]]</f>
        <v>1</v>
      </c>
      <c r="N430">
        <f>WEEKNUM(orders[[#This Row],[Order Date]],1)</f>
        <v>4</v>
      </c>
      <c r="O430" t="str">
        <f t="array" ref="O430">_xlfn.IFS(orders[[#This Row],[Customer Gender]]="M","Male", orders[[#This Row],[Customer Gender]]="F","Female", orders[[#This Row],[Customer Gender]]="O","Other", TRUE(),"Unknown")</f>
        <v>Female</v>
      </c>
    </row>
    <row r="431" spans="1:15" x14ac:dyDescent="0.25">
      <c r="A431" t="s">
        <v>659</v>
      </c>
      <c r="B431" t="s">
        <v>86</v>
      </c>
      <c r="C431">
        <v>2</v>
      </c>
      <c r="D431">
        <v>15.6</v>
      </c>
      <c r="E431">
        <v>31.2</v>
      </c>
      <c r="F431" s="58">
        <v>45676</v>
      </c>
      <c r="G431" s="58">
        <v>45677</v>
      </c>
      <c r="H431" t="s">
        <v>231</v>
      </c>
      <c r="I431" t="s">
        <v>62</v>
      </c>
      <c r="J431">
        <v>5</v>
      </c>
      <c r="K431" t="s">
        <v>103</v>
      </c>
      <c r="L431" t="s">
        <v>124</v>
      </c>
      <c r="M431">
        <f>orders[[#This Row],[Ship Date]]-orders[[#This Row],[Order Date]]</f>
        <v>1</v>
      </c>
      <c r="N431">
        <f>WEEKNUM(orders[[#This Row],[Order Date]],1)</f>
        <v>4</v>
      </c>
      <c r="O431" t="str">
        <f t="array" ref="O431">_xlfn.IFS(orders[[#This Row],[Customer Gender]]="M","Male", orders[[#This Row],[Customer Gender]]="F","Female", orders[[#This Row],[Customer Gender]]="O","Other", TRUE(),"Unknown")</f>
        <v>Female</v>
      </c>
    </row>
    <row r="432" spans="1:15" x14ac:dyDescent="0.25">
      <c r="A432" t="s">
        <v>660</v>
      </c>
      <c r="B432" t="s">
        <v>90</v>
      </c>
      <c r="C432">
        <v>3</v>
      </c>
      <c r="D432">
        <v>30.3</v>
      </c>
      <c r="E432">
        <v>90.9</v>
      </c>
      <c r="F432" s="58">
        <v>45676</v>
      </c>
      <c r="G432" s="58">
        <v>45680</v>
      </c>
      <c r="H432" t="s">
        <v>231</v>
      </c>
      <c r="I432" t="s">
        <v>59</v>
      </c>
      <c r="J432">
        <v>3</v>
      </c>
      <c r="K432" t="s">
        <v>103</v>
      </c>
      <c r="L432" t="s">
        <v>124</v>
      </c>
      <c r="M432">
        <f>orders[[#This Row],[Ship Date]]-orders[[#This Row],[Order Date]]</f>
        <v>4</v>
      </c>
      <c r="N432">
        <f>WEEKNUM(orders[[#This Row],[Order Date]],1)</f>
        <v>4</v>
      </c>
      <c r="O432" t="str">
        <f t="array" ref="O432">_xlfn.IFS(orders[[#This Row],[Customer Gender]]="M","Male", orders[[#This Row],[Customer Gender]]="F","Female", orders[[#This Row],[Customer Gender]]="O","Other", TRUE(),"Unknown")</f>
        <v>Female</v>
      </c>
    </row>
    <row r="433" spans="1:15" x14ac:dyDescent="0.25">
      <c r="A433" t="s">
        <v>661</v>
      </c>
      <c r="B433" t="s">
        <v>76</v>
      </c>
      <c r="C433">
        <v>2</v>
      </c>
      <c r="D433">
        <v>30.3</v>
      </c>
      <c r="E433">
        <v>60.6</v>
      </c>
      <c r="F433" s="58">
        <v>45676</v>
      </c>
      <c r="G433" s="58">
        <v>45681</v>
      </c>
      <c r="H433" t="s">
        <v>231</v>
      </c>
      <c r="I433" t="s">
        <v>59</v>
      </c>
      <c r="J433">
        <v>5</v>
      </c>
      <c r="K433" t="s">
        <v>103</v>
      </c>
      <c r="L433" t="s">
        <v>125</v>
      </c>
      <c r="M433">
        <f>orders[[#This Row],[Ship Date]]-orders[[#This Row],[Order Date]]</f>
        <v>5</v>
      </c>
      <c r="N433">
        <f>WEEKNUM(orders[[#This Row],[Order Date]],1)</f>
        <v>4</v>
      </c>
      <c r="O433" t="str">
        <f t="array" ref="O433">_xlfn.IFS(orders[[#This Row],[Customer Gender]]="M","Male", orders[[#This Row],[Customer Gender]]="F","Female", orders[[#This Row],[Customer Gender]]="O","Other", TRUE(),"Unknown")</f>
        <v>Female</v>
      </c>
    </row>
    <row r="434" spans="1:15" x14ac:dyDescent="0.25">
      <c r="A434" t="s">
        <v>662</v>
      </c>
      <c r="B434" t="s">
        <v>75</v>
      </c>
      <c r="C434">
        <v>3</v>
      </c>
      <c r="D434">
        <v>53</v>
      </c>
      <c r="E434">
        <v>159</v>
      </c>
      <c r="F434" s="58">
        <v>45676</v>
      </c>
      <c r="G434" s="58">
        <v>45683</v>
      </c>
      <c r="H434" t="s">
        <v>231</v>
      </c>
      <c r="I434" t="s">
        <v>62</v>
      </c>
      <c r="J434">
        <v>4</v>
      </c>
      <c r="K434" t="s">
        <v>103</v>
      </c>
      <c r="L434" t="s">
        <v>129</v>
      </c>
      <c r="M434">
        <f>orders[[#This Row],[Ship Date]]-orders[[#This Row],[Order Date]]</f>
        <v>7</v>
      </c>
      <c r="N434">
        <f>WEEKNUM(orders[[#This Row],[Order Date]],1)</f>
        <v>4</v>
      </c>
      <c r="O434" t="str">
        <f t="array" ref="O434">_xlfn.IFS(orders[[#This Row],[Customer Gender]]="M","Male", orders[[#This Row],[Customer Gender]]="F","Female", orders[[#This Row],[Customer Gender]]="O","Other", TRUE(),"Unknown")</f>
        <v>Female</v>
      </c>
    </row>
    <row r="435" spans="1:15" x14ac:dyDescent="0.25">
      <c r="A435" t="s">
        <v>663</v>
      </c>
      <c r="B435" t="s">
        <v>85</v>
      </c>
      <c r="C435">
        <v>18</v>
      </c>
      <c r="D435">
        <v>59.9</v>
      </c>
      <c r="E435">
        <v>1078.2</v>
      </c>
      <c r="F435" s="58">
        <v>45676</v>
      </c>
      <c r="G435" s="58">
        <v>45679</v>
      </c>
      <c r="H435" t="s">
        <v>229</v>
      </c>
      <c r="I435" t="s">
        <v>62</v>
      </c>
      <c r="J435">
        <v>2</v>
      </c>
      <c r="K435" t="s">
        <v>103</v>
      </c>
      <c r="L435" t="s">
        <v>135</v>
      </c>
      <c r="M435">
        <f>orders[[#This Row],[Ship Date]]-orders[[#This Row],[Order Date]]</f>
        <v>3</v>
      </c>
      <c r="N435">
        <f>WEEKNUM(orders[[#This Row],[Order Date]],1)</f>
        <v>4</v>
      </c>
      <c r="O435" t="str">
        <f t="array" ref="O435">_xlfn.IFS(orders[[#This Row],[Customer Gender]]="M","Male", orders[[#This Row],[Customer Gender]]="F","Female", orders[[#This Row],[Customer Gender]]="O","Other", TRUE(),"Unknown")</f>
        <v>Male</v>
      </c>
    </row>
    <row r="436" spans="1:15" x14ac:dyDescent="0.25">
      <c r="A436" t="s">
        <v>664</v>
      </c>
      <c r="B436" t="s">
        <v>88</v>
      </c>
      <c r="C436">
        <v>2</v>
      </c>
      <c r="D436">
        <v>45.7</v>
      </c>
      <c r="E436">
        <v>91.4</v>
      </c>
      <c r="F436" s="58">
        <v>45676</v>
      </c>
      <c r="G436" s="58">
        <v>45677</v>
      </c>
      <c r="H436" t="s">
        <v>231</v>
      </c>
      <c r="I436" t="s">
        <v>63</v>
      </c>
      <c r="J436">
        <v>5</v>
      </c>
      <c r="K436" t="s">
        <v>103</v>
      </c>
      <c r="L436" t="s">
        <v>139</v>
      </c>
      <c r="M436">
        <f>orders[[#This Row],[Ship Date]]-orders[[#This Row],[Order Date]]</f>
        <v>1</v>
      </c>
      <c r="N436">
        <f>WEEKNUM(orders[[#This Row],[Order Date]],1)</f>
        <v>4</v>
      </c>
      <c r="O436" t="str">
        <f t="array" ref="O436">_xlfn.IFS(orders[[#This Row],[Customer Gender]]="M","Male", orders[[#This Row],[Customer Gender]]="F","Female", orders[[#This Row],[Customer Gender]]="O","Other", TRUE(),"Unknown")</f>
        <v>Female</v>
      </c>
    </row>
    <row r="437" spans="1:15" x14ac:dyDescent="0.25">
      <c r="A437" t="s">
        <v>665</v>
      </c>
      <c r="B437" t="s">
        <v>90</v>
      </c>
      <c r="C437">
        <v>4</v>
      </c>
      <c r="D437">
        <v>46.1</v>
      </c>
      <c r="E437">
        <v>184.4</v>
      </c>
      <c r="F437" s="58">
        <v>45676</v>
      </c>
      <c r="G437" s="58">
        <v>45677</v>
      </c>
      <c r="H437" t="s">
        <v>229</v>
      </c>
      <c r="I437" t="s">
        <v>59</v>
      </c>
      <c r="J437">
        <v>4</v>
      </c>
      <c r="K437" t="s">
        <v>103</v>
      </c>
      <c r="L437" t="s">
        <v>139</v>
      </c>
      <c r="M437">
        <f>orders[[#This Row],[Ship Date]]-orders[[#This Row],[Order Date]]</f>
        <v>1</v>
      </c>
      <c r="N437">
        <f>WEEKNUM(orders[[#This Row],[Order Date]],1)</f>
        <v>4</v>
      </c>
      <c r="O437" t="str">
        <f t="array" ref="O437">_xlfn.IFS(orders[[#This Row],[Customer Gender]]="M","Male", orders[[#This Row],[Customer Gender]]="F","Female", orders[[#This Row],[Customer Gender]]="O","Other", TRUE(),"Unknown")</f>
        <v>Male</v>
      </c>
    </row>
    <row r="438" spans="1:15" x14ac:dyDescent="0.25">
      <c r="A438" t="s">
        <v>666</v>
      </c>
      <c r="B438" t="s">
        <v>90</v>
      </c>
      <c r="C438">
        <v>3</v>
      </c>
      <c r="D438">
        <v>17.5</v>
      </c>
      <c r="E438">
        <v>52.5</v>
      </c>
      <c r="F438" s="58">
        <v>45676</v>
      </c>
      <c r="G438" s="58">
        <v>45677</v>
      </c>
      <c r="H438" t="s">
        <v>231</v>
      </c>
      <c r="I438" t="s">
        <v>59</v>
      </c>
      <c r="J438">
        <v>5</v>
      </c>
      <c r="K438" t="s">
        <v>103</v>
      </c>
      <c r="L438" t="s">
        <v>142</v>
      </c>
      <c r="M438">
        <f>orders[[#This Row],[Ship Date]]-orders[[#This Row],[Order Date]]</f>
        <v>1</v>
      </c>
      <c r="N438">
        <f>WEEKNUM(orders[[#This Row],[Order Date]],1)</f>
        <v>4</v>
      </c>
      <c r="O438" t="str">
        <f t="array" ref="O438">_xlfn.IFS(orders[[#This Row],[Customer Gender]]="M","Male", orders[[#This Row],[Customer Gender]]="F","Female", orders[[#This Row],[Customer Gender]]="O","Other", TRUE(),"Unknown")</f>
        <v>Female</v>
      </c>
    </row>
    <row r="439" spans="1:15" x14ac:dyDescent="0.25">
      <c r="A439" t="s">
        <v>667</v>
      </c>
      <c r="B439" t="s">
        <v>75</v>
      </c>
      <c r="C439">
        <v>3</v>
      </c>
      <c r="D439">
        <v>36.5</v>
      </c>
      <c r="E439">
        <v>109.5</v>
      </c>
      <c r="F439" s="58">
        <v>45676</v>
      </c>
      <c r="G439" s="58">
        <v>45687</v>
      </c>
      <c r="H439" t="s">
        <v>229</v>
      </c>
      <c r="I439" t="s">
        <v>62</v>
      </c>
      <c r="J439">
        <v>4</v>
      </c>
      <c r="K439" t="s">
        <v>103</v>
      </c>
      <c r="L439" t="s">
        <v>142</v>
      </c>
      <c r="M439">
        <f>orders[[#This Row],[Ship Date]]-orders[[#This Row],[Order Date]]</f>
        <v>11</v>
      </c>
      <c r="N439">
        <f>WEEKNUM(orders[[#This Row],[Order Date]],1)</f>
        <v>4</v>
      </c>
      <c r="O439" t="str">
        <f t="array" ref="O439">_xlfn.IFS(orders[[#This Row],[Customer Gender]]="M","Male", orders[[#This Row],[Customer Gender]]="F","Female", orders[[#This Row],[Customer Gender]]="O","Other", TRUE(),"Unknown")</f>
        <v>Male</v>
      </c>
    </row>
    <row r="440" spans="1:15" x14ac:dyDescent="0.25">
      <c r="A440" t="s">
        <v>668</v>
      </c>
      <c r="B440" t="s">
        <v>90</v>
      </c>
      <c r="C440">
        <v>2</v>
      </c>
      <c r="D440">
        <v>47.5</v>
      </c>
      <c r="E440">
        <v>95</v>
      </c>
      <c r="F440" s="58">
        <v>45677</v>
      </c>
      <c r="G440" s="58">
        <v>45679</v>
      </c>
      <c r="H440" t="s">
        <v>231</v>
      </c>
      <c r="I440" t="s">
        <v>63</v>
      </c>
      <c r="J440">
        <v>4</v>
      </c>
      <c r="K440" t="s">
        <v>103</v>
      </c>
      <c r="L440" t="s">
        <v>142</v>
      </c>
      <c r="M440">
        <f>orders[[#This Row],[Ship Date]]-orders[[#This Row],[Order Date]]</f>
        <v>2</v>
      </c>
      <c r="N440">
        <f>WEEKNUM(orders[[#This Row],[Order Date]],1)</f>
        <v>4</v>
      </c>
      <c r="O440" t="str">
        <f t="array" ref="O440">_xlfn.IFS(orders[[#This Row],[Customer Gender]]="M","Male", orders[[#This Row],[Customer Gender]]="F","Female", orders[[#This Row],[Customer Gender]]="O","Other", TRUE(),"Unknown")</f>
        <v>Female</v>
      </c>
    </row>
    <row r="441" spans="1:15" x14ac:dyDescent="0.25">
      <c r="A441" t="s">
        <v>669</v>
      </c>
      <c r="B441" t="s">
        <v>80</v>
      </c>
      <c r="C441">
        <v>5</v>
      </c>
      <c r="D441">
        <v>45.6</v>
      </c>
      <c r="E441">
        <v>228</v>
      </c>
      <c r="F441" s="58">
        <v>45677</v>
      </c>
      <c r="G441" s="58">
        <v>45679</v>
      </c>
      <c r="H441" t="s">
        <v>231</v>
      </c>
      <c r="I441" t="s">
        <v>59</v>
      </c>
      <c r="J441">
        <v>5</v>
      </c>
      <c r="K441" t="s">
        <v>103</v>
      </c>
      <c r="L441" t="s">
        <v>142</v>
      </c>
      <c r="M441">
        <f>orders[[#This Row],[Ship Date]]-orders[[#This Row],[Order Date]]</f>
        <v>2</v>
      </c>
      <c r="N441">
        <f>WEEKNUM(orders[[#This Row],[Order Date]],1)</f>
        <v>4</v>
      </c>
      <c r="O441" t="str">
        <f t="array" ref="O441">_xlfn.IFS(orders[[#This Row],[Customer Gender]]="M","Male", orders[[#This Row],[Customer Gender]]="F","Female", orders[[#This Row],[Customer Gender]]="O","Other", TRUE(),"Unknown")</f>
        <v>Female</v>
      </c>
    </row>
    <row r="442" spans="1:15" x14ac:dyDescent="0.25">
      <c r="A442" t="s">
        <v>670</v>
      </c>
      <c r="B442" t="s">
        <v>88</v>
      </c>
      <c r="C442">
        <v>2</v>
      </c>
      <c r="D442">
        <v>50.5</v>
      </c>
      <c r="E442">
        <v>101</v>
      </c>
      <c r="F442" s="58">
        <v>45677</v>
      </c>
      <c r="G442" s="58">
        <v>45679</v>
      </c>
      <c r="H442" t="s">
        <v>229</v>
      </c>
      <c r="I442" t="s">
        <v>59</v>
      </c>
      <c r="J442">
        <v>3</v>
      </c>
      <c r="K442" t="s">
        <v>103</v>
      </c>
      <c r="L442" t="s">
        <v>143</v>
      </c>
      <c r="M442">
        <f>orders[[#This Row],[Ship Date]]-orders[[#This Row],[Order Date]]</f>
        <v>2</v>
      </c>
      <c r="N442">
        <f>WEEKNUM(orders[[#This Row],[Order Date]],1)</f>
        <v>4</v>
      </c>
      <c r="O442" t="str">
        <f t="array" ref="O442">_xlfn.IFS(orders[[#This Row],[Customer Gender]]="M","Male", orders[[#This Row],[Customer Gender]]="F","Female", orders[[#This Row],[Customer Gender]]="O","Other", TRUE(),"Unknown")</f>
        <v>Male</v>
      </c>
    </row>
    <row r="443" spans="1:15" x14ac:dyDescent="0.25">
      <c r="A443" t="s">
        <v>671</v>
      </c>
      <c r="B443" t="s">
        <v>87</v>
      </c>
      <c r="C443">
        <v>10</v>
      </c>
      <c r="D443">
        <v>99.8</v>
      </c>
      <c r="E443">
        <v>998</v>
      </c>
      <c r="F443" s="58">
        <v>45677</v>
      </c>
      <c r="G443" s="58">
        <v>45680</v>
      </c>
      <c r="H443" t="s">
        <v>231</v>
      </c>
      <c r="I443" t="s">
        <v>62</v>
      </c>
      <c r="J443">
        <v>3</v>
      </c>
      <c r="K443" t="s">
        <v>103</v>
      </c>
      <c r="L443" t="s">
        <v>143</v>
      </c>
      <c r="M443">
        <f>orders[[#This Row],[Ship Date]]-orders[[#This Row],[Order Date]]</f>
        <v>3</v>
      </c>
      <c r="N443">
        <f>WEEKNUM(orders[[#This Row],[Order Date]],1)</f>
        <v>4</v>
      </c>
      <c r="O443" t="str">
        <f t="array" ref="O443">_xlfn.IFS(orders[[#This Row],[Customer Gender]]="M","Male", orders[[#This Row],[Customer Gender]]="F","Female", orders[[#This Row],[Customer Gender]]="O","Other", TRUE(),"Unknown")</f>
        <v>Female</v>
      </c>
    </row>
    <row r="444" spans="1:15" x14ac:dyDescent="0.25">
      <c r="A444" t="s">
        <v>672</v>
      </c>
      <c r="B444" t="s">
        <v>90</v>
      </c>
      <c r="C444">
        <v>15</v>
      </c>
      <c r="D444">
        <v>19.2</v>
      </c>
      <c r="E444">
        <v>288</v>
      </c>
      <c r="F444" s="58">
        <v>45677</v>
      </c>
      <c r="G444" s="58">
        <v>45679</v>
      </c>
      <c r="H444" t="s">
        <v>263</v>
      </c>
      <c r="I444" t="s">
        <v>61</v>
      </c>
      <c r="J444">
        <v>3</v>
      </c>
      <c r="K444" t="s">
        <v>103</v>
      </c>
      <c r="L444" t="s">
        <v>144</v>
      </c>
      <c r="M444">
        <f>orders[[#This Row],[Ship Date]]-orders[[#This Row],[Order Date]]</f>
        <v>2</v>
      </c>
      <c r="N444">
        <f>WEEKNUM(orders[[#This Row],[Order Date]],1)</f>
        <v>4</v>
      </c>
      <c r="O444" t="str">
        <f t="array" ref="O444">_xlfn.IFS(orders[[#This Row],[Customer Gender]]="M","Male", orders[[#This Row],[Customer Gender]]="F","Female", orders[[#This Row],[Customer Gender]]="O","Other", TRUE(),"Unknown")</f>
        <v>Other</v>
      </c>
    </row>
    <row r="445" spans="1:15" x14ac:dyDescent="0.25">
      <c r="A445" t="s">
        <v>673</v>
      </c>
      <c r="B445" t="s">
        <v>84</v>
      </c>
      <c r="C445">
        <v>3</v>
      </c>
      <c r="D445">
        <v>22.6</v>
      </c>
      <c r="E445">
        <v>67.8</v>
      </c>
      <c r="F445" s="58">
        <v>45677</v>
      </c>
      <c r="G445" s="58">
        <v>45678</v>
      </c>
      <c r="H445" t="s">
        <v>229</v>
      </c>
      <c r="I445" t="s">
        <v>63</v>
      </c>
      <c r="J445">
        <v>4</v>
      </c>
      <c r="K445" t="s">
        <v>103</v>
      </c>
      <c r="L445" t="s">
        <v>148</v>
      </c>
      <c r="M445">
        <f>orders[[#This Row],[Ship Date]]-orders[[#This Row],[Order Date]]</f>
        <v>1</v>
      </c>
      <c r="N445">
        <f>WEEKNUM(orders[[#This Row],[Order Date]],1)</f>
        <v>4</v>
      </c>
      <c r="O445" t="str">
        <f t="array" ref="O445">_xlfn.IFS(orders[[#This Row],[Customer Gender]]="M","Male", orders[[#This Row],[Customer Gender]]="F","Female", orders[[#This Row],[Customer Gender]]="O","Other", TRUE(),"Unknown")</f>
        <v>Male</v>
      </c>
    </row>
    <row r="446" spans="1:15" x14ac:dyDescent="0.25">
      <c r="A446" t="s">
        <v>674</v>
      </c>
      <c r="B446" t="s">
        <v>91</v>
      </c>
      <c r="C446">
        <v>15</v>
      </c>
      <c r="D446">
        <v>126.9</v>
      </c>
      <c r="E446">
        <v>1903.5</v>
      </c>
      <c r="F446" s="58">
        <v>45677</v>
      </c>
      <c r="G446" s="58">
        <v>45679</v>
      </c>
      <c r="H446" t="s">
        <v>231</v>
      </c>
      <c r="I446" t="s">
        <v>59</v>
      </c>
      <c r="J446">
        <v>5</v>
      </c>
      <c r="K446" t="s">
        <v>103</v>
      </c>
      <c r="L446" t="s">
        <v>148</v>
      </c>
      <c r="M446">
        <f>orders[[#This Row],[Ship Date]]-orders[[#This Row],[Order Date]]</f>
        <v>2</v>
      </c>
      <c r="N446">
        <f>WEEKNUM(orders[[#This Row],[Order Date]],1)</f>
        <v>4</v>
      </c>
      <c r="O446" t="str">
        <f t="array" ref="O446">_xlfn.IFS(orders[[#This Row],[Customer Gender]]="M","Male", orders[[#This Row],[Customer Gender]]="F","Female", orders[[#This Row],[Customer Gender]]="O","Other", TRUE(),"Unknown")</f>
        <v>Female</v>
      </c>
    </row>
    <row r="447" spans="1:15" x14ac:dyDescent="0.25">
      <c r="A447" t="s">
        <v>675</v>
      </c>
      <c r="B447" t="s">
        <v>87</v>
      </c>
      <c r="C447">
        <v>2</v>
      </c>
      <c r="D447">
        <v>100.3</v>
      </c>
      <c r="E447">
        <v>200.6</v>
      </c>
      <c r="F447" s="58">
        <v>45677</v>
      </c>
      <c r="G447" s="58">
        <v>45678</v>
      </c>
      <c r="H447" t="s">
        <v>231</v>
      </c>
      <c r="I447" t="s">
        <v>59</v>
      </c>
      <c r="J447">
        <v>3</v>
      </c>
      <c r="K447" t="s">
        <v>103</v>
      </c>
      <c r="L447" t="s">
        <v>148</v>
      </c>
      <c r="M447">
        <f>orders[[#This Row],[Ship Date]]-orders[[#This Row],[Order Date]]</f>
        <v>1</v>
      </c>
      <c r="N447">
        <f>WEEKNUM(orders[[#This Row],[Order Date]],1)</f>
        <v>4</v>
      </c>
      <c r="O447" t="str">
        <f t="array" ref="O447">_xlfn.IFS(orders[[#This Row],[Customer Gender]]="M","Male", orders[[#This Row],[Customer Gender]]="F","Female", orders[[#This Row],[Customer Gender]]="O","Other", TRUE(),"Unknown")</f>
        <v>Female</v>
      </c>
    </row>
    <row r="448" spans="1:15" x14ac:dyDescent="0.25">
      <c r="A448" t="s">
        <v>676</v>
      </c>
      <c r="B448" t="s">
        <v>78</v>
      </c>
      <c r="C448">
        <v>18</v>
      </c>
      <c r="D448">
        <v>24.6</v>
      </c>
      <c r="E448">
        <v>442.8</v>
      </c>
      <c r="F448" s="58">
        <v>45677</v>
      </c>
      <c r="G448" s="58">
        <v>45678</v>
      </c>
      <c r="H448" t="s">
        <v>231</v>
      </c>
      <c r="I448" t="s">
        <v>61</v>
      </c>
      <c r="J448">
        <v>4</v>
      </c>
      <c r="K448" t="s">
        <v>103</v>
      </c>
      <c r="L448" t="s">
        <v>161</v>
      </c>
      <c r="M448">
        <f>orders[[#This Row],[Ship Date]]-orders[[#This Row],[Order Date]]</f>
        <v>1</v>
      </c>
      <c r="N448">
        <f>WEEKNUM(orders[[#This Row],[Order Date]],1)</f>
        <v>4</v>
      </c>
      <c r="O448" t="str">
        <f t="array" ref="O448">_xlfn.IFS(orders[[#This Row],[Customer Gender]]="M","Male", orders[[#This Row],[Customer Gender]]="F","Female", orders[[#This Row],[Customer Gender]]="O","Other", TRUE(),"Unknown")</f>
        <v>Female</v>
      </c>
    </row>
    <row r="449" spans="1:15" x14ac:dyDescent="0.25">
      <c r="A449" t="s">
        <v>677</v>
      </c>
      <c r="B449" t="s">
        <v>80</v>
      </c>
      <c r="C449">
        <v>2</v>
      </c>
      <c r="D449">
        <v>47.3</v>
      </c>
      <c r="E449">
        <v>94.6</v>
      </c>
      <c r="F449" s="58">
        <v>45677</v>
      </c>
      <c r="G449" s="58">
        <v>45678</v>
      </c>
      <c r="H449" t="s">
        <v>229</v>
      </c>
      <c r="I449" t="s">
        <v>63</v>
      </c>
      <c r="J449">
        <v>5</v>
      </c>
      <c r="K449" t="s">
        <v>103</v>
      </c>
      <c r="L449" t="s">
        <v>161</v>
      </c>
      <c r="M449">
        <f>orders[[#This Row],[Ship Date]]-orders[[#This Row],[Order Date]]</f>
        <v>1</v>
      </c>
      <c r="N449">
        <f>WEEKNUM(orders[[#This Row],[Order Date]],1)</f>
        <v>4</v>
      </c>
      <c r="O449" t="str">
        <f t="array" ref="O449">_xlfn.IFS(orders[[#This Row],[Customer Gender]]="M","Male", orders[[#This Row],[Customer Gender]]="F","Female", orders[[#This Row],[Customer Gender]]="O","Other", TRUE(),"Unknown")</f>
        <v>Male</v>
      </c>
    </row>
    <row r="450" spans="1:15" x14ac:dyDescent="0.25">
      <c r="A450" t="s">
        <v>678</v>
      </c>
      <c r="B450" t="s">
        <v>80</v>
      </c>
      <c r="C450">
        <v>7</v>
      </c>
      <c r="D450">
        <v>40.799999999999997</v>
      </c>
      <c r="E450">
        <v>285.60000000000002</v>
      </c>
      <c r="F450" s="58">
        <v>45677</v>
      </c>
      <c r="G450" s="58">
        <v>45680</v>
      </c>
      <c r="H450" t="s">
        <v>231</v>
      </c>
      <c r="I450" t="s">
        <v>62</v>
      </c>
      <c r="J450">
        <v>5</v>
      </c>
      <c r="K450" t="s">
        <v>103</v>
      </c>
      <c r="L450" t="s">
        <v>106</v>
      </c>
      <c r="M450">
        <f>orders[[#This Row],[Ship Date]]-orders[[#This Row],[Order Date]]</f>
        <v>3</v>
      </c>
      <c r="N450">
        <f>WEEKNUM(orders[[#This Row],[Order Date]],1)</f>
        <v>4</v>
      </c>
      <c r="O450" t="str">
        <f t="array" ref="O450">_xlfn.IFS(orders[[#This Row],[Customer Gender]]="M","Male", orders[[#This Row],[Customer Gender]]="F","Female", orders[[#This Row],[Customer Gender]]="O","Other", TRUE(),"Unknown")</f>
        <v>Female</v>
      </c>
    </row>
    <row r="451" spans="1:15" x14ac:dyDescent="0.25">
      <c r="A451" t="s">
        <v>679</v>
      </c>
      <c r="B451" t="s">
        <v>90</v>
      </c>
      <c r="C451">
        <v>8</v>
      </c>
      <c r="D451">
        <v>49.2</v>
      </c>
      <c r="E451">
        <v>393.6</v>
      </c>
      <c r="F451" s="58">
        <v>45677</v>
      </c>
      <c r="G451" s="58">
        <v>45679</v>
      </c>
      <c r="H451" t="s">
        <v>231</v>
      </c>
      <c r="I451" t="s">
        <v>59</v>
      </c>
      <c r="J451">
        <v>4</v>
      </c>
      <c r="K451" t="s">
        <v>103</v>
      </c>
      <c r="L451" t="s">
        <v>112</v>
      </c>
      <c r="M451">
        <f>orders[[#This Row],[Ship Date]]-orders[[#This Row],[Order Date]]</f>
        <v>2</v>
      </c>
      <c r="N451">
        <f>WEEKNUM(orders[[#This Row],[Order Date]],1)</f>
        <v>4</v>
      </c>
      <c r="O451" t="str">
        <f t="array" ref="O451">_xlfn.IFS(orders[[#This Row],[Customer Gender]]="M","Male", orders[[#This Row],[Customer Gender]]="F","Female", orders[[#This Row],[Customer Gender]]="O","Other", TRUE(),"Unknown")</f>
        <v>Female</v>
      </c>
    </row>
    <row r="452" spans="1:15" x14ac:dyDescent="0.25">
      <c r="A452" t="s">
        <v>680</v>
      </c>
      <c r="B452" t="s">
        <v>90</v>
      </c>
      <c r="C452">
        <v>1</v>
      </c>
      <c r="D452">
        <v>28.5</v>
      </c>
      <c r="E452">
        <v>28.5</v>
      </c>
      <c r="F452" s="58">
        <v>45677</v>
      </c>
      <c r="G452" s="58">
        <v>45679</v>
      </c>
      <c r="I452" t="s">
        <v>62</v>
      </c>
      <c r="J452">
        <v>3</v>
      </c>
      <c r="K452" t="s">
        <v>103</v>
      </c>
      <c r="L452" t="s">
        <v>124</v>
      </c>
      <c r="M452">
        <f>orders[[#This Row],[Ship Date]]-orders[[#This Row],[Order Date]]</f>
        <v>2</v>
      </c>
      <c r="N452">
        <f>WEEKNUM(orders[[#This Row],[Order Date]],1)</f>
        <v>4</v>
      </c>
      <c r="O452" t="str">
        <f t="array" ref="O452">_xlfn.IFS(orders[[#This Row],[Customer Gender]]="M","Male", orders[[#This Row],[Customer Gender]]="F","Female", orders[[#This Row],[Customer Gender]]="O","Other", TRUE(),"Unknown")</f>
        <v>Unknown</v>
      </c>
    </row>
    <row r="453" spans="1:15" x14ac:dyDescent="0.25">
      <c r="A453" t="s">
        <v>681</v>
      </c>
      <c r="B453" t="s">
        <v>82</v>
      </c>
      <c r="C453">
        <v>2</v>
      </c>
      <c r="D453">
        <v>36.799999999999997</v>
      </c>
      <c r="E453">
        <v>73.599999999999994</v>
      </c>
      <c r="F453" s="58">
        <v>45677</v>
      </c>
      <c r="G453" s="58">
        <v>45683</v>
      </c>
      <c r="H453" t="s">
        <v>231</v>
      </c>
      <c r="I453" t="s">
        <v>59</v>
      </c>
      <c r="J453">
        <v>5</v>
      </c>
      <c r="K453" t="s">
        <v>103</v>
      </c>
      <c r="L453" t="s">
        <v>124</v>
      </c>
      <c r="M453">
        <f>orders[[#This Row],[Ship Date]]-orders[[#This Row],[Order Date]]</f>
        <v>6</v>
      </c>
      <c r="N453">
        <f>WEEKNUM(orders[[#This Row],[Order Date]],1)</f>
        <v>4</v>
      </c>
      <c r="O453" t="str">
        <f t="array" ref="O453">_xlfn.IFS(orders[[#This Row],[Customer Gender]]="M","Male", orders[[#This Row],[Customer Gender]]="F","Female", orders[[#This Row],[Customer Gender]]="O","Other", TRUE(),"Unknown")</f>
        <v>Female</v>
      </c>
    </row>
    <row r="454" spans="1:15" x14ac:dyDescent="0.25">
      <c r="A454" t="s">
        <v>682</v>
      </c>
      <c r="B454" t="s">
        <v>79</v>
      </c>
      <c r="C454">
        <v>3</v>
      </c>
      <c r="D454">
        <v>33.5</v>
      </c>
      <c r="E454">
        <v>100.5</v>
      </c>
      <c r="F454" s="58">
        <v>45677</v>
      </c>
      <c r="G454" s="58">
        <v>45678</v>
      </c>
      <c r="H454" t="s">
        <v>231</v>
      </c>
      <c r="I454" t="s">
        <v>59</v>
      </c>
      <c r="J454">
        <v>3</v>
      </c>
      <c r="K454" t="s">
        <v>103</v>
      </c>
      <c r="L454" t="s">
        <v>124</v>
      </c>
      <c r="M454">
        <f>orders[[#This Row],[Ship Date]]-orders[[#This Row],[Order Date]]</f>
        <v>1</v>
      </c>
      <c r="N454">
        <f>WEEKNUM(orders[[#This Row],[Order Date]],1)</f>
        <v>4</v>
      </c>
      <c r="O454" t="str">
        <f t="array" ref="O454">_xlfn.IFS(orders[[#This Row],[Customer Gender]]="M","Male", orders[[#This Row],[Customer Gender]]="F","Female", orders[[#This Row],[Customer Gender]]="O","Other", TRUE(),"Unknown")</f>
        <v>Female</v>
      </c>
    </row>
    <row r="455" spans="1:15" x14ac:dyDescent="0.25">
      <c r="A455" t="s">
        <v>683</v>
      </c>
      <c r="B455" t="s">
        <v>80</v>
      </c>
      <c r="C455">
        <v>6</v>
      </c>
      <c r="D455">
        <v>62.5</v>
      </c>
      <c r="E455">
        <v>375</v>
      </c>
      <c r="F455" s="58">
        <v>45677</v>
      </c>
      <c r="G455" s="58">
        <v>45679</v>
      </c>
      <c r="H455" t="s">
        <v>231</v>
      </c>
      <c r="I455" t="s">
        <v>59</v>
      </c>
      <c r="J455">
        <v>4</v>
      </c>
      <c r="K455" t="s">
        <v>103</v>
      </c>
      <c r="L455" t="s">
        <v>124</v>
      </c>
      <c r="M455">
        <f>orders[[#This Row],[Ship Date]]-orders[[#This Row],[Order Date]]</f>
        <v>2</v>
      </c>
      <c r="N455">
        <f>WEEKNUM(orders[[#This Row],[Order Date]],1)</f>
        <v>4</v>
      </c>
      <c r="O455" t="str">
        <f t="array" ref="O455">_xlfn.IFS(orders[[#This Row],[Customer Gender]]="M","Male", orders[[#This Row],[Customer Gender]]="F","Female", orders[[#This Row],[Customer Gender]]="O","Other", TRUE(),"Unknown")</f>
        <v>Female</v>
      </c>
    </row>
    <row r="456" spans="1:15" x14ac:dyDescent="0.25">
      <c r="A456" t="s">
        <v>684</v>
      </c>
      <c r="B456" t="s">
        <v>90</v>
      </c>
      <c r="C456">
        <v>40</v>
      </c>
      <c r="D456">
        <v>47.9</v>
      </c>
      <c r="E456">
        <v>1916</v>
      </c>
      <c r="F456" s="58">
        <v>45677</v>
      </c>
      <c r="G456" s="58">
        <v>45678</v>
      </c>
      <c r="H456" t="s">
        <v>231</v>
      </c>
      <c r="I456" t="s">
        <v>60</v>
      </c>
      <c r="J456">
        <v>4</v>
      </c>
      <c r="K456" t="s">
        <v>103</v>
      </c>
      <c r="L456" t="s">
        <v>124</v>
      </c>
      <c r="M456">
        <f>orders[[#This Row],[Ship Date]]-orders[[#This Row],[Order Date]]</f>
        <v>1</v>
      </c>
      <c r="N456">
        <f>WEEKNUM(orders[[#This Row],[Order Date]],1)</f>
        <v>4</v>
      </c>
      <c r="O456" t="str">
        <f t="array" ref="O456">_xlfn.IFS(orders[[#This Row],[Customer Gender]]="M","Male", orders[[#This Row],[Customer Gender]]="F","Female", orders[[#This Row],[Customer Gender]]="O","Other", TRUE(),"Unknown")</f>
        <v>Female</v>
      </c>
    </row>
    <row r="457" spans="1:15" x14ac:dyDescent="0.25">
      <c r="A457" t="s">
        <v>685</v>
      </c>
      <c r="B457" t="s">
        <v>80</v>
      </c>
      <c r="C457">
        <v>6</v>
      </c>
      <c r="D457">
        <v>92.9</v>
      </c>
      <c r="E457">
        <v>557.4</v>
      </c>
      <c r="F457" s="58">
        <v>45677</v>
      </c>
      <c r="G457" s="58">
        <v>45688</v>
      </c>
      <c r="H457" t="s">
        <v>231</v>
      </c>
      <c r="I457" t="s">
        <v>59</v>
      </c>
      <c r="J457">
        <v>2</v>
      </c>
      <c r="K457" t="s">
        <v>103</v>
      </c>
      <c r="L457" t="s">
        <v>124</v>
      </c>
      <c r="M457">
        <f>orders[[#This Row],[Ship Date]]-orders[[#This Row],[Order Date]]</f>
        <v>11</v>
      </c>
      <c r="N457">
        <f>WEEKNUM(orders[[#This Row],[Order Date]],1)</f>
        <v>4</v>
      </c>
      <c r="O457" t="str">
        <f t="array" ref="O457">_xlfn.IFS(orders[[#This Row],[Customer Gender]]="M","Male", orders[[#This Row],[Customer Gender]]="F","Female", orders[[#This Row],[Customer Gender]]="O","Other", TRUE(),"Unknown")</f>
        <v>Female</v>
      </c>
    </row>
    <row r="458" spans="1:15" x14ac:dyDescent="0.25">
      <c r="A458" t="s">
        <v>686</v>
      </c>
      <c r="B458" t="s">
        <v>76</v>
      </c>
      <c r="C458">
        <v>3</v>
      </c>
      <c r="D458">
        <v>44.1</v>
      </c>
      <c r="E458">
        <v>132.30000000000001</v>
      </c>
      <c r="F458" s="58">
        <v>45677</v>
      </c>
      <c r="G458" s="58">
        <v>45677</v>
      </c>
      <c r="H458" t="s">
        <v>231</v>
      </c>
      <c r="I458" t="s">
        <v>63</v>
      </c>
      <c r="J458">
        <v>3</v>
      </c>
      <c r="K458" t="s">
        <v>103</v>
      </c>
      <c r="L458" t="s">
        <v>126</v>
      </c>
      <c r="M458">
        <f>orders[[#This Row],[Ship Date]]-orders[[#This Row],[Order Date]]</f>
        <v>0</v>
      </c>
      <c r="N458">
        <f>WEEKNUM(orders[[#This Row],[Order Date]],1)</f>
        <v>4</v>
      </c>
      <c r="O458" t="str">
        <f t="array" ref="O458">_xlfn.IFS(orders[[#This Row],[Customer Gender]]="M","Male", orders[[#This Row],[Customer Gender]]="F","Female", orders[[#This Row],[Customer Gender]]="O","Other", TRUE(),"Unknown")</f>
        <v>Female</v>
      </c>
    </row>
    <row r="459" spans="1:15" x14ac:dyDescent="0.25">
      <c r="A459" t="s">
        <v>687</v>
      </c>
      <c r="B459" t="s">
        <v>86</v>
      </c>
      <c r="C459">
        <v>1</v>
      </c>
      <c r="D459">
        <v>11.4</v>
      </c>
      <c r="E459">
        <v>11.4</v>
      </c>
      <c r="F459" s="58">
        <v>45678</v>
      </c>
      <c r="G459" s="58">
        <v>45680</v>
      </c>
      <c r="H459" t="s">
        <v>231</v>
      </c>
      <c r="I459" t="s">
        <v>62</v>
      </c>
      <c r="J459">
        <v>4</v>
      </c>
      <c r="K459" t="s">
        <v>103</v>
      </c>
      <c r="L459" t="s">
        <v>136</v>
      </c>
      <c r="M459">
        <f>orders[[#This Row],[Ship Date]]-orders[[#This Row],[Order Date]]</f>
        <v>2</v>
      </c>
      <c r="N459">
        <f>WEEKNUM(orders[[#This Row],[Order Date]],1)</f>
        <v>4</v>
      </c>
      <c r="O459" t="str">
        <f t="array" ref="O459">_xlfn.IFS(orders[[#This Row],[Customer Gender]]="M","Male", orders[[#This Row],[Customer Gender]]="F","Female", orders[[#This Row],[Customer Gender]]="O","Other", TRUE(),"Unknown")</f>
        <v>Female</v>
      </c>
    </row>
    <row r="460" spans="1:15" x14ac:dyDescent="0.25">
      <c r="A460" t="s">
        <v>688</v>
      </c>
      <c r="B460" t="s">
        <v>80</v>
      </c>
      <c r="C460">
        <v>1</v>
      </c>
      <c r="D460">
        <v>83.7</v>
      </c>
      <c r="E460">
        <v>83.7</v>
      </c>
      <c r="F460" s="58">
        <v>45678</v>
      </c>
      <c r="G460" s="58">
        <v>45680</v>
      </c>
      <c r="H460" t="s">
        <v>231</v>
      </c>
      <c r="I460" t="s">
        <v>59</v>
      </c>
      <c r="J460">
        <v>5</v>
      </c>
      <c r="K460" t="s">
        <v>103</v>
      </c>
      <c r="L460" t="s">
        <v>139</v>
      </c>
      <c r="M460">
        <f>orders[[#This Row],[Ship Date]]-orders[[#This Row],[Order Date]]</f>
        <v>2</v>
      </c>
      <c r="N460">
        <f>WEEKNUM(orders[[#This Row],[Order Date]],1)</f>
        <v>4</v>
      </c>
      <c r="O460" t="str">
        <f t="array" ref="O460">_xlfn.IFS(orders[[#This Row],[Customer Gender]]="M","Male", orders[[#This Row],[Customer Gender]]="F","Female", orders[[#This Row],[Customer Gender]]="O","Other", TRUE(),"Unknown")</f>
        <v>Female</v>
      </c>
    </row>
    <row r="461" spans="1:15" x14ac:dyDescent="0.25">
      <c r="A461" t="s">
        <v>689</v>
      </c>
      <c r="B461" t="s">
        <v>75</v>
      </c>
      <c r="C461">
        <v>2</v>
      </c>
      <c r="D461">
        <v>23.2</v>
      </c>
      <c r="E461">
        <v>46.4</v>
      </c>
      <c r="F461" s="58">
        <v>45678</v>
      </c>
      <c r="G461" s="58">
        <v>45679</v>
      </c>
      <c r="H461" t="s">
        <v>229</v>
      </c>
      <c r="I461" t="s">
        <v>62</v>
      </c>
      <c r="J461">
        <v>4</v>
      </c>
      <c r="K461" t="s">
        <v>103</v>
      </c>
      <c r="L461" t="s">
        <v>142</v>
      </c>
      <c r="M461">
        <f>orders[[#This Row],[Ship Date]]-orders[[#This Row],[Order Date]]</f>
        <v>1</v>
      </c>
      <c r="N461">
        <f>WEEKNUM(orders[[#This Row],[Order Date]],1)</f>
        <v>4</v>
      </c>
      <c r="O461" t="str">
        <f t="array" ref="O461">_xlfn.IFS(orders[[#This Row],[Customer Gender]]="M","Male", orders[[#This Row],[Customer Gender]]="F","Female", orders[[#This Row],[Customer Gender]]="O","Other", TRUE(),"Unknown")</f>
        <v>Male</v>
      </c>
    </row>
    <row r="462" spans="1:15" x14ac:dyDescent="0.25">
      <c r="A462" t="s">
        <v>690</v>
      </c>
      <c r="B462" t="s">
        <v>87</v>
      </c>
      <c r="C462">
        <v>1</v>
      </c>
      <c r="D462">
        <v>162.1</v>
      </c>
      <c r="E462">
        <v>162.1</v>
      </c>
      <c r="F462" s="58">
        <v>45678</v>
      </c>
      <c r="G462" s="58">
        <v>45681</v>
      </c>
      <c r="H462" t="s">
        <v>231</v>
      </c>
      <c r="I462" t="s">
        <v>59</v>
      </c>
      <c r="J462">
        <v>5</v>
      </c>
      <c r="K462" t="s">
        <v>103</v>
      </c>
      <c r="L462" t="s">
        <v>146</v>
      </c>
      <c r="M462">
        <f>orders[[#This Row],[Ship Date]]-orders[[#This Row],[Order Date]]</f>
        <v>3</v>
      </c>
      <c r="N462">
        <f>WEEKNUM(orders[[#This Row],[Order Date]],1)</f>
        <v>4</v>
      </c>
      <c r="O462" t="str">
        <f t="array" ref="O462">_xlfn.IFS(orders[[#This Row],[Customer Gender]]="M","Male", orders[[#This Row],[Customer Gender]]="F","Female", orders[[#This Row],[Customer Gender]]="O","Other", TRUE(),"Unknown")</f>
        <v>Female</v>
      </c>
    </row>
    <row r="463" spans="1:15" x14ac:dyDescent="0.25">
      <c r="A463" t="s">
        <v>691</v>
      </c>
      <c r="B463" t="s">
        <v>80</v>
      </c>
      <c r="C463">
        <v>4</v>
      </c>
      <c r="D463">
        <v>49.2</v>
      </c>
      <c r="E463">
        <v>196.8</v>
      </c>
      <c r="F463" s="58">
        <v>45678</v>
      </c>
      <c r="G463" s="58">
        <v>45682</v>
      </c>
      <c r="H463" t="s">
        <v>229</v>
      </c>
      <c r="I463" t="s">
        <v>63</v>
      </c>
      <c r="J463">
        <v>4</v>
      </c>
      <c r="K463" t="s">
        <v>103</v>
      </c>
      <c r="L463" t="s">
        <v>146</v>
      </c>
      <c r="M463">
        <f>orders[[#This Row],[Ship Date]]-orders[[#This Row],[Order Date]]</f>
        <v>4</v>
      </c>
      <c r="N463">
        <f>WEEKNUM(orders[[#This Row],[Order Date]],1)</f>
        <v>4</v>
      </c>
      <c r="O463" t="str">
        <f t="array" ref="O463">_xlfn.IFS(orders[[#This Row],[Customer Gender]]="M","Male", orders[[#This Row],[Customer Gender]]="F","Female", orders[[#This Row],[Customer Gender]]="O","Other", TRUE(),"Unknown")</f>
        <v>Male</v>
      </c>
    </row>
    <row r="464" spans="1:15" x14ac:dyDescent="0.25">
      <c r="A464" t="s">
        <v>692</v>
      </c>
      <c r="B464" t="s">
        <v>91</v>
      </c>
      <c r="C464">
        <v>2</v>
      </c>
      <c r="D464">
        <v>61</v>
      </c>
      <c r="E464">
        <v>122</v>
      </c>
      <c r="F464" s="58">
        <v>45678</v>
      </c>
      <c r="G464" s="58">
        <v>45679</v>
      </c>
      <c r="H464" t="s">
        <v>229</v>
      </c>
      <c r="I464" t="s">
        <v>60</v>
      </c>
      <c r="J464">
        <v>4</v>
      </c>
      <c r="K464" t="s">
        <v>103</v>
      </c>
      <c r="L464" t="s">
        <v>147</v>
      </c>
      <c r="M464">
        <f>orders[[#This Row],[Ship Date]]-orders[[#This Row],[Order Date]]</f>
        <v>1</v>
      </c>
      <c r="N464">
        <f>WEEKNUM(orders[[#This Row],[Order Date]],1)</f>
        <v>4</v>
      </c>
      <c r="O464" t="str">
        <f t="array" ref="O464">_xlfn.IFS(orders[[#This Row],[Customer Gender]]="M","Male", orders[[#This Row],[Customer Gender]]="F","Female", orders[[#This Row],[Customer Gender]]="O","Other", TRUE(),"Unknown")</f>
        <v>Male</v>
      </c>
    </row>
    <row r="465" spans="1:15" x14ac:dyDescent="0.25">
      <c r="A465" t="s">
        <v>693</v>
      </c>
      <c r="B465" t="s">
        <v>87</v>
      </c>
      <c r="C465">
        <v>10</v>
      </c>
      <c r="D465">
        <v>53.1</v>
      </c>
      <c r="E465">
        <v>531</v>
      </c>
      <c r="F465" s="58">
        <v>45678</v>
      </c>
      <c r="G465" s="58">
        <v>45680</v>
      </c>
      <c r="H465" t="s">
        <v>229</v>
      </c>
      <c r="I465" t="s">
        <v>59</v>
      </c>
      <c r="J465">
        <v>4</v>
      </c>
      <c r="K465" t="s">
        <v>103</v>
      </c>
      <c r="L465" t="s">
        <v>148</v>
      </c>
      <c r="M465">
        <f>orders[[#This Row],[Ship Date]]-orders[[#This Row],[Order Date]]</f>
        <v>2</v>
      </c>
      <c r="N465">
        <f>WEEKNUM(orders[[#This Row],[Order Date]],1)</f>
        <v>4</v>
      </c>
      <c r="O465" t="str">
        <f t="array" ref="O465">_xlfn.IFS(orders[[#This Row],[Customer Gender]]="M","Male", orders[[#This Row],[Customer Gender]]="F","Female", orders[[#This Row],[Customer Gender]]="O","Other", TRUE(),"Unknown")</f>
        <v>Male</v>
      </c>
    </row>
    <row r="466" spans="1:15" x14ac:dyDescent="0.25">
      <c r="A466" t="s">
        <v>694</v>
      </c>
      <c r="B466" t="s">
        <v>78</v>
      </c>
      <c r="C466">
        <v>2</v>
      </c>
      <c r="D466">
        <v>22.4</v>
      </c>
      <c r="E466">
        <v>44.8</v>
      </c>
      <c r="F466" s="58">
        <v>45678</v>
      </c>
      <c r="G466" s="58">
        <v>45680</v>
      </c>
      <c r="I466" t="s">
        <v>63</v>
      </c>
      <c r="J466">
        <v>5</v>
      </c>
      <c r="K466" t="s">
        <v>103</v>
      </c>
      <c r="L466" t="s">
        <v>161</v>
      </c>
      <c r="M466">
        <f>orders[[#This Row],[Ship Date]]-orders[[#This Row],[Order Date]]</f>
        <v>2</v>
      </c>
      <c r="N466">
        <f>WEEKNUM(orders[[#This Row],[Order Date]],1)</f>
        <v>4</v>
      </c>
      <c r="O466" t="str">
        <f t="array" ref="O466">_xlfn.IFS(orders[[#This Row],[Customer Gender]]="M","Male", orders[[#This Row],[Customer Gender]]="F","Female", orders[[#This Row],[Customer Gender]]="O","Other", TRUE(),"Unknown")</f>
        <v>Unknown</v>
      </c>
    </row>
    <row r="467" spans="1:15" x14ac:dyDescent="0.25">
      <c r="A467" t="s">
        <v>695</v>
      </c>
      <c r="B467" t="s">
        <v>91</v>
      </c>
      <c r="C467">
        <v>5</v>
      </c>
      <c r="D467">
        <v>75.3</v>
      </c>
      <c r="E467">
        <v>376.5</v>
      </c>
      <c r="F467" s="58">
        <v>45678</v>
      </c>
      <c r="G467" s="58">
        <v>45679</v>
      </c>
      <c r="H467" t="s">
        <v>229</v>
      </c>
      <c r="I467" t="s">
        <v>59</v>
      </c>
      <c r="J467">
        <v>4</v>
      </c>
      <c r="K467" t="s">
        <v>103</v>
      </c>
      <c r="L467" t="s">
        <v>106</v>
      </c>
      <c r="M467">
        <f>orders[[#This Row],[Ship Date]]-orders[[#This Row],[Order Date]]</f>
        <v>1</v>
      </c>
      <c r="N467">
        <f>WEEKNUM(orders[[#This Row],[Order Date]],1)</f>
        <v>4</v>
      </c>
      <c r="O467" t="str">
        <f t="array" ref="O467">_xlfn.IFS(orders[[#This Row],[Customer Gender]]="M","Male", orders[[#This Row],[Customer Gender]]="F","Female", orders[[#This Row],[Customer Gender]]="O","Other", TRUE(),"Unknown")</f>
        <v>Male</v>
      </c>
    </row>
    <row r="468" spans="1:15" x14ac:dyDescent="0.25">
      <c r="A468" t="s">
        <v>696</v>
      </c>
      <c r="B468" t="s">
        <v>80</v>
      </c>
      <c r="C468">
        <v>1</v>
      </c>
      <c r="D468">
        <v>48.5</v>
      </c>
      <c r="E468">
        <v>48.5</v>
      </c>
      <c r="F468" s="58">
        <v>45678</v>
      </c>
      <c r="G468" s="58">
        <v>45679</v>
      </c>
      <c r="H468" t="s">
        <v>231</v>
      </c>
      <c r="I468" t="s">
        <v>59</v>
      </c>
      <c r="J468">
        <v>3</v>
      </c>
      <c r="K468" t="s">
        <v>103</v>
      </c>
      <c r="L468" t="s">
        <v>106</v>
      </c>
      <c r="M468">
        <f>orders[[#This Row],[Ship Date]]-orders[[#This Row],[Order Date]]</f>
        <v>1</v>
      </c>
      <c r="N468">
        <f>WEEKNUM(orders[[#This Row],[Order Date]],1)</f>
        <v>4</v>
      </c>
      <c r="O468" t="str">
        <f t="array" ref="O468">_xlfn.IFS(orders[[#This Row],[Customer Gender]]="M","Male", orders[[#This Row],[Customer Gender]]="F","Female", orders[[#This Row],[Customer Gender]]="O","Other", TRUE(),"Unknown")</f>
        <v>Female</v>
      </c>
    </row>
    <row r="469" spans="1:15" x14ac:dyDescent="0.25">
      <c r="A469" t="s">
        <v>697</v>
      </c>
      <c r="B469" t="s">
        <v>80</v>
      </c>
      <c r="C469">
        <v>1</v>
      </c>
      <c r="D469">
        <v>42.6</v>
      </c>
      <c r="E469">
        <v>42.6</v>
      </c>
      <c r="F469" s="58">
        <v>45678</v>
      </c>
      <c r="G469" s="58">
        <v>45682</v>
      </c>
      <c r="H469" t="s">
        <v>231</v>
      </c>
      <c r="I469" t="s">
        <v>60</v>
      </c>
      <c r="J469">
        <v>4</v>
      </c>
      <c r="K469" t="s">
        <v>103</v>
      </c>
      <c r="L469" t="s">
        <v>112</v>
      </c>
      <c r="M469">
        <f>orders[[#This Row],[Ship Date]]-orders[[#This Row],[Order Date]]</f>
        <v>4</v>
      </c>
      <c r="N469">
        <f>WEEKNUM(orders[[#This Row],[Order Date]],1)</f>
        <v>4</v>
      </c>
      <c r="O469" t="str">
        <f t="array" ref="O469">_xlfn.IFS(orders[[#This Row],[Customer Gender]]="M","Male", orders[[#This Row],[Customer Gender]]="F","Female", orders[[#This Row],[Customer Gender]]="O","Other", TRUE(),"Unknown")</f>
        <v>Female</v>
      </c>
    </row>
    <row r="470" spans="1:15" x14ac:dyDescent="0.25">
      <c r="A470" t="s">
        <v>698</v>
      </c>
      <c r="B470" t="s">
        <v>85</v>
      </c>
      <c r="C470">
        <v>5</v>
      </c>
      <c r="D470">
        <v>49</v>
      </c>
      <c r="E470">
        <v>245</v>
      </c>
      <c r="F470" s="58">
        <v>45678</v>
      </c>
      <c r="G470" s="58">
        <v>45679</v>
      </c>
      <c r="H470" t="s">
        <v>229</v>
      </c>
      <c r="I470" t="s">
        <v>59</v>
      </c>
      <c r="J470">
        <v>4</v>
      </c>
      <c r="K470" t="s">
        <v>103</v>
      </c>
      <c r="L470" t="s">
        <v>120</v>
      </c>
      <c r="M470">
        <f>orders[[#This Row],[Ship Date]]-orders[[#This Row],[Order Date]]</f>
        <v>1</v>
      </c>
      <c r="N470">
        <f>WEEKNUM(orders[[#This Row],[Order Date]],1)</f>
        <v>4</v>
      </c>
      <c r="O470" t="str">
        <f t="array" ref="O470">_xlfn.IFS(orders[[#This Row],[Customer Gender]]="M","Male", orders[[#This Row],[Customer Gender]]="F","Female", orders[[#This Row],[Customer Gender]]="O","Other", TRUE(),"Unknown")</f>
        <v>Male</v>
      </c>
    </row>
    <row r="471" spans="1:15" x14ac:dyDescent="0.25">
      <c r="A471" t="s">
        <v>699</v>
      </c>
      <c r="B471" t="s">
        <v>90</v>
      </c>
      <c r="C471">
        <v>3</v>
      </c>
      <c r="D471">
        <v>31.3</v>
      </c>
      <c r="E471">
        <v>93.9</v>
      </c>
      <c r="F471" s="58">
        <v>45678</v>
      </c>
      <c r="G471" s="58">
        <v>45679</v>
      </c>
      <c r="H471" t="s">
        <v>229</v>
      </c>
      <c r="I471" t="s">
        <v>62</v>
      </c>
      <c r="J471">
        <v>3</v>
      </c>
      <c r="K471" t="s">
        <v>103</v>
      </c>
      <c r="L471" t="s">
        <v>124</v>
      </c>
      <c r="M471">
        <f>orders[[#This Row],[Ship Date]]-orders[[#This Row],[Order Date]]</f>
        <v>1</v>
      </c>
      <c r="N471">
        <f>WEEKNUM(orders[[#This Row],[Order Date]],1)</f>
        <v>4</v>
      </c>
      <c r="O471" t="str">
        <f t="array" ref="O471">_xlfn.IFS(orders[[#This Row],[Customer Gender]]="M","Male", orders[[#This Row],[Customer Gender]]="F","Female", orders[[#This Row],[Customer Gender]]="O","Other", TRUE(),"Unknown")</f>
        <v>Male</v>
      </c>
    </row>
    <row r="472" spans="1:15" x14ac:dyDescent="0.25">
      <c r="A472" t="s">
        <v>700</v>
      </c>
      <c r="B472" t="s">
        <v>87</v>
      </c>
      <c r="C472">
        <v>2</v>
      </c>
      <c r="D472">
        <v>85.4</v>
      </c>
      <c r="E472">
        <v>170.8</v>
      </c>
      <c r="F472" s="58">
        <v>45678</v>
      </c>
      <c r="G472" s="58">
        <v>45679</v>
      </c>
      <c r="H472" t="s">
        <v>231</v>
      </c>
      <c r="I472" t="s">
        <v>62</v>
      </c>
      <c r="J472">
        <v>4</v>
      </c>
      <c r="K472" t="s">
        <v>103</v>
      </c>
      <c r="L472" t="s">
        <v>124</v>
      </c>
      <c r="M472">
        <f>orders[[#This Row],[Ship Date]]-orders[[#This Row],[Order Date]]</f>
        <v>1</v>
      </c>
      <c r="N472">
        <f>WEEKNUM(orders[[#This Row],[Order Date]],1)</f>
        <v>4</v>
      </c>
      <c r="O472" t="str">
        <f t="array" ref="O472">_xlfn.IFS(orders[[#This Row],[Customer Gender]]="M","Male", orders[[#This Row],[Customer Gender]]="F","Female", orders[[#This Row],[Customer Gender]]="O","Other", TRUE(),"Unknown")</f>
        <v>Female</v>
      </c>
    </row>
    <row r="473" spans="1:15" x14ac:dyDescent="0.25">
      <c r="A473" t="s">
        <v>701</v>
      </c>
      <c r="B473" t="s">
        <v>90</v>
      </c>
      <c r="C473">
        <v>4</v>
      </c>
      <c r="D473">
        <v>40</v>
      </c>
      <c r="E473">
        <v>160</v>
      </c>
      <c r="F473" s="58">
        <v>45678</v>
      </c>
      <c r="G473" s="58">
        <v>45679</v>
      </c>
      <c r="H473" t="s">
        <v>263</v>
      </c>
      <c r="I473" t="s">
        <v>59</v>
      </c>
      <c r="J473">
        <v>5</v>
      </c>
      <c r="K473" t="s">
        <v>103</v>
      </c>
      <c r="L473" t="s">
        <v>124</v>
      </c>
      <c r="M473">
        <f>orders[[#This Row],[Ship Date]]-orders[[#This Row],[Order Date]]</f>
        <v>1</v>
      </c>
      <c r="N473">
        <f>WEEKNUM(orders[[#This Row],[Order Date]],1)</f>
        <v>4</v>
      </c>
      <c r="O473" t="str">
        <f t="array" ref="O473">_xlfn.IFS(orders[[#This Row],[Customer Gender]]="M","Male", orders[[#This Row],[Customer Gender]]="F","Female", orders[[#This Row],[Customer Gender]]="O","Other", TRUE(),"Unknown")</f>
        <v>Other</v>
      </c>
    </row>
    <row r="474" spans="1:15" x14ac:dyDescent="0.25">
      <c r="A474" t="s">
        <v>702</v>
      </c>
      <c r="B474" t="s">
        <v>85</v>
      </c>
      <c r="C474">
        <v>2</v>
      </c>
      <c r="D474">
        <v>38.5</v>
      </c>
      <c r="E474">
        <v>77</v>
      </c>
      <c r="F474" s="58">
        <v>45678</v>
      </c>
      <c r="G474" s="58">
        <v>45681</v>
      </c>
      <c r="H474" t="s">
        <v>229</v>
      </c>
      <c r="I474" t="s">
        <v>63</v>
      </c>
      <c r="J474">
        <v>5</v>
      </c>
      <c r="K474" t="s">
        <v>103</v>
      </c>
      <c r="L474" t="s">
        <v>124</v>
      </c>
      <c r="M474">
        <f>orders[[#This Row],[Ship Date]]-orders[[#This Row],[Order Date]]</f>
        <v>3</v>
      </c>
      <c r="N474">
        <f>WEEKNUM(orders[[#This Row],[Order Date]],1)</f>
        <v>4</v>
      </c>
      <c r="O474" t="str">
        <f t="array" ref="O474">_xlfn.IFS(orders[[#This Row],[Customer Gender]]="M","Male", orders[[#This Row],[Customer Gender]]="F","Female", orders[[#This Row],[Customer Gender]]="O","Other", TRUE(),"Unknown")</f>
        <v>Male</v>
      </c>
    </row>
    <row r="475" spans="1:15" x14ac:dyDescent="0.25">
      <c r="A475" t="s">
        <v>703</v>
      </c>
      <c r="B475" t="s">
        <v>87</v>
      </c>
      <c r="C475">
        <v>2</v>
      </c>
      <c r="D475">
        <v>57.8</v>
      </c>
      <c r="E475">
        <v>115.6</v>
      </c>
      <c r="F475" s="58">
        <v>45678</v>
      </c>
      <c r="G475" s="58">
        <v>45679</v>
      </c>
      <c r="I475" t="s">
        <v>59</v>
      </c>
      <c r="J475">
        <v>4</v>
      </c>
      <c r="K475" t="s">
        <v>103</v>
      </c>
      <c r="L475" t="s">
        <v>124</v>
      </c>
      <c r="M475">
        <f>orders[[#This Row],[Ship Date]]-orders[[#This Row],[Order Date]]</f>
        <v>1</v>
      </c>
      <c r="N475">
        <f>WEEKNUM(orders[[#This Row],[Order Date]],1)</f>
        <v>4</v>
      </c>
      <c r="O475" t="str">
        <f t="array" ref="O475">_xlfn.IFS(orders[[#This Row],[Customer Gender]]="M","Male", orders[[#This Row],[Customer Gender]]="F","Female", orders[[#This Row],[Customer Gender]]="O","Other", TRUE(),"Unknown")</f>
        <v>Unknown</v>
      </c>
    </row>
    <row r="476" spans="1:15" x14ac:dyDescent="0.25">
      <c r="A476" t="s">
        <v>704</v>
      </c>
      <c r="B476" t="s">
        <v>90</v>
      </c>
      <c r="C476">
        <v>1</v>
      </c>
      <c r="D476">
        <v>19.2</v>
      </c>
      <c r="E476">
        <v>19.2</v>
      </c>
      <c r="F476" s="58">
        <v>45678</v>
      </c>
      <c r="G476" s="58">
        <v>45679</v>
      </c>
      <c r="H476" t="s">
        <v>231</v>
      </c>
      <c r="I476" t="s">
        <v>59</v>
      </c>
      <c r="J476">
        <v>2</v>
      </c>
      <c r="K476" t="s">
        <v>103</v>
      </c>
      <c r="L476" t="s">
        <v>124</v>
      </c>
      <c r="M476">
        <f>orders[[#This Row],[Ship Date]]-orders[[#This Row],[Order Date]]</f>
        <v>1</v>
      </c>
      <c r="N476">
        <f>WEEKNUM(orders[[#This Row],[Order Date]],1)</f>
        <v>4</v>
      </c>
      <c r="O476" t="str">
        <f t="array" ref="O476">_xlfn.IFS(orders[[#This Row],[Customer Gender]]="M","Male", orders[[#This Row],[Customer Gender]]="F","Female", orders[[#This Row],[Customer Gender]]="O","Other", TRUE(),"Unknown")</f>
        <v>Female</v>
      </c>
    </row>
    <row r="477" spans="1:15" x14ac:dyDescent="0.25">
      <c r="A477" t="s">
        <v>705</v>
      </c>
      <c r="B477" t="s">
        <v>80</v>
      </c>
      <c r="C477">
        <v>6</v>
      </c>
      <c r="D477">
        <v>114.8</v>
      </c>
      <c r="E477">
        <v>688.8</v>
      </c>
      <c r="F477" s="58">
        <v>45678</v>
      </c>
      <c r="G477" s="58">
        <v>45681</v>
      </c>
      <c r="H477" t="s">
        <v>229</v>
      </c>
      <c r="I477" t="s">
        <v>63</v>
      </c>
      <c r="J477">
        <v>3</v>
      </c>
      <c r="K477" t="s">
        <v>103</v>
      </c>
      <c r="L477" t="s">
        <v>124</v>
      </c>
      <c r="M477">
        <f>orders[[#This Row],[Ship Date]]-orders[[#This Row],[Order Date]]</f>
        <v>3</v>
      </c>
      <c r="N477">
        <f>WEEKNUM(orders[[#This Row],[Order Date]],1)</f>
        <v>4</v>
      </c>
      <c r="O477" t="str">
        <f t="array" ref="O477">_xlfn.IFS(orders[[#This Row],[Customer Gender]]="M","Male", orders[[#This Row],[Customer Gender]]="F","Female", orders[[#This Row],[Customer Gender]]="O","Other", TRUE(),"Unknown")</f>
        <v>Male</v>
      </c>
    </row>
    <row r="478" spans="1:15" x14ac:dyDescent="0.25">
      <c r="A478" t="s">
        <v>706</v>
      </c>
      <c r="B478" t="s">
        <v>75</v>
      </c>
      <c r="C478">
        <v>7</v>
      </c>
      <c r="D478">
        <v>48.4</v>
      </c>
      <c r="E478">
        <v>338.8</v>
      </c>
      <c r="F478" s="58">
        <v>45678</v>
      </c>
      <c r="G478" s="58">
        <v>45681</v>
      </c>
      <c r="H478" t="s">
        <v>231</v>
      </c>
      <c r="I478" t="s">
        <v>60</v>
      </c>
      <c r="J478">
        <v>3</v>
      </c>
      <c r="K478" t="s">
        <v>103</v>
      </c>
      <c r="L478" t="s">
        <v>124</v>
      </c>
      <c r="M478">
        <f>orders[[#This Row],[Ship Date]]-orders[[#This Row],[Order Date]]</f>
        <v>3</v>
      </c>
      <c r="N478">
        <f>WEEKNUM(orders[[#This Row],[Order Date]],1)</f>
        <v>4</v>
      </c>
      <c r="O478" t="str">
        <f t="array" ref="O478">_xlfn.IFS(orders[[#This Row],[Customer Gender]]="M","Male", orders[[#This Row],[Customer Gender]]="F","Female", orders[[#This Row],[Customer Gender]]="O","Other", TRUE(),"Unknown")</f>
        <v>Female</v>
      </c>
    </row>
    <row r="479" spans="1:15" x14ac:dyDescent="0.25">
      <c r="A479" t="s">
        <v>707</v>
      </c>
      <c r="B479" t="s">
        <v>88</v>
      </c>
      <c r="C479">
        <v>5</v>
      </c>
      <c r="D479">
        <v>73.2</v>
      </c>
      <c r="E479">
        <v>366</v>
      </c>
      <c r="F479" s="58">
        <v>45678</v>
      </c>
      <c r="G479" s="58">
        <v>45679</v>
      </c>
      <c r="H479" t="s">
        <v>231</v>
      </c>
      <c r="I479" t="s">
        <v>63</v>
      </c>
      <c r="J479">
        <v>2</v>
      </c>
      <c r="K479" t="s">
        <v>103</v>
      </c>
      <c r="L479" t="s">
        <v>124</v>
      </c>
      <c r="M479">
        <f>orders[[#This Row],[Ship Date]]-orders[[#This Row],[Order Date]]</f>
        <v>1</v>
      </c>
      <c r="N479">
        <f>WEEKNUM(orders[[#This Row],[Order Date]],1)</f>
        <v>4</v>
      </c>
      <c r="O479" t="str">
        <f t="array" ref="O479">_xlfn.IFS(orders[[#This Row],[Customer Gender]]="M","Male", orders[[#This Row],[Customer Gender]]="F","Female", orders[[#This Row],[Customer Gender]]="O","Other", TRUE(),"Unknown")</f>
        <v>Female</v>
      </c>
    </row>
    <row r="480" spans="1:15" x14ac:dyDescent="0.25">
      <c r="A480" t="s">
        <v>708</v>
      </c>
      <c r="B480" t="s">
        <v>77</v>
      </c>
      <c r="C480">
        <v>2</v>
      </c>
      <c r="D480">
        <v>48.6</v>
      </c>
      <c r="E480">
        <v>97.2</v>
      </c>
      <c r="F480" s="58">
        <v>45678</v>
      </c>
      <c r="G480" s="58">
        <v>45682</v>
      </c>
      <c r="H480" t="s">
        <v>231</v>
      </c>
      <c r="I480" t="s">
        <v>60</v>
      </c>
      <c r="J480">
        <v>4</v>
      </c>
      <c r="K480" t="s">
        <v>103</v>
      </c>
      <c r="L480" t="s">
        <v>124</v>
      </c>
      <c r="M480">
        <f>orders[[#This Row],[Ship Date]]-orders[[#This Row],[Order Date]]</f>
        <v>4</v>
      </c>
      <c r="N480">
        <f>WEEKNUM(orders[[#This Row],[Order Date]],1)</f>
        <v>4</v>
      </c>
      <c r="O480" t="str">
        <f t="array" ref="O480">_xlfn.IFS(orders[[#This Row],[Customer Gender]]="M","Male", orders[[#This Row],[Customer Gender]]="F","Female", orders[[#This Row],[Customer Gender]]="O","Other", TRUE(),"Unknown")</f>
        <v>Female</v>
      </c>
    </row>
    <row r="481" spans="1:15" x14ac:dyDescent="0.25">
      <c r="A481" t="s">
        <v>709</v>
      </c>
      <c r="B481" t="s">
        <v>86</v>
      </c>
      <c r="C481">
        <v>6</v>
      </c>
      <c r="D481">
        <v>48.7</v>
      </c>
      <c r="E481">
        <v>292.2</v>
      </c>
      <c r="F481" s="58">
        <v>45678</v>
      </c>
      <c r="G481" s="58">
        <v>45679</v>
      </c>
      <c r="H481" t="s">
        <v>229</v>
      </c>
      <c r="I481" t="s">
        <v>59</v>
      </c>
      <c r="J481">
        <v>4</v>
      </c>
      <c r="K481" t="s">
        <v>103</v>
      </c>
      <c r="L481" t="s">
        <v>124</v>
      </c>
      <c r="M481">
        <f>orders[[#This Row],[Ship Date]]-orders[[#This Row],[Order Date]]</f>
        <v>1</v>
      </c>
      <c r="N481">
        <f>WEEKNUM(orders[[#This Row],[Order Date]],1)</f>
        <v>4</v>
      </c>
      <c r="O481" t="str">
        <f t="array" ref="O481">_xlfn.IFS(orders[[#This Row],[Customer Gender]]="M","Male", orders[[#This Row],[Customer Gender]]="F","Female", orders[[#This Row],[Customer Gender]]="O","Other", TRUE(),"Unknown")</f>
        <v>Male</v>
      </c>
    </row>
    <row r="482" spans="1:15" x14ac:dyDescent="0.25">
      <c r="A482" t="s">
        <v>710</v>
      </c>
      <c r="B482" t="s">
        <v>78</v>
      </c>
      <c r="C482">
        <v>2</v>
      </c>
      <c r="D482">
        <v>32.200000000000003</v>
      </c>
      <c r="E482">
        <v>64.400000000000006</v>
      </c>
      <c r="F482" s="58">
        <v>45678</v>
      </c>
      <c r="G482" s="58">
        <v>45681</v>
      </c>
      <c r="H482" t="s">
        <v>229</v>
      </c>
      <c r="I482" t="s">
        <v>62</v>
      </c>
      <c r="J482">
        <v>5</v>
      </c>
      <c r="K482" t="s">
        <v>103</v>
      </c>
      <c r="L482" t="s">
        <v>124</v>
      </c>
      <c r="M482">
        <f>orders[[#This Row],[Ship Date]]-orders[[#This Row],[Order Date]]</f>
        <v>3</v>
      </c>
      <c r="N482">
        <f>WEEKNUM(orders[[#This Row],[Order Date]],1)</f>
        <v>4</v>
      </c>
      <c r="O482" t="str">
        <f t="array" ref="O482">_xlfn.IFS(orders[[#This Row],[Customer Gender]]="M","Male", orders[[#This Row],[Customer Gender]]="F","Female", orders[[#This Row],[Customer Gender]]="O","Other", TRUE(),"Unknown")</f>
        <v>Male</v>
      </c>
    </row>
    <row r="483" spans="1:15" x14ac:dyDescent="0.25">
      <c r="A483" t="s">
        <v>711</v>
      </c>
      <c r="B483" t="s">
        <v>77</v>
      </c>
      <c r="C483">
        <v>8</v>
      </c>
      <c r="D483">
        <v>25.8</v>
      </c>
      <c r="E483">
        <v>206.4</v>
      </c>
      <c r="F483" s="58">
        <v>45678</v>
      </c>
      <c r="G483" s="58">
        <v>45679</v>
      </c>
      <c r="H483" t="s">
        <v>229</v>
      </c>
      <c r="I483" t="s">
        <v>59</v>
      </c>
      <c r="J483">
        <v>4</v>
      </c>
      <c r="K483" t="s">
        <v>103</v>
      </c>
      <c r="L483" t="s">
        <v>125</v>
      </c>
      <c r="M483">
        <f>orders[[#This Row],[Ship Date]]-orders[[#This Row],[Order Date]]</f>
        <v>1</v>
      </c>
      <c r="N483">
        <f>WEEKNUM(orders[[#This Row],[Order Date]],1)</f>
        <v>4</v>
      </c>
      <c r="O483" t="str">
        <f t="array" ref="O483">_xlfn.IFS(orders[[#This Row],[Customer Gender]]="M","Male", orders[[#This Row],[Customer Gender]]="F","Female", orders[[#This Row],[Customer Gender]]="O","Other", TRUE(),"Unknown")</f>
        <v>Male</v>
      </c>
    </row>
    <row r="484" spans="1:15" x14ac:dyDescent="0.25">
      <c r="A484" t="s">
        <v>712</v>
      </c>
      <c r="B484" t="s">
        <v>80</v>
      </c>
      <c r="C484">
        <v>2</v>
      </c>
      <c r="D484">
        <v>94.8</v>
      </c>
      <c r="E484">
        <v>189.6</v>
      </c>
      <c r="F484" s="58">
        <v>45679</v>
      </c>
      <c r="G484" s="58">
        <v>45682</v>
      </c>
      <c r="H484" t="s">
        <v>231</v>
      </c>
      <c r="I484" t="s">
        <v>63</v>
      </c>
      <c r="J484">
        <v>3</v>
      </c>
      <c r="K484" t="s">
        <v>103</v>
      </c>
      <c r="L484" t="s">
        <v>135</v>
      </c>
      <c r="M484">
        <f>orders[[#This Row],[Ship Date]]-orders[[#This Row],[Order Date]]</f>
        <v>3</v>
      </c>
      <c r="N484">
        <f>WEEKNUM(orders[[#This Row],[Order Date]],1)</f>
        <v>4</v>
      </c>
      <c r="O484" t="str">
        <f t="array" ref="O484">_xlfn.IFS(orders[[#This Row],[Customer Gender]]="M","Male", orders[[#This Row],[Customer Gender]]="F","Female", orders[[#This Row],[Customer Gender]]="O","Other", TRUE(),"Unknown")</f>
        <v>Female</v>
      </c>
    </row>
    <row r="485" spans="1:15" x14ac:dyDescent="0.25">
      <c r="A485" t="s">
        <v>713</v>
      </c>
      <c r="B485" t="s">
        <v>77</v>
      </c>
      <c r="C485">
        <v>25</v>
      </c>
      <c r="D485">
        <v>56.8</v>
      </c>
      <c r="E485">
        <v>1420</v>
      </c>
      <c r="F485" s="58">
        <v>45679</v>
      </c>
      <c r="G485" s="58">
        <v>45682</v>
      </c>
      <c r="H485" t="s">
        <v>229</v>
      </c>
      <c r="I485" t="s">
        <v>59</v>
      </c>
      <c r="J485">
        <v>4</v>
      </c>
      <c r="K485" t="s">
        <v>103</v>
      </c>
      <c r="L485" t="s">
        <v>135</v>
      </c>
      <c r="M485">
        <f>orders[[#This Row],[Ship Date]]-orders[[#This Row],[Order Date]]</f>
        <v>3</v>
      </c>
      <c r="N485">
        <f>WEEKNUM(orders[[#This Row],[Order Date]],1)</f>
        <v>4</v>
      </c>
      <c r="O485" t="str">
        <f t="array" ref="O485">_xlfn.IFS(orders[[#This Row],[Customer Gender]]="M","Male", orders[[#This Row],[Customer Gender]]="F","Female", orders[[#This Row],[Customer Gender]]="O","Other", TRUE(),"Unknown")</f>
        <v>Male</v>
      </c>
    </row>
    <row r="486" spans="1:15" x14ac:dyDescent="0.25">
      <c r="A486" t="s">
        <v>714</v>
      </c>
      <c r="B486" t="s">
        <v>90</v>
      </c>
      <c r="C486">
        <v>16</v>
      </c>
      <c r="D486">
        <v>18.3</v>
      </c>
      <c r="E486">
        <v>292.8</v>
      </c>
      <c r="F486" s="58">
        <v>45679</v>
      </c>
      <c r="G486" s="58">
        <v>45686</v>
      </c>
      <c r="H486" t="s">
        <v>231</v>
      </c>
      <c r="I486" t="s">
        <v>62</v>
      </c>
      <c r="J486">
        <v>5</v>
      </c>
      <c r="K486" t="s">
        <v>103</v>
      </c>
      <c r="L486" t="s">
        <v>138</v>
      </c>
      <c r="M486">
        <f>orders[[#This Row],[Ship Date]]-orders[[#This Row],[Order Date]]</f>
        <v>7</v>
      </c>
      <c r="N486">
        <f>WEEKNUM(orders[[#This Row],[Order Date]],1)</f>
        <v>4</v>
      </c>
      <c r="O486" t="str">
        <f t="array" ref="O486">_xlfn.IFS(orders[[#This Row],[Customer Gender]]="M","Male", orders[[#This Row],[Customer Gender]]="F","Female", orders[[#This Row],[Customer Gender]]="O","Other", TRUE(),"Unknown")</f>
        <v>Female</v>
      </c>
    </row>
    <row r="487" spans="1:15" x14ac:dyDescent="0.25">
      <c r="A487" t="s">
        <v>715</v>
      </c>
      <c r="B487" t="s">
        <v>86</v>
      </c>
      <c r="C487">
        <v>3</v>
      </c>
      <c r="D487">
        <v>16.8</v>
      </c>
      <c r="E487">
        <v>50.4</v>
      </c>
      <c r="F487" s="58">
        <v>45679</v>
      </c>
      <c r="G487" s="58">
        <v>45684</v>
      </c>
      <c r="H487" t="s">
        <v>231</v>
      </c>
      <c r="I487" t="s">
        <v>62</v>
      </c>
      <c r="J487">
        <v>5</v>
      </c>
      <c r="K487" t="s">
        <v>103</v>
      </c>
      <c r="L487" t="s">
        <v>142</v>
      </c>
      <c r="M487">
        <f>orders[[#This Row],[Ship Date]]-orders[[#This Row],[Order Date]]</f>
        <v>5</v>
      </c>
      <c r="N487">
        <f>WEEKNUM(orders[[#This Row],[Order Date]],1)</f>
        <v>4</v>
      </c>
      <c r="O487" t="str">
        <f t="array" ref="O487">_xlfn.IFS(orders[[#This Row],[Customer Gender]]="M","Male", orders[[#This Row],[Customer Gender]]="F","Female", orders[[#This Row],[Customer Gender]]="O","Other", TRUE(),"Unknown")</f>
        <v>Female</v>
      </c>
    </row>
    <row r="488" spans="1:15" x14ac:dyDescent="0.25">
      <c r="A488" t="s">
        <v>716</v>
      </c>
      <c r="B488" t="s">
        <v>85</v>
      </c>
      <c r="C488">
        <v>11</v>
      </c>
      <c r="D488">
        <v>35.799999999999997</v>
      </c>
      <c r="E488">
        <v>393.8</v>
      </c>
      <c r="F488" s="58">
        <v>45679</v>
      </c>
      <c r="G488" s="58">
        <v>45680</v>
      </c>
      <c r="H488" t="s">
        <v>229</v>
      </c>
      <c r="I488" t="s">
        <v>63</v>
      </c>
      <c r="J488">
        <v>4</v>
      </c>
      <c r="K488" t="s">
        <v>103</v>
      </c>
      <c r="L488" t="s">
        <v>143</v>
      </c>
      <c r="M488">
        <f>orders[[#This Row],[Ship Date]]-orders[[#This Row],[Order Date]]</f>
        <v>1</v>
      </c>
      <c r="N488">
        <f>WEEKNUM(orders[[#This Row],[Order Date]],1)</f>
        <v>4</v>
      </c>
      <c r="O488" t="str">
        <f t="array" ref="O488">_xlfn.IFS(orders[[#This Row],[Customer Gender]]="M","Male", orders[[#This Row],[Customer Gender]]="F","Female", orders[[#This Row],[Customer Gender]]="O","Other", TRUE(),"Unknown")</f>
        <v>Male</v>
      </c>
    </row>
    <row r="489" spans="1:15" x14ac:dyDescent="0.25">
      <c r="A489" t="s">
        <v>717</v>
      </c>
      <c r="B489" t="s">
        <v>82</v>
      </c>
      <c r="C489">
        <v>1</v>
      </c>
      <c r="D489">
        <v>64.900000000000006</v>
      </c>
      <c r="E489">
        <v>64.900000000000006</v>
      </c>
      <c r="F489" s="58">
        <v>45679</v>
      </c>
      <c r="G489" s="58">
        <v>45680</v>
      </c>
      <c r="H489" t="s">
        <v>229</v>
      </c>
      <c r="I489" t="s">
        <v>59</v>
      </c>
      <c r="J489">
        <v>3</v>
      </c>
      <c r="K489" t="s">
        <v>103</v>
      </c>
      <c r="L489" t="s">
        <v>143</v>
      </c>
      <c r="M489">
        <f>orders[[#This Row],[Ship Date]]-orders[[#This Row],[Order Date]]</f>
        <v>1</v>
      </c>
      <c r="N489">
        <f>WEEKNUM(orders[[#This Row],[Order Date]],1)</f>
        <v>4</v>
      </c>
      <c r="O489" t="str">
        <f t="array" ref="O489">_xlfn.IFS(orders[[#This Row],[Customer Gender]]="M","Male", orders[[#This Row],[Customer Gender]]="F","Female", orders[[#This Row],[Customer Gender]]="O","Other", TRUE(),"Unknown")</f>
        <v>Male</v>
      </c>
    </row>
    <row r="490" spans="1:15" x14ac:dyDescent="0.25">
      <c r="A490" t="s">
        <v>718</v>
      </c>
      <c r="B490" t="s">
        <v>82</v>
      </c>
      <c r="C490">
        <v>1</v>
      </c>
      <c r="D490">
        <v>28.5</v>
      </c>
      <c r="E490">
        <v>28.5</v>
      </c>
      <c r="F490" s="58">
        <v>45679</v>
      </c>
      <c r="G490" s="58">
        <v>45681</v>
      </c>
      <c r="I490" t="s">
        <v>63</v>
      </c>
      <c r="J490">
        <v>4</v>
      </c>
      <c r="K490" t="s">
        <v>103</v>
      </c>
      <c r="L490" t="s">
        <v>146</v>
      </c>
      <c r="M490">
        <f>orders[[#This Row],[Ship Date]]-orders[[#This Row],[Order Date]]</f>
        <v>2</v>
      </c>
      <c r="N490">
        <f>WEEKNUM(orders[[#This Row],[Order Date]],1)</f>
        <v>4</v>
      </c>
      <c r="O490" t="str">
        <f t="array" ref="O490">_xlfn.IFS(orders[[#This Row],[Customer Gender]]="M","Male", orders[[#This Row],[Customer Gender]]="F","Female", orders[[#This Row],[Customer Gender]]="O","Other", TRUE(),"Unknown")</f>
        <v>Unknown</v>
      </c>
    </row>
    <row r="491" spans="1:15" x14ac:dyDescent="0.25">
      <c r="A491" t="s">
        <v>719</v>
      </c>
      <c r="B491" t="s">
        <v>82</v>
      </c>
      <c r="C491">
        <v>2</v>
      </c>
      <c r="D491">
        <v>103.5</v>
      </c>
      <c r="E491">
        <v>207</v>
      </c>
      <c r="F491" s="58">
        <v>45679</v>
      </c>
      <c r="G491" s="58">
        <v>45681</v>
      </c>
      <c r="H491" t="s">
        <v>231</v>
      </c>
      <c r="I491" t="s">
        <v>63</v>
      </c>
      <c r="J491">
        <v>4</v>
      </c>
      <c r="K491" t="s">
        <v>103</v>
      </c>
      <c r="L491" t="s">
        <v>147</v>
      </c>
      <c r="M491">
        <f>orders[[#This Row],[Ship Date]]-orders[[#This Row],[Order Date]]</f>
        <v>2</v>
      </c>
      <c r="N491">
        <f>WEEKNUM(orders[[#This Row],[Order Date]],1)</f>
        <v>4</v>
      </c>
      <c r="O491" t="str">
        <f t="array" ref="O491">_xlfn.IFS(orders[[#This Row],[Customer Gender]]="M","Male", orders[[#This Row],[Customer Gender]]="F","Female", orders[[#This Row],[Customer Gender]]="O","Other", TRUE(),"Unknown")</f>
        <v>Female</v>
      </c>
    </row>
    <row r="492" spans="1:15" x14ac:dyDescent="0.25">
      <c r="A492" t="s">
        <v>720</v>
      </c>
      <c r="B492" t="s">
        <v>78</v>
      </c>
      <c r="C492">
        <v>2</v>
      </c>
      <c r="D492">
        <v>41.2</v>
      </c>
      <c r="E492">
        <v>82.4</v>
      </c>
      <c r="F492" s="58">
        <v>45679</v>
      </c>
      <c r="G492" s="58">
        <v>45680</v>
      </c>
      <c r="H492" t="s">
        <v>231</v>
      </c>
      <c r="I492" t="s">
        <v>63</v>
      </c>
      <c r="J492">
        <v>4</v>
      </c>
      <c r="K492" t="s">
        <v>103</v>
      </c>
      <c r="L492" t="s">
        <v>147</v>
      </c>
      <c r="M492">
        <f>orders[[#This Row],[Ship Date]]-orders[[#This Row],[Order Date]]</f>
        <v>1</v>
      </c>
      <c r="N492">
        <f>WEEKNUM(orders[[#This Row],[Order Date]],1)</f>
        <v>4</v>
      </c>
      <c r="O492" t="str">
        <f t="array" ref="O492">_xlfn.IFS(orders[[#This Row],[Customer Gender]]="M","Male", orders[[#This Row],[Customer Gender]]="F","Female", orders[[#This Row],[Customer Gender]]="O","Other", TRUE(),"Unknown")</f>
        <v>Female</v>
      </c>
    </row>
    <row r="493" spans="1:15" x14ac:dyDescent="0.25">
      <c r="A493" t="s">
        <v>721</v>
      </c>
      <c r="B493" t="s">
        <v>88</v>
      </c>
      <c r="C493">
        <v>1</v>
      </c>
      <c r="D493">
        <v>37.799999999999997</v>
      </c>
      <c r="E493">
        <v>37.799999999999997</v>
      </c>
      <c r="F493" s="58">
        <v>45679</v>
      </c>
      <c r="G493" s="58">
        <v>45681</v>
      </c>
      <c r="H493" t="s">
        <v>231</v>
      </c>
      <c r="I493" t="s">
        <v>60</v>
      </c>
      <c r="J493">
        <v>1</v>
      </c>
      <c r="K493" t="s">
        <v>103</v>
      </c>
      <c r="L493" t="s">
        <v>148</v>
      </c>
      <c r="M493">
        <f>orders[[#This Row],[Ship Date]]-orders[[#This Row],[Order Date]]</f>
        <v>2</v>
      </c>
      <c r="N493">
        <f>WEEKNUM(orders[[#This Row],[Order Date]],1)</f>
        <v>4</v>
      </c>
      <c r="O493" t="str">
        <f t="array" ref="O493">_xlfn.IFS(orders[[#This Row],[Customer Gender]]="M","Male", orders[[#This Row],[Customer Gender]]="F","Female", orders[[#This Row],[Customer Gender]]="O","Other", TRUE(),"Unknown")</f>
        <v>Female</v>
      </c>
    </row>
    <row r="494" spans="1:15" x14ac:dyDescent="0.25">
      <c r="A494" t="s">
        <v>722</v>
      </c>
      <c r="B494" t="s">
        <v>90</v>
      </c>
      <c r="C494">
        <v>2</v>
      </c>
      <c r="D494">
        <v>42.6</v>
      </c>
      <c r="E494">
        <v>85.2</v>
      </c>
      <c r="F494" s="58">
        <v>45679</v>
      </c>
      <c r="G494" s="58">
        <v>45681</v>
      </c>
      <c r="H494" t="s">
        <v>231</v>
      </c>
      <c r="I494" t="s">
        <v>61</v>
      </c>
      <c r="J494">
        <v>4</v>
      </c>
      <c r="K494" t="s">
        <v>103</v>
      </c>
      <c r="L494" t="s">
        <v>148</v>
      </c>
      <c r="M494">
        <f>orders[[#This Row],[Ship Date]]-orders[[#This Row],[Order Date]]</f>
        <v>2</v>
      </c>
      <c r="N494">
        <f>WEEKNUM(orders[[#This Row],[Order Date]],1)</f>
        <v>4</v>
      </c>
      <c r="O494" t="str">
        <f t="array" ref="O494">_xlfn.IFS(orders[[#This Row],[Customer Gender]]="M","Male", orders[[#This Row],[Customer Gender]]="F","Female", orders[[#This Row],[Customer Gender]]="O","Other", TRUE(),"Unknown")</f>
        <v>Female</v>
      </c>
    </row>
    <row r="495" spans="1:15" x14ac:dyDescent="0.25">
      <c r="A495" t="s">
        <v>723</v>
      </c>
      <c r="B495" t="s">
        <v>90</v>
      </c>
      <c r="C495">
        <v>10</v>
      </c>
      <c r="D495">
        <v>15.2</v>
      </c>
      <c r="E495">
        <v>152</v>
      </c>
      <c r="F495" s="58">
        <v>45679</v>
      </c>
      <c r="G495" s="58">
        <v>45681</v>
      </c>
      <c r="H495" t="s">
        <v>231</v>
      </c>
      <c r="I495" t="s">
        <v>62</v>
      </c>
      <c r="J495">
        <v>4</v>
      </c>
      <c r="K495" t="s">
        <v>103</v>
      </c>
      <c r="L495" t="s">
        <v>148</v>
      </c>
      <c r="M495">
        <f>orders[[#This Row],[Ship Date]]-orders[[#This Row],[Order Date]]</f>
        <v>2</v>
      </c>
      <c r="N495">
        <f>WEEKNUM(orders[[#This Row],[Order Date]],1)</f>
        <v>4</v>
      </c>
      <c r="O495" t="str">
        <f t="array" ref="O495">_xlfn.IFS(orders[[#This Row],[Customer Gender]]="M","Male", orders[[#This Row],[Customer Gender]]="F","Female", orders[[#This Row],[Customer Gender]]="O","Other", TRUE(),"Unknown")</f>
        <v>Female</v>
      </c>
    </row>
    <row r="496" spans="1:15" x14ac:dyDescent="0.25">
      <c r="A496" t="s">
        <v>724</v>
      </c>
      <c r="B496" t="s">
        <v>79</v>
      </c>
      <c r="C496">
        <v>4</v>
      </c>
      <c r="D496">
        <v>83.4</v>
      </c>
      <c r="E496">
        <v>333.6</v>
      </c>
      <c r="F496" s="58">
        <v>45679</v>
      </c>
      <c r="G496" s="58">
        <v>45680</v>
      </c>
      <c r="H496" t="s">
        <v>231</v>
      </c>
      <c r="I496" t="s">
        <v>62</v>
      </c>
      <c r="J496">
        <v>3</v>
      </c>
      <c r="K496" t="s">
        <v>103</v>
      </c>
      <c r="L496" t="s">
        <v>154</v>
      </c>
      <c r="M496">
        <f>orders[[#This Row],[Ship Date]]-orders[[#This Row],[Order Date]]</f>
        <v>1</v>
      </c>
      <c r="N496">
        <f>WEEKNUM(orders[[#This Row],[Order Date]],1)</f>
        <v>4</v>
      </c>
      <c r="O496" t="str">
        <f t="array" ref="O496">_xlfn.IFS(orders[[#This Row],[Customer Gender]]="M","Male", orders[[#This Row],[Customer Gender]]="F","Female", orders[[#This Row],[Customer Gender]]="O","Other", TRUE(),"Unknown")</f>
        <v>Female</v>
      </c>
    </row>
    <row r="497" spans="1:15" x14ac:dyDescent="0.25">
      <c r="A497" t="s">
        <v>725</v>
      </c>
      <c r="B497" t="s">
        <v>81</v>
      </c>
      <c r="C497">
        <v>2</v>
      </c>
      <c r="D497">
        <v>27.7</v>
      </c>
      <c r="E497">
        <v>55.4</v>
      </c>
      <c r="F497" s="58">
        <v>45679</v>
      </c>
      <c r="G497" s="58">
        <v>45680</v>
      </c>
      <c r="H497" t="s">
        <v>231</v>
      </c>
      <c r="I497" t="s">
        <v>59</v>
      </c>
      <c r="J497">
        <v>3</v>
      </c>
      <c r="K497" t="s">
        <v>103</v>
      </c>
      <c r="L497" t="s">
        <v>161</v>
      </c>
      <c r="M497">
        <f>orders[[#This Row],[Ship Date]]-orders[[#This Row],[Order Date]]</f>
        <v>1</v>
      </c>
      <c r="N497">
        <f>WEEKNUM(orders[[#This Row],[Order Date]],1)</f>
        <v>4</v>
      </c>
      <c r="O497" t="str">
        <f t="array" ref="O497">_xlfn.IFS(orders[[#This Row],[Customer Gender]]="M","Male", orders[[#This Row],[Customer Gender]]="F","Female", orders[[#This Row],[Customer Gender]]="O","Other", TRUE(),"Unknown")</f>
        <v>Female</v>
      </c>
    </row>
    <row r="498" spans="1:15" x14ac:dyDescent="0.25">
      <c r="A498" t="s">
        <v>726</v>
      </c>
      <c r="B498" t="s">
        <v>75</v>
      </c>
      <c r="C498">
        <v>12</v>
      </c>
      <c r="D498">
        <v>20.8</v>
      </c>
      <c r="E498">
        <v>249.6</v>
      </c>
      <c r="F498" s="58">
        <v>45679</v>
      </c>
      <c r="G498" s="58">
        <v>45680</v>
      </c>
      <c r="H498" t="s">
        <v>229</v>
      </c>
      <c r="I498" t="s">
        <v>60</v>
      </c>
      <c r="J498">
        <v>4</v>
      </c>
      <c r="K498" t="s">
        <v>103</v>
      </c>
      <c r="L498" t="s">
        <v>161</v>
      </c>
      <c r="M498">
        <f>orders[[#This Row],[Ship Date]]-orders[[#This Row],[Order Date]]</f>
        <v>1</v>
      </c>
      <c r="N498">
        <f>WEEKNUM(orders[[#This Row],[Order Date]],1)</f>
        <v>4</v>
      </c>
      <c r="O498" t="str">
        <f t="array" ref="O498">_xlfn.IFS(orders[[#This Row],[Customer Gender]]="M","Male", orders[[#This Row],[Customer Gender]]="F","Female", orders[[#This Row],[Customer Gender]]="O","Other", TRUE(),"Unknown")</f>
        <v>Male</v>
      </c>
    </row>
    <row r="499" spans="1:15" x14ac:dyDescent="0.25">
      <c r="A499" t="s">
        <v>727</v>
      </c>
      <c r="B499" t="s">
        <v>83</v>
      </c>
      <c r="C499">
        <v>2</v>
      </c>
      <c r="D499">
        <v>72.7</v>
      </c>
      <c r="E499">
        <v>145.4</v>
      </c>
      <c r="F499" s="58">
        <v>45679</v>
      </c>
      <c r="G499" s="58">
        <v>45683</v>
      </c>
      <c r="H499" t="s">
        <v>231</v>
      </c>
      <c r="I499" t="s">
        <v>61</v>
      </c>
      <c r="J499">
        <v>5</v>
      </c>
      <c r="K499" t="s">
        <v>103</v>
      </c>
      <c r="L499" t="s">
        <v>117</v>
      </c>
      <c r="M499">
        <f>orders[[#This Row],[Ship Date]]-orders[[#This Row],[Order Date]]</f>
        <v>4</v>
      </c>
      <c r="N499">
        <f>WEEKNUM(orders[[#This Row],[Order Date]],1)</f>
        <v>4</v>
      </c>
      <c r="O499" t="str">
        <f t="array" ref="O499">_xlfn.IFS(orders[[#This Row],[Customer Gender]]="M","Male", orders[[#This Row],[Customer Gender]]="F","Female", orders[[#This Row],[Customer Gender]]="O","Other", TRUE(),"Unknown")</f>
        <v>Female</v>
      </c>
    </row>
    <row r="500" spans="1:15" x14ac:dyDescent="0.25">
      <c r="A500" t="s">
        <v>728</v>
      </c>
      <c r="B500" t="s">
        <v>75</v>
      </c>
      <c r="C500">
        <v>4</v>
      </c>
      <c r="D500">
        <v>38.6</v>
      </c>
      <c r="E500">
        <v>154.4</v>
      </c>
      <c r="F500" s="58">
        <v>45679</v>
      </c>
      <c r="G500" s="58">
        <v>45680</v>
      </c>
      <c r="H500" t="s">
        <v>229</v>
      </c>
      <c r="I500" t="s">
        <v>59</v>
      </c>
      <c r="J500">
        <v>5</v>
      </c>
      <c r="K500" t="s">
        <v>103</v>
      </c>
      <c r="L500" t="s">
        <v>120</v>
      </c>
      <c r="M500">
        <f>orders[[#This Row],[Ship Date]]-orders[[#This Row],[Order Date]]</f>
        <v>1</v>
      </c>
      <c r="N500">
        <f>WEEKNUM(orders[[#This Row],[Order Date]],1)</f>
        <v>4</v>
      </c>
      <c r="O500" t="str">
        <f t="array" ref="O500">_xlfn.IFS(orders[[#This Row],[Customer Gender]]="M","Male", orders[[#This Row],[Customer Gender]]="F","Female", orders[[#This Row],[Customer Gender]]="O","Other", TRUE(),"Unknown")</f>
        <v>Male</v>
      </c>
    </row>
    <row r="501" spans="1:15" x14ac:dyDescent="0.25">
      <c r="A501" t="s">
        <v>729</v>
      </c>
      <c r="B501" t="s">
        <v>90</v>
      </c>
      <c r="C501">
        <v>7</v>
      </c>
      <c r="D501">
        <v>33.1</v>
      </c>
      <c r="E501">
        <v>231.7</v>
      </c>
      <c r="F501" s="58">
        <v>45679</v>
      </c>
      <c r="G501" s="58">
        <v>45680</v>
      </c>
      <c r="H501" t="s">
        <v>263</v>
      </c>
      <c r="I501" t="s">
        <v>61</v>
      </c>
      <c r="J501">
        <v>1</v>
      </c>
      <c r="K501" t="s">
        <v>103</v>
      </c>
      <c r="L501" t="s">
        <v>124</v>
      </c>
      <c r="M501">
        <f>orders[[#This Row],[Ship Date]]-orders[[#This Row],[Order Date]]</f>
        <v>1</v>
      </c>
      <c r="N501">
        <f>WEEKNUM(orders[[#This Row],[Order Date]],1)</f>
        <v>4</v>
      </c>
      <c r="O501" t="str">
        <f t="array" ref="O501">_xlfn.IFS(orders[[#This Row],[Customer Gender]]="M","Male", orders[[#This Row],[Customer Gender]]="F","Female", orders[[#This Row],[Customer Gender]]="O","Other", TRUE(),"Unknown")</f>
        <v>Other</v>
      </c>
    </row>
    <row r="502" spans="1:15" x14ac:dyDescent="0.25">
      <c r="A502" t="s">
        <v>730</v>
      </c>
      <c r="B502" t="s">
        <v>75</v>
      </c>
      <c r="C502">
        <v>2</v>
      </c>
      <c r="D502">
        <v>30.5</v>
      </c>
      <c r="E502">
        <v>61</v>
      </c>
      <c r="F502" s="58">
        <v>45679</v>
      </c>
      <c r="G502" s="58">
        <v>45679</v>
      </c>
      <c r="I502" t="s">
        <v>63</v>
      </c>
      <c r="J502">
        <v>3</v>
      </c>
      <c r="K502" t="s">
        <v>103</v>
      </c>
      <c r="L502" t="s">
        <v>124</v>
      </c>
      <c r="M502">
        <f>orders[[#This Row],[Ship Date]]-orders[[#This Row],[Order Date]]</f>
        <v>0</v>
      </c>
      <c r="N502">
        <f>WEEKNUM(orders[[#This Row],[Order Date]],1)</f>
        <v>4</v>
      </c>
      <c r="O502" t="str">
        <f t="array" ref="O502">_xlfn.IFS(orders[[#This Row],[Customer Gender]]="M","Male", orders[[#This Row],[Customer Gender]]="F","Female", orders[[#This Row],[Customer Gender]]="O","Other", TRUE(),"Unknown")</f>
        <v>Unknown</v>
      </c>
    </row>
    <row r="503" spans="1:15" x14ac:dyDescent="0.25">
      <c r="A503" t="s">
        <v>731</v>
      </c>
      <c r="B503" t="s">
        <v>88</v>
      </c>
      <c r="C503">
        <v>2</v>
      </c>
      <c r="D503">
        <v>69.599999999999994</v>
      </c>
      <c r="E503">
        <v>139.19999999999999</v>
      </c>
      <c r="F503" s="58">
        <v>45679</v>
      </c>
      <c r="G503" s="58">
        <v>45680</v>
      </c>
      <c r="H503" t="s">
        <v>229</v>
      </c>
      <c r="I503" t="s">
        <v>59</v>
      </c>
      <c r="J503">
        <v>3</v>
      </c>
      <c r="K503" t="s">
        <v>103</v>
      </c>
      <c r="L503" t="s">
        <v>124</v>
      </c>
      <c r="M503">
        <f>orders[[#This Row],[Ship Date]]-orders[[#This Row],[Order Date]]</f>
        <v>1</v>
      </c>
      <c r="N503">
        <f>WEEKNUM(orders[[#This Row],[Order Date]],1)</f>
        <v>4</v>
      </c>
      <c r="O503" t="str">
        <f t="array" ref="O503">_xlfn.IFS(orders[[#This Row],[Customer Gender]]="M","Male", orders[[#This Row],[Customer Gender]]="F","Female", orders[[#This Row],[Customer Gender]]="O","Other", TRUE(),"Unknown")</f>
        <v>Male</v>
      </c>
    </row>
    <row r="504" spans="1:15" x14ac:dyDescent="0.25">
      <c r="A504" t="s">
        <v>732</v>
      </c>
      <c r="B504" t="s">
        <v>83</v>
      </c>
      <c r="C504">
        <v>1</v>
      </c>
      <c r="D504">
        <v>42.4</v>
      </c>
      <c r="E504">
        <v>42.4</v>
      </c>
      <c r="F504" s="58">
        <v>45679</v>
      </c>
      <c r="G504" s="58">
        <v>45683</v>
      </c>
      <c r="H504" t="s">
        <v>231</v>
      </c>
      <c r="I504" t="s">
        <v>63</v>
      </c>
      <c r="J504">
        <v>4</v>
      </c>
      <c r="K504" t="s">
        <v>103</v>
      </c>
      <c r="L504" t="s">
        <v>124</v>
      </c>
      <c r="M504">
        <f>orders[[#This Row],[Ship Date]]-orders[[#This Row],[Order Date]]</f>
        <v>4</v>
      </c>
      <c r="N504">
        <f>WEEKNUM(orders[[#This Row],[Order Date]],1)</f>
        <v>4</v>
      </c>
      <c r="O504" t="str">
        <f t="array" ref="O504">_xlfn.IFS(orders[[#This Row],[Customer Gender]]="M","Male", orders[[#This Row],[Customer Gender]]="F","Female", orders[[#This Row],[Customer Gender]]="O","Other", TRUE(),"Unknown")</f>
        <v>Female</v>
      </c>
    </row>
    <row r="505" spans="1:15" x14ac:dyDescent="0.25">
      <c r="A505" t="s">
        <v>733</v>
      </c>
      <c r="B505" t="s">
        <v>84</v>
      </c>
      <c r="C505">
        <v>1</v>
      </c>
      <c r="D505">
        <v>32.200000000000003</v>
      </c>
      <c r="E505">
        <v>32.200000000000003</v>
      </c>
      <c r="F505" s="58">
        <v>45679</v>
      </c>
      <c r="G505" s="58">
        <v>45682</v>
      </c>
      <c r="H505" t="s">
        <v>231</v>
      </c>
      <c r="I505" t="s">
        <v>62</v>
      </c>
      <c r="J505">
        <v>3</v>
      </c>
      <c r="K505" t="s">
        <v>103</v>
      </c>
      <c r="L505" t="s">
        <v>124</v>
      </c>
      <c r="M505">
        <f>orders[[#This Row],[Ship Date]]-orders[[#This Row],[Order Date]]</f>
        <v>3</v>
      </c>
      <c r="N505">
        <f>WEEKNUM(orders[[#This Row],[Order Date]],1)</f>
        <v>4</v>
      </c>
      <c r="O505" t="str">
        <f t="array" ref="O505">_xlfn.IFS(orders[[#This Row],[Customer Gender]]="M","Male", orders[[#This Row],[Customer Gender]]="F","Female", orders[[#This Row],[Customer Gender]]="O","Other", TRUE(),"Unknown")</f>
        <v>Female</v>
      </c>
    </row>
    <row r="506" spans="1:15" x14ac:dyDescent="0.25">
      <c r="A506" t="s">
        <v>734</v>
      </c>
      <c r="B506" t="s">
        <v>80</v>
      </c>
      <c r="C506">
        <v>2</v>
      </c>
      <c r="D506">
        <v>41.5</v>
      </c>
      <c r="E506">
        <v>83</v>
      </c>
      <c r="F506" s="58">
        <v>45679</v>
      </c>
      <c r="G506" s="58">
        <v>45682</v>
      </c>
      <c r="H506" t="s">
        <v>231</v>
      </c>
      <c r="I506" t="s">
        <v>59</v>
      </c>
      <c r="J506">
        <v>5</v>
      </c>
      <c r="K506" t="s">
        <v>103</v>
      </c>
      <c r="L506" t="s">
        <v>124</v>
      </c>
      <c r="M506">
        <f>orders[[#This Row],[Ship Date]]-orders[[#This Row],[Order Date]]</f>
        <v>3</v>
      </c>
      <c r="N506">
        <f>WEEKNUM(orders[[#This Row],[Order Date]],1)</f>
        <v>4</v>
      </c>
      <c r="O506" t="str">
        <f t="array" ref="O506">_xlfn.IFS(orders[[#This Row],[Customer Gender]]="M","Male", orders[[#This Row],[Customer Gender]]="F","Female", orders[[#This Row],[Customer Gender]]="O","Other", TRUE(),"Unknown")</f>
        <v>Female</v>
      </c>
    </row>
    <row r="507" spans="1:15" x14ac:dyDescent="0.25">
      <c r="A507" t="s">
        <v>735</v>
      </c>
      <c r="B507" t="s">
        <v>89</v>
      </c>
      <c r="C507">
        <v>9</v>
      </c>
      <c r="D507">
        <v>58.9</v>
      </c>
      <c r="E507">
        <v>530.1</v>
      </c>
      <c r="F507" s="58">
        <v>45679</v>
      </c>
      <c r="G507" s="58">
        <v>45683</v>
      </c>
      <c r="H507" t="s">
        <v>231</v>
      </c>
      <c r="I507" t="s">
        <v>60</v>
      </c>
      <c r="J507">
        <v>4</v>
      </c>
      <c r="K507" t="s">
        <v>103</v>
      </c>
      <c r="L507" t="s">
        <v>124</v>
      </c>
      <c r="M507">
        <f>orders[[#This Row],[Ship Date]]-orders[[#This Row],[Order Date]]</f>
        <v>4</v>
      </c>
      <c r="N507">
        <f>WEEKNUM(orders[[#This Row],[Order Date]],1)</f>
        <v>4</v>
      </c>
      <c r="O507" t="str">
        <f t="array" ref="O507">_xlfn.IFS(orders[[#This Row],[Customer Gender]]="M","Male", orders[[#This Row],[Customer Gender]]="F","Female", orders[[#This Row],[Customer Gender]]="O","Other", TRUE(),"Unknown")</f>
        <v>Female</v>
      </c>
    </row>
    <row r="508" spans="1:15" x14ac:dyDescent="0.25">
      <c r="A508" t="s">
        <v>736</v>
      </c>
      <c r="B508" t="s">
        <v>87</v>
      </c>
      <c r="C508">
        <v>1</v>
      </c>
      <c r="D508">
        <v>57.1</v>
      </c>
      <c r="E508">
        <v>57.1</v>
      </c>
      <c r="F508" s="58">
        <v>45679</v>
      </c>
      <c r="G508" s="58">
        <v>45682</v>
      </c>
      <c r="H508" t="s">
        <v>231</v>
      </c>
      <c r="I508" t="s">
        <v>63</v>
      </c>
      <c r="J508">
        <v>4</v>
      </c>
      <c r="K508" t="s">
        <v>103</v>
      </c>
      <c r="L508" t="s">
        <v>124</v>
      </c>
      <c r="M508">
        <f>orders[[#This Row],[Ship Date]]-orders[[#This Row],[Order Date]]</f>
        <v>3</v>
      </c>
      <c r="N508">
        <f>WEEKNUM(orders[[#This Row],[Order Date]],1)</f>
        <v>4</v>
      </c>
      <c r="O508" t="str">
        <f t="array" ref="O508">_xlfn.IFS(orders[[#This Row],[Customer Gender]]="M","Male", orders[[#This Row],[Customer Gender]]="F","Female", orders[[#This Row],[Customer Gender]]="O","Other", TRUE(),"Unknown")</f>
        <v>Female</v>
      </c>
    </row>
    <row r="509" spans="1:15" x14ac:dyDescent="0.25">
      <c r="A509" t="s">
        <v>737</v>
      </c>
      <c r="B509" t="s">
        <v>80</v>
      </c>
      <c r="C509">
        <v>1</v>
      </c>
      <c r="D509">
        <v>57.2</v>
      </c>
      <c r="E509">
        <v>57.2</v>
      </c>
      <c r="F509" s="58">
        <v>45679</v>
      </c>
      <c r="G509" s="58">
        <v>45681</v>
      </c>
      <c r="H509" t="s">
        <v>229</v>
      </c>
      <c r="I509" t="s">
        <v>63</v>
      </c>
      <c r="J509">
        <v>4</v>
      </c>
      <c r="K509" t="s">
        <v>103</v>
      </c>
      <c r="L509" t="s">
        <v>124</v>
      </c>
      <c r="M509">
        <f>orders[[#This Row],[Ship Date]]-orders[[#This Row],[Order Date]]</f>
        <v>2</v>
      </c>
      <c r="N509">
        <f>WEEKNUM(orders[[#This Row],[Order Date]],1)</f>
        <v>4</v>
      </c>
      <c r="O509" t="str">
        <f t="array" ref="O509">_xlfn.IFS(orders[[#This Row],[Customer Gender]]="M","Male", orders[[#This Row],[Customer Gender]]="F","Female", orders[[#This Row],[Customer Gender]]="O","Other", TRUE(),"Unknown")</f>
        <v>Male</v>
      </c>
    </row>
    <row r="510" spans="1:15" x14ac:dyDescent="0.25">
      <c r="A510" t="s">
        <v>738</v>
      </c>
      <c r="B510" t="s">
        <v>90</v>
      </c>
      <c r="C510">
        <v>2</v>
      </c>
      <c r="D510">
        <v>35.1</v>
      </c>
      <c r="E510">
        <v>70.2</v>
      </c>
      <c r="F510" s="58">
        <v>45679</v>
      </c>
      <c r="G510" s="58">
        <v>45680</v>
      </c>
      <c r="H510" t="s">
        <v>229</v>
      </c>
      <c r="I510" t="s">
        <v>63</v>
      </c>
      <c r="J510">
        <v>4</v>
      </c>
      <c r="K510" t="s">
        <v>103</v>
      </c>
      <c r="L510" t="s">
        <v>139</v>
      </c>
      <c r="M510">
        <f>orders[[#This Row],[Ship Date]]-orders[[#This Row],[Order Date]]</f>
        <v>1</v>
      </c>
      <c r="N510">
        <f>WEEKNUM(orders[[#This Row],[Order Date]],1)</f>
        <v>4</v>
      </c>
      <c r="O510" t="str">
        <f t="array" ref="O510">_xlfn.IFS(orders[[#This Row],[Customer Gender]]="M","Male", orders[[#This Row],[Customer Gender]]="F","Female", orders[[#This Row],[Customer Gender]]="O","Other", TRUE(),"Unknown")</f>
        <v>Male</v>
      </c>
    </row>
    <row r="511" spans="1:15" x14ac:dyDescent="0.25">
      <c r="A511" t="s">
        <v>739</v>
      </c>
      <c r="B511" t="s">
        <v>91</v>
      </c>
      <c r="C511">
        <v>1</v>
      </c>
      <c r="D511">
        <v>52.1</v>
      </c>
      <c r="E511">
        <v>52.1</v>
      </c>
      <c r="F511" s="58">
        <v>45679</v>
      </c>
      <c r="G511" s="58">
        <v>45681</v>
      </c>
      <c r="H511" t="s">
        <v>231</v>
      </c>
      <c r="I511" t="s">
        <v>61</v>
      </c>
      <c r="J511">
        <v>3</v>
      </c>
      <c r="K511" t="s">
        <v>103</v>
      </c>
      <c r="L511" t="s">
        <v>142</v>
      </c>
      <c r="M511">
        <f>orders[[#This Row],[Ship Date]]-orders[[#This Row],[Order Date]]</f>
        <v>2</v>
      </c>
      <c r="N511">
        <f>WEEKNUM(orders[[#This Row],[Order Date]],1)</f>
        <v>4</v>
      </c>
      <c r="O511" t="str">
        <f t="array" ref="O511">_xlfn.IFS(orders[[#This Row],[Customer Gender]]="M","Male", orders[[#This Row],[Customer Gender]]="F","Female", orders[[#This Row],[Customer Gender]]="O","Other", TRUE(),"Unknown")</f>
        <v>Female</v>
      </c>
    </row>
    <row r="512" spans="1:15" x14ac:dyDescent="0.25">
      <c r="A512" t="s">
        <v>740</v>
      </c>
      <c r="B512" t="s">
        <v>92</v>
      </c>
      <c r="C512">
        <v>3</v>
      </c>
      <c r="D512">
        <v>59.8</v>
      </c>
      <c r="E512">
        <v>179.4</v>
      </c>
      <c r="F512" s="58">
        <v>45679</v>
      </c>
      <c r="G512" s="58">
        <v>45681</v>
      </c>
      <c r="H512" t="s">
        <v>231</v>
      </c>
      <c r="I512" t="s">
        <v>61</v>
      </c>
      <c r="J512">
        <v>3</v>
      </c>
      <c r="K512" t="s">
        <v>103</v>
      </c>
      <c r="L512" t="s">
        <v>142</v>
      </c>
      <c r="M512">
        <f>orders[[#This Row],[Ship Date]]-orders[[#This Row],[Order Date]]</f>
        <v>2</v>
      </c>
      <c r="N512">
        <f>WEEKNUM(orders[[#This Row],[Order Date]],1)</f>
        <v>4</v>
      </c>
      <c r="O512" t="str">
        <f t="array" ref="O512">_xlfn.IFS(orders[[#This Row],[Customer Gender]]="M","Male", orders[[#This Row],[Customer Gender]]="F","Female", orders[[#This Row],[Customer Gender]]="O","Other", TRUE(),"Unknown")</f>
        <v>Female</v>
      </c>
    </row>
    <row r="513" spans="1:15" x14ac:dyDescent="0.25">
      <c r="A513" t="s">
        <v>741</v>
      </c>
      <c r="B513" t="s">
        <v>93</v>
      </c>
      <c r="C513">
        <v>4</v>
      </c>
      <c r="D513">
        <v>83.3</v>
      </c>
      <c r="E513">
        <v>333.2</v>
      </c>
      <c r="F513" s="58">
        <v>45679</v>
      </c>
      <c r="G513" s="58">
        <v>45679</v>
      </c>
      <c r="I513" t="s">
        <v>62</v>
      </c>
      <c r="J513">
        <v>4</v>
      </c>
      <c r="K513" t="s">
        <v>103</v>
      </c>
      <c r="L513" t="s">
        <v>142</v>
      </c>
      <c r="M513">
        <f>orders[[#This Row],[Ship Date]]-orders[[#This Row],[Order Date]]</f>
        <v>0</v>
      </c>
      <c r="N513">
        <f>WEEKNUM(orders[[#This Row],[Order Date]],1)</f>
        <v>4</v>
      </c>
      <c r="O513" t="str">
        <f t="array" ref="O513">_xlfn.IFS(orders[[#This Row],[Customer Gender]]="M","Male", orders[[#This Row],[Customer Gender]]="F","Female", orders[[#This Row],[Customer Gender]]="O","Other", TRUE(),"Unknown")</f>
        <v>Unknown</v>
      </c>
    </row>
    <row r="514" spans="1:15" x14ac:dyDescent="0.25">
      <c r="A514" t="s">
        <v>742</v>
      </c>
      <c r="B514" t="s">
        <v>77</v>
      </c>
      <c r="C514">
        <v>12</v>
      </c>
      <c r="D514">
        <v>41.3</v>
      </c>
      <c r="E514">
        <v>495.6</v>
      </c>
      <c r="F514" s="58">
        <v>45679</v>
      </c>
      <c r="G514" s="58">
        <v>45680</v>
      </c>
      <c r="H514" t="s">
        <v>231</v>
      </c>
      <c r="I514" t="s">
        <v>63</v>
      </c>
      <c r="J514">
        <v>4</v>
      </c>
      <c r="K514" t="s">
        <v>103</v>
      </c>
      <c r="L514" t="s">
        <v>142</v>
      </c>
      <c r="M514">
        <f>orders[[#This Row],[Ship Date]]-orders[[#This Row],[Order Date]]</f>
        <v>1</v>
      </c>
      <c r="N514">
        <f>WEEKNUM(orders[[#This Row],[Order Date]],1)</f>
        <v>4</v>
      </c>
      <c r="O514" t="str">
        <f t="array" ref="O514">_xlfn.IFS(orders[[#This Row],[Customer Gender]]="M","Male", orders[[#This Row],[Customer Gender]]="F","Female", orders[[#This Row],[Customer Gender]]="O","Other", TRUE(),"Unknown")</f>
        <v>Female</v>
      </c>
    </row>
    <row r="515" spans="1:15" x14ac:dyDescent="0.25">
      <c r="A515" t="s">
        <v>743</v>
      </c>
      <c r="B515" t="s">
        <v>90</v>
      </c>
      <c r="C515">
        <v>5</v>
      </c>
      <c r="D515">
        <v>16</v>
      </c>
      <c r="E515">
        <v>80</v>
      </c>
      <c r="F515" s="58">
        <v>45679</v>
      </c>
      <c r="G515" s="58">
        <v>45681</v>
      </c>
      <c r="H515" t="s">
        <v>229</v>
      </c>
      <c r="I515" t="s">
        <v>61</v>
      </c>
      <c r="J515">
        <v>3</v>
      </c>
      <c r="K515" t="s">
        <v>103</v>
      </c>
      <c r="L515" t="s">
        <v>146</v>
      </c>
      <c r="M515">
        <f>orders[[#This Row],[Ship Date]]-orders[[#This Row],[Order Date]]</f>
        <v>2</v>
      </c>
      <c r="N515">
        <f>WEEKNUM(orders[[#This Row],[Order Date]],1)</f>
        <v>4</v>
      </c>
      <c r="O515" t="str">
        <f t="array" ref="O515">_xlfn.IFS(orders[[#This Row],[Customer Gender]]="M","Male", orders[[#This Row],[Customer Gender]]="F","Female", orders[[#This Row],[Customer Gender]]="O","Other", TRUE(),"Unknown")</f>
        <v>Male</v>
      </c>
    </row>
    <row r="516" spans="1:15" x14ac:dyDescent="0.25">
      <c r="A516" t="s">
        <v>744</v>
      </c>
      <c r="B516" t="s">
        <v>75</v>
      </c>
      <c r="C516">
        <v>2</v>
      </c>
      <c r="D516">
        <v>20.8</v>
      </c>
      <c r="E516">
        <v>41.6</v>
      </c>
      <c r="F516" s="58">
        <v>45680</v>
      </c>
      <c r="G516" s="58">
        <v>45682</v>
      </c>
      <c r="H516" t="s">
        <v>229</v>
      </c>
      <c r="I516" t="s">
        <v>59</v>
      </c>
      <c r="J516">
        <v>5</v>
      </c>
      <c r="K516" t="s">
        <v>103</v>
      </c>
      <c r="L516" t="s">
        <v>148</v>
      </c>
      <c r="M516">
        <f>orders[[#This Row],[Ship Date]]-orders[[#This Row],[Order Date]]</f>
        <v>2</v>
      </c>
      <c r="N516">
        <f>WEEKNUM(orders[[#This Row],[Order Date]],1)</f>
        <v>4</v>
      </c>
      <c r="O516" t="str">
        <f t="array" ref="O516">_xlfn.IFS(orders[[#This Row],[Customer Gender]]="M","Male", orders[[#This Row],[Customer Gender]]="F","Female", orders[[#This Row],[Customer Gender]]="O","Other", TRUE(),"Unknown")</f>
        <v>Male</v>
      </c>
    </row>
    <row r="517" spans="1:15" x14ac:dyDescent="0.25">
      <c r="A517" t="s">
        <v>745</v>
      </c>
      <c r="B517" t="s">
        <v>90</v>
      </c>
      <c r="C517">
        <v>28</v>
      </c>
      <c r="D517">
        <v>27.1</v>
      </c>
      <c r="E517">
        <v>758.8</v>
      </c>
      <c r="F517" s="58">
        <v>45680</v>
      </c>
      <c r="G517" s="58">
        <v>45681</v>
      </c>
      <c r="I517" t="s">
        <v>60</v>
      </c>
      <c r="J517">
        <v>5</v>
      </c>
      <c r="K517" t="s">
        <v>103</v>
      </c>
      <c r="L517" t="s">
        <v>148</v>
      </c>
      <c r="M517">
        <f>orders[[#This Row],[Ship Date]]-orders[[#This Row],[Order Date]]</f>
        <v>1</v>
      </c>
      <c r="N517">
        <f>WEEKNUM(orders[[#This Row],[Order Date]],1)</f>
        <v>4</v>
      </c>
      <c r="O517" t="str">
        <f t="array" ref="O517">_xlfn.IFS(orders[[#This Row],[Customer Gender]]="M","Male", orders[[#This Row],[Customer Gender]]="F","Female", orders[[#This Row],[Customer Gender]]="O","Other", TRUE(),"Unknown")</f>
        <v>Unknown</v>
      </c>
    </row>
    <row r="518" spans="1:15" x14ac:dyDescent="0.25">
      <c r="A518" t="s">
        <v>746</v>
      </c>
      <c r="B518" t="s">
        <v>75</v>
      </c>
      <c r="C518">
        <v>2</v>
      </c>
      <c r="D518">
        <v>38.9</v>
      </c>
      <c r="E518">
        <v>77.8</v>
      </c>
      <c r="F518" s="58">
        <v>45680</v>
      </c>
      <c r="G518" s="58">
        <v>45682</v>
      </c>
      <c r="H518" t="s">
        <v>231</v>
      </c>
      <c r="I518" t="s">
        <v>59</v>
      </c>
      <c r="J518">
        <v>4</v>
      </c>
      <c r="K518" t="s">
        <v>103</v>
      </c>
      <c r="L518" t="s">
        <v>154</v>
      </c>
      <c r="M518">
        <f>orders[[#This Row],[Ship Date]]-orders[[#This Row],[Order Date]]</f>
        <v>2</v>
      </c>
      <c r="N518">
        <f>WEEKNUM(orders[[#This Row],[Order Date]],1)</f>
        <v>4</v>
      </c>
      <c r="O518" t="str">
        <f t="array" ref="O518">_xlfn.IFS(orders[[#This Row],[Customer Gender]]="M","Male", orders[[#This Row],[Customer Gender]]="F","Female", orders[[#This Row],[Customer Gender]]="O","Other", TRUE(),"Unknown")</f>
        <v>Female</v>
      </c>
    </row>
    <row r="519" spans="1:15" x14ac:dyDescent="0.25">
      <c r="A519" t="s">
        <v>747</v>
      </c>
      <c r="B519" t="s">
        <v>86</v>
      </c>
      <c r="C519">
        <v>2</v>
      </c>
      <c r="D519">
        <v>10.8</v>
      </c>
      <c r="E519">
        <v>21.6</v>
      </c>
      <c r="F519" s="58">
        <v>45680</v>
      </c>
      <c r="G519" s="58">
        <v>45683</v>
      </c>
      <c r="H519" t="s">
        <v>231</v>
      </c>
      <c r="I519" t="s">
        <v>63</v>
      </c>
      <c r="J519">
        <v>5</v>
      </c>
      <c r="K519" t="s">
        <v>103</v>
      </c>
      <c r="L519" t="s">
        <v>158</v>
      </c>
      <c r="M519">
        <f>orders[[#This Row],[Ship Date]]-orders[[#This Row],[Order Date]]</f>
        <v>3</v>
      </c>
      <c r="N519">
        <f>WEEKNUM(orders[[#This Row],[Order Date]],1)</f>
        <v>4</v>
      </c>
      <c r="O519" t="str">
        <f t="array" ref="O519">_xlfn.IFS(orders[[#This Row],[Customer Gender]]="M","Male", orders[[#This Row],[Customer Gender]]="F","Female", orders[[#This Row],[Customer Gender]]="O","Other", TRUE(),"Unknown")</f>
        <v>Female</v>
      </c>
    </row>
    <row r="520" spans="1:15" x14ac:dyDescent="0.25">
      <c r="A520" t="s">
        <v>748</v>
      </c>
      <c r="B520" t="s">
        <v>78</v>
      </c>
      <c r="C520">
        <v>13</v>
      </c>
      <c r="D520">
        <v>48.4</v>
      </c>
      <c r="E520">
        <v>629.20000000000005</v>
      </c>
      <c r="F520" s="58">
        <v>45680</v>
      </c>
      <c r="G520" s="58">
        <v>45684</v>
      </c>
      <c r="H520" t="s">
        <v>231</v>
      </c>
      <c r="I520" t="s">
        <v>59</v>
      </c>
      <c r="J520">
        <v>4</v>
      </c>
      <c r="K520" t="s">
        <v>103</v>
      </c>
      <c r="L520" t="s">
        <v>106</v>
      </c>
      <c r="M520">
        <f>orders[[#This Row],[Ship Date]]-orders[[#This Row],[Order Date]]</f>
        <v>4</v>
      </c>
      <c r="N520">
        <f>WEEKNUM(orders[[#This Row],[Order Date]],1)</f>
        <v>4</v>
      </c>
      <c r="O520" t="str">
        <f t="array" ref="O520">_xlfn.IFS(orders[[#This Row],[Customer Gender]]="M","Male", orders[[#This Row],[Customer Gender]]="F","Female", orders[[#This Row],[Customer Gender]]="O","Other", TRUE(),"Unknown")</f>
        <v>Female</v>
      </c>
    </row>
    <row r="521" spans="1:15" x14ac:dyDescent="0.25">
      <c r="A521" t="s">
        <v>749</v>
      </c>
      <c r="B521" t="s">
        <v>78</v>
      </c>
      <c r="C521">
        <v>3</v>
      </c>
      <c r="D521">
        <v>29.2</v>
      </c>
      <c r="E521">
        <v>87.6</v>
      </c>
      <c r="F521" s="58">
        <v>45680</v>
      </c>
      <c r="G521" s="58">
        <v>45683</v>
      </c>
      <c r="H521" t="s">
        <v>231</v>
      </c>
      <c r="I521" t="s">
        <v>63</v>
      </c>
      <c r="J521">
        <v>3</v>
      </c>
      <c r="K521" t="s">
        <v>103</v>
      </c>
      <c r="L521" t="s">
        <v>115</v>
      </c>
      <c r="M521">
        <f>orders[[#This Row],[Ship Date]]-orders[[#This Row],[Order Date]]</f>
        <v>3</v>
      </c>
      <c r="N521">
        <f>WEEKNUM(orders[[#This Row],[Order Date]],1)</f>
        <v>4</v>
      </c>
      <c r="O521" t="str">
        <f t="array" ref="O521">_xlfn.IFS(orders[[#This Row],[Customer Gender]]="M","Male", orders[[#This Row],[Customer Gender]]="F","Female", orders[[#This Row],[Customer Gender]]="O","Other", TRUE(),"Unknown")</f>
        <v>Female</v>
      </c>
    </row>
    <row r="522" spans="1:15" x14ac:dyDescent="0.25">
      <c r="A522" t="s">
        <v>750</v>
      </c>
      <c r="B522" t="s">
        <v>78</v>
      </c>
      <c r="C522">
        <v>2</v>
      </c>
      <c r="D522">
        <v>25.1</v>
      </c>
      <c r="E522">
        <v>50.2</v>
      </c>
      <c r="F522" s="58">
        <v>45680</v>
      </c>
      <c r="G522" s="58">
        <v>45681</v>
      </c>
      <c r="H522" t="s">
        <v>229</v>
      </c>
      <c r="I522" t="s">
        <v>59</v>
      </c>
      <c r="J522">
        <v>3</v>
      </c>
      <c r="K522" t="s">
        <v>103</v>
      </c>
      <c r="L522" t="s">
        <v>115</v>
      </c>
      <c r="M522">
        <f>orders[[#This Row],[Ship Date]]-orders[[#This Row],[Order Date]]</f>
        <v>1</v>
      </c>
      <c r="N522">
        <f>WEEKNUM(orders[[#This Row],[Order Date]],1)</f>
        <v>4</v>
      </c>
      <c r="O522" t="str">
        <f t="array" ref="O522">_xlfn.IFS(orders[[#This Row],[Customer Gender]]="M","Male", orders[[#This Row],[Customer Gender]]="F","Female", orders[[#This Row],[Customer Gender]]="O","Other", TRUE(),"Unknown")</f>
        <v>Male</v>
      </c>
    </row>
    <row r="523" spans="1:15" x14ac:dyDescent="0.25">
      <c r="A523" t="s">
        <v>751</v>
      </c>
      <c r="B523" t="s">
        <v>79</v>
      </c>
      <c r="C523">
        <v>3</v>
      </c>
      <c r="D523">
        <v>65.599999999999994</v>
      </c>
      <c r="E523">
        <v>196.8</v>
      </c>
      <c r="F523" s="58">
        <v>45680</v>
      </c>
      <c r="G523" s="58">
        <v>45680</v>
      </c>
      <c r="H523" t="s">
        <v>231</v>
      </c>
      <c r="I523" t="s">
        <v>62</v>
      </c>
      <c r="J523">
        <v>3</v>
      </c>
      <c r="K523" t="s">
        <v>103</v>
      </c>
      <c r="L523" t="s">
        <v>124</v>
      </c>
      <c r="M523">
        <f>orders[[#This Row],[Ship Date]]-orders[[#This Row],[Order Date]]</f>
        <v>0</v>
      </c>
      <c r="N523">
        <f>WEEKNUM(orders[[#This Row],[Order Date]],1)</f>
        <v>4</v>
      </c>
      <c r="O523" t="str">
        <f t="array" ref="O523">_xlfn.IFS(orders[[#This Row],[Customer Gender]]="M","Male", orders[[#This Row],[Customer Gender]]="F","Female", orders[[#This Row],[Customer Gender]]="O","Other", TRUE(),"Unknown")</f>
        <v>Female</v>
      </c>
    </row>
    <row r="524" spans="1:15" x14ac:dyDescent="0.25">
      <c r="A524" t="s">
        <v>752</v>
      </c>
      <c r="B524" t="s">
        <v>87</v>
      </c>
      <c r="C524">
        <v>2</v>
      </c>
      <c r="D524">
        <v>57.3</v>
      </c>
      <c r="E524">
        <v>114.6</v>
      </c>
      <c r="F524" s="58">
        <v>45680</v>
      </c>
      <c r="G524" s="58">
        <v>45680</v>
      </c>
      <c r="I524" t="s">
        <v>59</v>
      </c>
      <c r="J524">
        <v>4</v>
      </c>
      <c r="K524" t="s">
        <v>103</v>
      </c>
      <c r="L524" t="s">
        <v>124</v>
      </c>
      <c r="M524">
        <f>orders[[#This Row],[Ship Date]]-orders[[#This Row],[Order Date]]</f>
        <v>0</v>
      </c>
      <c r="N524">
        <f>WEEKNUM(orders[[#This Row],[Order Date]],1)</f>
        <v>4</v>
      </c>
      <c r="O524" t="str">
        <f t="array" ref="O524">_xlfn.IFS(orders[[#This Row],[Customer Gender]]="M","Male", orders[[#This Row],[Customer Gender]]="F","Female", orders[[#This Row],[Customer Gender]]="O","Other", TRUE(),"Unknown")</f>
        <v>Unknown</v>
      </c>
    </row>
    <row r="525" spans="1:15" x14ac:dyDescent="0.25">
      <c r="A525" t="s">
        <v>753</v>
      </c>
      <c r="B525" t="s">
        <v>88</v>
      </c>
      <c r="C525">
        <v>4</v>
      </c>
      <c r="D525">
        <v>22.4</v>
      </c>
      <c r="E525">
        <v>89.6</v>
      </c>
      <c r="F525" s="58">
        <v>45680</v>
      </c>
      <c r="G525" s="58">
        <v>45681</v>
      </c>
      <c r="H525" t="s">
        <v>231</v>
      </c>
      <c r="I525" t="s">
        <v>62</v>
      </c>
      <c r="J525">
        <v>5</v>
      </c>
      <c r="K525" t="s">
        <v>103</v>
      </c>
      <c r="L525" t="s">
        <v>124</v>
      </c>
      <c r="M525">
        <f>orders[[#This Row],[Ship Date]]-orders[[#This Row],[Order Date]]</f>
        <v>1</v>
      </c>
      <c r="N525">
        <f>WEEKNUM(orders[[#This Row],[Order Date]],1)</f>
        <v>4</v>
      </c>
      <c r="O525" t="str">
        <f t="array" ref="O525">_xlfn.IFS(orders[[#This Row],[Customer Gender]]="M","Male", orders[[#This Row],[Customer Gender]]="F","Female", orders[[#This Row],[Customer Gender]]="O","Other", TRUE(),"Unknown")</f>
        <v>Female</v>
      </c>
    </row>
    <row r="526" spans="1:15" x14ac:dyDescent="0.25">
      <c r="A526" t="s">
        <v>754</v>
      </c>
      <c r="B526" t="s">
        <v>76</v>
      </c>
      <c r="C526">
        <v>9</v>
      </c>
      <c r="D526">
        <v>45.7</v>
      </c>
      <c r="E526">
        <v>411.3</v>
      </c>
      <c r="F526" s="58">
        <v>45680</v>
      </c>
      <c r="G526" s="58">
        <v>45681</v>
      </c>
      <c r="H526" t="s">
        <v>231</v>
      </c>
      <c r="I526" t="s">
        <v>59</v>
      </c>
      <c r="J526">
        <v>4</v>
      </c>
      <c r="K526" t="s">
        <v>103</v>
      </c>
      <c r="L526" t="s">
        <v>124</v>
      </c>
      <c r="M526">
        <f>orders[[#This Row],[Ship Date]]-orders[[#This Row],[Order Date]]</f>
        <v>1</v>
      </c>
      <c r="N526">
        <f>WEEKNUM(orders[[#This Row],[Order Date]],1)</f>
        <v>4</v>
      </c>
      <c r="O526" t="str">
        <f t="array" ref="O526">_xlfn.IFS(orders[[#This Row],[Customer Gender]]="M","Male", orders[[#This Row],[Customer Gender]]="F","Female", orders[[#This Row],[Customer Gender]]="O","Other", TRUE(),"Unknown")</f>
        <v>Female</v>
      </c>
    </row>
    <row r="527" spans="1:15" x14ac:dyDescent="0.25">
      <c r="A527" t="s">
        <v>755</v>
      </c>
      <c r="B527" t="s">
        <v>90</v>
      </c>
      <c r="C527">
        <v>2</v>
      </c>
      <c r="D527">
        <v>29.3</v>
      </c>
      <c r="E527">
        <v>58.6</v>
      </c>
      <c r="F527" s="58">
        <v>45680</v>
      </c>
      <c r="G527" s="58">
        <v>45681</v>
      </c>
      <c r="H527" t="s">
        <v>229</v>
      </c>
      <c r="I527" t="s">
        <v>63</v>
      </c>
      <c r="J527">
        <v>4</v>
      </c>
      <c r="K527" t="s">
        <v>103</v>
      </c>
      <c r="L527" t="s">
        <v>124</v>
      </c>
      <c r="M527">
        <f>orders[[#This Row],[Ship Date]]-orders[[#This Row],[Order Date]]</f>
        <v>1</v>
      </c>
      <c r="N527">
        <f>WEEKNUM(orders[[#This Row],[Order Date]],1)</f>
        <v>4</v>
      </c>
      <c r="O527" t="str">
        <f t="array" ref="O527">_xlfn.IFS(orders[[#This Row],[Customer Gender]]="M","Male", orders[[#This Row],[Customer Gender]]="F","Female", orders[[#This Row],[Customer Gender]]="O","Other", TRUE(),"Unknown")</f>
        <v>Male</v>
      </c>
    </row>
    <row r="528" spans="1:15" x14ac:dyDescent="0.25">
      <c r="A528" t="s">
        <v>756</v>
      </c>
      <c r="B528" t="s">
        <v>82</v>
      </c>
      <c r="C528">
        <v>22</v>
      </c>
      <c r="D528">
        <v>74</v>
      </c>
      <c r="E528">
        <v>1628</v>
      </c>
      <c r="F528" s="58">
        <v>45680</v>
      </c>
      <c r="G528" s="58">
        <v>45681</v>
      </c>
      <c r="H528" t="s">
        <v>229</v>
      </c>
      <c r="I528" t="s">
        <v>59</v>
      </c>
      <c r="J528">
        <v>5</v>
      </c>
      <c r="K528" t="s">
        <v>103</v>
      </c>
      <c r="L528" t="s">
        <v>124</v>
      </c>
      <c r="M528">
        <f>orders[[#This Row],[Ship Date]]-orders[[#This Row],[Order Date]]</f>
        <v>1</v>
      </c>
      <c r="N528">
        <f>WEEKNUM(orders[[#This Row],[Order Date]],1)</f>
        <v>4</v>
      </c>
      <c r="O528" t="str">
        <f t="array" ref="O528">_xlfn.IFS(orders[[#This Row],[Customer Gender]]="M","Male", orders[[#This Row],[Customer Gender]]="F","Female", orders[[#This Row],[Customer Gender]]="O","Other", TRUE(),"Unknown")</f>
        <v>Male</v>
      </c>
    </row>
    <row r="529" spans="1:15" x14ac:dyDescent="0.25">
      <c r="A529" t="s">
        <v>757</v>
      </c>
      <c r="B529" t="s">
        <v>74</v>
      </c>
      <c r="C529">
        <v>2</v>
      </c>
      <c r="D529">
        <v>39.200000000000003</v>
      </c>
      <c r="E529">
        <v>78.400000000000006</v>
      </c>
      <c r="F529" s="58">
        <v>45680</v>
      </c>
      <c r="G529" s="58">
        <v>45682</v>
      </c>
      <c r="H529" t="s">
        <v>231</v>
      </c>
      <c r="I529" t="s">
        <v>63</v>
      </c>
      <c r="J529">
        <v>4</v>
      </c>
      <c r="K529" t="s">
        <v>103</v>
      </c>
      <c r="L529" t="s">
        <v>124</v>
      </c>
      <c r="M529">
        <f>orders[[#This Row],[Ship Date]]-orders[[#This Row],[Order Date]]</f>
        <v>2</v>
      </c>
      <c r="N529">
        <f>WEEKNUM(orders[[#This Row],[Order Date]],1)</f>
        <v>4</v>
      </c>
      <c r="O529" t="str">
        <f t="array" ref="O529">_xlfn.IFS(orders[[#This Row],[Customer Gender]]="M","Male", orders[[#This Row],[Customer Gender]]="F","Female", orders[[#This Row],[Customer Gender]]="O","Other", TRUE(),"Unknown")</f>
        <v>Female</v>
      </c>
    </row>
    <row r="530" spans="1:15" x14ac:dyDescent="0.25">
      <c r="A530" t="s">
        <v>758</v>
      </c>
      <c r="B530" t="s">
        <v>78</v>
      </c>
      <c r="C530">
        <v>17</v>
      </c>
      <c r="D530">
        <v>62.7</v>
      </c>
      <c r="E530">
        <v>1065.9000000000001</v>
      </c>
      <c r="F530" s="58">
        <v>45680</v>
      </c>
      <c r="G530" s="58">
        <v>45681</v>
      </c>
      <c r="H530" t="s">
        <v>231</v>
      </c>
      <c r="I530" t="s">
        <v>62</v>
      </c>
      <c r="J530">
        <v>3</v>
      </c>
      <c r="K530" t="s">
        <v>103</v>
      </c>
      <c r="L530" t="s">
        <v>124</v>
      </c>
      <c r="M530">
        <f>orders[[#This Row],[Ship Date]]-orders[[#This Row],[Order Date]]</f>
        <v>1</v>
      </c>
      <c r="N530">
        <f>WEEKNUM(orders[[#This Row],[Order Date]],1)</f>
        <v>4</v>
      </c>
      <c r="O530" t="str">
        <f t="array" ref="O530">_xlfn.IFS(orders[[#This Row],[Customer Gender]]="M","Male", orders[[#This Row],[Customer Gender]]="F","Female", orders[[#This Row],[Customer Gender]]="O","Other", TRUE(),"Unknown")</f>
        <v>Female</v>
      </c>
    </row>
    <row r="531" spans="1:15" x14ac:dyDescent="0.25">
      <c r="A531" t="s">
        <v>759</v>
      </c>
      <c r="B531" t="s">
        <v>75</v>
      </c>
      <c r="C531">
        <v>2</v>
      </c>
      <c r="D531">
        <v>60.1</v>
      </c>
      <c r="E531">
        <v>120.2</v>
      </c>
      <c r="F531" s="58">
        <v>45680</v>
      </c>
      <c r="G531" s="58">
        <v>45681</v>
      </c>
      <c r="H531" t="s">
        <v>231</v>
      </c>
      <c r="I531" t="s">
        <v>60</v>
      </c>
      <c r="J531">
        <v>4</v>
      </c>
      <c r="K531" t="s">
        <v>103</v>
      </c>
      <c r="L531" t="s">
        <v>124</v>
      </c>
      <c r="M531">
        <f>orders[[#This Row],[Ship Date]]-orders[[#This Row],[Order Date]]</f>
        <v>1</v>
      </c>
      <c r="N531">
        <f>WEEKNUM(orders[[#This Row],[Order Date]],1)</f>
        <v>4</v>
      </c>
      <c r="O531" t="str">
        <f t="array" ref="O531">_xlfn.IFS(orders[[#This Row],[Customer Gender]]="M","Male", orders[[#This Row],[Customer Gender]]="F","Female", orders[[#This Row],[Customer Gender]]="O","Other", TRUE(),"Unknown")</f>
        <v>Female</v>
      </c>
    </row>
    <row r="532" spans="1:15" x14ac:dyDescent="0.25">
      <c r="A532" t="s">
        <v>760</v>
      </c>
      <c r="B532" t="s">
        <v>86</v>
      </c>
      <c r="C532">
        <v>4</v>
      </c>
      <c r="D532">
        <v>11.2</v>
      </c>
      <c r="E532">
        <v>44.8</v>
      </c>
      <c r="F532" s="58">
        <v>45680</v>
      </c>
      <c r="G532" s="58">
        <v>45681</v>
      </c>
      <c r="H532" t="s">
        <v>231</v>
      </c>
      <c r="I532" t="s">
        <v>60</v>
      </c>
      <c r="J532">
        <v>3</v>
      </c>
      <c r="K532" t="s">
        <v>103</v>
      </c>
      <c r="L532" t="s">
        <v>124</v>
      </c>
      <c r="M532">
        <f>orders[[#This Row],[Ship Date]]-orders[[#This Row],[Order Date]]</f>
        <v>1</v>
      </c>
      <c r="N532">
        <f>WEEKNUM(orders[[#This Row],[Order Date]],1)</f>
        <v>4</v>
      </c>
      <c r="O532" t="str">
        <f t="array" ref="O532">_xlfn.IFS(orders[[#This Row],[Customer Gender]]="M","Male", orders[[#This Row],[Customer Gender]]="F","Female", orders[[#This Row],[Customer Gender]]="O","Other", TRUE(),"Unknown")</f>
        <v>Female</v>
      </c>
    </row>
    <row r="533" spans="1:15" x14ac:dyDescent="0.25">
      <c r="A533" t="s">
        <v>761</v>
      </c>
      <c r="B533" t="s">
        <v>90</v>
      </c>
      <c r="C533">
        <v>2</v>
      </c>
      <c r="D533">
        <v>22.9</v>
      </c>
      <c r="E533">
        <v>45.8</v>
      </c>
      <c r="F533" s="58">
        <v>45680</v>
      </c>
      <c r="G533" s="58">
        <v>45681</v>
      </c>
      <c r="H533" t="s">
        <v>231</v>
      </c>
      <c r="I533" t="s">
        <v>59</v>
      </c>
      <c r="J533">
        <v>4</v>
      </c>
      <c r="K533" t="s">
        <v>103</v>
      </c>
      <c r="L533" t="s">
        <v>139</v>
      </c>
      <c r="M533">
        <f>orders[[#This Row],[Ship Date]]-orders[[#This Row],[Order Date]]</f>
        <v>1</v>
      </c>
      <c r="N533">
        <f>WEEKNUM(orders[[#This Row],[Order Date]],1)</f>
        <v>4</v>
      </c>
      <c r="O533" t="str">
        <f t="array" ref="O533">_xlfn.IFS(orders[[#This Row],[Customer Gender]]="M","Male", orders[[#This Row],[Customer Gender]]="F","Female", orders[[#This Row],[Customer Gender]]="O","Other", TRUE(),"Unknown")</f>
        <v>Female</v>
      </c>
    </row>
    <row r="534" spans="1:15" x14ac:dyDescent="0.25">
      <c r="A534" t="s">
        <v>762</v>
      </c>
      <c r="B534" t="s">
        <v>91</v>
      </c>
      <c r="C534">
        <v>2</v>
      </c>
      <c r="D534">
        <v>37.6</v>
      </c>
      <c r="E534">
        <v>75.2</v>
      </c>
      <c r="F534" s="58">
        <v>45680</v>
      </c>
      <c r="G534" s="58">
        <v>45683</v>
      </c>
      <c r="H534" t="s">
        <v>231</v>
      </c>
      <c r="I534" t="s">
        <v>59</v>
      </c>
      <c r="J534">
        <v>4</v>
      </c>
      <c r="K534" t="s">
        <v>103</v>
      </c>
      <c r="L534" t="s">
        <v>139</v>
      </c>
      <c r="M534">
        <f>orders[[#This Row],[Ship Date]]-orders[[#This Row],[Order Date]]</f>
        <v>3</v>
      </c>
      <c r="N534">
        <f>WEEKNUM(orders[[#This Row],[Order Date]],1)</f>
        <v>4</v>
      </c>
      <c r="O534" t="str">
        <f t="array" ref="O534">_xlfn.IFS(orders[[#This Row],[Customer Gender]]="M","Male", orders[[#This Row],[Customer Gender]]="F","Female", orders[[#This Row],[Customer Gender]]="O","Other", TRUE(),"Unknown")</f>
        <v>Female</v>
      </c>
    </row>
    <row r="535" spans="1:15" x14ac:dyDescent="0.25">
      <c r="A535" t="s">
        <v>763</v>
      </c>
      <c r="B535" t="s">
        <v>80</v>
      </c>
      <c r="C535">
        <v>1</v>
      </c>
      <c r="D535">
        <v>42.4</v>
      </c>
      <c r="E535">
        <v>42.4</v>
      </c>
      <c r="F535" s="58">
        <v>45680</v>
      </c>
      <c r="G535" s="58">
        <v>45681</v>
      </c>
      <c r="H535" t="s">
        <v>231</v>
      </c>
      <c r="I535" t="s">
        <v>60</v>
      </c>
      <c r="J535">
        <v>5</v>
      </c>
      <c r="K535" t="s">
        <v>103</v>
      </c>
      <c r="L535" t="s">
        <v>139</v>
      </c>
      <c r="M535">
        <f>orders[[#This Row],[Ship Date]]-orders[[#This Row],[Order Date]]</f>
        <v>1</v>
      </c>
      <c r="N535">
        <f>WEEKNUM(orders[[#This Row],[Order Date]],1)</f>
        <v>4</v>
      </c>
      <c r="O535" t="str">
        <f t="array" ref="O535">_xlfn.IFS(orders[[#This Row],[Customer Gender]]="M","Male", orders[[#This Row],[Customer Gender]]="F","Female", orders[[#This Row],[Customer Gender]]="O","Other", TRUE(),"Unknown")</f>
        <v>Female</v>
      </c>
    </row>
    <row r="536" spans="1:15" x14ac:dyDescent="0.25">
      <c r="A536" t="s">
        <v>764</v>
      </c>
      <c r="B536" t="s">
        <v>90</v>
      </c>
      <c r="C536">
        <v>2</v>
      </c>
      <c r="D536">
        <v>19.600000000000001</v>
      </c>
      <c r="E536">
        <v>39.200000000000003</v>
      </c>
      <c r="F536" s="58">
        <v>45680</v>
      </c>
      <c r="G536" s="58">
        <v>45684</v>
      </c>
      <c r="H536" t="s">
        <v>231</v>
      </c>
      <c r="I536" t="s">
        <v>62</v>
      </c>
      <c r="J536">
        <v>4</v>
      </c>
      <c r="K536" t="s">
        <v>103</v>
      </c>
      <c r="L536" t="s">
        <v>141</v>
      </c>
      <c r="M536">
        <f>orders[[#This Row],[Ship Date]]-orders[[#This Row],[Order Date]]</f>
        <v>4</v>
      </c>
      <c r="N536">
        <f>WEEKNUM(orders[[#This Row],[Order Date]],1)</f>
        <v>4</v>
      </c>
      <c r="O536" t="str">
        <f t="array" ref="O536">_xlfn.IFS(orders[[#This Row],[Customer Gender]]="M","Male", orders[[#This Row],[Customer Gender]]="F","Female", orders[[#This Row],[Customer Gender]]="O","Other", TRUE(),"Unknown")</f>
        <v>Female</v>
      </c>
    </row>
    <row r="537" spans="1:15" x14ac:dyDescent="0.25">
      <c r="A537" t="s">
        <v>765</v>
      </c>
      <c r="B537" t="s">
        <v>88</v>
      </c>
      <c r="C537">
        <v>1</v>
      </c>
      <c r="D537">
        <v>90.5</v>
      </c>
      <c r="E537">
        <v>90.5</v>
      </c>
      <c r="F537" s="58">
        <v>45680</v>
      </c>
      <c r="G537" s="58">
        <v>45683</v>
      </c>
      <c r="H537" t="s">
        <v>231</v>
      </c>
      <c r="I537" t="s">
        <v>62</v>
      </c>
      <c r="J537">
        <v>4</v>
      </c>
      <c r="K537" t="s">
        <v>103</v>
      </c>
      <c r="L537" t="s">
        <v>141</v>
      </c>
      <c r="M537">
        <f>orders[[#This Row],[Ship Date]]-orders[[#This Row],[Order Date]]</f>
        <v>3</v>
      </c>
      <c r="N537">
        <f>WEEKNUM(orders[[#This Row],[Order Date]],1)</f>
        <v>4</v>
      </c>
      <c r="O537" t="str">
        <f t="array" ref="O537">_xlfn.IFS(orders[[#This Row],[Customer Gender]]="M","Male", orders[[#This Row],[Customer Gender]]="F","Female", orders[[#This Row],[Customer Gender]]="O","Other", TRUE(),"Unknown")</f>
        <v>Female</v>
      </c>
    </row>
    <row r="538" spans="1:15" x14ac:dyDescent="0.25">
      <c r="A538" t="s">
        <v>766</v>
      </c>
      <c r="B538" t="s">
        <v>89</v>
      </c>
      <c r="C538">
        <v>11</v>
      </c>
      <c r="D538">
        <v>33.9</v>
      </c>
      <c r="E538">
        <v>372.9</v>
      </c>
      <c r="F538" s="58">
        <v>45680</v>
      </c>
      <c r="G538" s="58">
        <v>45681</v>
      </c>
      <c r="H538" t="s">
        <v>229</v>
      </c>
      <c r="I538" t="s">
        <v>62</v>
      </c>
      <c r="J538">
        <v>3</v>
      </c>
      <c r="K538" t="s">
        <v>103</v>
      </c>
      <c r="L538" t="s">
        <v>141</v>
      </c>
      <c r="M538">
        <f>orders[[#This Row],[Ship Date]]-orders[[#This Row],[Order Date]]</f>
        <v>1</v>
      </c>
      <c r="N538">
        <f>WEEKNUM(orders[[#This Row],[Order Date]],1)</f>
        <v>4</v>
      </c>
      <c r="O538" t="str">
        <f t="array" ref="O538">_xlfn.IFS(orders[[#This Row],[Customer Gender]]="M","Male", orders[[#This Row],[Customer Gender]]="F","Female", orders[[#This Row],[Customer Gender]]="O","Other", TRUE(),"Unknown")</f>
        <v>Male</v>
      </c>
    </row>
    <row r="539" spans="1:15" x14ac:dyDescent="0.25">
      <c r="A539" t="s">
        <v>767</v>
      </c>
      <c r="B539" t="s">
        <v>86</v>
      </c>
      <c r="C539">
        <v>2</v>
      </c>
      <c r="D539">
        <v>32.799999999999997</v>
      </c>
      <c r="E539">
        <v>65.599999999999994</v>
      </c>
      <c r="F539" s="58">
        <v>45680</v>
      </c>
      <c r="G539" s="58">
        <v>45682</v>
      </c>
      <c r="H539" t="s">
        <v>231</v>
      </c>
      <c r="I539" t="s">
        <v>61</v>
      </c>
      <c r="J539">
        <v>2</v>
      </c>
      <c r="K539" t="s">
        <v>103</v>
      </c>
      <c r="L539" t="s">
        <v>142</v>
      </c>
      <c r="M539">
        <f>orders[[#This Row],[Ship Date]]-orders[[#This Row],[Order Date]]</f>
        <v>2</v>
      </c>
      <c r="N539">
        <f>WEEKNUM(orders[[#This Row],[Order Date]],1)</f>
        <v>4</v>
      </c>
      <c r="O539" t="str">
        <f t="array" ref="O539">_xlfn.IFS(orders[[#This Row],[Customer Gender]]="M","Male", orders[[#This Row],[Customer Gender]]="F","Female", orders[[#This Row],[Customer Gender]]="O","Other", TRUE(),"Unknown")</f>
        <v>Female</v>
      </c>
    </row>
    <row r="540" spans="1:15" x14ac:dyDescent="0.25">
      <c r="A540" t="s">
        <v>768</v>
      </c>
      <c r="B540" t="s">
        <v>77</v>
      </c>
      <c r="C540">
        <v>1</v>
      </c>
      <c r="D540">
        <v>49.9</v>
      </c>
      <c r="E540">
        <v>49.9</v>
      </c>
      <c r="F540" s="58">
        <v>45680</v>
      </c>
      <c r="G540" s="58">
        <v>45681</v>
      </c>
      <c r="H540" t="s">
        <v>229</v>
      </c>
      <c r="I540" t="s">
        <v>60</v>
      </c>
      <c r="J540">
        <v>3</v>
      </c>
      <c r="K540" t="s">
        <v>103</v>
      </c>
      <c r="L540" t="s">
        <v>142</v>
      </c>
      <c r="M540">
        <f>orders[[#This Row],[Ship Date]]-orders[[#This Row],[Order Date]]</f>
        <v>1</v>
      </c>
      <c r="N540">
        <f>WEEKNUM(orders[[#This Row],[Order Date]],1)</f>
        <v>4</v>
      </c>
      <c r="O540" t="str">
        <f t="array" ref="O540">_xlfn.IFS(orders[[#This Row],[Customer Gender]]="M","Male", orders[[#This Row],[Customer Gender]]="F","Female", orders[[#This Row],[Customer Gender]]="O","Other", TRUE(),"Unknown")</f>
        <v>Male</v>
      </c>
    </row>
    <row r="541" spans="1:15" x14ac:dyDescent="0.25">
      <c r="A541" t="s">
        <v>769</v>
      </c>
      <c r="B541" t="s">
        <v>79</v>
      </c>
      <c r="C541">
        <v>5</v>
      </c>
      <c r="D541">
        <v>79.2</v>
      </c>
      <c r="E541">
        <v>396</v>
      </c>
      <c r="F541" s="58">
        <v>45680</v>
      </c>
      <c r="G541" s="58">
        <v>45681</v>
      </c>
      <c r="H541" t="s">
        <v>231</v>
      </c>
      <c r="I541" t="s">
        <v>61</v>
      </c>
      <c r="J541">
        <v>4</v>
      </c>
      <c r="K541" t="s">
        <v>103</v>
      </c>
      <c r="L541" t="s">
        <v>142</v>
      </c>
      <c r="M541">
        <f>orders[[#This Row],[Ship Date]]-orders[[#This Row],[Order Date]]</f>
        <v>1</v>
      </c>
      <c r="N541">
        <f>WEEKNUM(orders[[#This Row],[Order Date]],1)</f>
        <v>4</v>
      </c>
      <c r="O541" t="str">
        <f t="array" ref="O541">_xlfn.IFS(orders[[#This Row],[Customer Gender]]="M","Male", orders[[#This Row],[Customer Gender]]="F","Female", orders[[#This Row],[Customer Gender]]="O","Other", TRUE(),"Unknown")</f>
        <v>Female</v>
      </c>
    </row>
    <row r="542" spans="1:15" x14ac:dyDescent="0.25">
      <c r="A542" t="s">
        <v>770</v>
      </c>
      <c r="B542" t="s">
        <v>90</v>
      </c>
      <c r="C542">
        <v>16</v>
      </c>
      <c r="D542">
        <v>19.5</v>
      </c>
      <c r="E542">
        <v>312</v>
      </c>
      <c r="F542" s="58">
        <v>45680</v>
      </c>
      <c r="G542" s="58">
        <v>45682</v>
      </c>
      <c r="H542" t="s">
        <v>229</v>
      </c>
      <c r="I542" t="s">
        <v>60</v>
      </c>
      <c r="J542">
        <v>5</v>
      </c>
      <c r="K542" t="s">
        <v>103</v>
      </c>
      <c r="L542" t="s">
        <v>142</v>
      </c>
      <c r="M542">
        <f>orders[[#This Row],[Ship Date]]-orders[[#This Row],[Order Date]]</f>
        <v>2</v>
      </c>
      <c r="N542">
        <f>WEEKNUM(orders[[#This Row],[Order Date]],1)</f>
        <v>4</v>
      </c>
      <c r="O542" t="str">
        <f t="array" ref="O542">_xlfn.IFS(orders[[#This Row],[Customer Gender]]="M","Male", orders[[#This Row],[Customer Gender]]="F","Female", orders[[#This Row],[Customer Gender]]="O","Other", TRUE(),"Unknown")</f>
        <v>Male</v>
      </c>
    </row>
    <row r="543" spans="1:15" x14ac:dyDescent="0.25">
      <c r="A543" t="s">
        <v>771</v>
      </c>
      <c r="B543" t="s">
        <v>90</v>
      </c>
      <c r="C543">
        <v>4</v>
      </c>
      <c r="D543">
        <v>18</v>
      </c>
      <c r="E543">
        <v>72</v>
      </c>
      <c r="F543" s="58">
        <v>45680</v>
      </c>
      <c r="G543" s="58">
        <v>45681</v>
      </c>
      <c r="H543" t="s">
        <v>229</v>
      </c>
      <c r="I543" t="s">
        <v>63</v>
      </c>
      <c r="J543">
        <v>4</v>
      </c>
      <c r="K543" t="s">
        <v>103</v>
      </c>
      <c r="L543" t="s">
        <v>147</v>
      </c>
      <c r="M543">
        <f>orders[[#This Row],[Ship Date]]-orders[[#This Row],[Order Date]]</f>
        <v>1</v>
      </c>
      <c r="N543">
        <f>WEEKNUM(orders[[#This Row],[Order Date]],1)</f>
        <v>4</v>
      </c>
      <c r="O543" t="str">
        <f t="array" ref="O543">_xlfn.IFS(orders[[#This Row],[Customer Gender]]="M","Male", orders[[#This Row],[Customer Gender]]="F","Female", orders[[#This Row],[Customer Gender]]="O","Other", TRUE(),"Unknown")</f>
        <v>Male</v>
      </c>
    </row>
    <row r="544" spans="1:15" x14ac:dyDescent="0.25">
      <c r="A544" t="s">
        <v>772</v>
      </c>
      <c r="B544" t="s">
        <v>88</v>
      </c>
      <c r="C544">
        <v>3</v>
      </c>
      <c r="D544">
        <v>45.9</v>
      </c>
      <c r="E544">
        <v>137.69999999999999</v>
      </c>
      <c r="F544" s="58">
        <v>45680</v>
      </c>
      <c r="G544" s="58">
        <v>45682</v>
      </c>
      <c r="H544" t="s">
        <v>231</v>
      </c>
      <c r="I544" t="s">
        <v>63</v>
      </c>
      <c r="J544">
        <v>3</v>
      </c>
      <c r="K544" t="s">
        <v>103</v>
      </c>
      <c r="L544" t="s">
        <v>147</v>
      </c>
      <c r="M544">
        <f>orders[[#This Row],[Ship Date]]-orders[[#This Row],[Order Date]]</f>
        <v>2</v>
      </c>
      <c r="N544">
        <f>WEEKNUM(orders[[#This Row],[Order Date]],1)</f>
        <v>4</v>
      </c>
      <c r="O544" t="str">
        <f t="array" ref="O544">_xlfn.IFS(orders[[#This Row],[Customer Gender]]="M","Male", orders[[#This Row],[Customer Gender]]="F","Female", orders[[#This Row],[Customer Gender]]="O","Other", TRUE(),"Unknown")</f>
        <v>Female</v>
      </c>
    </row>
    <row r="545" spans="1:15" x14ac:dyDescent="0.25">
      <c r="A545" t="s">
        <v>773</v>
      </c>
      <c r="B545" t="s">
        <v>83</v>
      </c>
      <c r="C545">
        <v>1</v>
      </c>
      <c r="D545">
        <v>41.2</v>
      </c>
      <c r="E545">
        <v>41.2</v>
      </c>
      <c r="F545" s="58">
        <v>45680</v>
      </c>
      <c r="G545" s="58">
        <v>45682</v>
      </c>
      <c r="H545" t="s">
        <v>231</v>
      </c>
      <c r="I545" t="s">
        <v>63</v>
      </c>
      <c r="J545">
        <v>5</v>
      </c>
      <c r="K545" t="s">
        <v>103</v>
      </c>
      <c r="L545" t="s">
        <v>148</v>
      </c>
      <c r="M545">
        <f>orders[[#This Row],[Ship Date]]-orders[[#This Row],[Order Date]]</f>
        <v>2</v>
      </c>
      <c r="N545">
        <f>WEEKNUM(orders[[#This Row],[Order Date]],1)</f>
        <v>4</v>
      </c>
      <c r="O545" t="str">
        <f t="array" ref="O545">_xlfn.IFS(orders[[#This Row],[Customer Gender]]="M","Male", orders[[#This Row],[Customer Gender]]="F","Female", orders[[#This Row],[Customer Gender]]="O","Other", TRUE(),"Unknown")</f>
        <v>Female</v>
      </c>
    </row>
    <row r="546" spans="1:15" x14ac:dyDescent="0.25">
      <c r="A546" t="s">
        <v>774</v>
      </c>
      <c r="B546" t="s">
        <v>87</v>
      </c>
      <c r="C546">
        <v>10</v>
      </c>
      <c r="D546">
        <v>167.2</v>
      </c>
      <c r="E546">
        <v>1672</v>
      </c>
      <c r="F546" s="58">
        <v>45680</v>
      </c>
      <c r="G546" s="58">
        <v>45682</v>
      </c>
      <c r="H546" t="s">
        <v>231</v>
      </c>
      <c r="I546" t="s">
        <v>62</v>
      </c>
      <c r="J546">
        <v>5</v>
      </c>
      <c r="K546" t="s">
        <v>103</v>
      </c>
      <c r="L546" t="s">
        <v>149</v>
      </c>
      <c r="M546">
        <f>orders[[#This Row],[Ship Date]]-orders[[#This Row],[Order Date]]</f>
        <v>2</v>
      </c>
      <c r="N546">
        <f>WEEKNUM(orders[[#This Row],[Order Date]],1)</f>
        <v>4</v>
      </c>
      <c r="O546" t="str">
        <f t="array" ref="O546">_xlfn.IFS(orders[[#This Row],[Customer Gender]]="M","Male", orders[[#This Row],[Customer Gender]]="F","Female", orders[[#This Row],[Customer Gender]]="O","Other", TRUE(),"Unknown")</f>
        <v>Female</v>
      </c>
    </row>
    <row r="547" spans="1:15" x14ac:dyDescent="0.25">
      <c r="A547" t="s">
        <v>775</v>
      </c>
      <c r="B547" t="s">
        <v>80</v>
      </c>
      <c r="C547">
        <v>30</v>
      </c>
      <c r="D547">
        <v>74.5</v>
      </c>
      <c r="E547">
        <v>2235</v>
      </c>
      <c r="F547" s="58">
        <v>45681</v>
      </c>
      <c r="G547" s="58">
        <v>45684</v>
      </c>
      <c r="H547" t="s">
        <v>231</v>
      </c>
      <c r="I547" t="s">
        <v>63</v>
      </c>
      <c r="J547">
        <v>5</v>
      </c>
      <c r="K547" t="s">
        <v>103</v>
      </c>
      <c r="L547" t="s">
        <v>153</v>
      </c>
      <c r="M547">
        <f>orders[[#This Row],[Ship Date]]-orders[[#This Row],[Order Date]]</f>
        <v>3</v>
      </c>
      <c r="N547">
        <f>WEEKNUM(orders[[#This Row],[Order Date]],1)</f>
        <v>4</v>
      </c>
      <c r="O547" t="str">
        <f t="array" ref="O547">_xlfn.IFS(orders[[#This Row],[Customer Gender]]="M","Male", orders[[#This Row],[Customer Gender]]="F","Female", orders[[#This Row],[Customer Gender]]="O","Other", TRUE(),"Unknown")</f>
        <v>Female</v>
      </c>
    </row>
    <row r="548" spans="1:15" x14ac:dyDescent="0.25">
      <c r="A548" t="s">
        <v>776</v>
      </c>
      <c r="B548" t="s">
        <v>79</v>
      </c>
      <c r="C548">
        <v>4</v>
      </c>
      <c r="D548">
        <v>39.299999999999997</v>
      </c>
      <c r="E548">
        <v>157.19999999999999</v>
      </c>
      <c r="F548" s="58">
        <v>45681</v>
      </c>
      <c r="G548" s="58">
        <v>45682</v>
      </c>
      <c r="I548" t="s">
        <v>62</v>
      </c>
      <c r="J548">
        <v>4</v>
      </c>
      <c r="K548" t="s">
        <v>103</v>
      </c>
      <c r="L548" t="s">
        <v>155</v>
      </c>
      <c r="M548">
        <f>orders[[#This Row],[Ship Date]]-orders[[#This Row],[Order Date]]</f>
        <v>1</v>
      </c>
      <c r="N548">
        <f>WEEKNUM(orders[[#This Row],[Order Date]],1)</f>
        <v>4</v>
      </c>
      <c r="O548" t="str">
        <f t="array" ref="O548">_xlfn.IFS(orders[[#This Row],[Customer Gender]]="M","Male", orders[[#This Row],[Customer Gender]]="F","Female", orders[[#This Row],[Customer Gender]]="O","Other", TRUE(),"Unknown")</f>
        <v>Unknown</v>
      </c>
    </row>
    <row r="549" spans="1:15" x14ac:dyDescent="0.25">
      <c r="A549" t="s">
        <v>777</v>
      </c>
      <c r="B549" t="s">
        <v>88</v>
      </c>
      <c r="C549">
        <v>1</v>
      </c>
      <c r="D549">
        <v>68.5</v>
      </c>
      <c r="E549">
        <v>68.5</v>
      </c>
      <c r="F549" s="58">
        <v>45681</v>
      </c>
      <c r="G549" s="58">
        <v>45684</v>
      </c>
      <c r="H549" t="s">
        <v>229</v>
      </c>
      <c r="I549" t="s">
        <v>63</v>
      </c>
      <c r="J549">
        <v>5</v>
      </c>
      <c r="K549" t="s">
        <v>103</v>
      </c>
      <c r="L549" t="s">
        <v>157</v>
      </c>
      <c r="M549">
        <f>orders[[#This Row],[Ship Date]]-orders[[#This Row],[Order Date]]</f>
        <v>3</v>
      </c>
      <c r="N549">
        <f>WEEKNUM(orders[[#This Row],[Order Date]],1)</f>
        <v>4</v>
      </c>
      <c r="O549" t="str">
        <f t="array" ref="O549">_xlfn.IFS(orders[[#This Row],[Customer Gender]]="M","Male", orders[[#This Row],[Customer Gender]]="F","Female", orders[[#This Row],[Customer Gender]]="O","Other", TRUE(),"Unknown")</f>
        <v>Male</v>
      </c>
    </row>
    <row r="550" spans="1:15" x14ac:dyDescent="0.25">
      <c r="A550" t="s">
        <v>778</v>
      </c>
      <c r="B550" t="s">
        <v>86</v>
      </c>
      <c r="C550">
        <v>3</v>
      </c>
      <c r="D550">
        <v>22.5</v>
      </c>
      <c r="E550">
        <v>67.5</v>
      </c>
      <c r="F550" s="58">
        <v>45681</v>
      </c>
      <c r="G550" s="58">
        <v>45681</v>
      </c>
      <c r="H550" t="s">
        <v>231</v>
      </c>
      <c r="I550" t="s">
        <v>61</v>
      </c>
      <c r="J550">
        <v>4</v>
      </c>
      <c r="K550" t="s">
        <v>103</v>
      </c>
      <c r="L550" t="s">
        <v>161</v>
      </c>
      <c r="M550">
        <f>orders[[#This Row],[Ship Date]]-orders[[#This Row],[Order Date]]</f>
        <v>0</v>
      </c>
      <c r="N550">
        <f>WEEKNUM(orders[[#This Row],[Order Date]],1)</f>
        <v>4</v>
      </c>
      <c r="O550" t="str">
        <f t="array" ref="O550">_xlfn.IFS(orders[[#This Row],[Customer Gender]]="M","Male", orders[[#This Row],[Customer Gender]]="F","Female", orders[[#This Row],[Customer Gender]]="O","Other", TRUE(),"Unknown")</f>
        <v>Female</v>
      </c>
    </row>
    <row r="551" spans="1:15" x14ac:dyDescent="0.25">
      <c r="A551" t="s">
        <v>779</v>
      </c>
      <c r="B551" t="s">
        <v>91</v>
      </c>
      <c r="C551">
        <v>1</v>
      </c>
      <c r="D551">
        <v>48</v>
      </c>
      <c r="E551">
        <v>48</v>
      </c>
      <c r="F551" s="58">
        <v>45681</v>
      </c>
      <c r="G551" s="58">
        <v>45682</v>
      </c>
      <c r="H551" t="s">
        <v>263</v>
      </c>
      <c r="I551" t="s">
        <v>61</v>
      </c>
      <c r="J551">
        <v>3</v>
      </c>
      <c r="K551" t="s">
        <v>103</v>
      </c>
      <c r="L551" t="s">
        <v>108</v>
      </c>
      <c r="M551">
        <f>orders[[#This Row],[Ship Date]]-orders[[#This Row],[Order Date]]</f>
        <v>1</v>
      </c>
      <c r="N551">
        <f>WEEKNUM(orders[[#This Row],[Order Date]],1)</f>
        <v>4</v>
      </c>
      <c r="O551" t="str">
        <f t="array" ref="O551">_xlfn.IFS(orders[[#This Row],[Customer Gender]]="M","Male", orders[[#This Row],[Customer Gender]]="F","Female", orders[[#This Row],[Customer Gender]]="O","Other", TRUE(),"Unknown")</f>
        <v>Other</v>
      </c>
    </row>
    <row r="552" spans="1:15" x14ac:dyDescent="0.25">
      <c r="A552" t="s">
        <v>780</v>
      </c>
      <c r="B552" t="s">
        <v>80</v>
      </c>
      <c r="C552">
        <v>1</v>
      </c>
      <c r="D552">
        <v>94</v>
      </c>
      <c r="E552">
        <v>94</v>
      </c>
      <c r="F552" s="58">
        <v>45681</v>
      </c>
      <c r="G552" s="58">
        <v>45682</v>
      </c>
      <c r="H552" t="s">
        <v>229</v>
      </c>
      <c r="I552" t="s">
        <v>60</v>
      </c>
      <c r="J552">
        <v>3</v>
      </c>
      <c r="K552" t="s">
        <v>103</v>
      </c>
      <c r="L552" t="s">
        <v>112</v>
      </c>
      <c r="M552">
        <f>orders[[#This Row],[Ship Date]]-orders[[#This Row],[Order Date]]</f>
        <v>1</v>
      </c>
      <c r="N552">
        <f>WEEKNUM(orders[[#This Row],[Order Date]],1)</f>
        <v>4</v>
      </c>
      <c r="O552" t="str">
        <f t="array" ref="O552">_xlfn.IFS(orders[[#This Row],[Customer Gender]]="M","Male", orders[[#This Row],[Customer Gender]]="F","Female", orders[[#This Row],[Customer Gender]]="O","Other", TRUE(),"Unknown")</f>
        <v>Male</v>
      </c>
    </row>
    <row r="553" spans="1:15" x14ac:dyDescent="0.25">
      <c r="A553" t="s">
        <v>781</v>
      </c>
      <c r="B553" t="s">
        <v>90</v>
      </c>
      <c r="C553">
        <v>3</v>
      </c>
      <c r="D553">
        <v>21.9</v>
      </c>
      <c r="E553">
        <v>65.7</v>
      </c>
      <c r="F553" s="58">
        <v>45681</v>
      </c>
      <c r="G553" s="58">
        <v>45682</v>
      </c>
      <c r="H553" t="s">
        <v>231</v>
      </c>
      <c r="I553" t="s">
        <v>59</v>
      </c>
      <c r="J553">
        <v>4</v>
      </c>
      <c r="K553" t="s">
        <v>103</v>
      </c>
      <c r="L553" t="s">
        <v>117</v>
      </c>
      <c r="M553">
        <f>orders[[#This Row],[Ship Date]]-orders[[#This Row],[Order Date]]</f>
        <v>1</v>
      </c>
      <c r="N553">
        <f>WEEKNUM(orders[[#This Row],[Order Date]],1)</f>
        <v>4</v>
      </c>
      <c r="O553" t="str">
        <f t="array" ref="O553">_xlfn.IFS(orders[[#This Row],[Customer Gender]]="M","Male", orders[[#This Row],[Customer Gender]]="F","Female", orders[[#This Row],[Customer Gender]]="O","Other", TRUE(),"Unknown")</f>
        <v>Female</v>
      </c>
    </row>
    <row r="554" spans="1:15" x14ac:dyDescent="0.25">
      <c r="A554" t="s">
        <v>782</v>
      </c>
      <c r="B554" t="s">
        <v>80</v>
      </c>
      <c r="C554">
        <v>7</v>
      </c>
      <c r="D554">
        <v>64.900000000000006</v>
      </c>
      <c r="E554">
        <v>454.3</v>
      </c>
      <c r="F554" s="58">
        <v>45681</v>
      </c>
      <c r="G554" s="58">
        <v>45682</v>
      </c>
      <c r="H554" t="s">
        <v>231</v>
      </c>
      <c r="I554" t="s">
        <v>59</v>
      </c>
      <c r="J554">
        <v>4</v>
      </c>
      <c r="K554" t="s">
        <v>103</v>
      </c>
      <c r="L554" t="s">
        <v>124</v>
      </c>
      <c r="M554">
        <f>orders[[#This Row],[Ship Date]]-orders[[#This Row],[Order Date]]</f>
        <v>1</v>
      </c>
      <c r="N554">
        <f>WEEKNUM(orders[[#This Row],[Order Date]],1)</f>
        <v>4</v>
      </c>
      <c r="O554" t="str">
        <f t="array" ref="O554">_xlfn.IFS(orders[[#This Row],[Customer Gender]]="M","Male", orders[[#This Row],[Customer Gender]]="F","Female", orders[[#This Row],[Customer Gender]]="O","Other", TRUE(),"Unknown")</f>
        <v>Female</v>
      </c>
    </row>
    <row r="555" spans="1:15" x14ac:dyDescent="0.25">
      <c r="A555" t="s">
        <v>783</v>
      </c>
      <c r="B555" t="s">
        <v>76</v>
      </c>
      <c r="C555">
        <v>1</v>
      </c>
      <c r="D555">
        <v>52.9</v>
      </c>
      <c r="E555">
        <v>52.9</v>
      </c>
      <c r="F555" s="58">
        <v>45681</v>
      </c>
      <c r="G555" s="58">
        <v>45681</v>
      </c>
      <c r="H555" t="s">
        <v>231</v>
      </c>
      <c r="I555" t="s">
        <v>63</v>
      </c>
      <c r="J555">
        <v>3</v>
      </c>
      <c r="K555" t="s">
        <v>103</v>
      </c>
      <c r="L555" t="s">
        <v>124</v>
      </c>
      <c r="M555">
        <f>orders[[#This Row],[Ship Date]]-orders[[#This Row],[Order Date]]</f>
        <v>0</v>
      </c>
      <c r="N555">
        <f>WEEKNUM(orders[[#This Row],[Order Date]],1)</f>
        <v>4</v>
      </c>
      <c r="O555" t="str">
        <f t="array" ref="O555">_xlfn.IFS(orders[[#This Row],[Customer Gender]]="M","Male", orders[[#This Row],[Customer Gender]]="F","Female", orders[[#This Row],[Customer Gender]]="O","Other", TRUE(),"Unknown")</f>
        <v>Female</v>
      </c>
    </row>
    <row r="556" spans="1:15" x14ac:dyDescent="0.25">
      <c r="A556" t="s">
        <v>784</v>
      </c>
      <c r="B556" t="s">
        <v>90</v>
      </c>
      <c r="C556">
        <v>3</v>
      </c>
      <c r="D556">
        <v>25.5</v>
      </c>
      <c r="E556">
        <v>76.5</v>
      </c>
      <c r="F556" s="58">
        <v>45681</v>
      </c>
      <c r="G556" s="58">
        <v>45682</v>
      </c>
      <c r="H556" t="s">
        <v>231</v>
      </c>
      <c r="I556" t="s">
        <v>63</v>
      </c>
      <c r="J556">
        <v>5</v>
      </c>
      <c r="K556" t="s">
        <v>103</v>
      </c>
      <c r="L556" t="s">
        <v>124</v>
      </c>
      <c r="M556">
        <f>orders[[#This Row],[Ship Date]]-orders[[#This Row],[Order Date]]</f>
        <v>1</v>
      </c>
      <c r="N556">
        <f>WEEKNUM(orders[[#This Row],[Order Date]],1)</f>
        <v>4</v>
      </c>
      <c r="O556" t="str">
        <f t="array" ref="O556">_xlfn.IFS(orders[[#This Row],[Customer Gender]]="M","Male", orders[[#This Row],[Customer Gender]]="F","Female", orders[[#This Row],[Customer Gender]]="O","Other", TRUE(),"Unknown")</f>
        <v>Female</v>
      </c>
    </row>
    <row r="557" spans="1:15" x14ac:dyDescent="0.25">
      <c r="A557" t="s">
        <v>785</v>
      </c>
      <c r="B557" t="s">
        <v>80</v>
      </c>
      <c r="C557">
        <v>3</v>
      </c>
      <c r="D557">
        <v>51.9</v>
      </c>
      <c r="E557">
        <v>155.69999999999999</v>
      </c>
      <c r="F557" s="58">
        <v>45681</v>
      </c>
      <c r="G557" s="58">
        <v>45682</v>
      </c>
      <c r="H557" t="s">
        <v>231</v>
      </c>
      <c r="I557" t="s">
        <v>60</v>
      </c>
      <c r="J557">
        <v>4</v>
      </c>
      <c r="K557" t="s">
        <v>103</v>
      </c>
      <c r="L557" t="s">
        <v>124</v>
      </c>
      <c r="M557">
        <f>orders[[#This Row],[Ship Date]]-orders[[#This Row],[Order Date]]</f>
        <v>1</v>
      </c>
      <c r="N557">
        <f>WEEKNUM(orders[[#This Row],[Order Date]],1)</f>
        <v>4</v>
      </c>
      <c r="O557" t="str">
        <f t="array" ref="O557">_xlfn.IFS(orders[[#This Row],[Customer Gender]]="M","Male", orders[[#This Row],[Customer Gender]]="F","Female", orders[[#This Row],[Customer Gender]]="O","Other", TRUE(),"Unknown")</f>
        <v>Female</v>
      </c>
    </row>
    <row r="558" spans="1:15" x14ac:dyDescent="0.25">
      <c r="A558" t="s">
        <v>786</v>
      </c>
      <c r="B558" t="s">
        <v>85</v>
      </c>
      <c r="C558">
        <v>1</v>
      </c>
      <c r="D558">
        <v>46.3</v>
      </c>
      <c r="E558">
        <v>46.3</v>
      </c>
      <c r="F558" s="58">
        <v>45681</v>
      </c>
      <c r="G558" s="58">
        <v>45684</v>
      </c>
      <c r="H558" t="s">
        <v>231</v>
      </c>
      <c r="I558" t="s">
        <v>61</v>
      </c>
      <c r="J558">
        <v>4</v>
      </c>
      <c r="K558" t="s">
        <v>103</v>
      </c>
      <c r="L558" t="s">
        <v>124</v>
      </c>
      <c r="M558">
        <f>orders[[#This Row],[Ship Date]]-orders[[#This Row],[Order Date]]</f>
        <v>3</v>
      </c>
      <c r="N558">
        <f>WEEKNUM(orders[[#This Row],[Order Date]],1)</f>
        <v>4</v>
      </c>
      <c r="O558" t="str">
        <f t="array" ref="O558">_xlfn.IFS(orders[[#This Row],[Customer Gender]]="M","Male", orders[[#This Row],[Customer Gender]]="F","Female", orders[[#This Row],[Customer Gender]]="O","Other", TRUE(),"Unknown")</f>
        <v>Female</v>
      </c>
    </row>
    <row r="559" spans="1:15" x14ac:dyDescent="0.25">
      <c r="A559" t="s">
        <v>787</v>
      </c>
      <c r="B559" t="s">
        <v>80</v>
      </c>
      <c r="C559">
        <v>2</v>
      </c>
      <c r="D559">
        <v>68.2</v>
      </c>
      <c r="E559">
        <v>136.4</v>
      </c>
      <c r="F559" s="58">
        <v>45681</v>
      </c>
      <c r="G559" s="58">
        <v>45683</v>
      </c>
      <c r="H559" t="s">
        <v>231</v>
      </c>
      <c r="I559" t="s">
        <v>60</v>
      </c>
      <c r="J559">
        <v>4</v>
      </c>
      <c r="K559" t="s">
        <v>103</v>
      </c>
      <c r="L559" t="s">
        <v>124</v>
      </c>
      <c r="M559">
        <f>orders[[#This Row],[Ship Date]]-orders[[#This Row],[Order Date]]</f>
        <v>2</v>
      </c>
      <c r="N559">
        <f>WEEKNUM(orders[[#This Row],[Order Date]],1)</f>
        <v>4</v>
      </c>
      <c r="O559" t="str">
        <f t="array" ref="O559">_xlfn.IFS(orders[[#This Row],[Customer Gender]]="M","Male", orders[[#This Row],[Customer Gender]]="F","Female", orders[[#This Row],[Customer Gender]]="O","Other", TRUE(),"Unknown")</f>
        <v>Female</v>
      </c>
    </row>
    <row r="560" spans="1:15" x14ac:dyDescent="0.25">
      <c r="A560" t="s">
        <v>788</v>
      </c>
      <c r="B560" t="s">
        <v>91</v>
      </c>
      <c r="C560">
        <v>1</v>
      </c>
      <c r="D560">
        <v>40.299999999999997</v>
      </c>
      <c r="E560">
        <v>40.299999999999997</v>
      </c>
      <c r="F560" s="58">
        <v>45681</v>
      </c>
      <c r="G560" s="58">
        <v>45682</v>
      </c>
      <c r="H560" t="s">
        <v>229</v>
      </c>
      <c r="I560" t="s">
        <v>59</v>
      </c>
      <c r="J560">
        <v>3</v>
      </c>
      <c r="K560" t="s">
        <v>103</v>
      </c>
      <c r="L560" t="s">
        <v>124</v>
      </c>
      <c r="M560">
        <f>orders[[#This Row],[Ship Date]]-orders[[#This Row],[Order Date]]</f>
        <v>1</v>
      </c>
      <c r="N560">
        <f>WEEKNUM(orders[[#This Row],[Order Date]],1)</f>
        <v>4</v>
      </c>
      <c r="O560" t="str">
        <f t="array" ref="O560">_xlfn.IFS(orders[[#This Row],[Customer Gender]]="M","Male", orders[[#This Row],[Customer Gender]]="F","Female", orders[[#This Row],[Customer Gender]]="O","Other", TRUE(),"Unknown")</f>
        <v>Male</v>
      </c>
    </row>
    <row r="561" spans="1:15" x14ac:dyDescent="0.25">
      <c r="A561" t="s">
        <v>789</v>
      </c>
      <c r="B561" t="s">
        <v>87</v>
      </c>
      <c r="C561">
        <v>3</v>
      </c>
      <c r="D561">
        <v>91.3</v>
      </c>
      <c r="E561">
        <v>273.89999999999998</v>
      </c>
      <c r="F561" s="58">
        <v>45681</v>
      </c>
      <c r="G561" s="58">
        <v>45686</v>
      </c>
      <c r="H561" t="s">
        <v>229</v>
      </c>
      <c r="I561" t="s">
        <v>59</v>
      </c>
      <c r="J561">
        <v>5</v>
      </c>
      <c r="K561" t="s">
        <v>103</v>
      </c>
      <c r="L561" t="s">
        <v>139</v>
      </c>
      <c r="M561">
        <f>orders[[#This Row],[Ship Date]]-orders[[#This Row],[Order Date]]</f>
        <v>5</v>
      </c>
      <c r="N561">
        <f>WEEKNUM(orders[[#This Row],[Order Date]],1)</f>
        <v>4</v>
      </c>
      <c r="O561" t="str">
        <f t="array" ref="O561">_xlfn.IFS(orders[[#This Row],[Customer Gender]]="M","Male", orders[[#This Row],[Customer Gender]]="F","Female", orders[[#This Row],[Customer Gender]]="O","Other", TRUE(),"Unknown")</f>
        <v>Male</v>
      </c>
    </row>
    <row r="562" spans="1:15" x14ac:dyDescent="0.25">
      <c r="A562" t="s">
        <v>790</v>
      </c>
      <c r="B562" t="s">
        <v>86</v>
      </c>
      <c r="C562">
        <v>3</v>
      </c>
      <c r="D562">
        <v>11.9</v>
      </c>
      <c r="E562">
        <v>35.700000000000003</v>
      </c>
      <c r="F562" s="58">
        <v>45681</v>
      </c>
      <c r="G562" s="58">
        <v>45682</v>
      </c>
      <c r="H562" t="s">
        <v>231</v>
      </c>
      <c r="I562" t="s">
        <v>59</v>
      </c>
      <c r="J562">
        <v>3</v>
      </c>
      <c r="K562" t="s">
        <v>103</v>
      </c>
      <c r="L562" t="s">
        <v>139</v>
      </c>
      <c r="M562">
        <f>orders[[#This Row],[Ship Date]]-orders[[#This Row],[Order Date]]</f>
        <v>1</v>
      </c>
      <c r="N562">
        <f>WEEKNUM(orders[[#This Row],[Order Date]],1)</f>
        <v>4</v>
      </c>
      <c r="O562" t="str">
        <f t="array" ref="O562">_xlfn.IFS(orders[[#This Row],[Customer Gender]]="M","Male", orders[[#This Row],[Customer Gender]]="F","Female", orders[[#This Row],[Customer Gender]]="O","Other", TRUE(),"Unknown")</f>
        <v>Female</v>
      </c>
    </row>
    <row r="563" spans="1:15" x14ac:dyDescent="0.25">
      <c r="A563" t="s">
        <v>791</v>
      </c>
      <c r="B563" t="s">
        <v>87</v>
      </c>
      <c r="C563">
        <v>2</v>
      </c>
      <c r="D563">
        <v>63.5</v>
      </c>
      <c r="E563">
        <v>127</v>
      </c>
      <c r="F563" s="58">
        <v>45681</v>
      </c>
      <c r="G563" s="58">
        <v>45683</v>
      </c>
      <c r="H563" t="s">
        <v>229</v>
      </c>
      <c r="I563" t="s">
        <v>63</v>
      </c>
      <c r="J563">
        <v>4</v>
      </c>
      <c r="K563" t="s">
        <v>103</v>
      </c>
      <c r="L563" t="s">
        <v>139</v>
      </c>
      <c r="M563">
        <f>orders[[#This Row],[Ship Date]]-orders[[#This Row],[Order Date]]</f>
        <v>2</v>
      </c>
      <c r="N563">
        <f>WEEKNUM(orders[[#This Row],[Order Date]],1)</f>
        <v>4</v>
      </c>
      <c r="O563" t="str">
        <f t="array" ref="O563">_xlfn.IFS(orders[[#This Row],[Customer Gender]]="M","Male", orders[[#This Row],[Customer Gender]]="F","Female", orders[[#This Row],[Customer Gender]]="O","Other", TRUE(),"Unknown")</f>
        <v>Male</v>
      </c>
    </row>
    <row r="564" spans="1:15" x14ac:dyDescent="0.25">
      <c r="A564" t="s">
        <v>792</v>
      </c>
      <c r="B564" t="s">
        <v>78</v>
      </c>
      <c r="C564">
        <v>2</v>
      </c>
      <c r="D564">
        <v>27.1</v>
      </c>
      <c r="E564">
        <v>54.2</v>
      </c>
      <c r="F564" s="58">
        <v>45681</v>
      </c>
      <c r="G564" s="58">
        <v>45684</v>
      </c>
      <c r="H564" t="s">
        <v>229</v>
      </c>
      <c r="I564" t="s">
        <v>62</v>
      </c>
      <c r="J564">
        <v>5</v>
      </c>
      <c r="K564" t="s">
        <v>103</v>
      </c>
      <c r="L564" t="s">
        <v>139</v>
      </c>
      <c r="M564">
        <f>orders[[#This Row],[Ship Date]]-orders[[#This Row],[Order Date]]</f>
        <v>3</v>
      </c>
      <c r="N564">
        <f>WEEKNUM(orders[[#This Row],[Order Date]],1)</f>
        <v>4</v>
      </c>
      <c r="O564" t="str">
        <f t="array" ref="O564">_xlfn.IFS(orders[[#This Row],[Customer Gender]]="M","Male", orders[[#This Row],[Customer Gender]]="F","Female", orders[[#This Row],[Customer Gender]]="O","Other", TRUE(),"Unknown")</f>
        <v>Male</v>
      </c>
    </row>
    <row r="565" spans="1:15" x14ac:dyDescent="0.25">
      <c r="A565" t="s">
        <v>793</v>
      </c>
      <c r="B565" t="s">
        <v>91</v>
      </c>
      <c r="C565">
        <v>2</v>
      </c>
      <c r="D565">
        <v>82.1</v>
      </c>
      <c r="E565">
        <v>164.2</v>
      </c>
      <c r="F565" s="58">
        <v>45682</v>
      </c>
      <c r="G565" s="58">
        <v>45685</v>
      </c>
      <c r="H565" t="s">
        <v>229</v>
      </c>
      <c r="I565" t="s">
        <v>63</v>
      </c>
      <c r="J565">
        <v>3</v>
      </c>
      <c r="K565" t="s">
        <v>103</v>
      </c>
      <c r="L565" t="s">
        <v>141</v>
      </c>
      <c r="M565">
        <f>orders[[#This Row],[Ship Date]]-orders[[#This Row],[Order Date]]</f>
        <v>3</v>
      </c>
      <c r="N565">
        <f>WEEKNUM(orders[[#This Row],[Order Date]],1)</f>
        <v>4</v>
      </c>
      <c r="O565" t="str">
        <f t="array" ref="O565">_xlfn.IFS(orders[[#This Row],[Customer Gender]]="M","Male", orders[[#This Row],[Customer Gender]]="F","Female", orders[[#This Row],[Customer Gender]]="O","Other", TRUE(),"Unknown")</f>
        <v>Male</v>
      </c>
    </row>
    <row r="566" spans="1:15" x14ac:dyDescent="0.25">
      <c r="A566" t="s">
        <v>794</v>
      </c>
      <c r="B566" t="s">
        <v>93</v>
      </c>
      <c r="C566">
        <v>5</v>
      </c>
      <c r="D566">
        <v>42.9</v>
      </c>
      <c r="E566">
        <v>214.5</v>
      </c>
      <c r="F566" s="58">
        <v>45682</v>
      </c>
      <c r="G566" s="58">
        <v>45684</v>
      </c>
      <c r="H566" t="s">
        <v>231</v>
      </c>
      <c r="I566" t="s">
        <v>63</v>
      </c>
      <c r="J566">
        <v>4</v>
      </c>
      <c r="K566" t="s">
        <v>103</v>
      </c>
      <c r="L566" t="s">
        <v>142</v>
      </c>
      <c r="M566">
        <f>orders[[#This Row],[Ship Date]]-orders[[#This Row],[Order Date]]</f>
        <v>2</v>
      </c>
      <c r="N566">
        <f>WEEKNUM(orders[[#This Row],[Order Date]],1)</f>
        <v>4</v>
      </c>
      <c r="O566" t="str">
        <f t="array" ref="O566">_xlfn.IFS(orders[[#This Row],[Customer Gender]]="M","Male", orders[[#This Row],[Customer Gender]]="F","Female", orders[[#This Row],[Customer Gender]]="O","Other", TRUE(),"Unknown")</f>
        <v>Female</v>
      </c>
    </row>
    <row r="567" spans="1:15" x14ac:dyDescent="0.25">
      <c r="A567" t="s">
        <v>795</v>
      </c>
      <c r="B567" t="s">
        <v>90</v>
      </c>
      <c r="C567">
        <v>11</v>
      </c>
      <c r="D567">
        <v>37.9</v>
      </c>
      <c r="E567">
        <v>416.9</v>
      </c>
      <c r="F567" s="58">
        <v>45682</v>
      </c>
      <c r="G567" s="58">
        <v>45689</v>
      </c>
      <c r="H567" t="s">
        <v>229</v>
      </c>
      <c r="I567" t="s">
        <v>59</v>
      </c>
      <c r="J567">
        <v>4</v>
      </c>
      <c r="K567" t="s">
        <v>103</v>
      </c>
      <c r="L567" t="s">
        <v>142</v>
      </c>
      <c r="M567">
        <f>orders[[#This Row],[Ship Date]]-orders[[#This Row],[Order Date]]</f>
        <v>7</v>
      </c>
      <c r="N567">
        <f>WEEKNUM(orders[[#This Row],[Order Date]],1)</f>
        <v>4</v>
      </c>
      <c r="O567" t="str">
        <f t="array" ref="O567">_xlfn.IFS(orders[[#This Row],[Customer Gender]]="M","Male", orders[[#This Row],[Customer Gender]]="F","Female", orders[[#This Row],[Customer Gender]]="O","Other", TRUE(),"Unknown")</f>
        <v>Male</v>
      </c>
    </row>
    <row r="568" spans="1:15" x14ac:dyDescent="0.25">
      <c r="A568" t="s">
        <v>796</v>
      </c>
      <c r="B568" t="s">
        <v>86</v>
      </c>
      <c r="C568">
        <v>1</v>
      </c>
      <c r="D568">
        <v>22.4</v>
      </c>
      <c r="E568">
        <v>22.4</v>
      </c>
      <c r="F568" s="58">
        <v>45682</v>
      </c>
      <c r="G568" s="58">
        <v>45683</v>
      </c>
      <c r="H568" t="s">
        <v>231</v>
      </c>
      <c r="I568" t="s">
        <v>59</v>
      </c>
      <c r="J568">
        <v>3</v>
      </c>
      <c r="K568" t="s">
        <v>103</v>
      </c>
      <c r="L568" t="s">
        <v>143</v>
      </c>
      <c r="M568">
        <f>orders[[#This Row],[Ship Date]]-orders[[#This Row],[Order Date]]</f>
        <v>1</v>
      </c>
      <c r="N568">
        <f>WEEKNUM(orders[[#This Row],[Order Date]],1)</f>
        <v>4</v>
      </c>
      <c r="O568" t="str">
        <f t="array" ref="O568">_xlfn.IFS(orders[[#This Row],[Customer Gender]]="M","Male", orders[[#This Row],[Customer Gender]]="F","Female", orders[[#This Row],[Customer Gender]]="O","Other", TRUE(),"Unknown")</f>
        <v>Female</v>
      </c>
    </row>
    <row r="569" spans="1:15" x14ac:dyDescent="0.25">
      <c r="A569" t="s">
        <v>797</v>
      </c>
      <c r="B569" t="s">
        <v>87</v>
      </c>
      <c r="C569">
        <v>13</v>
      </c>
      <c r="D569">
        <v>79.900000000000006</v>
      </c>
      <c r="E569">
        <v>1038.7</v>
      </c>
      <c r="F569" s="58">
        <v>45682</v>
      </c>
      <c r="G569" s="58">
        <v>45695</v>
      </c>
      <c r="H569" t="s">
        <v>231</v>
      </c>
      <c r="I569" t="s">
        <v>60</v>
      </c>
      <c r="J569">
        <v>3</v>
      </c>
      <c r="K569" t="s">
        <v>103</v>
      </c>
      <c r="L569" t="s">
        <v>148</v>
      </c>
      <c r="M569">
        <f>orders[[#This Row],[Ship Date]]-orders[[#This Row],[Order Date]]</f>
        <v>13</v>
      </c>
      <c r="N569">
        <f>WEEKNUM(orders[[#This Row],[Order Date]],1)</f>
        <v>4</v>
      </c>
      <c r="O569" t="str">
        <f t="array" ref="O569">_xlfn.IFS(orders[[#This Row],[Customer Gender]]="M","Male", orders[[#This Row],[Customer Gender]]="F","Female", orders[[#This Row],[Customer Gender]]="O","Other", TRUE(),"Unknown")</f>
        <v>Female</v>
      </c>
    </row>
    <row r="570" spans="1:15" x14ac:dyDescent="0.25">
      <c r="A570" t="s">
        <v>798</v>
      </c>
      <c r="B570" t="s">
        <v>91</v>
      </c>
      <c r="C570">
        <v>1</v>
      </c>
      <c r="D570">
        <v>70.599999999999994</v>
      </c>
      <c r="E570">
        <v>70.599999999999994</v>
      </c>
      <c r="F570" s="58">
        <v>45682</v>
      </c>
      <c r="G570" s="58">
        <v>45685</v>
      </c>
      <c r="H570" t="s">
        <v>231</v>
      </c>
      <c r="I570" t="s">
        <v>59</v>
      </c>
      <c r="J570">
        <v>3</v>
      </c>
      <c r="K570" t="s">
        <v>103</v>
      </c>
      <c r="L570" t="s">
        <v>148</v>
      </c>
      <c r="M570">
        <f>orders[[#This Row],[Ship Date]]-orders[[#This Row],[Order Date]]</f>
        <v>3</v>
      </c>
      <c r="N570">
        <f>WEEKNUM(orders[[#This Row],[Order Date]],1)</f>
        <v>4</v>
      </c>
      <c r="O570" t="str">
        <f t="array" ref="O570">_xlfn.IFS(orders[[#This Row],[Customer Gender]]="M","Male", orders[[#This Row],[Customer Gender]]="F","Female", orders[[#This Row],[Customer Gender]]="O","Other", TRUE(),"Unknown")</f>
        <v>Female</v>
      </c>
    </row>
    <row r="571" spans="1:15" x14ac:dyDescent="0.25">
      <c r="A571" t="s">
        <v>799</v>
      </c>
      <c r="B571" t="s">
        <v>80</v>
      </c>
      <c r="C571">
        <v>1</v>
      </c>
      <c r="D571">
        <v>49.5</v>
      </c>
      <c r="E571">
        <v>49.5</v>
      </c>
      <c r="F571" s="58">
        <v>45682</v>
      </c>
      <c r="G571" s="58">
        <v>45684</v>
      </c>
      <c r="H571" t="s">
        <v>229</v>
      </c>
      <c r="I571" t="s">
        <v>59</v>
      </c>
      <c r="J571">
        <v>4</v>
      </c>
      <c r="K571" t="s">
        <v>103</v>
      </c>
      <c r="L571" t="s">
        <v>161</v>
      </c>
      <c r="M571">
        <f>orders[[#This Row],[Ship Date]]-orders[[#This Row],[Order Date]]</f>
        <v>2</v>
      </c>
      <c r="N571">
        <f>WEEKNUM(orders[[#This Row],[Order Date]],1)</f>
        <v>4</v>
      </c>
      <c r="O571" t="str">
        <f t="array" ref="O571">_xlfn.IFS(orders[[#This Row],[Customer Gender]]="M","Male", orders[[#This Row],[Customer Gender]]="F","Female", orders[[#This Row],[Customer Gender]]="O","Other", TRUE(),"Unknown")</f>
        <v>Male</v>
      </c>
    </row>
    <row r="572" spans="1:15" x14ac:dyDescent="0.25">
      <c r="A572" t="s">
        <v>800</v>
      </c>
      <c r="B572" t="s">
        <v>87</v>
      </c>
      <c r="C572">
        <v>2</v>
      </c>
      <c r="D572">
        <v>96.6</v>
      </c>
      <c r="E572">
        <v>193.2</v>
      </c>
      <c r="F572" s="58">
        <v>45682</v>
      </c>
      <c r="G572" s="58">
        <v>45684</v>
      </c>
      <c r="H572" t="s">
        <v>229</v>
      </c>
      <c r="I572" t="s">
        <v>59</v>
      </c>
      <c r="J572">
        <v>4</v>
      </c>
      <c r="K572" t="s">
        <v>103</v>
      </c>
      <c r="L572" t="s">
        <v>106</v>
      </c>
      <c r="M572">
        <f>orders[[#This Row],[Ship Date]]-orders[[#This Row],[Order Date]]</f>
        <v>2</v>
      </c>
      <c r="N572">
        <f>WEEKNUM(orders[[#This Row],[Order Date]],1)</f>
        <v>4</v>
      </c>
      <c r="O572" t="str">
        <f t="array" ref="O572">_xlfn.IFS(orders[[#This Row],[Customer Gender]]="M","Male", orders[[#This Row],[Customer Gender]]="F","Female", orders[[#This Row],[Customer Gender]]="O","Other", TRUE(),"Unknown")</f>
        <v>Male</v>
      </c>
    </row>
    <row r="573" spans="1:15" x14ac:dyDescent="0.25">
      <c r="A573" t="s">
        <v>801</v>
      </c>
      <c r="B573" t="s">
        <v>80</v>
      </c>
      <c r="C573">
        <v>2</v>
      </c>
      <c r="D573">
        <v>52.8</v>
      </c>
      <c r="E573">
        <v>105.6</v>
      </c>
      <c r="F573" s="58">
        <v>45682</v>
      </c>
      <c r="G573" s="58">
        <v>45683</v>
      </c>
      <c r="H573" t="s">
        <v>231</v>
      </c>
      <c r="I573" t="s">
        <v>63</v>
      </c>
      <c r="J573">
        <v>3</v>
      </c>
      <c r="K573" t="s">
        <v>103</v>
      </c>
      <c r="L573" t="s">
        <v>106</v>
      </c>
      <c r="M573">
        <f>orders[[#This Row],[Ship Date]]-orders[[#This Row],[Order Date]]</f>
        <v>1</v>
      </c>
      <c r="N573">
        <f>WEEKNUM(orders[[#This Row],[Order Date]],1)</f>
        <v>4</v>
      </c>
      <c r="O573" t="str">
        <f t="array" ref="O573">_xlfn.IFS(orders[[#This Row],[Customer Gender]]="M","Male", orders[[#This Row],[Customer Gender]]="F","Female", orders[[#This Row],[Customer Gender]]="O","Other", TRUE(),"Unknown")</f>
        <v>Female</v>
      </c>
    </row>
    <row r="574" spans="1:15" x14ac:dyDescent="0.25">
      <c r="A574" t="s">
        <v>802</v>
      </c>
      <c r="B574" t="s">
        <v>87</v>
      </c>
      <c r="C574">
        <v>1</v>
      </c>
      <c r="D574">
        <v>101.7</v>
      </c>
      <c r="E574">
        <v>101.7</v>
      </c>
      <c r="F574" s="58">
        <v>45682</v>
      </c>
      <c r="G574" s="58">
        <v>45683</v>
      </c>
      <c r="H574" t="s">
        <v>229</v>
      </c>
      <c r="I574" t="s">
        <v>59</v>
      </c>
      <c r="J574">
        <v>4</v>
      </c>
      <c r="K574" t="s">
        <v>103</v>
      </c>
      <c r="L574" t="s">
        <v>112</v>
      </c>
      <c r="M574">
        <f>orders[[#This Row],[Ship Date]]-orders[[#This Row],[Order Date]]</f>
        <v>1</v>
      </c>
      <c r="N574">
        <f>WEEKNUM(orders[[#This Row],[Order Date]],1)</f>
        <v>4</v>
      </c>
      <c r="O574" t="str">
        <f t="array" ref="O574">_xlfn.IFS(orders[[#This Row],[Customer Gender]]="M","Male", orders[[#This Row],[Customer Gender]]="F","Female", orders[[#This Row],[Customer Gender]]="O","Other", TRUE(),"Unknown")</f>
        <v>Male</v>
      </c>
    </row>
    <row r="575" spans="1:15" x14ac:dyDescent="0.25">
      <c r="A575" t="s">
        <v>803</v>
      </c>
      <c r="B575" t="s">
        <v>78</v>
      </c>
      <c r="C575">
        <v>5</v>
      </c>
      <c r="D575">
        <v>26.9</v>
      </c>
      <c r="E575">
        <v>134.5</v>
      </c>
      <c r="F575" s="58">
        <v>45682</v>
      </c>
      <c r="G575" s="58">
        <v>45687</v>
      </c>
      <c r="H575" t="s">
        <v>231</v>
      </c>
      <c r="I575" t="s">
        <v>63</v>
      </c>
      <c r="J575">
        <v>3</v>
      </c>
      <c r="K575" t="s">
        <v>103</v>
      </c>
      <c r="L575" t="s">
        <v>120</v>
      </c>
      <c r="M575">
        <f>orders[[#This Row],[Ship Date]]-orders[[#This Row],[Order Date]]</f>
        <v>5</v>
      </c>
      <c r="N575">
        <f>WEEKNUM(orders[[#This Row],[Order Date]],1)</f>
        <v>4</v>
      </c>
      <c r="O575" t="str">
        <f t="array" ref="O575">_xlfn.IFS(orders[[#This Row],[Customer Gender]]="M","Male", orders[[#This Row],[Customer Gender]]="F","Female", orders[[#This Row],[Customer Gender]]="O","Other", TRUE(),"Unknown")</f>
        <v>Female</v>
      </c>
    </row>
    <row r="576" spans="1:15" x14ac:dyDescent="0.25">
      <c r="A576" t="s">
        <v>804</v>
      </c>
      <c r="B576" t="s">
        <v>87</v>
      </c>
      <c r="C576">
        <v>4</v>
      </c>
      <c r="D576">
        <v>211</v>
      </c>
      <c r="E576">
        <v>844</v>
      </c>
      <c r="F576" s="58">
        <v>45682</v>
      </c>
      <c r="G576" s="58">
        <v>45682</v>
      </c>
      <c r="H576" t="s">
        <v>231</v>
      </c>
      <c r="I576" t="s">
        <v>63</v>
      </c>
      <c r="J576">
        <v>3</v>
      </c>
      <c r="K576" t="s">
        <v>103</v>
      </c>
      <c r="L576" t="s">
        <v>124</v>
      </c>
      <c r="M576">
        <f>orders[[#This Row],[Ship Date]]-orders[[#This Row],[Order Date]]</f>
        <v>0</v>
      </c>
      <c r="N576">
        <f>WEEKNUM(orders[[#This Row],[Order Date]],1)</f>
        <v>4</v>
      </c>
      <c r="O576" t="str">
        <f t="array" ref="O576">_xlfn.IFS(orders[[#This Row],[Customer Gender]]="M","Male", orders[[#This Row],[Customer Gender]]="F","Female", orders[[#This Row],[Customer Gender]]="O","Other", TRUE(),"Unknown")</f>
        <v>Female</v>
      </c>
    </row>
    <row r="577" spans="1:15" x14ac:dyDescent="0.25">
      <c r="A577" t="s">
        <v>805</v>
      </c>
      <c r="B577" t="s">
        <v>86</v>
      </c>
      <c r="C577">
        <v>4</v>
      </c>
      <c r="D577">
        <v>21.1</v>
      </c>
      <c r="E577">
        <v>84.4</v>
      </c>
      <c r="F577" s="58">
        <v>45682</v>
      </c>
      <c r="G577" s="58">
        <v>45685</v>
      </c>
      <c r="H577" t="s">
        <v>229</v>
      </c>
      <c r="I577" t="s">
        <v>61</v>
      </c>
      <c r="J577">
        <v>4</v>
      </c>
      <c r="K577" t="s">
        <v>103</v>
      </c>
      <c r="L577" t="s">
        <v>124</v>
      </c>
      <c r="M577">
        <f>orders[[#This Row],[Ship Date]]-orders[[#This Row],[Order Date]]</f>
        <v>3</v>
      </c>
      <c r="N577">
        <f>WEEKNUM(orders[[#This Row],[Order Date]],1)</f>
        <v>4</v>
      </c>
      <c r="O577" t="str">
        <f t="array" ref="O577">_xlfn.IFS(orders[[#This Row],[Customer Gender]]="M","Male", orders[[#This Row],[Customer Gender]]="F","Female", orders[[#This Row],[Customer Gender]]="O","Other", TRUE(),"Unknown")</f>
        <v>Male</v>
      </c>
    </row>
    <row r="578" spans="1:15" x14ac:dyDescent="0.25">
      <c r="A578" t="s">
        <v>806</v>
      </c>
      <c r="B578" t="s">
        <v>75</v>
      </c>
      <c r="C578">
        <v>1</v>
      </c>
      <c r="D578">
        <v>26.6</v>
      </c>
      <c r="E578">
        <v>26.6</v>
      </c>
      <c r="F578" s="58">
        <v>45682</v>
      </c>
      <c r="G578" s="58">
        <v>45684</v>
      </c>
      <c r="H578" t="s">
        <v>229</v>
      </c>
      <c r="I578" t="s">
        <v>59</v>
      </c>
      <c r="J578">
        <v>2</v>
      </c>
      <c r="K578" t="s">
        <v>103</v>
      </c>
      <c r="L578" t="s">
        <v>124</v>
      </c>
      <c r="M578">
        <f>orders[[#This Row],[Ship Date]]-orders[[#This Row],[Order Date]]</f>
        <v>2</v>
      </c>
      <c r="N578">
        <f>WEEKNUM(orders[[#This Row],[Order Date]],1)</f>
        <v>4</v>
      </c>
      <c r="O578" t="str">
        <f t="array" ref="O578">_xlfn.IFS(orders[[#This Row],[Customer Gender]]="M","Male", orders[[#This Row],[Customer Gender]]="F","Female", orders[[#This Row],[Customer Gender]]="O","Other", TRUE(),"Unknown")</f>
        <v>Male</v>
      </c>
    </row>
    <row r="579" spans="1:15" x14ac:dyDescent="0.25">
      <c r="A579" t="s">
        <v>807</v>
      </c>
      <c r="B579" t="s">
        <v>76</v>
      </c>
      <c r="C579">
        <v>4</v>
      </c>
      <c r="D579">
        <v>51.2</v>
      </c>
      <c r="E579">
        <v>204.8</v>
      </c>
      <c r="F579" s="58">
        <v>45682</v>
      </c>
      <c r="G579" s="58">
        <v>45683</v>
      </c>
      <c r="H579" t="s">
        <v>231</v>
      </c>
      <c r="I579" t="s">
        <v>60</v>
      </c>
      <c r="J579">
        <v>4</v>
      </c>
      <c r="K579" t="s">
        <v>103</v>
      </c>
      <c r="L579" t="s">
        <v>131</v>
      </c>
      <c r="M579">
        <f>orders[[#This Row],[Ship Date]]-orders[[#This Row],[Order Date]]</f>
        <v>1</v>
      </c>
      <c r="N579">
        <f>WEEKNUM(orders[[#This Row],[Order Date]],1)</f>
        <v>4</v>
      </c>
      <c r="O579" t="str">
        <f t="array" ref="O579">_xlfn.IFS(orders[[#This Row],[Customer Gender]]="M","Male", orders[[#This Row],[Customer Gender]]="F","Female", orders[[#This Row],[Customer Gender]]="O","Other", TRUE(),"Unknown")</f>
        <v>Female</v>
      </c>
    </row>
    <row r="580" spans="1:15" x14ac:dyDescent="0.25">
      <c r="A580" t="s">
        <v>808</v>
      </c>
      <c r="B580" t="s">
        <v>86</v>
      </c>
      <c r="C580">
        <v>5</v>
      </c>
      <c r="D580">
        <v>10.6</v>
      </c>
      <c r="E580">
        <v>53</v>
      </c>
      <c r="F580" s="58">
        <v>45682</v>
      </c>
      <c r="G580" s="58">
        <v>45686</v>
      </c>
      <c r="H580" t="s">
        <v>231</v>
      </c>
      <c r="I580" t="s">
        <v>59</v>
      </c>
      <c r="J580">
        <v>4</v>
      </c>
      <c r="K580" t="s">
        <v>103</v>
      </c>
      <c r="L580" t="s">
        <v>142</v>
      </c>
      <c r="M580">
        <f>orders[[#This Row],[Ship Date]]-orders[[#This Row],[Order Date]]</f>
        <v>4</v>
      </c>
      <c r="N580">
        <f>WEEKNUM(orders[[#This Row],[Order Date]],1)</f>
        <v>4</v>
      </c>
      <c r="O580" t="str">
        <f t="array" ref="O580">_xlfn.IFS(orders[[#This Row],[Customer Gender]]="M","Male", orders[[#This Row],[Customer Gender]]="F","Female", orders[[#This Row],[Customer Gender]]="O","Other", TRUE(),"Unknown")</f>
        <v>Female</v>
      </c>
    </row>
    <row r="581" spans="1:15" x14ac:dyDescent="0.25">
      <c r="A581" t="s">
        <v>809</v>
      </c>
      <c r="B581" t="s">
        <v>80</v>
      </c>
      <c r="C581">
        <v>3</v>
      </c>
      <c r="D581">
        <v>43.4</v>
      </c>
      <c r="E581">
        <v>130.19999999999999</v>
      </c>
      <c r="F581" s="58">
        <v>45682</v>
      </c>
      <c r="G581" s="58">
        <v>45685</v>
      </c>
      <c r="H581" t="s">
        <v>231</v>
      </c>
      <c r="I581" t="s">
        <v>61</v>
      </c>
      <c r="J581">
        <v>4</v>
      </c>
      <c r="K581" t="s">
        <v>103</v>
      </c>
      <c r="L581" t="s">
        <v>142</v>
      </c>
      <c r="M581">
        <f>orders[[#This Row],[Ship Date]]-orders[[#This Row],[Order Date]]</f>
        <v>3</v>
      </c>
      <c r="N581">
        <f>WEEKNUM(orders[[#This Row],[Order Date]],1)</f>
        <v>4</v>
      </c>
      <c r="O581" t="str">
        <f t="array" ref="O581">_xlfn.IFS(orders[[#This Row],[Customer Gender]]="M","Male", orders[[#This Row],[Customer Gender]]="F","Female", orders[[#This Row],[Customer Gender]]="O","Other", TRUE(),"Unknown")</f>
        <v>Female</v>
      </c>
    </row>
    <row r="582" spans="1:15" x14ac:dyDescent="0.25">
      <c r="A582" t="s">
        <v>810</v>
      </c>
      <c r="B582" t="s">
        <v>76</v>
      </c>
      <c r="C582">
        <v>1</v>
      </c>
      <c r="D582">
        <v>80</v>
      </c>
      <c r="E582">
        <v>80</v>
      </c>
      <c r="F582" s="58">
        <v>45682</v>
      </c>
      <c r="G582" s="58">
        <v>45682</v>
      </c>
      <c r="H582" t="s">
        <v>231</v>
      </c>
      <c r="I582" t="s">
        <v>59</v>
      </c>
      <c r="J582">
        <v>5</v>
      </c>
      <c r="K582" t="s">
        <v>103</v>
      </c>
      <c r="L582" t="s">
        <v>142</v>
      </c>
      <c r="M582">
        <f>orders[[#This Row],[Ship Date]]-orders[[#This Row],[Order Date]]</f>
        <v>0</v>
      </c>
      <c r="N582">
        <f>WEEKNUM(orders[[#This Row],[Order Date]],1)</f>
        <v>4</v>
      </c>
      <c r="O582" t="str">
        <f t="array" ref="O582">_xlfn.IFS(orders[[#This Row],[Customer Gender]]="M","Male", orders[[#This Row],[Customer Gender]]="F","Female", orders[[#This Row],[Customer Gender]]="O","Other", TRUE(),"Unknown")</f>
        <v>Female</v>
      </c>
    </row>
    <row r="583" spans="1:15" x14ac:dyDescent="0.25">
      <c r="A583" t="s">
        <v>811</v>
      </c>
      <c r="B583" t="s">
        <v>75</v>
      </c>
      <c r="C583">
        <v>4</v>
      </c>
      <c r="D583">
        <v>64.7</v>
      </c>
      <c r="E583">
        <v>258.8</v>
      </c>
      <c r="F583" s="58">
        <v>45682</v>
      </c>
      <c r="G583" s="58">
        <v>45684</v>
      </c>
      <c r="H583" t="s">
        <v>231</v>
      </c>
      <c r="I583" t="s">
        <v>63</v>
      </c>
      <c r="J583">
        <v>2</v>
      </c>
      <c r="K583" t="s">
        <v>103</v>
      </c>
      <c r="L583" t="s">
        <v>142</v>
      </c>
      <c r="M583">
        <f>orders[[#This Row],[Ship Date]]-orders[[#This Row],[Order Date]]</f>
        <v>2</v>
      </c>
      <c r="N583">
        <f>WEEKNUM(orders[[#This Row],[Order Date]],1)</f>
        <v>4</v>
      </c>
      <c r="O583" t="str">
        <f t="array" ref="O583">_xlfn.IFS(orders[[#This Row],[Customer Gender]]="M","Male", orders[[#This Row],[Customer Gender]]="F","Female", orders[[#This Row],[Customer Gender]]="O","Other", TRUE(),"Unknown")</f>
        <v>Female</v>
      </c>
    </row>
    <row r="584" spans="1:15" x14ac:dyDescent="0.25">
      <c r="A584" t="s">
        <v>812</v>
      </c>
      <c r="B584" t="s">
        <v>90</v>
      </c>
      <c r="C584">
        <v>11</v>
      </c>
      <c r="D584">
        <v>26.3</v>
      </c>
      <c r="E584">
        <v>289.3</v>
      </c>
      <c r="F584" s="58">
        <v>45683</v>
      </c>
      <c r="G584" s="58">
        <v>45683</v>
      </c>
      <c r="H584" t="s">
        <v>231</v>
      </c>
      <c r="I584" t="s">
        <v>61</v>
      </c>
      <c r="J584">
        <v>3</v>
      </c>
      <c r="K584" t="s">
        <v>103</v>
      </c>
      <c r="L584" t="s">
        <v>144</v>
      </c>
      <c r="M584">
        <f>orders[[#This Row],[Ship Date]]-orders[[#This Row],[Order Date]]</f>
        <v>0</v>
      </c>
      <c r="N584">
        <f>WEEKNUM(orders[[#This Row],[Order Date]],1)</f>
        <v>5</v>
      </c>
      <c r="O584" t="str">
        <f t="array" ref="O584">_xlfn.IFS(orders[[#This Row],[Customer Gender]]="M","Male", orders[[#This Row],[Customer Gender]]="F","Female", orders[[#This Row],[Customer Gender]]="O","Other", TRUE(),"Unknown")</f>
        <v>Female</v>
      </c>
    </row>
    <row r="585" spans="1:15" x14ac:dyDescent="0.25">
      <c r="A585" t="s">
        <v>813</v>
      </c>
      <c r="B585" t="s">
        <v>75</v>
      </c>
      <c r="C585">
        <v>1</v>
      </c>
      <c r="D585">
        <v>28.5</v>
      </c>
      <c r="E585">
        <v>28.5</v>
      </c>
      <c r="F585" s="58">
        <v>45683</v>
      </c>
      <c r="G585" s="58">
        <v>45683</v>
      </c>
      <c r="H585" t="s">
        <v>229</v>
      </c>
      <c r="I585" t="s">
        <v>59</v>
      </c>
      <c r="J585">
        <v>3</v>
      </c>
      <c r="K585" t="s">
        <v>103</v>
      </c>
      <c r="L585" t="s">
        <v>146</v>
      </c>
      <c r="M585">
        <f>orders[[#This Row],[Ship Date]]-orders[[#This Row],[Order Date]]</f>
        <v>0</v>
      </c>
      <c r="N585">
        <f>WEEKNUM(orders[[#This Row],[Order Date]],1)</f>
        <v>5</v>
      </c>
      <c r="O585" t="str">
        <f t="array" ref="O585">_xlfn.IFS(orders[[#This Row],[Customer Gender]]="M","Male", orders[[#This Row],[Customer Gender]]="F","Female", orders[[#This Row],[Customer Gender]]="O","Other", TRUE(),"Unknown")</f>
        <v>Male</v>
      </c>
    </row>
    <row r="586" spans="1:15" x14ac:dyDescent="0.25">
      <c r="A586" t="s">
        <v>814</v>
      </c>
      <c r="B586" t="s">
        <v>84</v>
      </c>
      <c r="C586">
        <v>1</v>
      </c>
      <c r="D586">
        <v>47.8</v>
      </c>
      <c r="E586">
        <v>47.8</v>
      </c>
      <c r="F586" s="58">
        <v>45683</v>
      </c>
      <c r="G586" s="58">
        <v>45685</v>
      </c>
      <c r="H586" t="s">
        <v>231</v>
      </c>
      <c r="I586" t="s">
        <v>59</v>
      </c>
      <c r="J586">
        <v>3</v>
      </c>
      <c r="K586" t="s">
        <v>103</v>
      </c>
      <c r="L586" t="s">
        <v>146</v>
      </c>
      <c r="M586">
        <f>orders[[#This Row],[Ship Date]]-orders[[#This Row],[Order Date]]</f>
        <v>2</v>
      </c>
      <c r="N586">
        <f>WEEKNUM(orders[[#This Row],[Order Date]],1)</f>
        <v>5</v>
      </c>
      <c r="O586" t="str">
        <f t="array" ref="O586">_xlfn.IFS(orders[[#This Row],[Customer Gender]]="M","Male", orders[[#This Row],[Customer Gender]]="F","Female", orders[[#This Row],[Customer Gender]]="O","Other", TRUE(),"Unknown")</f>
        <v>Female</v>
      </c>
    </row>
    <row r="587" spans="1:15" x14ac:dyDescent="0.25">
      <c r="A587" t="s">
        <v>815</v>
      </c>
      <c r="B587" t="s">
        <v>75</v>
      </c>
      <c r="C587">
        <v>3</v>
      </c>
      <c r="D587">
        <v>42.8</v>
      </c>
      <c r="E587">
        <v>128.4</v>
      </c>
      <c r="F587" s="58">
        <v>45683</v>
      </c>
      <c r="G587" s="58">
        <v>45686</v>
      </c>
      <c r="H587" t="s">
        <v>231</v>
      </c>
      <c r="I587" t="s">
        <v>61</v>
      </c>
      <c r="J587">
        <v>3</v>
      </c>
      <c r="K587" t="s">
        <v>103</v>
      </c>
      <c r="L587" t="s">
        <v>148</v>
      </c>
      <c r="M587">
        <f>orders[[#This Row],[Ship Date]]-orders[[#This Row],[Order Date]]</f>
        <v>3</v>
      </c>
      <c r="N587">
        <f>WEEKNUM(orders[[#This Row],[Order Date]],1)</f>
        <v>5</v>
      </c>
      <c r="O587" t="str">
        <f t="array" ref="O587">_xlfn.IFS(orders[[#This Row],[Customer Gender]]="M","Male", orders[[#This Row],[Customer Gender]]="F","Female", orders[[#This Row],[Customer Gender]]="O","Other", TRUE(),"Unknown")</f>
        <v>Female</v>
      </c>
    </row>
    <row r="588" spans="1:15" x14ac:dyDescent="0.25">
      <c r="A588" t="s">
        <v>816</v>
      </c>
      <c r="B588" t="s">
        <v>80</v>
      </c>
      <c r="C588">
        <v>5</v>
      </c>
      <c r="D588">
        <v>46.8</v>
      </c>
      <c r="E588">
        <v>234</v>
      </c>
      <c r="F588" s="58">
        <v>45683</v>
      </c>
      <c r="G588" s="58">
        <v>45688</v>
      </c>
      <c r="H588" t="s">
        <v>231</v>
      </c>
      <c r="I588" t="s">
        <v>63</v>
      </c>
      <c r="J588">
        <v>5</v>
      </c>
      <c r="K588" t="s">
        <v>103</v>
      </c>
      <c r="L588" t="s">
        <v>148</v>
      </c>
      <c r="M588">
        <f>orders[[#This Row],[Ship Date]]-orders[[#This Row],[Order Date]]</f>
        <v>5</v>
      </c>
      <c r="N588">
        <f>WEEKNUM(orders[[#This Row],[Order Date]],1)</f>
        <v>5</v>
      </c>
      <c r="O588" t="str">
        <f t="array" ref="O588">_xlfn.IFS(orders[[#This Row],[Customer Gender]]="M","Male", orders[[#This Row],[Customer Gender]]="F","Female", orders[[#This Row],[Customer Gender]]="O","Other", TRUE(),"Unknown")</f>
        <v>Female</v>
      </c>
    </row>
    <row r="589" spans="1:15" x14ac:dyDescent="0.25">
      <c r="A589" t="s">
        <v>817</v>
      </c>
      <c r="B589" t="s">
        <v>91</v>
      </c>
      <c r="C589">
        <v>10</v>
      </c>
      <c r="D589">
        <v>64.099999999999994</v>
      </c>
      <c r="E589">
        <v>641</v>
      </c>
      <c r="F589" s="58">
        <v>45683</v>
      </c>
      <c r="G589" s="58">
        <v>45684</v>
      </c>
      <c r="H589" t="s">
        <v>229</v>
      </c>
      <c r="I589" t="s">
        <v>63</v>
      </c>
      <c r="J589">
        <v>4</v>
      </c>
      <c r="K589" t="s">
        <v>103</v>
      </c>
      <c r="L589" t="s">
        <v>148</v>
      </c>
      <c r="M589">
        <f>orders[[#This Row],[Ship Date]]-orders[[#This Row],[Order Date]]</f>
        <v>1</v>
      </c>
      <c r="N589">
        <f>WEEKNUM(orders[[#This Row],[Order Date]],1)</f>
        <v>5</v>
      </c>
      <c r="O589" t="str">
        <f t="array" ref="O589">_xlfn.IFS(orders[[#This Row],[Customer Gender]]="M","Male", orders[[#This Row],[Customer Gender]]="F","Female", orders[[#This Row],[Customer Gender]]="O","Other", TRUE(),"Unknown")</f>
        <v>Male</v>
      </c>
    </row>
    <row r="590" spans="1:15" x14ac:dyDescent="0.25">
      <c r="A590" t="s">
        <v>818</v>
      </c>
      <c r="B590" t="s">
        <v>87</v>
      </c>
      <c r="C590">
        <v>1</v>
      </c>
      <c r="D590">
        <v>89.1</v>
      </c>
      <c r="E590">
        <v>89.1</v>
      </c>
      <c r="F590" s="58">
        <v>45683</v>
      </c>
      <c r="G590" s="58">
        <v>45684</v>
      </c>
      <c r="H590" t="s">
        <v>231</v>
      </c>
      <c r="I590" t="s">
        <v>59</v>
      </c>
      <c r="J590">
        <v>3</v>
      </c>
      <c r="K590" t="s">
        <v>103</v>
      </c>
      <c r="L590" t="s">
        <v>159</v>
      </c>
      <c r="M590">
        <f>orders[[#This Row],[Ship Date]]-orders[[#This Row],[Order Date]]</f>
        <v>1</v>
      </c>
      <c r="N590">
        <f>WEEKNUM(orders[[#This Row],[Order Date]],1)</f>
        <v>5</v>
      </c>
      <c r="O590" t="str">
        <f t="array" ref="O590">_xlfn.IFS(orders[[#This Row],[Customer Gender]]="M","Male", orders[[#This Row],[Customer Gender]]="F","Female", orders[[#This Row],[Customer Gender]]="O","Other", TRUE(),"Unknown")</f>
        <v>Female</v>
      </c>
    </row>
    <row r="591" spans="1:15" x14ac:dyDescent="0.25">
      <c r="A591" t="s">
        <v>819</v>
      </c>
      <c r="B591" t="s">
        <v>87</v>
      </c>
      <c r="C591">
        <v>3</v>
      </c>
      <c r="D591">
        <v>83.1</v>
      </c>
      <c r="E591">
        <v>249.3</v>
      </c>
      <c r="F591" s="58">
        <v>45683</v>
      </c>
      <c r="G591" s="58">
        <v>45684</v>
      </c>
      <c r="H591" t="s">
        <v>231</v>
      </c>
      <c r="I591" t="s">
        <v>62</v>
      </c>
      <c r="J591">
        <v>3</v>
      </c>
      <c r="K591" t="s">
        <v>103</v>
      </c>
      <c r="L591" t="s">
        <v>161</v>
      </c>
      <c r="M591">
        <f>orders[[#This Row],[Ship Date]]-orders[[#This Row],[Order Date]]</f>
        <v>1</v>
      </c>
      <c r="N591">
        <f>WEEKNUM(orders[[#This Row],[Order Date]],1)</f>
        <v>5</v>
      </c>
      <c r="O591" t="str">
        <f t="array" ref="O591">_xlfn.IFS(orders[[#This Row],[Customer Gender]]="M","Male", orders[[#This Row],[Customer Gender]]="F","Female", orders[[#This Row],[Customer Gender]]="O","Other", TRUE(),"Unknown")</f>
        <v>Female</v>
      </c>
    </row>
    <row r="592" spans="1:15" x14ac:dyDescent="0.25">
      <c r="A592" t="s">
        <v>820</v>
      </c>
      <c r="B592" t="s">
        <v>90</v>
      </c>
      <c r="C592">
        <v>3</v>
      </c>
      <c r="D592">
        <v>40.9</v>
      </c>
      <c r="E592">
        <v>122.7</v>
      </c>
      <c r="F592" s="58">
        <v>45683</v>
      </c>
      <c r="G592" s="58">
        <v>45684</v>
      </c>
      <c r="H592" t="s">
        <v>229</v>
      </c>
      <c r="I592" t="s">
        <v>59</v>
      </c>
      <c r="J592">
        <v>4</v>
      </c>
      <c r="K592" t="s">
        <v>103</v>
      </c>
      <c r="L592" t="s">
        <v>112</v>
      </c>
      <c r="M592">
        <f>orders[[#This Row],[Ship Date]]-orders[[#This Row],[Order Date]]</f>
        <v>1</v>
      </c>
      <c r="N592">
        <f>WEEKNUM(orders[[#This Row],[Order Date]],1)</f>
        <v>5</v>
      </c>
      <c r="O592" t="str">
        <f t="array" ref="O592">_xlfn.IFS(orders[[#This Row],[Customer Gender]]="M","Male", orders[[#This Row],[Customer Gender]]="F","Female", orders[[#This Row],[Customer Gender]]="O","Other", TRUE(),"Unknown")</f>
        <v>Male</v>
      </c>
    </row>
    <row r="593" spans="1:15" x14ac:dyDescent="0.25">
      <c r="A593" t="s">
        <v>821</v>
      </c>
      <c r="B593" t="s">
        <v>87</v>
      </c>
      <c r="C593">
        <v>2</v>
      </c>
      <c r="D593">
        <v>125.7</v>
      </c>
      <c r="E593">
        <v>251.4</v>
      </c>
      <c r="F593" s="58">
        <v>45683</v>
      </c>
      <c r="G593" s="58">
        <v>45684</v>
      </c>
      <c r="H593" t="s">
        <v>231</v>
      </c>
      <c r="I593" t="s">
        <v>60</v>
      </c>
      <c r="J593">
        <v>4</v>
      </c>
      <c r="K593" t="s">
        <v>103</v>
      </c>
      <c r="L593" t="s">
        <v>115</v>
      </c>
      <c r="M593">
        <f>orders[[#This Row],[Ship Date]]-orders[[#This Row],[Order Date]]</f>
        <v>1</v>
      </c>
      <c r="N593">
        <f>WEEKNUM(orders[[#This Row],[Order Date]],1)</f>
        <v>5</v>
      </c>
      <c r="O593" t="str">
        <f t="array" ref="O593">_xlfn.IFS(orders[[#This Row],[Customer Gender]]="M","Male", orders[[#This Row],[Customer Gender]]="F","Female", orders[[#This Row],[Customer Gender]]="O","Other", TRUE(),"Unknown")</f>
        <v>Female</v>
      </c>
    </row>
    <row r="594" spans="1:15" x14ac:dyDescent="0.25">
      <c r="A594" t="s">
        <v>822</v>
      </c>
      <c r="B594" t="s">
        <v>93</v>
      </c>
      <c r="C594">
        <v>2</v>
      </c>
      <c r="D594">
        <v>30.9</v>
      </c>
      <c r="E594">
        <v>61.8</v>
      </c>
      <c r="F594" s="58">
        <v>45683</v>
      </c>
      <c r="G594" s="58">
        <v>45683</v>
      </c>
      <c r="H594" t="s">
        <v>231</v>
      </c>
      <c r="I594" t="s">
        <v>62</v>
      </c>
      <c r="J594">
        <v>5</v>
      </c>
      <c r="K594" t="s">
        <v>103</v>
      </c>
      <c r="L594" t="s">
        <v>120</v>
      </c>
      <c r="M594">
        <f>orders[[#This Row],[Ship Date]]-orders[[#This Row],[Order Date]]</f>
        <v>0</v>
      </c>
      <c r="N594">
        <f>WEEKNUM(orders[[#This Row],[Order Date]],1)</f>
        <v>5</v>
      </c>
      <c r="O594" t="str">
        <f t="array" ref="O594">_xlfn.IFS(orders[[#This Row],[Customer Gender]]="M","Male", orders[[#This Row],[Customer Gender]]="F","Female", orders[[#This Row],[Customer Gender]]="O","Other", TRUE(),"Unknown")</f>
        <v>Female</v>
      </c>
    </row>
    <row r="595" spans="1:15" x14ac:dyDescent="0.25">
      <c r="A595" t="s">
        <v>823</v>
      </c>
      <c r="B595" t="s">
        <v>90</v>
      </c>
      <c r="C595">
        <v>2</v>
      </c>
      <c r="D595">
        <v>18.3</v>
      </c>
      <c r="E595">
        <v>36.6</v>
      </c>
      <c r="F595" s="58">
        <v>45683</v>
      </c>
      <c r="G595" s="58">
        <v>45684</v>
      </c>
      <c r="H595" t="s">
        <v>231</v>
      </c>
      <c r="I595" t="s">
        <v>63</v>
      </c>
      <c r="J595">
        <v>4</v>
      </c>
      <c r="K595" t="s">
        <v>103</v>
      </c>
      <c r="L595" t="s">
        <v>124</v>
      </c>
      <c r="M595">
        <f>orders[[#This Row],[Ship Date]]-orders[[#This Row],[Order Date]]</f>
        <v>1</v>
      </c>
      <c r="N595">
        <f>WEEKNUM(orders[[#This Row],[Order Date]],1)</f>
        <v>5</v>
      </c>
      <c r="O595" t="str">
        <f t="array" ref="O595">_xlfn.IFS(orders[[#This Row],[Customer Gender]]="M","Male", orders[[#This Row],[Customer Gender]]="F","Female", orders[[#This Row],[Customer Gender]]="O","Other", TRUE(),"Unknown")</f>
        <v>Female</v>
      </c>
    </row>
    <row r="596" spans="1:15" x14ac:dyDescent="0.25">
      <c r="A596" t="s">
        <v>824</v>
      </c>
      <c r="B596" t="s">
        <v>78</v>
      </c>
      <c r="C596">
        <v>2</v>
      </c>
      <c r="D596">
        <v>56.5</v>
      </c>
      <c r="E596">
        <v>113</v>
      </c>
      <c r="F596" s="58">
        <v>45683</v>
      </c>
      <c r="G596" s="58">
        <v>45687</v>
      </c>
      <c r="H596" t="s">
        <v>229</v>
      </c>
      <c r="I596" t="s">
        <v>62</v>
      </c>
      <c r="J596">
        <v>5</v>
      </c>
      <c r="K596" t="s">
        <v>103</v>
      </c>
      <c r="L596" t="s">
        <v>124</v>
      </c>
      <c r="M596">
        <f>orders[[#This Row],[Ship Date]]-orders[[#This Row],[Order Date]]</f>
        <v>4</v>
      </c>
      <c r="N596">
        <f>WEEKNUM(orders[[#This Row],[Order Date]],1)</f>
        <v>5</v>
      </c>
      <c r="O596" t="str">
        <f t="array" ref="O596">_xlfn.IFS(orders[[#This Row],[Customer Gender]]="M","Male", orders[[#This Row],[Customer Gender]]="F","Female", orders[[#This Row],[Customer Gender]]="O","Other", TRUE(),"Unknown")</f>
        <v>Male</v>
      </c>
    </row>
    <row r="597" spans="1:15" x14ac:dyDescent="0.25">
      <c r="A597" t="s">
        <v>825</v>
      </c>
      <c r="B597" t="s">
        <v>75</v>
      </c>
      <c r="C597">
        <v>7</v>
      </c>
      <c r="D597">
        <v>29.9</v>
      </c>
      <c r="E597">
        <v>209.3</v>
      </c>
      <c r="F597" s="58">
        <v>45683</v>
      </c>
      <c r="G597" s="58">
        <v>45685</v>
      </c>
      <c r="H597" t="s">
        <v>229</v>
      </c>
      <c r="I597" t="s">
        <v>61</v>
      </c>
      <c r="J597">
        <v>5</v>
      </c>
      <c r="K597" t="s">
        <v>103</v>
      </c>
      <c r="L597" t="s">
        <v>124</v>
      </c>
      <c r="M597">
        <f>orders[[#This Row],[Ship Date]]-orders[[#This Row],[Order Date]]</f>
        <v>2</v>
      </c>
      <c r="N597">
        <f>WEEKNUM(orders[[#This Row],[Order Date]],1)</f>
        <v>5</v>
      </c>
      <c r="O597" t="str">
        <f t="array" ref="O597">_xlfn.IFS(orders[[#This Row],[Customer Gender]]="M","Male", orders[[#This Row],[Customer Gender]]="F","Female", orders[[#This Row],[Customer Gender]]="O","Other", TRUE(),"Unknown")</f>
        <v>Male</v>
      </c>
    </row>
    <row r="598" spans="1:15" x14ac:dyDescent="0.25">
      <c r="A598" t="s">
        <v>826</v>
      </c>
      <c r="B598" t="s">
        <v>85</v>
      </c>
      <c r="C598">
        <v>2</v>
      </c>
      <c r="D598">
        <v>50.4</v>
      </c>
      <c r="E598">
        <v>100.8</v>
      </c>
      <c r="F598" s="58">
        <v>45683</v>
      </c>
      <c r="G598" s="58">
        <v>45684</v>
      </c>
      <c r="H598" t="s">
        <v>231</v>
      </c>
      <c r="I598" t="s">
        <v>62</v>
      </c>
      <c r="J598">
        <v>4</v>
      </c>
      <c r="K598" t="s">
        <v>103</v>
      </c>
      <c r="L598" t="s">
        <v>124</v>
      </c>
      <c r="M598">
        <f>orders[[#This Row],[Ship Date]]-orders[[#This Row],[Order Date]]</f>
        <v>1</v>
      </c>
      <c r="N598">
        <f>WEEKNUM(orders[[#This Row],[Order Date]],1)</f>
        <v>5</v>
      </c>
      <c r="O598" t="str">
        <f t="array" ref="O598">_xlfn.IFS(orders[[#This Row],[Customer Gender]]="M","Male", orders[[#This Row],[Customer Gender]]="F","Female", orders[[#This Row],[Customer Gender]]="O","Other", TRUE(),"Unknown")</f>
        <v>Female</v>
      </c>
    </row>
    <row r="599" spans="1:15" x14ac:dyDescent="0.25">
      <c r="A599" t="s">
        <v>827</v>
      </c>
      <c r="B599" t="s">
        <v>87</v>
      </c>
      <c r="C599">
        <v>1</v>
      </c>
      <c r="D599">
        <v>85.8</v>
      </c>
      <c r="E599">
        <v>85.8</v>
      </c>
      <c r="F599" s="58">
        <v>45683</v>
      </c>
      <c r="G599" s="58">
        <v>45683</v>
      </c>
      <c r="H599" t="s">
        <v>231</v>
      </c>
      <c r="I599" t="s">
        <v>62</v>
      </c>
      <c r="J599">
        <v>5</v>
      </c>
      <c r="K599" t="s">
        <v>103</v>
      </c>
      <c r="L599" t="s">
        <v>124</v>
      </c>
      <c r="M599">
        <f>orders[[#This Row],[Ship Date]]-orders[[#This Row],[Order Date]]</f>
        <v>0</v>
      </c>
      <c r="N599">
        <f>WEEKNUM(orders[[#This Row],[Order Date]],1)</f>
        <v>5</v>
      </c>
      <c r="O599" t="str">
        <f t="array" ref="O599">_xlfn.IFS(orders[[#This Row],[Customer Gender]]="M","Male", orders[[#This Row],[Customer Gender]]="F","Female", orders[[#This Row],[Customer Gender]]="O","Other", TRUE(),"Unknown")</f>
        <v>Female</v>
      </c>
    </row>
    <row r="600" spans="1:15" x14ac:dyDescent="0.25">
      <c r="A600" t="s">
        <v>828</v>
      </c>
      <c r="B600" t="s">
        <v>78</v>
      </c>
      <c r="C600">
        <v>16</v>
      </c>
      <c r="D600">
        <v>66.599999999999994</v>
      </c>
      <c r="E600">
        <v>1065.5999999999999</v>
      </c>
      <c r="F600" s="58">
        <v>45683</v>
      </c>
      <c r="G600" s="58">
        <v>45685</v>
      </c>
      <c r="H600" t="s">
        <v>229</v>
      </c>
      <c r="I600" t="s">
        <v>63</v>
      </c>
      <c r="J600">
        <v>4</v>
      </c>
      <c r="K600" t="s">
        <v>103</v>
      </c>
      <c r="L600" t="s">
        <v>124</v>
      </c>
      <c r="M600">
        <f>orders[[#This Row],[Ship Date]]-orders[[#This Row],[Order Date]]</f>
        <v>2</v>
      </c>
      <c r="N600">
        <f>WEEKNUM(orders[[#This Row],[Order Date]],1)</f>
        <v>5</v>
      </c>
      <c r="O600" t="str">
        <f t="array" ref="O600">_xlfn.IFS(orders[[#This Row],[Customer Gender]]="M","Male", orders[[#This Row],[Customer Gender]]="F","Female", orders[[#This Row],[Customer Gender]]="O","Other", TRUE(),"Unknown")</f>
        <v>Male</v>
      </c>
    </row>
    <row r="601" spans="1:15" x14ac:dyDescent="0.25">
      <c r="A601" t="s">
        <v>829</v>
      </c>
      <c r="B601" t="s">
        <v>80</v>
      </c>
      <c r="C601">
        <v>4</v>
      </c>
      <c r="D601">
        <v>70.3</v>
      </c>
      <c r="E601">
        <v>281.2</v>
      </c>
      <c r="F601" s="58">
        <v>45683</v>
      </c>
      <c r="G601" s="58">
        <v>45684</v>
      </c>
      <c r="H601" t="s">
        <v>231</v>
      </c>
      <c r="I601" t="s">
        <v>59</v>
      </c>
      <c r="J601">
        <v>3</v>
      </c>
      <c r="K601" t="s">
        <v>103</v>
      </c>
      <c r="L601" t="s">
        <v>124</v>
      </c>
      <c r="M601">
        <f>orders[[#This Row],[Ship Date]]-orders[[#This Row],[Order Date]]</f>
        <v>1</v>
      </c>
      <c r="N601">
        <f>WEEKNUM(orders[[#This Row],[Order Date]],1)</f>
        <v>5</v>
      </c>
      <c r="O601" t="str">
        <f t="array" ref="O601">_xlfn.IFS(orders[[#This Row],[Customer Gender]]="M","Male", orders[[#This Row],[Customer Gender]]="F","Female", orders[[#This Row],[Customer Gender]]="O","Other", TRUE(),"Unknown")</f>
        <v>Female</v>
      </c>
    </row>
    <row r="602" spans="1:15" x14ac:dyDescent="0.25">
      <c r="A602" t="s">
        <v>830</v>
      </c>
      <c r="B602" t="s">
        <v>90</v>
      </c>
      <c r="C602">
        <v>4</v>
      </c>
      <c r="D602">
        <v>31</v>
      </c>
      <c r="E602">
        <v>124</v>
      </c>
      <c r="F602" s="58">
        <v>45683</v>
      </c>
      <c r="G602" s="58">
        <v>45686</v>
      </c>
      <c r="H602" t="s">
        <v>229</v>
      </c>
      <c r="I602" t="s">
        <v>59</v>
      </c>
      <c r="J602">
        <v>5</v>
      </c>
      <c r="K602" t="s">
        <v>103</v>
      </c>
      <c r="L602" t="s">
        <v>124</v>
      </c>
      <c r="M602">
        <f>orders[[#This Row],[Ship Date]]-orders[[#This Row],[Order Date]]</f>
        <v>3</v>
      </c>
      <c r="N602">
        <f>WEEKNUM(orders[[#This Row],[Order Date]],1)</f>
        <v>5</v>
      </c>
      <c r="O602" t="str">
        <f t="array" ref="O602">_xlfn.IFS(orders[[#This Row],[Customer Gender]]="M","Male", orders[[#This Row],[Customer Gender]]="F","Female", orders[[#This Row],[Customer Gender]]="O","Other", TRUE(),"Unknown")</f>
        <v>Male</v>
      </c>
    </row>
    <row r="603" spans="1:15" x14ac:dyDescent="0.25">
      <c r="A603" t="s">
        <v>831</v>
      </c>
      <c r="B603" t="s">
        <v>79</v>
      </c>
      <c r="C603">
        <v>6</v>
      </c>
      <c r="D603">
        <v>81.599999999999994</v>
      </c>
      <c r="E603">
        <v>489.6</v>
      </c>
      <c r="F603" s="58">
        <v>45683</v>
      </c>
      <c r="G603" s="58">
        <v>45684</v>
      </c>
      <c r="H603" t="s">
        <v>231</v>
      </c>
      <c r="I603" t="s">
        <v>63</v>
      </c>
      <c r="J603">
        <v>3</v>
      </c>
      <c r="K603" t="s">
        <v>103</v>
      </c>
      <c r="L603" t="s">
        <v>125</v>
      </c>
      <c r="M603">
        <f>orders[[#This Row],[Ship Date]]-orders[[#This Row],[Order Date]]</f>
        <v>1</v>
      </c>
      <c r="N603">
        <f>WEEKNUM(orders[[#This Row],[Order Date]],1)</f>
        <v>5</v>
      </c>
      <c r="O603" t="str">
        <f t="array" ref="O603">_xlfn.IFS(orders[[#This Row],[Customer Gender]]="M","Male", orders[[#This Row],[Customer Gender]]="F","Female", orders[[#This Row],[Customer Gender]]="O","Other", TRUE(),"Unknown")</f>
        <v>Female</v>
      </c>
    </row>
    <row r="604" spans="1:15" x14ac:dyDescent="0.25">
      <c r="A604" t="s">
        <v>832</v>
      </c>
      <c r="B604" t="s">
        <v>91</v>
      </c>
      <c r="C604">
        <v>25</v>
      </c>
      <c r="D604">
        <v>58.3</v>
      </c>
      <c r="E604">
        <v>1457.5</v>
      </c>
      <c r="F604" s="58">
        <v>45683</v>
      </c>
      <c r="G604" s="58">
        <v>45684</v>
      </c>
      <c r="H604" t="s">
        <v>231</v>
      </c>
      <c r="I604" t="s">
        <v>59</v>
      </c>
      <c r="J604">
        <v>4</v>
      </c>
      <c r="K604" t="s">
        <v>103</v>
      </c>
      <c r="L604" t="s">
        <v>133</v>
      </c>
      <c r="M604">
        <f>orders[[#This Row],[Ship Date]]-orders[[#This Row],[Order Date]]</f>
        <v>1</v>
      </c>
      <c r="N604">
        <f>WEEKNUM(orders[[#This Row],[Order Date]],1)</f>
        <v>5</v>
      </c>
      <c r="O604" t="str">
        <f t="array" ref="O604">_xlfn.IFS(orders[[#This Row],[Customer Gender]]="M","Male", orders[[#This Row],[Customer Gender]]="F","Female", orders[[#This Row],[Customer Gender]]="O","Other", TRUE(),"Unknown")</f>
        <v>Female</v>
      </c>
    </row>
    <row r="605" spans="1:15" x14ac:dyDescent="0.25">
      <c r="A605" t="s">
        <v>833</v>
      </c>
      <c r="B605" t="s">
        <v>91</v>
      </c>
      <c r="C605">
        <v>4</v>
      </c>
      <c r="D605">
        <v>35.1</v>
      </c>
      <c r="E605">
        <v>140.4</v>
      </c>
      <c r="F605" s="58">
        <v>45683</v>
      </c>
      <c r="G605" s="58">
        <v>45685</v>
      </c>
      <c r="H605" t="s">
        <v>229</v>
      </c>
      <c r="I605" t="s">
        <v>59</v>
      </c>
      <c r="J605">
        <v>5</v>
      </c>
      <c r="K605" t="s">
        <v>103</v>
      </c>
      <c r="L605" t="s">
        <v>142</v>
      </c>
      <c r="M605">
        <f>orders[[#This Row],[Ship Date]]-orders[[#This Row],[Order Date]]</f>
        <v>2</v>
      </c>
      <c r="N605">
        <f>WEEKNUM(orders[[#This Row],[Order Date]],1)</f>
        <v>5</v>
      </c>
      <c r="O605" t="str">
        <f t="array" ref="O605">_xlfn.IFS(orders[[#This Row],[Customer Gender]]="M","Male", orders[[#This Row],[Customer Gender]]="F","Female", orders[[#This Row],[Customer Gender]]="O","Other", TRUE(),"Unknown")</f>
        <v>Male</v>
      </c>
    </row>
    <row r="606" spans="1:15" x14ac:dyDescent="0.25">
      <c r="A606" t="s">
        <v>834</v>
      </c>
      <c r="B606" t="s">
        <v>87</v>
      </c>
      <c r="C606">
        <v>1</v>
      </c>
      <c r="D606">
        <v>80.2</v>
      </c>
      <c r="E606">
        <v>80.2</v>
      </c>
      <c r="F606" s="58">
        <v>45683</v>
      </c>
      <c r="G606" s="58">
        <v>45684</v>
      </c>
      <c r="H606" t="s">
        <v>229</v>
      </c>
      <c r="I606" t="s">
        <v>60</v>
      </c>
      <c r="J606">
        <v>5</v>
      </c>
      <c r="K606" t="s">
        <v>103</v>
      </c>
      <c r="L606" t="s">
        <v>142</v>
      </c>
      <c r="M606">
        <f>orders[[#This Row],[Ship Date]]-orders[[#This Row],[Order Date]]</f>
        <v>1</v>
      </c>
      <c r="N606">
        <f>WEEKNUM(orders[[#This Row],[Order Date]],1)</f>
        <v>5</v>
      </c>
      <c r="O606" t="str">
        <f t="array" ref="O606">_xlfn.IFS(orders[[#This Row],[Customer Gender]]="M","Male", orders[[#This Row],[Customer Gender]]="F","Female", orders[[#This Row],[Customer Gender]]="O","Other", TRUE(),"Unknown")</f>
        <v>Male</v>
      </c>
    </row>
    <row r="607" spans="1:15" x14ac:dyDescent="0.25">
      <c r="A607" t="s">
        <v>835</v>
      </c>
      <c r="B607" t="s">
        <v>74</v>
      </c>
      <c r="C607">
        <v>3</v>
      </c>
      <c r="D607">
        <v>39.200000000000003</v>
      </c>
      <c r="E607">
        <v>117.6</v>
      </c>
      <c r="F607" s="58">
        <v>45683</v>
      </c>
      <c r="G607" s="58">
        <v>45685</v>
      </c>
      <c r="H607" t="s">
        <v>231</v>
      </c>
      <c r="I607" t="s">
        <v>63</v>
      </c>
      <c r="J607">
        <v>4</v>
      </c>
      <c r="K607" t="s">
        <v>103</v>
      </c>
      <c r="L607" t="s">
        <v>146</v>
      </c>
      <c r="M607">
        <f>orders[[#This Row],[Ship Date]]-orders[[#This Row],[Order Date]]</f>
        <v>2</v>
      </c>
      <c r="N607">
        <f>WEEKNUM(orders[[#This Row],[Order Date]],1)</f>
        <v>5</v>
      </c>
      <c r="O607" t="str">
        <f t="array" ref="O607">_xlfn.IFS(orders[[#This Row],[Customer Gender]]="M","Male", orders[[#This Row],[Customer Gender]]="F","Female", orders[[#This Row],[Customer Gender]]="O","Other", TRUE(),"Unknown")</f>
        <v>Female</v>
      </c>
    </row>
    <row r="608" spans="1:15" x14ac:dyDescent="0.25">
      <c r="A608" t="s">
        <v>836</v>
      </c>
      <c r="B608" t="s">
        <v>86</v>
      </c>
      <c r="C608">
        <v>2</v>
      </c>
      <c r="D608">
        <v>15.4</v>
      </c>
      <c r="E608">
        <v>30.8</v>
      </c>
      <c r="F608" s="58">
        <v>45683</v>
      </c>
      <c r="G608" s="58">
        <v>45683</v>
      </c>
      <c r="H608" t="s">
        <v>231</v>
      </c>
      <c r="I608" t="s">
        <v>60</v>
      </c>
      <c r="J608">
        <v>4</v>
      </c>
      <c r="K608" t="s">
        <v>103</v>
      </c>
      <c r="L608" t="s">
        <v>151</v>
      </c>
      <c r="M608">
        <f>orders[[#This Row],[Ship Date]]-orders[[#This Row],[Order Date]]</f>
        <v>0</v>
      </c>
      <c r="N608">
        <f>WEEKNUM(orders[[#This Row],[Order Date]],1)</f>
        <v>5</v>
      </c>
      <c r="O608" t="str">
        <f t="array" ref="O608">_xlfn.IFS(orders[[#This Row],[Customer Gender]]="M","Male", orders[[#This Row],[Customer Gender]]="F","Female", orders[[#This Row],[Customer Gender]]="O","Other", TRUE(),"Unknown")</f>
        <v>Female</v>
      </c>
    </row>
    <row r="609" spans="1:15" x14ac:dyDescent="0.25">
      <c r="A609" t="s">
        <v>837</v>
      </c>
      <c r="B609" t="s">
        <v>93</v>
      </c>
      <c r="C609">
        <v>3</v>
      </c>
      <c r="D609">
        <v>65.400000000000006</v>
      </c>
      <c r="E609">
        <v>196.2</v>
      </c>
      <c r="F609" s="58">
        <v>45683</v>
      </c>
      <c r="G609" s="58">
        <v>45686</v>
      </c>
      <c r="H609" t="s">
        <v>229</v>
      </c>
      <c r="I609" t="s">
        <v>60</v>
      </c>
      <c r="J609">
        <v>4</v>
      </c>
      <c r="K609" t="s">
        <v>103</v>
      </c>
      <c r="L609" t="s">
        <v>154</v>
      </c>
      <c r="M609">
        <f>orders[[#This Row],[Ship Date]]-orders[[#This Row],[Order Date]]</f>
        <v>3</v>
      </c>
      <c r="N609">
        <f>WEEKNUM(orders[[#This Row],[Order Date]],1)</f>
        <v>5</v>
      </c>
      <c r="O609" t="str">
        <f t="array" ref="O609">_xlfn.IFS(orders[[#This Row],[Customer Gender]]="M","Male", orders[[#This Row],[Customer Gender]]="F","Female", orders[[#This Row],[Customer Gender]]="O","Other", TRUE(),"Unknown")</f>
        <v>Male</v>
      </c>
    </row>
    <row r="610" spans="1:15" x14ac:dyDescent="0.25">
      <c r="A610" t="s">
        <v>838</v>
      </c>
      <c r="B610" t="s">
        <v>91</v>
      </c>
      <c r="C610">
        <v>8</v>
      </c>
      <c r="D610">
        <v>63.2</v>
      </c>
      <c r="E610">
        <v>505.6</v>
      </c>
      <c r="F610" s="58">
        <v>45683</v>
      </c>
      <c r="G610" s="58">
        <v>45685</v>
      </c>
      <c r="H610" t="s">
        <v>231</v>
      </c>
      <c r="I610" t="s">
        <v>63</v>
      </c>
      <c r="J610">
        <v>4</v>
      </c>
      <c r="K610" t="s">
        <v>103</v>
      </c>
      <c r="L610" t="s">
        <v>155</v>
      </c>
      <c r="M610">
        <f>orders[[#This Row],[Ship Date]]-orders[[#This Row],[Order Date]]</f>
        <v>2</v>
      </c>
      <c r="N610">
        <f>WEEKNUM(orders[[#This Row],[Order Date]],1)</f>
        <v>5</v>
      </c>
      <c r="O610" t="str">
        <f t="array" ref="O610">_xlfn.IFS(orders[[#This Row],[Customer Gender]]="M","Male", orders[[#This Row],[Customer Gender]]="F","Female", orders[[#This Row],[Customer Gender]]="O","Other", TRUE(),"Unknown")</f>
        <v>Female</v>
      </c>
    </row>
    <row r="611" spans="1:15" x14ac:dyDescent="0.25">
      <c r="A611" t="s">
        <v>839</v>
      </c>
      <c r="B611" t="s">
        <v>91</v>
      </c>
      <c r="C611">
        <v>6</v>
      </c>
      <c r="D611">
        <v>35.700000000000003</v>
      </c>
      <c r="E611">
        <v>214.2</v>
      </c>
      <c r="F611" s="58">
        <v>45683</v>
      </c>
      <c r="G611" s="58">
        <v>45687</v>
      </c>
      <c r="H611" t="s">
        <v>231</v>
      </c>
      <c r="I611" t="s">
        <v>61</v>
      </c>
      <c r="J611">
        <v>3</v>
      </c>
      <c r="K611" t="s">
        <v>103</v>
      </c>
      <c r="L611" t="s">
        <v>155</v>
      </c>
      <c r="M611">
        <f>orders[[#This Row],[Ship Date]]-orders[[#This Row],[Order Date]]</f>
        <v>4</v>
      </c>
      <c r="N611">
        <f>WEEKNUM(orders[[#This Row],[Order Date]],1)</f>
        <v>5</v>
      </c>
      <c r="O611" t="str">
        <f t="array" ref="O611">_xlfn.IFS(orders[[#This Row],[Customer Gender]]="M","Male", orders[[#This Row],[Customer Gender]]="F","Female", orders[[#This Row],[Customer Gender]]="O","Other", TRUE(),"Unknown")</f>
        <v>Female</v>
      </c>
    </row>
    <row r="612" spans="1:15" x14ac:dyDescent="0.25">
      <c r="A612" t="s">
        <v>840</v>
      </c>
      <c r="B612" t="s">
        <v>86</v>
      </c>
      <c r="C612">
        <v>20</v>
      </c>
      <c r="D612">
        <v>26.2</v>
      </c>
      <c r="E612">
        <v>524</v>
      </c>
      <c r="F612" s="58">
        <v>45683</v>
      </c>
      <c r="G612" s="58">
        <v>45684</v>
      </c>
      <c r="H612" t="s">
        <v>231</v>
      </c>
      <c r="I612" t="s">
        <v>60</v>
      </c>
      <c r="J612">
        <v>4</v>
      </c>
      <c r="K612" t="s">
        <v>103</v>
      </c>
      <c r="L612" t="s">
        <v>106</v>
      </c>
      <c r="M612">
        <f>orders[[#This Row],[Ship Date]]-orders[[#This Row],[Order Date]]</f>
        <v>1</v>
      </c>
      <c r="N612">
        <f>WEEKNUM(orders[[#This Row],[Order Date]],1)</f>
        <v>5</v>
      </c>
      <c r="O612" t="str">
        <f t="array" ref="O612">_xlfn.IFS(orders[[#This Row],[Customer Gender]]="M","Male", orders[[#This Row],[Customer Gender]]="F","Female", orders[[#This Row],[Customer Gender]]="O","Other", TRUE(),"Unknown")</f>
        <v>Female</v>
      </c>
    </row>
    <row r="613" spans="1:15" x14ac:dyDescent="0.25">
      <c r="A613" t="s">
        <v>841</v>
      </c>
      <c r="B613" t="s">
        <v>79</v>
      </c>
      <c r="C613">
        <v>2</v>
      </c>
      <c r="D613">
        <v>31</v>
      </c>
      <c r="E613">
        <v>62</v>
      </c>
      <c r="F613" s="58">
        <v>45683</v>
      </c>
      <c r="G613" s="58">
        <v>45684</v>
      </c>
      <c r="H613" t="s">
        <v>231</v>
      </c>
      <c r="I613" t="s">
        <v>59</v>
      </c>
      <c r="J613">
        <v>5</v>
      </c>
      <c r="K613" t="s">
        <v>103</v>
      </c>
      <c r="L613" t="s">
        <v>112</v>
      </c>
      <c r="M613">
        <f>orders[[#This Row],[Ship Date]]-orders[[#This Row],[Order Date]]</f>
        <v>1</v>
      </c>
      <c r="N613">
        <f>WEEKNUM(orders[[#This Row],[Order Date]],1)</f>
        <v>5</v>
      </c>
      <c r="O613" t="str">
        <f t="array" ref="O613">_xlfn.IFS(orders[[#This Row],[Customer Gender]]="M","Male", orders[[#This Row],[Customer Gender]]="F","Female", orders[[#This Row],[Customer Gender]]="O","Other", TRUE(),"Unknown")</f>
        <v>Female</v>
      </c>
    </row>
    <row r="614" spans="1:15" x14ac:dyDescent="0.25">
      <c r="A614" t="s">
        <v>842</v>
      </c>
      <c r="B614" t="s">
        <v>90</v>
      </c>
      <c r="C614">
        <v>4</v>
      </c>
      <c r="D614">
        <v>37.700000000000003</v>
      </c>
      <c r="E614">
        <v>150.80000000000001</v>
      </c>
      <c r="F614" s="58">
        <v>45683</v>
      </c>
      <c r="G614" s="58">
        <v>45684</v>
      </c>
      <c r="H614" t="s">
        <v>231</v>
      </c>
      <c r="I614" t="s">
        <v>63</v>
      </c>
      <c r="J614">
        <v>4</v>
      </c>
      <c r="K614" t="s">
        <v>103</v>
      </c>
      <c r="L614" t="s">
        <v>120</v>
      </c>
      <c r="M614">
        <f>orders[[#This Row],[Ship Date]]-orders[[#This Row],[Order Date]]</f>
        <v>1</v>
      </c>
      <c r="N614">
        <f>WEEKNUM(orders[[#This Row],[Order Date]],1)</f>
        <v>5</v>
      </c>
      <c r="O614" t="str">
        <f t="array" ref="O614">_xlfn.IFS(orders[[#This Row],[Customer Gender]]="M","Male", orders[[#This Row],[Customer Gender]]="F","Female", orders[[#This Row],[Customer Gender]]="O","Other", TRUE(),"Unknown")</f>
        <v>Female</v>
      </c>
    </row>
    <row r="615" spans="1:15" x14ac:dyDescent="0.25">
      <c r="A615" t="s">
        <v>843</v>
      </c>
      <c r="B615" t="s">
        <v>75</v>
      </c>
      <c r="C615">
        <v>34</v>
      </c>
      <c r="D615">
        <v>43.6</v>
      </c>
      <c r="E615">
        <v>1482.4</v>
      </c>
      <c r="F615" s="58">
        <v>45683</v>
      </c>
      <c r="G615" s="58">
        <v>45685</v>
      </c>
      <c r="H615" t="s">
        <v>231</v>
      </c>
      <c r="I615" t="s">
        <v>61</v>
      </c>
      <c r="J615">
        <v>3</v>
      </c>
      <c r="K615" t="s">
        <v>103</v>
      </c>
      <c r="L615" t="s">
        <v>124</v>
      </c>
      <c r="M615">
        <f>orders[[#This Row],[Ship Date]]-orders[[#This Row],[Order Date]]</f>
        <v>2</v>
      </c>
      <c r="N615">
        <f>WEEKNUM(orders[[#This Row],[Order Date]],1)</f>
        <v>5</v>
      </c>
      <c r="O615" t="str">
        <f t="array" ref="O615">_xlfn.IFS(orders[[#This Row],[Customer Gender]]="M","Male", orders[[#This Row],[Customer Gender]]="F","Female", orders[[#This Row],[Customer Gender]]="O","Other", TRUE(),"Unknown")</f>
        <v>Female</v>
      </c>
    </row>
    <row r="616" spans="1:15" x14ac:dyDescent="0.25">
      <c r="A616" t="s">
        <v>844</v>
      </c>
      <c r="B616" t="s">
        <v>88</v>
      </c>
      <c r="C616">
        <v>4</v>
      </c>
      <c r="D616">
        <v>26.5</v>
      </c>
      <c r="E616">
        <v>106</v>
      </c>
      <c r="F616" s="58">
        <v>45683</v>
      </c>
      <c r="G616" s="58">
        <v>45685</v>
      </c>
      <c r="H616" t="s">
        <v>229</v>
      </c>
      <c r="I616" t="s">
        <v>59</v>
      </c>
      <c r="J616">
        <v>2</v>
      </c>
      <c r="K616" t="s">
        <v>103</v>
      </c>
      <c r="L616" t="s">
        <v>124</v>
      </c>
      <c r="M616">
        <f>orders[[#This Row],[Ship Date]]-orders[[#This Row],[Order Date]]</f>
        <v>2</v>
      </c>
      <c r="N616">
        <f>WEEKNUM(orders[[#This Row],[Order Date]],1)</f>
        <v>5</v>
      </c>
      <c r="O616" t="str">
        <f t="array" ref="O616">_xlfn.IFS(orders[[#This Row],[Customer Gender]]="M","Male", orders[[#This Row],[Customer Gender]]="F","Female", orders[[#This Row],[Customer Gender]]="O","Other", TRUE(),"Unknown")</f>
        <v>Male</v>
      </c>
    </row>
    <row r="617" spans="1:15" x14ac:dyDescent="0.25">
      <c r="A617" t="s">
        <v>845</v>
      </c>
      <c r="B617" t="s">
        <v>86</v>
      </c>
      <c r="C617">
        <v>2</v>
      </c>
      <c r="D617">
        <v>34.6</v>
      </c>
      <c r="E617">
        <v>69.2</v>
      </c>
      <c r="F617" s="58">
        <v>45683</v>
      </c>
      <c r="G617" s="58">
        <v>45684</v>
      </c>
      <c r="H617" t="s">
        <v>229</v>
      </c>
      <c r="I617" t="s">
        <v>61</v>
      </c>
      <c r="J617">
        <v>3</v>
      </c>
      <c r="K617" t="s">
        <v>103</v>
      </c>
      <c r="L617" t="s">
        <v>124</v>
      </c>
      <c r="M617">
        <f>orders[[#This Row],[Ship Date]]-orders[[#This Row],[Order Date]]</f>
        <v>1</v>
      </c>
      <c r="N617">
        <f>WEEKNUM(orders[[#This Row],[Order Date]],1)</f>
        <v>5</v>
      </c>
      <c r="O617" t="str">
        <f t="array" ref="O617">_xlfn.IFS(orders[[#This Row],[Customer Gender]]="M","Male", orders[[#This Row],[Customer Gender]]="F","Female", orders[[#This Row],[Customer Gender]]="O","Other", TRUE(),"Unknown")</f>
        <v>Male</v>
      </c>
    </row>
    <row r="618" spans="1:15" x14ac:dyDescent="0.25">
      <c r="A618" t="s">
        <v>846</v>
      </c>
      <c r="B618" t="s">
        <v>90</v>
      </c>
      <c r="C618">
        <v>2</v>
      </c>
      <c r="D618">
        <v>58.2</v>
      </c>
      <c r="E618">
        <v>116.4</v>
      </c>
      <c r="F618" s="58">
        <v>45683</v>
      </c>
      <c r="G618" s="58">
        <v>45684</v>
      </c>
      <c r="H618" t="s">
        <v>229</v>
      </c>
      <c r="I618" t="s">
        <v>62</v>
      </c>
      <c r="J618">
        <v>5</v>
      </c>
      <c r="K618" t="s">
        <v>103</v>
      </c>
      <c r="L618" t="s">
        <v>124</v>
      </c>
      <c r="M618">
        <f>orders[[#This Row],[Ship Date]]-orders[[#This Row],[Order Date]]</f>
        <v>1</v>
      </c>
      <c r="N618">
        <f>WEEKNUM(orders[[#This Row],[Order Date]],1)</f>
        <v>5</v>
      </c>
      <c r="O618" t="str">
        <f t="array" ref="O618">_xlfn.IFS(orders[[#This Row],[Customer Gender]]="M","Male", orders[[#This Row],[Customer Gender]]="F","Female", orders[[#This Row],[Customer Gender]]="O","Other", TRUE(),"Unknown")</f>
        <v>Male</v>
      </c>
    </row>
    <row r="619" spans="1:15" x14ac:dyDescent="0.25">
      <c r="A619" t="s">
        <v>847</v>
      </c>
      <c r="B619" t="s">
        <v>79</v>
      </c>
      <c r="C619">
        <v>1</v>
      </c>
      <c r="D619">
        <v>30.2</v>
      </c>
      <c r="E619">
        <v>30.2</v>
      </c>
      <c r="F619" s="58">
        <v>45684</v>
      </c>
      <c r="G619" s="58">
        <v>45685</v>
      </c>
      <c r="H619" t="s">
        <v>231</v>
      </c>
      <c r="I619" t="s">
        <v>62</v>
      </c>
      <c r="J619">
        <v>3</v>
      </c>
      <c r="K619" t="s">
        <v>103</v>
      </c>
      <c r="L619" t="s">
        <v>124</v>
      </c>
      <c r="M619">
        <f>orders[[#This Row],[Ship Date]]-orders[[#This Row],[Order Date]]</f>
        <v>1</v>
      </c>
      <c r="N619">
        <f>WEEKNUM(orders[[#This Row],[Order Date]],1)</f>
        <v>5</v>
      </c>
      <c r="O619" t="str">
        <f t="array" ref="O619">_xlfn.IFS(orders[[#This Row],[Customer Gender]]="M","Male", orders[[#This Row],[Customer Gender]]="F","Female", orders[[#This Row],[Customer Gender]]="O","Other", TRUE(),"Unknown")</f>
        <v>Female</v>
      </c>
    </row>
    <row r="620" spans="1:15" x14ac:dyDescent="0.25">
      <c r="A620" t="s">
        <v>848</v>
      </c>
      <c r="B620" t="s">
        <v>91</v>
      </c>
      <c r="C620">
        <v>10</v>
      </c>
      <c r="D620">
        <v>53.2</v>
      </c>
      <c r="E620">
        <v>532</v>
      </c>
      <c r="F620" s="58">
        <v>45684</v>
      </c>
      <c r="G620" s="58">
        <v>45685</v>
      </c>
      <c r="H620" t="s">
        <v>229</v>
      </c>
      <c r="I620" t="s">
        <v>59</v>
      </c>
      <c r="J620">
        <v>5</v>
      </c>
      <c r="K620" t="s">
        <v>103</v>
      </c>
      <c r="L620" t="s">
        <v>136</v>
      </c>
      <c r="M620">
        <f>orders[[#This Row],[Ship Date]]-orders[[#This Row],[Order Date]]</f>
        <v>1</v>
      </c>
      <c r="N620">
        <f>WEEKNUM(orders[[#This Row],[Order Date]],1)</f>
        <v>5</v>
      </c>
      <c r="O620" t="str">
        <f t="array" ref="O620">_xlfn.IFS(orders[[#This Row],[Customer Gender]]="M","Male", orders[[#This Row],[Customer Gender]]="F","Female", orders[[#This Row],[Customer Gender]]="O","Other", TRUE(),"Unknown")</f>
        <v>Male</v>
      </c>
    </row>
    <row r="621" spans="1:15" x14ac:dyDescent="0.25">
      <c r="A621" t="s">
        <v>849</v>
      </c>
      <c r="B621" t="s">
        <v>76</v>
      </c>
      <c r="C621">
        <v>6</v>
      </c>
      <c r="D621">
        <v>51.1</v>
      </c>
      <c r="E621">
        <v>306.60000000000002</v>
      </c>
      <c r="F621" s="58">
        <v>45684</v>
      </c>
      <c r="G621" s="58">
        <v>45684</v>
      </c>
      <c r="H621" t="s">
        <v>229</v>
      </c>
      <c r="I621" t="s">
        <v>63</v>
      </c>
      <c r="J621">
        <v>5</v>
      </c>
      <c r="K621" t="s">
        <v>103</v>
      </c>
      <c r="L621" t="s">
        <v>136</v>
      </c>
      <c r="M621">
        <f>orders[[#This Row],[Ship Date]]-orders[[#This Row],[Order Date]]</f>
        <v>0</v>
      </c>
      <c r="N621">
        <f>WEEKNUM(orders[[#This Row],[Order Date]],1)</f>
        <v>5</v>
      </c>
      <c r="O621" t="str">
        <f t="array" ref="O621">_xlfn.IFS(orders[[#This Row],[Customer Gender]]="M","Male", orders[[#This Row],[Customer Gender]]="F","Female", orders[[#This Row],[Customer Gender]]="O","Other", TRUE(),"Unknown")</f>
        <v>Male</v>
      </c>
    </row>
    <row r="622" spans="1:15" x14ac:dyDescent="0.25">
      <c r="A622" t="s">
        <v>850</v>
      </c>
      <c r="B622" t="s">
        <v>91</v>
      </c>
      <c r="C622">
        <v>1</v>
      </c>
      <c r="D622">
        <v>105.4</v>
      </c>
      <c r="E622">
        <v>105.4</v>
      </c>
      <c r="F622" s="58">
        <v>45684</v>
      </c>
      <c r="G622" s="58">
        <v>45688</v>
      </c>
      <c r="H622" t="s">
        <v>231</v>
      </c>
      <c r="I622" t="s">
        <v>63</v>
      </c>
      <c r="J622">
        <v>5</v>
      </c>
      <c r="K622" t="s">
        <v>103</v>
      </c>
      <c r="L622" t="s">
        <v>138</v>
      </c>
      <c r="M622">
        <f>orders[[#This Row],[Ship Date]]-orders[[#This Row],[Order Date]]</f>
        <v>4</v>
      </c>
      <c r="N622">
        <f>WEEKNUM(orders[[#This Row],[Order Date]],1)</f>
        <v>5</v>
      </c>
      <c r="O622" t="str">
        <f t="array" ref="O622">_xlfn.IFS(orders[[#This Row],[Customer Gender]]="M","Male", orders[[#This Row],[Customer Gender]]="F","Female", orders[[#This Row],[Customer Gender]]="O","Other", TRUE(),"Unknown")</f>
        <v>Female</v>
      </c>
    </row>
    <row r="623" spans="1:15" x14ac:dyDescent="0.25">
      <c r="A623" t="s">
        <v>851</v>
      </c>
      <c r="B623" t="s">
        <v>79</v>
      </c>
      <c r="C623">
        <v>1</v>
      </c>
      <c r="D623">
        <v>57.7</v>
      </c>
      <c r="E623">
        <v>57.7</v>
      </c>
      <c r="F623" s="58">
        <v>45684</v>
      </c>
      <c r="G623" s="58">
        <v>45684</v>
      </c>
      <c r="H623" t="s">
        <v>229</v>
      </c>
      <c r="I623" t="s">
        <v>59</v>
      </c>
      <c r="J623">
        <v>2</v>
      </c>
      <c r="K623" t="s">
        <v>103</v>
      </c>
      <c r="L623" t="s">
        <v>142</v>
      </c>
      <c r="M623">
        <f>orders[[#This Row],[Ship Date]]-orders[[#This Row],[Order Date]]</f>
        <v>0</v>
      </c>
      <c r="N623">
        <f>WEEKNUM(orders[[#This Row],[Order Date]],1)</f>
        <v>5</v>
      </c>
      <c r="O623" t="str">
        <f t="array" ref="O623">_xlfn.IFS(orders[[#This Row],[Customer Gender]]="M","Male", orders[[#This Row],[Customer Gender]]="F","Female", orders[[#This Row],[Customer Gender]]="O","Other", TRUE(),"Unknown")</f>
        <v>Male</v>
      </c>
    </row>
    <row r="624" spans="1:15" x14ac:dyDescent="0.25">
      <c r="A624" t="s">
        <v>852</v>
      </c>
      <c r="B624" t="s">
        <v>77</v>
      </c>
      <c r="C624">
        <v>2</v>
      </c>
      <c r="D624">
        <v>72.400000000000006</v>
      </c>
      <c r="E624">
        <v>144.80000000000001</v>
      </c>
      <c r="F624" s="58">
        <v>45684</v>
      </c>
      <c r="G624" s="58">
        <v>45689</v>
      </c>
      <c r="H624" t="s">
        <v>231</v>
      </c>
      <c r="I624" t="s">
        <v>59</v>
      </c>
      <c r="J624">
        <v>4</v>
      </c>
      <c r="K624" t="s">
        <v>103</v>
      </c>
      <c r="L624" t="s">
        <v>143</v>
      </c>
      <c r="M624">
        <f>orders[[#This Row],[Ship Date]]-orders[[#This Row],[Order Date]]</f>
        <v>5</v>
      </c>
      <c r="N624">
        <f>WEEKNUM(orders[[#This Row],[Order Date]],1)</f>
        <v>5</v>
      </c>
      <c r="O624" t="str">
        <f t="array" ref="O624">_xlfn.IFS(orders[[#This Row],[Customer Gender]]="M","Male", orders[[#This Row],[Customer Gender]]="F","Female", orders[[#This Row],[Customer Gender]]="O","Other", TRUE(),"Unknown")</f>
        <v>Female</v>
      </c>
    </row>
    <row r="625" spans="1:15" x14ac:dyDescent="0.25">
      <c r="A625" t="s">
        <v>853</v>
      </c>
      <c r="B625" t="s">
        <v>80</v>
      </c>
      <c r="C625">
        <v>2</v>
      </c>
      <c r="D625">
        <v>62.5</v>
      </c>
      <c r="E625">
        <v>125</v>
      </c>
      <c r="F625" s="58">
        <v>45684</v>
      </c>
      <c r="G625" s="58">
        <v>45685</v>
      </c>
      <c r="I625" t="s">
        <v>59</v>
      </c>
      <c r="J625">
        <v>5</v>
      </c>
      <c r="K625" t="s">
        <v>103</v>
      </c>
      <c r="L625" t="s">
        <v>148</v>
      </c>
      <c r="M625">
        <f>orders[[#This Row],[Ship Date]]-orders[[#This Row],[Order Date]]</f>
        <v>1</v>
      </c>
      <c r="N625">
        <f>WEEKNUM(orders[[#This Row],[Order Date]],1)</f>
        <v>5</v>
      </c>
      <c r="O625" t="str">
        <f t="array" ref="O625">_xlfn.IFS(orders[[#This Row],[Customer Gender]]="M","Male", orders[[#This Row],[Customer Gender]]="F","Female", orders[[#This Row],[Customer Gender]]="O","Other", TRUE(),"Unknown")</f>
        <v>Unknown</v>
      </c>
    </row>
    <row r="626" spans="1:15" x14ac:dyDescent="0.25">
      <c r="A626" t="s">
        <v>854</v>
      </c>
      <c r="B626" t="s">
        <v>86</v>
      </c>
      <c r="C626">
        <v>22</v>
      </c>
      <c r="D626">
        <v>11.6</v>
      </c>
      <c r="E626">
        <v>255.2</v>
      </c>
      <c r="F626" s="58">
        <v>45684</v>
      </c>
      <c r="G626" s="58">
        <v>45686</v>
      </c>
      <c r="H626" t="s">
        <v>231</v>
      </c>
      <c r="I626" t="s">
        <v>60</v>
      </c>
      <c r="J626">
        <v>5</v>
      </c>
      <c r="K626" t="s">
        <v>103</v>
      </c>
      <c r="L626" t="s">
        <v>154</v>
      </c>
      <c r="M626">
        <f>orders[[#This Row],[Ship Date]]-orders[[#This Row],[Order Date]]</f>
        <v>2</v>
      </c>
      <c r="N626">
        <f>WEEKNUM(orders[[#This Row],[Order Date]],1)</f>
        <v>5</v>
      </c>
      <c r="O626" t="str">
        <f t="array" ref="O626">_xlfn.IFS(orders[[#This Row],[Customer Gender]]="M","Male", orders[[#This Row],[Customer Gender]]="F","Female", orders[[#This Row],[Customer Gender]]="O","Other", TRUE(),"Unknown")</f>
        <v>Female</v>
      </c>
    </row>
    <row r="627" spans="1:15" x14ac:dyDescent="0.25">
      <c r="A627" t="s">
        <v>855</v>
      </c>
      <c r="B627" t="s">
        <v>75</v>
      </c>
      <c r="C627">
        <v>10</v>
      </c>
      <c r="D627">
        <v>39.6</v>
      </c>
      <c r="E627">
        <v>396</v>
      </c>
      <c r="F627" s="58">
        <v>45684</v>
      </c>
      <c r="G627" s="58">
        <v>45686</v>
      </c>
      <c r="H627" t="s">
        <v>231</v>
      </c>
      <c r="I627" t="s">
        <v>62</v>
      </c>
      <c r="J627">
        <v>5</v>
      </c>
      <c r="K627" t="s">
        <v>103</v>
      </c>
      <c r="L627" t="s">
        <v>154</v>
      </c>
      <c r="M627">
        <f>orders[[#This Row],[Ship Date]]-orders[[#This Row],[Order Date]]</f>
        <v>2</v>
      </c>
      <c r="N627">
        <f>WEEKNUM(orders[[#This Row],[Order Date]],1)</f>
        <v>5</v>
      </c>
      <c r="O627" t="str">
        <f t="array" ref="O627">_xlfn.IFS(orders[[#This Row],[Customer Gender]]="M","Male", orders[[#This Row],[Customer Gender]]="F","Female", orders[[#This Row],[Customer Gender]]="O","Other", TRUE(),"Unknown")</f>
        <v>Female</v>
      </c>
    </row>
    <row r="628" spans="1:15" x14ac:dyDescent="0.25">
      <c r="A628" t="s">
        <v>856</v>
      </c>
      <c r="B628" t="s">
        <v>90</v>
      </c>
      <c r="C628">
        <v>2</v>
      </c>
      <c r="D628">
        <v>40.1</v>
      </c>
      <c r="E628">
        <v>80.2</v>
      </c>
      <c r="F628" s="58">
        <v>45684</v>
      </c>
      <c r="G628" s="58">
        <v>45685</v>
      </c>
      <c r="H628" t="s">
        <v>231</v>
      </c>
      <c r="I628" t="s">
        <v>62</v>
      </c>
      <c r="J628">
        <v>4</v>
      </c>
      <c r="K628" t="s">
        <v>103</v>
      </c>
      <c r="L628" t="s">
        <v>154</v>
      </c>
      <c r="M628">
        <f>orders[[#This Row],[Ship Date]]-orders[[#This Row],[Order Date]]</f>
        <v>1</v>
      </c>
      <c r="N628">
        <f>WEEKNUM(orders[[#This Row],[Order Date]],1)</f>
        <v>5</v>
      </c>
      <c r="O628" t="str">
        <f t="array" ref="O628">_xlfn.IFS(orders[[#This Row],[Customer Gender]]="M","Male", orders[[#This Row],[Customer Gender]]="F","Female", orders[[#This Row],[Customer Gender]]="O","Other", TRUE(),"Unknown")</f>
        <v>Female</v>
      </c>
    </row>
    <row r="629" spans="1:15" x14ac:dyDescent="0.25">
      <c r="A629" t="s">
        <v>857</v>
      </c>
      <c r="B629" t="s">
        <v>90</v>
      </c>
      <c r="C629">
        <v>3</v>
      </c>
      <c r="D629">
        <v>18.600000000000001</v>
      </c>
      <c r="E629">
        <v>55.8</v>
      </c>
      <c r="F629" s="58">
        <v>45684</v>
      </c>
      <c r="G629" s="58">
        <v>45685</v>
      </c>
      <c r="H629" t="s">
        <v>231</v>
      </c>
      <c r="I629" t="s">
        <v>62</v>
      </c>
      <c r="J629">
        <v>4</v>
      </c>
      <c r="K629" t="s">
        <v>103</v>
      </c>
      <c r="L629" t="s">
        <v>106</v>
      </c>
      <c r="M629">
        <f>orders[[#This Row],[Ship Date]]-orders[[#This Row],[Order Date]]</f>
        <v>1</v>
      </c>
      <c r="N629">
        <f>WEEKNUM(orders[[#This Row],[Order Date]],1)</f>
        <v>5</v>
      </c>
      <c r="O629" t="str">
        <f t="array" ref="O629">_xlfn.IFS(orders[[#This Row],[Customer Gender]]="M","Male", orders[[#This Row],[Customer Gender]]="F","Female", orders[[#This Row],[Customer Gender]]="O","Other", TRUE(),"Unknown")</f>
        <v>Female</v>
      </c>
    </row>
    <row r="630" spans="1:15" x14ac:dyDescent="0.25">
      <c r="A630" t="s">
        <v>858</v>
      </c>
      <c r="B630" t="s">
        <v>78</v>
      </c>
      <c r="C630">
        <v>1</v>
      </c>
      <c r="D630">
        <v>58.8</v>
      </c>
      <c r="E630">
        <v>58.8</v>
      </c>
      <c r="F630" s="58">
        <v>45684</v>
      </c>
      <c r="G630" s="58">
        <v>45686</v>
      </c>
      <c r="H630" t="s">
        <v>231</v>
      </c>
      <c r="I630" t="s">
        <v>59</v>
      </c>
      <c r="J630">
        <v>3</v>
      </c>
      <c r="K630" t="s">
        <v>103</v>
      </c>
      <c r="L630" t="s">
        <v>106</v>
      </c>
      <c r="M630">
        <f>orders[[#This Row],[Ship Date]]-orders[[#This Row],[Order Date]]</f>
        <v>2</v>
      </c>
      <c r="N630">
        <f>WEEKNUM(orders[[#This Row],[Order Date]],1)</f>
        <v>5</v>
      </c>
      <c r="O630" t="str">
        <f t="array" ref="O630">_xlfn.IFS(orders[[#This Row],[Customer Gender]]="M","Male", orders[[#This Row],[Customer Gender]]="F","Female", orders[[#This Row],[Customer Gender]]="O","Other", TRUE(),"Unknown")</f>
        <v>Female</v>
      </c>
    </row>
    <row r="631" spans="1:15" x14ac:dyDescent="0.25">
      <c r="A631" t="s">
        <v>859</v>
      </c>
      <c r="B631" t="s">
        <v>90</v>
      </c>
      <c r="C631">
        <v>2</v>
      </c>
      <c r="D631">
        <v>22.1</v>
      </c>
      <c r="E631">
        <v>44.2</v>
      </c>
      <c r="F631" s="58">
        <v>45684</v>
      </c>
      <c r="G631" s="58">
        <v>45687</v>
      </c>
      <c r="H631" t="s">
        <v>229</v>
      </c>
      <c r="I631" t="s">
        <v>63</v>
      </c>
      <c r="J631">
        <v>5</v>
      </c>
      <c r="K631" t="s">
        <v>103</v>
      </c>
      <c r="L631" t="s">
        <v>106</v>
      </c>
      <c r="M631">
        <f>orders[[#This Row],[Ship Date]]-orders[[#This Row],[Order Date]]</f>
        <v>3</v>
      </c>
      <c r="N631">
        <f>WEEKNUM(orders[[#This Row],[Order Date]],1)</f>
        <v>5</v>
      </c>
      <c r="O631" t="str">
        <f t="array" ref="O631">_xlfn.IFS(orders[[#This Row],[Customer Gender]]="M","Male", orders[[#This Row],[Customer Gender]]="F","Female", orders[[#This Row],[Customer Gender]]="O","Other", TRUE(),"Unknown")</f>
        <v>Male</v>
      </c>
    </row>
    <row r="632" spans="1:15" x14ac:dyDescent="0.25">
      <c r="A632" t="s">
        <v>860</v>
      </c>
      <c r="B632" t="s">
        <v>87</v>
      </c>
      <c r="C632">
        <v>1</v>
      </c>
      <c r="D632">
        <v>114.9</v>
      </c>
      <c r="E632">
        <v>114.9</v>
      </c>
      <c r="F632" s="58">
        <v>45685</v>
      </c>
      <c r="G632" s="58">
        <v>45686</v>
      </c>
      <c r="H632" t="s">
        <v>231</v>
      </c>
      <c r="I632" t="s">
        <v>63</v>
      </c>
      <c r="J632">
        <v>3</v>
      </c>
      <c r="K632" t="s">
        <v>103</v>
      </c>
      <c r="L632" t="s">
        <v>120</v>
      </c>
      <c r="M632">
        <f>orders[[#This Row],[Ship Date]]-orders[[#This Row],[Order Date]]</f>
        <v>1</v>
      </c>
      <c r="N632">
        <f>WEEKNUM(orders[[#This Row],[Order Date]],1)</f>
        <v>5</v>
      </c>
      <c r="O632" t="str">
        <f t="array" ref="O632">_xlfn.IFS(orders[[#This Row],[Customer Gender]]="M","Male", orders[[#This Row],[Customer Gender]]="F","Female", orders[[#This Row],[Customer Gender]]="O","Other", TRUE(),"Unknown")</f>
        <v>Female</v>
      </c>
    </row>
    <row r="633" spans="1:15" x14ac:dyDescent="0.25">
      <c r="A633" t="s">
        <v>861</v>
      </c>
      <c r="B633" t="s">
        <v>88</v>
      </c>
      <c r="C633">
        <v>5</v>
      </c>
      <c r="D633">
        <v>75.8</v>
      </c>
      <c r="E633">
        <v>379</v>
      </c>
      <c r="F633" s="58">
        <v>45685</v>
      </c>
      <c r="G633" s="58">
        <v>45686</v>
      </c>
      <c r="H633" t="s">
        <v>229</v>
      </c>
      <c r="I633" t="s">
        <v>59</v>
      </c>
      <c r="J633">
        <v>5</v>
      </c>
      <c r="K633" t="s">
        <v>103</v>
      </c>
      <c r="L633" t="s">
        <v>124</v>
      </c>
      <c r="M633">
        <f>orders[[#This Row],[Ship Date]]-orders[[#This Row],[Order Date]]</f>
        <v>1</v>
      </c>
      <c r="N633">
        <f>WEEKNUM(orders[[#This Row],[Order Date]],1)</f>
        <v>5</v>
      </c>
      <c r="O633" t="str">
        <f t="array" ref="O633">_xlfn.IFS(orders[[#This Row],[Customer Gender]]="M","Male", orders[[#This Row],[Customer Gender]]="F","Female", orders[[#This Row],[Customer Gender]]="O","Other", TRUE(),"Unknown")</f>
        <v>Male</v>
      </c>
    </row>
    <row r="634" spans="1:15" x14ac:dyDescent="0.25">
      <c r="A634" t="s">
        <v>862</v>
      </c>
      <c r="B634" t="s">
        <v>74</v>
      </c>
      <c r="C634">
        <v>5</v>
      </c>
      <c r="D634">
        <v>20.6</v>
      </c>
      <c r="E634">
        <v>103</v>
      </c>
      <c r="F634" s="58">
        <v>45685</v>
      </c>
      <c r="G634" s="58">
        <v>45686</v>
      </c>
      <c r="H634" t="s">
        <v>229</v>
      </c>
      <c r="I634" t="s">
        <v>62</v>
      </c>
      <c r="J634">
        <v>5</v>
      </c>
      <c r="K634" t="s">
        <v>103</v>
      </c>
      <c r="L634" t="s">
        <v>124</v>
      </c>
      <c r="M634">
        <f>orders[[#This Row],[Ship Date]]-orders[[#This Row],[Order Date]]</f>
        <v>1</v>
      </c>
      <c r="N634">
        <f>WEEKNUM(orders[[#This Row],[Order Date]],1)</f>
        <v>5</v>
      </c>
      <c r="O634" t="str">
        <f t="array" ref="O634">_xlfn.IFS(orders[[#This Row],[Customer Gender]]="M","Male", orders[[#This Row],[Customer Gender]]="F","Female", orders[[#This Row],[Customer Gender]]="O","Other", TRUE(),"Unknown")</f>
        <v>Male</v>
      </c>
    </row>
    <row r="635" spans="1:15" x14ac:dyDescent="0.25">
      <c r="A635" t="s">
        <v>863</v>
      </c>
      <c r="B635" t="s">
        <v>84</v>
      </c>
      <c r="C635">
        <v>3</v>
      </c>
      <c r="D635">
        <v>67.900000000000006</v>
      </c>
      <c r="E635">
        <v>203.7</v>
      </c>
      <c r="F635" s="58">
        <v>45685</v>
      </c>
      <c r="G635" s="58">
        <v>45686</v>
      </c>
      <c r="H635" t="s">
        <v>231</v>
      </c>
      <c r="I635" t="s">
        <v>63</v>
      </c>
      <c r="J635">
        <v>3</v>
      </c>
      <c r="K635" t="s">
        <v>103</v>
      </c>
      <c r="L635" t="s">
        <v>124</v>
      </c>
      <c r="M635">
        <f>orders[[#This Row],[Ship Date]]-orders[[#This Row],[Order Date]]</f>
        <v>1</v>
      </c>
      <c r="N635">
        <f>WEEKNUM(orders[[#This Row],[Order Date]],1)</f>
        <v>5</v>
      </c>
      <c r="O635" t="str">
        <f t="array" ref="O635">_xlfn.IFS(orders[[#This Row],[Customer Gender]]="M","Male", orders[[#This Row],[Customer Gender]]="F","Female", orders[[#This Row],[Customer Gender]]="O","Other", TRUE(),"Unknown")</f>
        <v>Female</v>
      </c>
    </row>
    <row r="636" spans="1:15" x14ac:dyDescent="0.25">
      <c r="A636" t="s">
        <v>864</v>
      </c>
      <c r="B636" t="s">
        <v>86</v>
      </c>
      <c r="C636">
        <v>5</v>
      </c>
      <c r="D636">
        <v>27</v>
      </c>
      <c r="E636">
        <v>135</v>
      </c>
      <c r="F636" s="58">
        <v>45685</v>
      </c>
      <c r="G636" s="58">
        <v>45692</v>
      </c>
      <c r="H636" t="s">
        <v>231</v>
      </c>
      <c r="I636" t="s">
        <v>59</v>
      </c>
      <c r="J636">
        <v>5</v>
      </c>
      <c r="K636" t="s">
        <v>103</v>
      </c>
      <c r="L636" t="s">
        <v>124</v>
      </c>
      <c r="M636">
        <f>orders[[#This Row],[Ship Date]]-orders[[#This Row],[Order Date]]</f>
        <v>7</v>
      </c>
      <c r="N636">
        <f>WEEKNUM(orders[[#This Row],[Order Date]],1)</f>
        <v>5</v>
      </c>
      <c r="O636" t="str">
        <f t="array" ref="O636">_xlfn.IFS(orders[[#This Row],[Customer Gender]]="M","Male", orders[[#This Row],[Customer Gender]]="F","Female", orders[[#This Row],[Customer Gender]]="O","Other", TRUE(),"Unknown")</f>
        <v>Female</v>
      </c>
    </row>
    <row r="637" spans="1:15" x14ac:dyDescent="0.25">
      <c r="A637" t="s">
        <v>865</v>
      </c>
      <c r="B637" t="s">
        <v>92</v>
      </c>
      <c r="C637">
        <v>1</v>
      </c>
      <c r="D637">
        <v>50.6</v>
      </c>
      <c r="E637">
        <v>50.6</v>
      </c>
      <c r="F637" s="58">
        <v>45685</v>
      </c>
      <c r="G637" s="58">
        <v>45685</v>
      </c>
      <c r="H637" t="s">
        <v>229</v>
      </c>
      <c r="I637" t="s">
        <v>59</v>
      </c>
      <c r="J637">
        <v>3</v>
      </c>
      <c r="K637" t="s">
        <v>103</v>
      </c>
      <c r="L637" t="s">
        <v>124</v>
      </c>
      <c r="M637">
        <f>orders[[#This Row],[Ship Date]]-orders[[#This Row],[Order Date]]</f>
        <v>0</v>
      </c>
      <c r="N637">
        <f>WEEKNUM(orders[[#This Row],[Order Date]],1)</f>
        <v>5</v>
      </c>
      <c r="O637" t="str">
        <f t="array" ref="O637">_xlfn.IFS(orders[[#This Row],[Customer Gender]]="M","Male", orders[[#This Row],[Customer Gender]]="F","Female", orders[[#This Row],[Customer Gender]]="O","Other", TRUE(),"Unknown")</f>
        <v>Male</v>
      </c>
    </row>
    <row r="638" spans="1:15" x14ac:dyDescent="0.25">
      <c r="A638" t="s">
        <v>866</v>
      </c>
      <c r="B638" t="s">
        <v>78</v>
      </c>
      <c r="C638">
        <v>5</v>
      </c>
      <c r="D638">
        <v>22.1</v>
      </c>
      <c r="E638">
        <v>110.5</v>
      </c>
      <c r="F638" s="58">
        <v>45685</v>
      </c>
      <c r="G638" s="58">
        <v>45690</v>
      </c>
      <c r="H638" t="s">
        <v>229</v>
      </c>
      <c r="I638" t="s">
        <v>59</v>
      </c>
      <c r="J638">
        <v>4</v>
      </c>
      <c r="K638" t="s">
        <v>103</v>
      </c>
      <c r="L638" t="s">
        <v>124</v>
      </c>
      <c r="M638">
        <f>orders[[#This Row],[Ship Date]]-orders[[#This Row],[Order Date]]</f>
        <v>5</v>
      </c>
      <c r="N638">
        <f>WEEKNUM(orders[[#This Row],[Order Date]],1)</f>
        <v>5</v>
      </c>
      <c r="O638" t="str">
        <f t="array" ref="O638">_xlfn.IFS(orders[[#This Row],[Customer Gender]]="M","Male", orders[[#This Row],[Customer Gender]]="F","Female", orders[[#This Row],[Customer Gender]]="O","Other", TRUE(),"Unknown")</f>
        <v>Male</v>
      </c>
    </row>
    <row r="639" spans="1:15" x14ac:dyDescent="0.25">
      <c r="A639" t="s">
        <v>867</v>
      </c>
      <c r="B639" t="s">
        <v>90</v>
      </c>
      <c r="C639">
        <v>3</v>
      </c>
      <c r="D639">
        <v>42.9</v>
      </c>
      <c r="E639">
        <v>128.69999999999999</v>
      </c>
      <c r="F639" s="58">
        <v>45685</v>
      </c>
      <c r="G639" s="58">
        <v>45687</v>
      </c>
      <c r="H639" t="s">
        <v>231</v>
      </c>
      <c r="I639" t="s">
        <v>59</v>
      </c>
      <c r="J639">
        <v>4</v>
      </c>
      <c r="K639" t="s">
        <v>103</v>
      </c>
      <c r="L639" t="s">
        <v>124</v>
      </c>
      <c r="M639">
        <f>orders[[#This Row],[Ship Date]]-orders[[#This Row],[Order Date]]</f>
        <v>2</v>
      </c>
      <c r="N639">
        <f>WEEKNUM(orders[[#This Row],[Order Date]],1)</f>
        <v>5</v>
      </c>
      <c r="O639" t="str">
        <f t="array" ref="O639">_xlfn.IFS(orders[[#This Row],[Customer Gender]]="M","Male", orders[[#This Row],[Customer Gender]]="F","Female", orders[[#This Row],[Customer Gender]]="O","Other", TRUE(),"Unknown")</f>
        <v>Female</v>
      </c>
    </row>
    <row r="640" spans="1:15" x14ac:dyDescent="0.25">
      <c r="A640" t="s">
        <v>868</v>
      </c>
      <c r="B640" t="s">
        <v>91</v>
      </c>
      <c r="C640">
        <v>11</v>
      </c>
      <c r="D640">
        <v>62.4</v>
      </c>
      <c r="E640">
        <v>686.4</v>
      </c>
      <c r="F640" s="58">
        <v>45685</v>
      </c>
      <c r="G640" s="58">
        <v>45687</v>
      </c>
      <c r="H640" t="s">
        <v>231</v>
      </c>
      <c r="I640" t="s">
        <v>62</v>
      </c>
      <c r="J640">
        <v>4</v>
      </c>
      <c r="K640" t="s">
        <v>103</v>
      </c>
      <c r="L640" t="s">
        <v>124</v>
      </c>
      <c r="M640">
        <f>orders[[#This Row],[Ship Date]]-orders[[#This Row],[Order Date]]</f>
        <v>2</v>
      </c>
      <c r="N640">
        <f>WEEKNUM(orders[[#This Row],[Order Date]],1)</f>
        <v>5</v>
      </c>
      <c r="O640" t="str">
        <f t="array" ref="O640">_xlfn.IFS(orders[[#This Row],[Customer Gender]]="M","Male", orders[[#This Row],[Customer Gender]]="F","Female", orders[[#This Row],[Customer Gender]]="O","Other", TRUE(),"Unknown")</f>
        <v>Female</v>
      </c>
    </row>
    <row r="641" spans="1:15" x14ac:dyDescent="0.25">
      <c r="A641" t="s">
        <v>869</v>
      </c>
      <c r="B641" t="s">
        <v>92</v>
      </c>
      <c r="C641">
        <v>9</v>
      </c>
      <c r="D641">
        <v>36.4</v>
      </c>
      <c r="E641">
        <v>327.60000000000002</v>
      </c>
      <c r="F641" s="58">
        <v>45685</v>
      </c>
      <c r="G641" s="58">
        <v>45687</v>
      </c>
      <c r="H641" t="s">
        <v>231</v>
      </c>
      <c r="I641" t="s">
        <v>59</v>
      </c>
      <c r="J641">
        <v>5</v>
      </c>
      <c r="K641" t="s">
        <v>103</v>
      </c>
      <c r="L641" t="s">
        <v>124</v>
      </c>
      <c r="M641">
        <f>orders[[#This Row],[Ship Date]]-orders[[#This Row],[Order Date]]</f>
        <v>2</v>
      </c>
      <c r="N641">
        <f>WEEKNUM(orders[[#This Row],[Order Date]],1)</f>
        <v>5</v>
      </c>
      <c r="O641" t="str">
        <f t="array" ref="O641">_xlfn.IFS(orders[[#This Row],[Customer Gender]]="M","Male", orders[[#This Row],[Customer Gender]]="F","Female", orders[[#This Row],[Customer Gender]]="O","Other", TRUE(),"Unknown")</f>
        <v>Female</v>
      </c>
    </row>
    <row r="642" spans="1:15" x14ac:dyDescent="0.25">
      <c r="A642" t="s">
        <v>870</v>
      </c>
      <c r="B642" t="s">
        <v>86</v>
      </c>
      <c r="C642">
        <v>2</v>
      </c>
      <c r="D642">
        <v>22.5</v>
      </c>
      <c r="E642">
        <v>45</v>
      </c>
      <c r="F642" s="58">
        <v>45685</v>
      </c>
      <c r="G642" s="58">
        <v>45688</v>
      </c>
      <c r="H642" t="s">
        <v>229</v>
      </c>
      <c r="I642" t="s">
        <v>59</v>
      </c>
      <c r="J642">
        <v>4</v>
      </c>
      <c r="K642" t="s">
        <v>103</v>
      </c>
      <c r="L642" t="s">
        <v>124</v>
      </c>
      <c r="M642">
        <f>orders[[#This Row],[Ship Date]]-orders[[#This Row],[Order Date]]</f>
        <v>3</v>
      </c>
      <c r="N642">
        <f>WEEKNUM(orders[[#This Row],[Order Date]],1)</f>
        <v>5</v>
      </c>
      <c r="O642" t="str">
        <f t="array" ref="O642">_xlfn.IFS(orders[[#This Row],[Customer Gender]]="M","Male", orders[[#This Row],[Customer Gender]]="F","Female", orders[[#This Row],[Customer Gender]]="O","Other", TRUE(),"Unknown")</f>
        <v>Male</v>
      </c>
    </row>
    <row r="643" spans="1:15" x14ac:dyDescent="0.25">
      <c r="A643" t="s">
        <v>871</v>
      </c>
      <c r="B643" t="s">
        <v>80</v>
      </c>
      <c r="C643">
        <v>4</v>
      </c>
      <c r="D643">
        <v>70.8</v>
      </c>
      <c r="E643">
        <v>283.2</v>
      </c>
      <c r="F643" s="58">
        <v>45685</v>
      </c>
      <c r="G643" s="58">
        <v>45687</v>
      </c>
      <c r="H643" t="s">
        <v>231</v>
      </c>
      <c r="I643" t="s">
        <v>61</v>
      </c>
      <c r="J643">
        <v>4</v>
      </c>
      <c r="K643" t="s">
        <v>103</v>
      </c>
      <c r="L643" t="s">
        <v>124</v>
      </c>
      <c r="M643">
        <f>orders[[#This Row],[Ship Date]]-orders[[#This Row],[Order Date]]</f>
        <v>2</v>
      </c>
      <c r="N643">
        <f>WEEKNUM(orders[[#This Row],[Order Date]],1)</f>
        <v>5</v>
      </c>
      <c r="O643" t="str">
        <f t="array" ref="O643">_xlfn.IFS(orders[[#This Row],[Customer Gender]]="M","Male", orders[[#This Row],[Customer Gender]]="F","Female", orders[[#This Row],[Customer Gender]]="O","Other", TRUE(),"Unknown")</f>
        <v>Female</v>
      </c>
    </row>
    <row r="644" spans="1:15" x14ac:dyDescent="0.25">
      <c r="A644" t="s">
        <v>872</v>
      </c>
      <c r="B644" t="s">
        <v>80</v>
      </c>
      <c r="C644">
        <v>5</v>
      </c>
      <c r="D644">
        <v>56.6</v>
      </c>
      <c r="E644">
        <v>283</v>
      </c>
      <c r="F644" s="58">
        <v>45685</v>
      </c>
      <c r="G644" s="58">
        <v>45687</v>
      </c>
      <c r="H644" t="s">
        <v>229</v>
      </c>
      <c r="I644" t="s">
        <v>59</v>
      </c>
      <c r="J644">
        <v>3</v>
      </c>
      <c r="K644" t="s">
        <v>103</v>
      </c>
      <c r="L644" t="s">
        <v>134</v>
      </c>
      <c r="M644">
        <f>orders[[#This Row],[Ship Date]]-orders[[#This Row],[Order Date]]</f>
        <v>2</v>
      </c>
      <c r="N644">
        <f>WEEKNUM(orders[[#This Row],[Order Date]],1)</f>
        <v>5</v>
      </c>
      <c r="O644" t="str">
        <f t="array" ref="O644">_xlfn.IFS(orders[[#This Row],[Customer Gender]]="M","Male", orders[[#This Row],[Customer Gender]]="F","Female", orders[[#This Row],[Customer Gender]]="O","Other", TRUE(),"Unknown")</f>
        <v>Male</v>
      </c>
    </row>
    <row r="645" spans="1:15" x14ac:dyDescent="0.25">
      <c r="A645" t="s">
        <v>873</v>
      </c>
      <c r="B645" t="s">
        <v>80</v>
      </c>
      <c r="C645">
        <v>2</v>
      </c>
      <c r="D645">
        <v>47.9</v>
      </c>
      <c r="E645">
        <v>95.8</v>
      </c>
      <c r="F645" s="58">
        <v>45685</v>
      </c>
      <c r="G645" s="58">
        <v>45686</v>
      </c>
      <c r="H645" t="s">
        <v>231</v>
      </c>
      <c r="I645" t="s">
        <v>59</v>
      </c>
      <c r="J645">
        <v>4</v>
      </c>
      <c r="K645" t="s">
        <v>103</v>
      </c>
      <c r="L645" t="s">
        <v>139</v>
      </c>
      <c r="M645">
        <f>orders[[#This Row],[Ship Date]]-orders[[#This Row],[Order Date]]</f>
        <v>1</v>
      </c>
      <c r="N645">
        <f>WEEKNUM(orders[[#This Row],[Order Date]],1)</f>
        <v>5</v>
      </c>
      <c r="O645" t="str">
        <f t="array" ref="O645">_xlfn.IFS(orders[[#This Row],[Customer Gender]]="M","Male", orders[[#This Row],[Customer Gender]]="F","Female", orders[[#This Row],[Customer Gender]]="O","Other", TRUE(),"Unknown")</f>
        <v>Female</v>
      </c>
    </row>
    <row r="646" spans="1:15" x14ac:dyDescent="0.25">
      <c r="A646" t="s">
        <v>874</v>
      </c>
      <c r="B646" t="s">
        <v>80</v>
      </c>
      <c r="C646">
        <v>8</v>
      </c>
      <c r="D646">
        <v>78.400000000000006</v>
      </c>
      <c r="E646">
        <v>627.20000000000005</v>
      </c>
      <c r="F646" s="58">
        <v>45685</v>
      </c>
      <c r="G646" s="58">
        <v>45687</v>
      </c>
      <c r="H646" t="s">
        <v>231</v>
      </c>
      <c r="I646" t="s">
        <v>63</v>
      </c>
      <c r="J646">
        <v>4</v>
      </c>
      <c r="K646" t="s">
        <v>103</v>
      </c>
      <c r="L646" t="s">
        <v>139</v>
      </c>
      <c r="M646">
        <f>orders[[#This Row],[Ship Date]]-orders[[#This Row],[Order Date]]</f>
        <v>2</v>
      </c>
      <c r="N646">
        <f>WEEKNUM(orders[[#This Row],[Order Date]],1)</f>
        <v>5</v>
      </c>
      <c r="O646" t="str">
        <f t="array" ref="O646">_xlfn.IFS(orders[[#This Row],[Customer Gender]]="M","Male", orders[[#This Row],[Customer Gender]]="F","Female", orders[[#This Row],[Customer Gender]]="O","Other", TRUE(),"Unknown")</f>
        <v>Female</v>
      </c>
    </row>
    <row r="647" spans="1:15" x14ac:dyDescent="0.25">
      <c r="A647" t="s">
        <v>875</v>
      </c>
      <c r="B647" t="s">
        <v>87</v>
      </c>
      <c r="C647">
        <v>14</v>
      </c>
      <c r="D647">
        <v>122.1</v>
      </c>
      <c r="E647">
        <v>1709.4</v>
      </c>
      <c r="F647" s="58">
        <v>45685</v>
      </c>
      <c r="G647" s="58">
        <v>45690</v>
      </c>
      <c r="H647" t="s">
        <v>231</v>
      </c>
      <c r="I647" t="s">
        <v>59</v>
      </c>
      <c r="J647">
        <v>5</v>
      </c>
      <c r="K647" t="s">
        <v>103</v>
      </c>
      <c r="L647" t="s">
        <v>139</v>
      </c>
      <c r="M647">
        <f>orders[[#This Row],[Ship Date]]-orders[[#This Row],[Order Date]]</f>
        <v>5</v>
      </c>
      <c r="N647">
        <f>WEEKNUM(orders[[#This Row],[Order Date]],1)</f>
        <v>5</v>
      </c>
      <c r="O647" t="str">
        <f t="array" ref="O647">_xlfn.IFS(orders[[#This Row],[Customer Gender]]="M","Male", orders[[#This Row],[Customer Gender]]="F","Female", orders[[#This Row],[Customer Gender]]="O","Other", TRUE(),"Unknown")</f>
        <v>Female</v>
      </c>
    </row>
    <row r="648" spans="1:15" x14ac:dyDescent="0.25">
      <c r="A648" t="s">
        <v>876</v>
      </c>
      <c r="B648" t="s">
        <v>87</v>
      </c>
      <c r="C648">
        <v>2</v>
      </c>
      <c r="D648">
        <v>83.7</v>
      </c>
      <c r="E648">
        <v>167.4</v>
      </c>
      <c r="F648" s="58">
        <v>45686</v>
      </c>
      <c r="G648" s="58">
        <v>45686</v>
      </c>
      <c r="I648" t="s">
        <v>63</v>
      </c>
      <c r="J648">
        <v>5</v>
      </c>
      <c r="K648" t="s">
        <v>103</v>
      </c>
      <c r="L648" t="s">
        <v>141</v>
      </c>
      <c r="M648">
        <f>orders[[#This Row],[Ship Date]]-orders[[#This Row],[Order Date]]</f>
        <v>0</v>
      </c>
      <c r="N648">
        <f>WEEKNUM(orders[[#This Row],[Order Date]],1)</f>
        <v>5</v>
      </c>
      <c r="O648" t="str">
        <f t="array" ref="O648">_xlfn.IFS(orders[[#This Row],[Customer Gender]]="M","Male", orders[[#This Row],[Customer Gender]]="F","Female", orders[[#This Row],[Customer Gender]]="O","Other", TRUE(),"Unknown")</f>
        <v>Unknown</v>
      </c>
    </row>
    <row r="649" spans="1:15" x14ac:dyDescent="0.25">
      <c r="A649" t="s">
        <v>877</v>
      </c>
      <c r="B649" t="s">
        <v>93</v>
      </c>
      <c r="C649">
        <v>4</v>
      </c>
      <c r="D649">
        <v>97.9</v>
      </c>
      <c r="E649">
        <v>391.6</v>
      </c>
      <c r="F649" s="58">
        <v>45686</v>
      </c>
      <c r="G649" s="58">
        <v>45690</v>
      </c>
      <c r="H649" t="s">
        <v>231</v>
      </c>
      <c r="I649" t="s">
        <v>60</v>
      </c>
      <c r="J649">
        <v>5</v>
      </c>
      <c r="K649" t="s">
        <v>103</v>
      </c>
      <c r="L649" t="s">
        <v>141</v>
      </c>
      <c r="M649">
        <f>orders[[#This Row],[Ship Date]]-orders[[#This Row],[Order Date]]</f>
        <v>4</v>
      </c>
      <c r="N649">
        <f>WEEKNUM(orders[[#This Row],[Order Date]],1)</f>
        <v>5</v>
      </c>
      <c r="O649" t="str">
        <f t="array" ref="O649">_xlfn.IFS(orders[[#This Row],[Customer Gender]]="M","Male", orders[[#This Row],[Customer Gender]]="F","Female", orders[[#This Row],[Customer Gender]]="O","Other", TRUE(),"Unknown")</f>
        <v>Female</v>
      </c>
    </row>
    <row r="650" spans="1:15" x14ac:dyDescent="0.25">
      <c r="A650" t="s">
        <v>878</v>
      </c>
      <c r="B650" t="s">
        <v>74</v>
      </c>
      <c r="C650">
        <v>1</v>
      </c>
      <c r="D650">
        <v>15</v>
      </c>
      <c r="E650">
        <v>15</v>
      </c>
      <c r="F650" s="58">
        <v>45686</v>
      </c>
      <c r="G650" s="58">
        <v>45691</v>
      </c>
      <c r="H650" t="s">
        <v>231</v>
      </c>
      <c r="I650" t="s">
        <v>60</v>
      </c>
      <c r="J650">
        <v>4</v>
      </c>
      <c r="K650" t="s">
        <v>103</v>
      </c>
      <c r="L650" t="s">
        <v>142</v>
      </c>
      <c r="M650">
        <f>orders[[#This Row],[Ship Date]]-orders[[#This Row],[Order Date]]</f>
        <v>5</v>
      </c>
      <c r="N650">
        <f>WEEKNUM(orders[[#This Row],[Order Date]],1)</f>
        <v>5</v>
      </c>
      <c r="O650" t="str">
        <f t="array" ref="O650">_xlfn.IFS(orders[[#This Row],[Customer Gender]]="M","Male", orders[[#This Row],[Customer Gender]]="F","Female", orders[[#This Row],[Customer Gender]]="O","Other", TRUE(),"Unknown")</f>
        <v>Female</v>
      </c>
    </row>
    <row r="651" spans="1:15" x14ac:dyDescent="0.25">
      <c r="A651" t="s">
        <v>879</v>
      </c>
      <c r="B651" t="s">
        <v>76</v>
      </c>
      <c r="C651">
        <v>3</v>
      </c>
      <c r="D651">
        <v>94.6</v>
      </c>
      <c r="E651">
        <v>283.8</v>
      </c>
      <c r="F651" s="58">
        <v>45686</v>
      </c>
      <c r="G651" s="58">
        <v>45687</v>
      </c>
      <c r="H651" t="s">
        <v>229</v>
      </c>
      <c r="I651" t="s">
        <v>62</v>
      </c>
      <c r="J651">
        <v>3</v>
      </c>
      <c r="K651" t="s">
        <v>103</v>
      </c>
      <c r="L651" t="s">
        <v>142</v>
      </c>
      <c r="M651">
        <f>orders[[#This Row],[Ship Date]]-orders[[#This Row],[Order Date]]</f>
        <v>1</v>
      </c>
      <c r="N651">
        <f>WEEKNUM(orders[[#This Row],[Order Date]],1)</f>
        <v>5</v>
      </c>
      <c r="O651" t="str">
        <f t="array" ref="O651">_xlfn.IFS(orders[[#This Row],[Customer Gender]]="M","Male", orders[[#This Row],[Customer Gender]]="F","Female", orders[[#This Row],[Customer Gender]]="O","Other", TRUE(),"Unknown")</f>
        <v>Male</v>
      </c>
    </row>
    <row r="652" spans="1:15" x14ac:dyDescent="0.25">
      <c r="A652" t="s">
        <v>880</v>
      </c>
      <c r="B652" t="s">
        <v>86</v>
      </c>
      <c r="C652">
        <v>6</v>
      </c>
      <c r="D652">
        <v>19.7</v>
      </c>
      <c r="E652">
        <v>118.2</v>
      </c>
      <c r="F652" s="58">
        <v>45686</v>
      </c>
      <c r="G652" s="58">
        <v>45697</v>
      </c>
      <c r="H652" t="s">
        <v>231</v>
      </c>
      <c r="I652" t="s">
        <v>59</v>
      </c>
      <c r="J652">
        <v>5</v>
      </c>
      <c r="K652" t="s">
        <v>103</v>
      </c>
      <c r="L652" t="s">
        <v>142</v>
      </c>
      <c r="M652">
        <f>orders[[#This Row],[Ship Date]]-orders[[#This Row],[Order Date]]</f>
        <v>11</v>
      </c>
      <c r="N652">
        <f>WEEKNUM(orders[[#This Row],[Order Date]],1)</f>
        <v>5</v>
      </c>
      <c r="O652" t="str">
        <f t="array" ref="O652">_xlfn.IFS(orders[[#This Row],[Customer Gender]]="M","Male", orders[[#This Row],[Customer Gender]]="F","Female", orders[[#This Row],[Customer Gender]]="O","Other", TRUE(),"Unknown")</f>
        <v>Female</v>
      </c>
    </row>
    <row r="653" spans="1:15" x14ac:dyDescent="0.25">
      <c r="A653" t="s">
        <v>881</v>
      </c>
      <c r="B653" t="s">
        <v>79</v>
      </c>
      <c r="C653">
        <v>1</v>
      </c>
      <c r="D653">
        <v>46.7</v>
      </c>
      <c r="E653">
        <v>46.7</v>
      </c>
      <c r="F653" s="58">
        <v>45686</v>
      </c>
      <c r="G653" s="58">
        <v>45689</v>
      </c>
      <c r="H653" t="s">
        <v>231</v>
      </c>
      <c r="I653" t="s">
        <v>62</v>
      </c>
      <c r="J653">
        <v>4</v>
      </c>
      <c r="K653" t="s">
        <v>103</v>
      </c>
      <c r="L653" t="s">
        <v>143</v>
      </c>
      <c r="M653">
        <f>orders[[#This Row],[Ship Date]]-orders[[#This Row],[Order Date]]</f>
        <v>3</v>
      </c>
      <c r="N653">
        <f>WEEKNUM(orders[[#This Row],[Order Date]],1)</f>
        <v>5</v>
      </c>
      <c r="O653" t="str">
        <f t="array" ref="O653">_xlfn.IFS(orders[[#This Row],[Customer Gender]]="M","Male", orders[[#This Row],[Customer Gender]]="F","Female", orders[[#This Row],[Customer Gender]]="O","Other", TRUE(),"Unknown")</f>
        <v>Female</v>
      </c>
    </row>
    <row r="654" spans="1:15" x14ac:dyDescent="0.25">
      <c r="A654" t="s">
        <v>882</v>
      </c>
      <c r="B654" t="s">
        <v>91</v>
      </c>
      <c r="C654">
        <v>4</v>
      </c>
      <c r="D654">
        <v>43</v>
      </c>
      <c r="E654">
        <v>172</v>
      </c>
      <c r="F654" s="58">
        <v>45686</v>
      </c>
      <c r="G654" s="58">
        <v>45687</v>
      </c>
      <c r="H654" t="s">
        <v>229</v>
      </c>
      <c r="I654" t="s">
        <v>62</v>
      </c>
      <c r="J654">
        <v>5</v>
      </c>
      <c r="K654" t="s">
        <v>103</v>
      </c>
      <c r="L654" t="s">
        <v>143</v>
      </c>
      <c r="M654">
        <f>orders[[#This Row],[Ship Date]]-orders[[#This Row],[Order Date]]</f>
        <v>1</v>
      </c>
      <c r="N654">
        <f>WEEKNUM(orders[[#This Row],[Order Date]],1)</f>
        <v>5</v>
      </c>
      <c r="O654" t="str">
        <f t="array" ref="O654">_xlfn.IFS(orders[[#This Row],[Customer Gender]]="M","Male", orders[[#This Row],[Customer Gender]]="F","Female", orders[[#This Row],[Customer Gender]]="O","Other", TRUE(),"Unknown")</f>
        <v>Male</v>
      </c>
    </row>
    <row r="655" spans="1:15" x14ac:dyDescent="0.25">
      <c r="A655" t="s">
        <v>883</v>
      </c>
      <c r="B655" t="s">
        <v>80</v>
      </c>
      <c r="C655">
        <v>3</v>
      </c>
      <c r="D655">
        <v>68.2</v>
      </c>
      <c r="E655">
        <v>204.6</v>
      </c>
      <c r="F655" s="58">
        <v>45686</v>
      </c>
      <c r="G655" s="58">
        <v>45692</v>
      </c>
      <c r="H655" t="s">
        <v>231</v>
      </c>
      <c r="I655" t="s">
        <v>59</v>
      </c>
      <c r="J655">
        <v>4</v>
      </c>
      <c r="K655" t="s">
        <v>103</v>
      </c>
      <c r="L655" t="s">
        <v>146</v>
      </c>
      <c r="M655">
        <f>orders[[#This Row],[Ship Date]]-orders[[#This Row],[Order Date]]</f>
        <v>6</v>
      </c>
      <c r="N655">
        <f>WEEKNUM(orders[[#This Row],[Order Date]],1)</f>
        <v>5</v>
      </c>
      <c r="O655" t="str">
        <f t="array" ref="O655">_xlfn.IFS(orders[[#This Row],[Customer Gender]]="M","Male", orders[[#This Row],[Customer Gender]]="F","Female", orders[[#This Row],[Customer Gender]]="O","Other", TRUE(),"Unknown")</f>
        <v>Female</v>
      </c>
    </row>
    <row r="656" spans="1:15" x14ac:dyDescent="0.25">
      <c r="A656" t="s">
        <v>884</v>
      </c>
      <c r="B656" t="s">
        <v>75</v>
      </c>
      <c r="C656">
        <v>10</v>
      </c>
      <c r="D656">
        <v>24.3</v>
      </c>
      <c r="E656">
        <v>243</v>
      </c>
      <c r="F656" s="58">
        <v>45686</v>
      </c>
      <c r="G656" s="58">
        <v>45687</v>
      </c>
      <c r="H656" t="s">
        <v>229</v>
      </c>
      <c r="I656" t="s">
        <v>59</v>
      </c>
      <c r="J656">
        <v>5</v>
      </c>
      <c r="K656" t="s">
        <v>103</v>
      </c>
      <c r="L656" t="s">
        <v>147</v>
      </c>
      <c r="M656">
        <f>orders[[#This Row],[Ship Date]]-orders[[#This Row],[Order Date]]</f>
        <v>1</v>
      </c>
      <c r="N656">
        <f>WEEKNUM(orders[[#This Row],[Order Date]],1)</f>
        <v>5</v>
      </c>
      <c r="O656" t="str">
        <f t="array" ref="O656">_xlfn.IFS(orders[[#This Row],[Customer Gender]]="M","Male", orders[[#This Row],[Customer Gender]]="F","Female", orders[[#This Row],[Customer Gender]]="O","Other", TRUE(),"Unknown")</f>
        <v>Male</v>
      </c>
    </row>
    <row r="657" spans="1:15" x14ac:dyDescent="0.25">
      <c r="A657" t="s">
        <v>885</v>
      </c>
      <c r="B657" t="s">
        <v>79</v>
      </c>
      <c r="C657">
        <v>2</v>
      </c>
      <c r="D657">
        <v>86.8</v>
      </c>
      <c r="E657">
        <v>173.6</v>
      </c>
      <c r="F657" s="58">
        <v>45686</v>
      </c>
      <c r="G657" s="58">
        <v>45690</v>
      </c>
      <c r="H657" t="s">
        <v>231</v>
      </c>
      <c r="I657" t="s">
        <v>61</v>
      </c>
      <c r="J657">
        <v>5</v>
      </c>
      <c r="K657" t="s">
        <v>103</v>
      </c>
      <c r="L657" t="s">
        <v>148</v>
      </c>
      <c r="M657">
        <f>orders[[#This Row],[Ship Date]]-orders[[#This Row],[Order Date]]</f>
        <v>4</v>
      </c>
      <c r="N657">
        <f>WEEKNUM(orders[[#This Row],[Order Date]],1)</f>
        <v>5</v>
      </c>
      <c r="O657" t="str">
        <f t="array" ref="O657">_xlfn.IFS(orders[[#This Row],[Customer Gender]]="M","Male", orders[[#This Row],[Customer Gender]]="F","Female", orders[[#This Row],[Customer Gender]]="O","Other", TRUE(),"Unknown")</f>
        <v>Female</v>
      </c>
    </row>
    <row r="658" spans="1:15" x14ac:dyDescent="0.25">
      <c r="A658" t="s">
        <v>886</v>
      </c>
      <c r="B658" t="s">
        <v>86</v>
      </c>
      <c r="C658">
        <v>2</v>
      </c>
      <c r="D658">
        <v>15.8</v>
      </c>
      <c r="E658">
        <v>31.6</v>
      </c>
      <c r="F658" s="58">
        <v>45686</v>
      </c>
      <c r="G658" s="58">
        <v>45688</v>
      </c>
      <c r="H658" t="s">
        <v>229</v>
      </c>
      <c r="I658" t="s">
        <v>63</v>
      </c>
      <c r="J658">
        <v>4</v>
      </c>
      <c r="K658" t="s">
        <v>103</v>
      </c>
      <c r="L658" t="s">
        <v>148</v>
      </c>
      <c r="M658">
        <f>orders[[#This Row],[Ship Date]]-orders[[#This Row],[Order Date]]</f>
        <v>2</v>
      </c>
      <c r="N658">
        <f>WEEKNUM(orders[[#This Row],[Order Date]],1)</f>
        <v>5</v>
      </c>
      <c r="O658" t="str">
        <f t="array" ref="O658">_xlfn.IFS(orders[[#This Row],[Customer Gender]]="M","Male", orders[[#This Row],[Customer Gender]]="F","Female", orders[[#This Row],[Customer Gender]]="O","Other", TRUE(),"Unknown")</f>
        <v>Male</v>
      </c>
    </row>
    <row r="659" spans="1:15" x14ac:dyDescent="0.25">
      <c r="A659" t="s">
        <v>887</v>
      </c>
      <c r="B659" t="s">
        <v>87</v>
      </c>
      <c r="C659">
        <v>4</v>
      </c>
      <c r="D659">
        <v>61.6</v>
      </c>
      <c r="E659">
        <v>246.4</v>
      </c>
      <c r="F659" s="58">
        <v>45686</v>
      </c>
      <c r="G659" s="58">
        <v>45687</v>
      </c>
      <c r="H659" t="s">
        <v>229</v>
      </c>
      <c r="I659" t="s">
        <v>62</v>
      </c>
      <c r="J659">
        <v>4</v>
      </c>
      <c r="K659" t="s">
        <v>103</v>
      </c>
      <c r="L659" t="s">
        <v>148</v>
      </c>
      <c r="M659">
        <f>orders[[#This Row],[Ship Date]]-orders[[#This Row],[Order Date]]</f>
        <v>1</v>
      </c>
      <c r="N659">
        <f>WEEKNUM(orders[[#This Row],[Order Date]],1)</f>
        <v>5</v>
      </c>
      <c r="O659" t="str">
        <f t="array" ref="O659">_xlfn.IFS(orders[[#This Row],[Customer Gender]]="M","Male", orders[[#This Row],[Customer Gender]]="F","Female", orders[[#This Row],[Customer Gender]]="O","Other", TRUE(),"Unknown")</f>
        <v>Male</v>
      </c>
    </row>
    <row r="660" spans="1:15" x14ac:dyDescent="0.25">
      <c r="A660" t="s">
        <v>888</v>
      </c>
      <c r="B660" t="s">
        <v>80</v>
      </c>
      <c r="C660">
        <v>3</v>
      </c>
      <c r="D660">
        <v>48.7</v>
      </c>
      <c r="E660">
        <v>146.1</v>
      </c>
      <c r="F660" s="58">
        <v>45686</v>
      </c>
      <c r="G660" s="58">
        <v>45692</v>
      </c>
      <c r="H660" t="s">
        <v>231</v>
      </c>
      <c r="I660" t="s">
        <v>63</v>
      </c>
      <c r="J660">
        <v>5</v>
      </c>
      <c r="K660" t="s">
        <v>103</v>
      </c>
      <c r="L660" t="s">
        <v>158</v>
      </c>
      <c r="M660">
        <f>orders[[#This Row],[Ship Date]]-orders[[#This Row],[Order Date]]</f>
        <v>6</v>
      </c>
      <c r="N660">
        <f>WEEKNUM(orders[[#This Row],[Order Date]],1)</f>
        <v>5</v>
      </c>
      <c r="O660" t="str">
        <f t="array" ref="O660">_xlfn.IFS(orders[[#This Row],[Customer Gender]]="M","Male", orders[[#This Row],[Customer Gender]]="F","Female", orders[[#This Row],[Customer Gender]]="O","Other", TRUE(),"Unknown")</f>
        <v>Female</v>
      </c>
    </row>
    <row r="661" spans="1:15" x14ac:dyDescent="0.25">
      <c r="A661" t="s">
        <v>889</v>
      </c>
      <c r="B661" t="s">
        <v>90</v>
      </c>
      <c r="C661">
        <v>4</v>
      </c>
      <c r="D661">
        <v>24.3</v>
      </c>
      <c r="E661">
        <v>97.2</v>
      </c>
      <c r="F661" s="58">
        <v>45686</v>
      </c>
      <c r="G661" s="58">
        <v>45688</v>
      </c>
      <c r="H661" t="s">
        <v>231</v>
      </c>
      <c r="I661" t="s">
        <v>63</v>
      </c>
      <c r="J661">
        <v>5</v>
      </c>
      <c r="K661" t="s">
        <v>103</v>
      </c>
      <c r="L661" t="s">
        <v>106</v>
      </c>
      <c r="M661">
        <f>orders[[#This Row],[Ship Date]]-orders[[#This Row],[Order Date]]</f>
        <v>2</v>
      </c>
      <c r="N661">
        <f>WEEKNUM(orders[[#This Row],[Order Date]],1)</f>
        <v>5</v>
      </c>
      <c r="O661" t="str">
        <f t="array" ref="O661">_xlfn.IFS(orders[[#This Row],[Customer Gender]]="M","Male", orders[[#This Row],[Customer Gender]]="F","Female", orders[[#This Row],[Customer Gender]]="O","Other", TRUE(),"Unknown")</f>
        <v>Female</v>
      </c>
    </row>
    <row r="662" spans="1:15" x14ac:dyDescent="0.25">
      <c r="A662" t="s">
        <v>890</v>
      </c>
      <c r="B662" t="s">
        <v>87</v>
      </c>
      <c r="C662">
        <v>2</v>
      </c>
      <c r="D662">
        <v>130.69999999999999</v>
      </c>
      <c r="E662">
        <v>261.39999999999998</v>
      </c>
      <c r="F662" s="58">
        <v>45686</v>
      </c>
      <c r="G662" s="58">
        <v>45687</v>
      </c>
      <c r="H662" t="s">
        <v>231</v>
      </c>
      <c r="I662" t="s">
        <v>62</v>
      </c>
      <c r="J662">
        <v>4</v>
      </c>
      <c r="K662" t="s">
        <v>103</v>
      </c>
      <c r="L662" t="s">
        <v>117</v>
      </c>
      <c r="M662">
        <f>orders[[#This Row],[Ship Date]]-orders[[#This Row],[Order Date]]</f>
        <v>1</v>
      </c>
      <c r="N662">
        <f>WEEKNUM(orders[[#This Row],[Order Date]],1)</f>
        <v>5</v>
      </c>
      <c r="O662" t="str">
        <f t="array" ref="O662">_xlfn.IFS(orders[[#This Row],[Customer Gender]]="M","Male", orders[[#This Row],[Customer Gender]]="F","Female", orders[[#This Row],[Customer Gender]]="O","Other", TRUE(),"Unknown")</f>
        <v>Female</v>
      </c>
    </row>
    <row r="663" spans="1:15" x14ac:dyDescent="0.25">
      <c r="A663" t="s">
        <v>891</v>
      </c>
      <c r="B663" t="s">
        <v>75</v>
      </c>
      <c r="C663">
        <v>1</v>
      </c>
      <c r="D663">
        <v>26</v>
      </c>
      <c r="E663">
        <v>26</v>
      </c>
      <c r="F663" s="58">
        <v>45686</v>
      </c>
      <c r="G663" s="58">
        <v>45688</v>
      </c>
      <c r="H663" t="s">
        <v>229</v>
      </c>
      <c r="I663" t="s">
        <v>59</v>
      </c>
      <c r="J663">
        <v>4</v>
      </c>
      <c r="K663" t="s">
        <v>103</v>
      </c>
      <c r="L663" t="s">
        <v>124</v>
      </c>
      <c r="M663">
        <f>orders[[#This Row],[Ship Date]]-orders[[#This Row],[Order Date]]</f>
        <v>2</v>
      </c>
      <c r="N663">
        <f>WEEKNUM(orders[[#This Row],[Order Date]],1)</f>
        <v>5</v>
      </c>
      <c r="O663" t="str">
        <f t="array" ref="O663">_xlfn.IFS(orders[[#This Row],[Customer Gender]]="M","Male", orders[[#This Row],[Customer Gender]]="F","Female", orders[[#This Row],[Customer Gender]]="O","Other", TRUE(),"Unknown")</f>
        <v>Male</v>
      </c>
    </row>
    <row r="664" spans="1:15" x14ac:dyDescent="0.25">
      <c r="A664" t="s">
        <v>892</v>
      </c>
      <c r="B664" t="s">
        <v>87</v>
      </c>
      <c r="C664">
        <v>5</v>
      </c>
      <c r="D664">
        <v>94.4</v>
      </c>
      <c r="E664">
        <v>472</v>
      </c>
      <c r="F664" s="58">
        <v>45686</v>
      </c>
      <c r="G664" s="58">
        <v>45687</v>
      </c>
      <c r="H664" t="s">
        <v>231</v>
      </c>
      <c r="I664" t="s">
        <v>59</v>
      </c>
      <c r="J664">
        <v>4</v>
      </c>
      <c r="K664" t="s">
        <v>103</v>
      </c>
      <c r="L664" t="s">
        <v>124</v>
      </c>
      <c r="M664">
        <f>orders[[#This Row],[Ship Date]]-orders[[#This Row],[Order Date]]</f>
        <v>1</v>
      </c>
      <c r="N664">
        <f>WEEKNUM(orders[[#This Row],[Order Date]],1)</f>
        <v>5</v>
      </c>
      <c r="O664" t="str">
        <f t="array" ref="O664">_xlfn.IFS(orders[[#This Row],[Customer Gender]]="M","Male", orders[[#This Row],[Customer Gender]]="F","Female", orders[[#This Row],[Customer Gender]]="O","Other", TRUE(),"Unknown")</f>
        <v>Female</v>
      </c>
    </row>
    <row r="665" spans="1:15" x14ac:dyDescent="0.25">
      <c r="A665" t="s">
        <v>893</v>
      </c>
      <c r="B665" t="s">
        <v>86</v>
      </c>
      <c r="C665">
        <v>6</v>
      </c>
      <c r="D665">
        <v>23.7</v>
      </c>
      <c r="E665">
        <v>142.19999999999999</v>
      </c>
      <c r="F665" s="58">
        <v>45686</v>
      </c>
      <c r="G665" s="58">
        <v>45688</v>
      </c>
      <c r="H665" t="s">
        <v>229</v>
      </c>
      <c r="I665" t="s">
        <v>62</v>
      </c>
      <c r="J665">
        <v>5</v>
      </c>
      <c r="K665" t="s">
        <v>103</v>
      </c>
      <c r="L665" t="s">
        <v>124</v>
      </c>
      <c r="M665">
        <f>orders[[#This Row],[Ship Date]]-orders[[#This Row],[Order Date]]</f>
        <v>2</v>
      </c>
      <c r="N665">
        <f>WEEKNUM(orders[[#This Row],[Order Date]],1)</f>
        <v>5</v>
      </c>
      <c r="O665" t="str">
        <f t="array" ref="O665">_xlfn.IFS(orders[[#This Row],[Customer Gender]]="M","Male", orders[[#This Row],[Customer Gender]]="F","Female", orders[[#This Row],[Customer Gender]]="O","Other", TRUE(),"Unknown")</f>
        <v>Male</v>
      </c>
    </row>
    <row r="666" spans="1:15" x14ac:dyDescent="0.25">
      <c r="A666" t="s">
        <v>894</v>
      </c>
      <c r="B666" t="s">
        <v>88</v>
      </c>
      <c r="C666">
        <v>12</v>
      </c>
      <c r="D666">
        <v>37.4</v>
      </c>
      <c r="E666">
        <v>448.8</v>
      </c>
      <c r="F666" s="58">
        <v>45686</v>
      </c>
      <c r="G666" s="58">
        <v>45688</v>
      </c>
      <c r="H666" t="s">
        <v>229</v>
      </c>
      <c r="I666" t="s">
        <v>62</v>
      </c>
      <c r="J666">
        <v>4</v>
      </c>
      <c r="K666" t="s">
        <v>103</v>
      </c>
      <c r="L666" t="s">
        <v>124</v>
      </c>
      <c r="M666">
        <f>orders[[#This Row],[Ship Date]]-orders[[#This Row],[Order Date]]</f>
        <v>2</v>
      </c>
      <c r="N666">
        <f>WEEKNUM(orders[[#This Row],[Order Date]],1)</f>
        <v>5</v>
      </c>
      <c r="O666" t="str">
        <f t="array" ref="O666">_xlfn.IFS(orders[[#This Row],[Customer Gender]]="M","Male", orders[[#This Row],[Customer Gender]]="F","Female", orders[[#This Row],[Customer Gender]]="O","Other", TRUE(),"Unknown")</f>
        <v>Male</v>
      </c>
    </row>
    <row r="667" spans="1:15" x14ac:dyDescent="0.25">
      <c r="A667" t="s">
        <v>895</v>
      </c>
      <c r="B667" t="s">
        <v>91</v>
      </c>
      <c r="C667">
        <v>36</v>
      </c>
      <c r="D667">
        <v>55.2</v>
      </c>
      <c r="E667">
        <v>1987.2</v>
      </c>
      <c r="F667" s="58">
        <v>45686</v>
      </c>
      <c r="G667" s="58">
        <v>45686</v>
      </c>
      <c r="H667" t="s">
        <v>231</v>
      </c>
      <c r="I667" t="s">
        <v>60</v>
      </c>
      <c r="J667">
        <v>3</v>
      </c>
      <c r="K667" t="s">
        <v>103</v>
      </c>
      <c r="L667" t="s">
        <v>124</v>
      </c>
      <c r="M667">
        <f>orders[[#This Row],[Ship Date]]-orders[[#This Row],[Order Date]]</f>
        <v>0</v>
      </c>
      <c r="N667">
        <f>WEEKNUM(orders[[#This Row],[Order Date]],1)</f>
        <v>5</v>
      </c>
      <c r="O667" t="str">
        <f t="array" ref="O667">_xlfn.IFS(orders[[#This Row],[Customer Gender]]="M","Male", orders[[#This Row],[Customer Gender]]="F","Female", orders[[#This Row],[Customer Gender]]="O","Other", TRUE(),"Unknown")</f>
        <v>Female</v>
      </c>
    </row>
    <row r="668" spans="1:15" x14ac:dyDescent="0.25">
      <c r="A668" t="s">
        <v>896</v>
      </c>
      <c r="B668" t="s">
        <v>87</v>
      </c>
      <c r="C668">
        <v>9</v>
      </c>
      <c r="D668">
        <v>57.1</v>
      </c>
      <c r="E668">
        <v>513.9</v>
      </c>
      <c r="F668" s="58">
        <v>45686</v>
      </c>
      <c r="G668" s="58">
        <v>45688</v>
      </c>
      <c r="H668" t="s">
        <v>229</v>
      </c>
      <c r="I668" t="s">
        <v>59</v>
      </c>
      <c r="J668">
        <v>5</v>
      </c>
      <c r="K668" t="s">
        <v>103</v>
      </c>
      <c r="L668" t="s">
        <v>124</v>
      </c>
      <c r="M668">
        <f>orders[[#This Row],[Ship Date]]-orders[[#This Row],[Order Date]]</f>
        <v>2</v>
      </c>
      <c r="N668">
        <f>WEEKNUM(orders[[#This Row],[Order Date]],1)</f>
        <v>5</v>
      </c>
      <c r="O668" t="str">
        <f t="array" ref="O668">_xlfn.IFS(orders[[#This Row],[Customer Gender]]="M","Male", orders[[#This Row],[Customer Gender]]="F","Female", orders[[#This Row],[Customer Gender]]="O","Other", TRUE(),"Unknown")</f>
        <v>Male</v>
      </c>
    </row>
    <row r="669" spans="1:15" x14ac:dyDescent="0.25">
      <c r="A669" t="s">
        <v>897</v>
      </c>
      <c r="B669" t="s">
        <v>76</v>
      </c>
      <c r="C669">
        <v>1</v>
      </c>
      <c r="D669">
        <v>55.3</v>
      </c>
      <c r="E669">
        <v>55.3</v>
      </c>
      <c r="F669" s="58">
        <v>45686</v>
      </c>
      <c r="G669" s="58">
        <v>45687</v>
      </c>
      <c r="H669" t="s">
        <v>231</v>
      </c>
      <c r="I669" t="s">
        <v>62</v>
      </c>
      <c r="J669">
        <v>5</v>
      </c>
      <c r="K669" t="s">
        <v>103</v>
      </c>
      <c r="L669" t="s">
        <v>124</v>
      </c>
      <c r="M669">
        <f>orders[[#This Row],[Ship Date]]-orders[[#This Row],[Order Date]]</f>
        <v>1</v>
      </c>
      <c r="N669">
        <f>WEEKNUM(orders[[#This Row],[Order Date]],1)</f>
        <v>5</v>
      </c>
      <c r="O669" t="str">
        <f t="array" ref="O669">_xlfn.IFS(orders[[#This Row],[Customer Gender]]="M","Male", orders[[#This Row],[Customer Gender]]="F","Female", orders[[#This Row],[Customer Gender]]="O","Other", TRUE(),"Unknown")</f>
        <v>Female</v>
      </c>
    </row>
    <row r="670" spans="1:15" x14ac:dyDescent="0.25">
      <c r="A670" t="s">
        <v>898</v>
      </c>
      <c r="B670" t="s">
        <v>77</v>
      </c>
      <c r="C670">
        <v>7</v>
      </c>
      <c r="D670">
        <v>23.9</v>
      </c>
      <c r="E670">
        <v>167.3</v>
      </c>
      <c r="F670" s="58">
        <v>45686</v>
      </c>
      <c r="G670" s="58">
        <v>45687</v>
      </c>
      <c r="H670" t="s">
        <v>231</v>
      </c>
      <c r="I670" t="s">
        <v>61</v>
      </c>
      <c r="J670">
        <v>3</v>
      </c>
      <c r="K670" t="s">
        <v>103</v>
      </c>
      <c r="L670" t="s">
        <v>124</v>
      </c>
      <c r="M670">
        <f>orders[[#This Row],[Ship Date]]-orders[[#This Row],[Order Date]]</f>
        <v>1</v>
      </c>
      <c r="N670">
        <f>WEEKNUM(orders[[#This Row],[Order Date]],1)</f>
        <v>5</v>
      </c>
      <c r="O670" t="str">
        <f t="array" ref="O670">_xlfn.IFS(orders[[#This Row],[Customer Gender]]="M","Male", orders[[#This Row],[Customer Gender]]="F","Female", orders[[#This Row],[Customer Gender]]="O","Other", TRUE(),"Unknown")</f>
        <v>Female</v>
      </c>
    </row>
    <row r="671" spans="1:15" x14ac:dyDescent="0.25">
      <c r="A671" t="s">
        <v>899</v>
      </c>
      <c r="B671" t="s">
        <v>86</v>
      </c>
      <c r="C671">
        <v>1</v>
      </c>
      <c r="D671">
        <v>34.1</v>
      </c>
      <c r="E671">
        <v>34.1</v>
      </c>
      <c r="F671" s="58">
        <v>45686</v>
      </c>
      <c r="G671" s="58">
        <v>45693</v>
      </c>
      <c r="H671" t="s">
        <v>231</v>
      </c>
      <c r="I671" t="s">
        <v>62</v>
      </c>
      <c r="J671">
        <v>4</v>
      </c>
      <c r="K671" t="s">
        <v>103</v>
      </c>
      <c r="L671" t="s">
        <v>124</v>
      </c>
      <c r="M671">
        <f>orders[[#This Row],[Ship Date]]-orders[[#This Row],[Order Date]]</f>
        <v>7</v>
      </c>
      <c r="N671">
        <f>WEEKNUM(orders[[#This Row],[Order Date]],1)</f>
        <v>5</v>
      </c>
      <c r="O671" t="str">
        <f t="array" ref="O671">_xlfn.IFS(orders[[#This Row],[Customer Gender]]="M","Male", orders[[#This Row],[Customer Gender]]="F","Female", orders[[#This Row],[Customer Gender]]="O","Other", TRUE(),"Unknown")</f>
        <v>Female</v>
      </c>
    </row>
    <row r="672" spans="1:15" x14ac:dyDescent="0.25">
      <c r="A672" t="s">
        <v>900</v>
      </c>
      <c r="B672" t="s">
        <v>76</v>
      </c>
      <c r="C672">
        <v>4</v>
      </c>
      <c r="D672">
        <v>38.5</v>
      </c>
      <c r="E672">
        <v>154</v>
      </c>
      <c r="F672" s="58">
        <v>45686</v>
      </c>
      <c r="G672" s="58">
        <v>45697</v>
      </c>
      <c r="H672" t="s">
        <v>231</v>
      </c>
      <c r="I672" t="s">
        <v>59</v>
      </c>
      <c r="J672">
        <v>4</v>
      </c>
      <c r="K672" t="s">
        <v>103</v>
      </c>
      <c r="L672" t="s">
        <v>124</v>
      </c>
      <c r="M672">
        <f>orders[[#This Row],[Ship Date]]-orders[[#This Row],[Order Date]]</f>
        <v>11</v>
      </c>
      <c r="N672">
        <f>WEEKNUM(orders[[#This Row],[Order Date]],1)</f>
        <v>5</v>
      </c>
      <c r="O672" t="str">
        <f t="array" ref="O672">_xlfn.IFS(orders[[#This Row],[Customer Gender]]="M","Male", orders[[#This Row],[Customer Gender]]="F","Female", orders[[#This Row],[Customer Gender]]="O","Other", TRUE(),"Unknown")</f>
        <v>Female</v>
      </c>
    </row>
    <row r="673" spans="1:15" x14ac:dyDescent="0.25">
      <c r="A673" t="s">
        <v>901</v>
      </c>
      <c r="B673" t="s">
        <v>79</v>
      </c>
      <c r="C673">
        <v>2</v>
      </c>
      <c r="D673">
        <v>105</v>
      </c>
      <c r="E673">
        <v>210</v>
      </c>
      <c r="F673" s="58">
        <v>45686</v>
      </c>
      <c r="G673" s="58">
        <v>45692</v>
      </c>
      <c r="H673" t="s">
        <v>231</v>
      </c>
      <c r="I673" t="s">
        <v>59</v>
      </c>
      <c r="J673">
        <v>5</v>
      </c>
      <c r="K673" t="s">
        <v>103</v>
      </c>
      <c r="L673" t="s">
        <v>124</v>
      </c>
      <c r="M673">
        <f>orders[[#This Row],[Ship Date]]-orders[[#This Row],[Order Date]]</f>
        <v>6</v>
      </c>
      <c r="N673">
        <f>WEEKNUM(orders[[#This Row],[Order Date]],1)</f>
        <v>5</v>
      </c>
      <c r="O673" t="str">
        <f t="array" ref="O673">_xlfn.IFS(orders[[#This Row],[Customer Gender]]="M","Male", orders[[#This Row],[Customer Gender]]="F","Female", orders[[#This Row],[Customer Gender]]="O","Other", TRUE(),"Unknown")</f>
        <v>Female</v>
      </c>
    </row>
    <row r="674" spans="1:15" x14ac:dyDescent="0.25">
      <c r="A674" t="s">
        <v>902</v>
      </c>
      <c r="B674" t="s">
        <v>90</v>
      </c>
      <c r="C674">
        <v>5</v>
      </c>
      <c r="D674">
        <v>45.2</v>
      </c>
      <c r="E674">
        <v>226</v>
      </c>
      <c r="F674" s="58">
        <v>45686</v>
      </c>
      <c r="G674" s="58">
        <v>45688</v>
      </c>
      <c r="H674" t="s">
        <v>231</v>
      </c>
      <c r="I674" t="s">
        <v>59</v>
      </c>
      <c r="J674">
        <v>5</v>
      </c>
      <c r="K674" t="s">
        <v>103</v>
      </c>
      <c r="L674" t="s">
        <v>124</v>
      </c>
      <c r="M674">
        <f>orders[[#This Row],[Ship Date]]-orders[[#This Row],[Order Date]]</f>
        <v>2</v>
      </c>
      <c r="N674">
        <f>WEEKNUM(orders[[#This Row],[Order Date]],1)</f>
        <v>5</v>
      </c>
      <c r="O674" t="str">
        <f t="array" ref="O674">_xlfn.IFS(orders[[#This Row],[Customer Gender]]="M","Male", orders[[#This Row],[Customer Gender]]="F","Female", orders[[#This Row],[Customer Gender]]="O","Other", TRUE(),"Unknown")</f>
        <v>Female</v>
      </c>
    </row>
    <row r="675" spans="1:15" x14ac:dyDescent="0.25">
      <c r="A675" t="s">
        <v>903</v>
      </c>
      <c r="B675" t="s">
        <v>84</v>
      </c>
      <c r="C675">
        <v>3</v>
      </c>
      <c r="D675">
        <v>24.8</v>
      </c>
      <c r="E675">
        <v>74.400000000000006</v>
      </c>
      <c r="F675" s="58">
        <v>45686</v>
      </c>
      <c r="G675" s="58">
        <v>45686</v>
      </c>
      <c r="I675" t="s">
        <v>59</v>
      </c>
      <c r="J675">
        <v>3</v>
      </c>
      <c r="K675" t="s">
        <v>103</v>
      </c>
      <c r="L675" t="s">
        <v>124</v>
      </c>
      <c r="M675">
        <f>orders[[#This Row],[Ship Date]]-orders[[#This Row],[Order Date]]</f>
        <v>0</v>
      </c>
      <c r="N675">
        <f>WEEKNUM(orders[[#This Row],[Order Date]],1)</f>
        <v>5</v>
      </c>
      <c r="O675" t="str">
        <f t="array" ref="O675">_xlfn.IFS(orders[[#This Row],[Customer Gender]]="M","Male", orders[[#This Row],[Customer Gender]]="F","Female", orders[[#This Row],[Customer Gender]]="O","Other", TRUE(),"Unknown")</f>
        <v>Unknown</v>
      </c>
    </row>
    <row r="676" spans="1:15" x14ac:dyDescent="0.25">
      <c r="A676" t="s">
        <v>904</v>
      </c>
      <c r="B676" t="s">
        <v>83</v>
      </c>
      <c r="C676">
        <v>4</v>
      </c>
      <c r="D676">
        <v>43.8</v>
      </c>
      <c r="E676">
        <v>175.2</v>
      </c>
      <c r="F676" s="58">
        <v>45686</v>
      </c>
      <c r="G676" s="58">
        <v>45693</v>
      </c>
      <c r="H676" t="s">
        <v>231</v>
      </c>
      <c r="I676" t="s">
        <v>63</v>
      </c>
      <c r="J676">
        <v>5</v>
      </c>
      <c r="K676" t="s">
        <v>103</v>
      </c>
      <c r="L676" t="s">
        <v>139</v>
      </c>
      <c r="M676">
        <f>orders[[#This Row],[Ship Date]]-orders[[#This Row],[Order Date]]</f>
        <v>7</v>
      </c>
      <c r="N676">
        <f>WEEKNUM(orders[[#This Row],[Order Date]],1)</f>
        <v>5</v>
      </c>
      <c r="O676" t="str">
        <f t="array" ref="O676">_xlfn.IFS(orders[[#This Row],[Customer Gender]]="M","Male", orders[[#This Row],[Customer Gender]]="F","Female", orders[[#This Row],[Customer Gender]]="O","Other", TRUE(),"Unknown")</f>
        <v>Female</v>
      </c>
    </row>
    <row r="677" spans="1:15" x14ac:dyDescent="0.25">
      <c r="A677" t="s">
        <v>905</v>
      </c>
      <c r="B677" t="s">
        <v>91</v>
      </c>
      <c r="C677">
        <v>1</v>
      </c>
      <c r="D677">
        <v>75</v>
      </c>
      <c r="E677">
        <v>75</v>
      </c>
      <c r="F677" s="58">
        <v>45686</v>
      </c>
      <c r="G677" s="58">
        <v>45688</v>
      </c>
      <c r="H677" t="s">
        <v>231</v>
      </c>
      <c r="I677" t="s">
        <v>61</v>
      </c>
      <c r="J677">
        <v>3</v>
      </c>
      <c r="K677" t="s">
        <v>103</v>
      </c>
      <c r="L677" t="s">
        <v>139</v>
      </c>
      <c r="M677">
        <f>orders[[#This Row],[Ship Date]]-orders[[#This Row],[Order Date]]</f>
        <v>2</v>
      </c>
      <c r="N677">
        <f>WEEKNUM(orders[[#This Row],[Order Date]],1)</f>
        <v>5</v>
      </c>
      <c r="O677" t="str">
        <f t="array" ref="O677">_xlfn.IFS(orders[[#This Row],[Customer Gender]]="M","Male", orders[[#This Row],[Customer Gender]]="F","Female", orders[[#This Row],[Customer Gender]]="O","Other", TRUE(),"Unknown")</f>
        <v>Female</v>
      </c>
    </row>
    <row r="678" spans="1:15" x14ac:dyDescent="0.25">
      <c r="A678" t="s">
        <v>906</v>
      </c>
      <c r="B678" t="s">
        <v>87</v>
      </c>
      <c r="C678">
        <v>1</v>
      </c>
      <c r="D678">
        <v>169.9</v>
      </c>
      <c r="E678">
        <v>169.9</v>
      </c>
      <c r="F678" s="58">
        <v>45686</v>
      </c>
      <c r="G678" s="58">
        <v>45687</v>
      </c>
      <c r="H678" t="s">
        <v>229</v>
      </c>
      <c r="I678" t="s">
        <v>62</v>
      </c>
      <c r="J678">
        <v>4</v>
      </c>
      <c r="K678" t="s">
        <v>103</v>
      </c>
      <c r="L678" t="s">
        <v>139</v>
      </c>
      <c r="M678">
        <f>orders[[#This Row],[Ship Date]]-orders[[#This Row],[Order Date]]</f>
        <v>1</v>
      </c>
      <c r="N678">
        <f>WEEKNUM(orders[[#This Row],[Order Date]],1)</f>
        <v>5</v>
      </c>
      <c r="O678" t="str">
        <f t="array" ref="O678">_xlfn.IFS(orders[[#This Row],[Customer Gender]]="M","Male", orders[[#This Row],[Customer Gender]]="F","Female", orders[[#This Row],[Customer Gender]]="O","Other", TRUE(),"Unknown")</f>
        <v>Male</v>
      </c>
    </row>
    <row r="679" spans="1:15" x14ac:dyDescent="0.25">
      <c r="A679" t="s">
        <v>907</v>
      </c>
      <c r="B679" t="s">
        <v>88</v>
      </c>
      <c r="C679">
        <v>2</v>
      </c>
      <c r="D679">
        <v>72.2</v>
      </c>
      <c r="E679">
        <v>144.4</v>
      </c>
      <c r="F679" s="58">
        <v>45686</v>
      </c>
      <c r="G679" s="58">
        <v>45688</v>
      </c>
      <c r="H679" t="s">
        <v>231</v>
      </c>
      <c r="I679" t="s">
        <v>61</v>
      </c>
      <c r="J679">
        <v>3</v>
      </c>
      <c r="K679" t="s">
        <v>103</v>
      </c>
      <c r="L679" t="s">
        <v>139</v>
      </c>
      <c r="M679">
        <f>orders[[#This Row],[Ship Date]]-orders[[#This Row],[Order Date]]</f>
        <v>2</v>
      </c>
      <c r="N679">
        <f>WEEKNUM(orders[[#This Row],[Order Date]],1)</f>
        <v>5</v>
      </c>
      <c r="O679" t="str">
        <f t="array" ref="O679">_xlfn.IFS(orders[[#This Row],[Customer Gender]]="M","Male", orders[[#This Row],[Customer Gender]]="F","Female", orders[[#This Row],[Customer Gender]]="O","Other", TRUE(),"Unknown")</f>
        <v>Female</v>
      </c>
    </row>
    <row r="680" spans="1:15" x14ac:dyDescent="0.25">
      <c r="A680" t="s">
        <v>908</v>
      </c>
      <c r="B680" t="s">
        <v>86</v>
      </c>
      <c r="C680">
        <v>1</v>
      </c>
      <c r="D680">
        <v>20</v>
      </c>
      <c r="E680">
        <v>20</v>
      </c>
      <c r="F680" s="58">
        <v>45687</v>
      </c>
      <c r="G680" s="58">
        <v>45690</v>
      </c>
      <c r="H680" t="s">
        <v>231</v>
      </c>
      <c r="I680" t="s">
        <v>62</v>
      </c>
      <c r="J680">
        <v>3</v>
      </c>
      <c r="K680" t="s">
        <v>103</v>
      </c>
      <c r="L680" t="s">
        <v>141</v>
      </c>
      <c r="M680">
        <f>orders[[#This Row],[Ship Date]]-orders[[#This Row],[Order Date]]</f>
        <v>3</v>
      </c>
      <c r="N680">
        <f>WEEKNUM(orders[[#This Row],[Order Date]],1)</f>
        <v>5</v>
      </c>
      <c r="O680" t="str">
        <f t="array" ref="O680">_xlfn.IFS(orders[[#This Row],[Customer Gender]]="M","Male", orders[[#This Row],[Customer Gender]]="F","Female", orders[[#This Row],[Customer Gender]]="O","Other", TRUE(),"Unknown")</f>
        <v>Female</v>
      </c>
    </row>
    <row r="681" spans="1:15" x14ac:dyDescent="0.25">
      <c r="A681" t="s">
        <v>909</v>
      </c>
      <c r="B681" t="s">
        <v>88</v>
      </c>
      <c r="C681">
        <v>2</v>
      </c>
      <c r="D681">
        <v>40.799999999999997</v>
      </c>
      <c r="E681">
        <v>81.599999999999994</v>
      </c>
      <c r="F681" s="58">
        <v>45687</v>
      </c>
      <c r="G681" s="58">
        <v>45689</v>
      </c>
      <c r="H681" t="s">
        <v>231</v>
      </c>
      <c r="I681" t="s">
        <v>60</v>
      </c>
      <c r="J681">
        <v>5</v>
      </c>
      <c r="K681" t="s">
        <v>103</v>
      </c>
      <c r="L681" t="s">
        <v>142</v>
      </c>
      <c r="M681">
        <f>orders[[#This Row],[Ship Date]]-orders[[#This Row],[Order Date]]</f>
        <v>2</v>
      </c>
      <c r="N681">
        <f>WEEKNUM(orders[[#This Row],[Order Date]],1)</f>
        <v>5</v>
      </c>
      <c r="O681" t="str">
        <f t="array" ref="O681">_xlfn.IFS(orders[[#This Row],[Customer Gender]]="M","Male", orders[[#This Row],[Customer Gender]]="F","Female", orders[[#This Row],[Customer Gender]]="O","Other", TRUE(),"Unknown")</f>
        <v>Female</v>
      </c>
    </row>
    <row r="682" spans="1:15" x14ac:dyDescent="0.25">
      <c r="A682" t="s">
        <v>910</v>
      </c>
      <c r="B682" t="s">
        <v>75</v>
      </c>
      <c r="C682">
        <v>4</v>
      </c>
      <c r="D682">
        <v>58</v>
      </c>
      <c r="E682">
        <v>232</v>
      </c>
      <c r="F682" s="58">
        <v>45687</v>
      </c>
      <c r="G682" s="58">
        <v>45691</v>
      </c>
      <c r="H682" t="s">
        <v>231</v>
      </c>
      <c r="I682" t="s">
        <v>59</v>
      </c>
      <c r="J682">
        <v>4</v>
      </c>
      <c r="K682" t="s">
        <v>103</v>
      </c>
      <c r="L682" t="s">
        <v>142</v>
      </c>
      <c r="M682">
        <f>orders[[#This Row],[Ship Date]]-orders[[#This Row],[Order Date]]</f>
        <v>4</v>
      </c>
      <c r="N682">
        <f>WEEKNUM(orders[[#This Row],[Order Date]],1)</f>
        <v>5</v>
      </c>
      <c r="O682" t="str">
        <f t="array" ref="O682">_xlfn.IFS(orders[[#This Row],[Customer Gender]]="M","Male", orders[[#This Row],[Customer Gender]]="F","Female", orders[[#This Row],[Customer Gender]]="O","Other", TRUE(),"Unknown")</f>
        <v>Female</v>
      </c>
    </row>
    <row r="683" spans="1:15" x14ac:dyDescent="0.25">
      <c r="A683" t="s">
        <v>911</v>
      </c>
      <c r="B683" t="s">
        <v>76</v>
      </c>
      <c r="C683">
        <v>2</v>
      </c>
      <c r="D683">
        <v>43.1</v>
      </c>
      <c r="E683">
        <v>86.2</v>
      </c>
      <c r="F683" s="58">
        <v>45687</v>
      </c>
      <c r="G683" s="58">
        <v>45688</v>
      </c>
      <c r="H683" t="s">
        <v>231</v>
      </c>
      <c r="I683" t="s">
        <v>63</v>
      </c>
      <c r="J683">
        <v>5</v>
      </c>
      <c r="K683" t="s">
        <v>103</v>
      </c>
      <c r="L683" t="s">
        <v>142</v>
      </c>
      <c r="M683">
        <f>orders[[#This Row],[Ship Date]]-orders[[#This Row],[Order Date]]</f>
        <v>1</v>
      </c>
      <c r="N683">
        <f>WEEKNUM(orders[[#This Row],[Order Date]],1)</f>
        <v>5</v>
      </c>
      <c r="O683" t="str">
        <f t="array" ref="O683">_xlfn.IFS(orders[[#This Row],[Customer Gender]]="M","Male", orders[[#This Row],[Customer Gender]]="F","Female", orders[[#This Row],[Customer Gender]]="O","Other", TRUE(),"Unknown")</f>
        <v>Female</v>
      </c>
    </row>
    <row r="684" spans="1:15" x14ac:dyDescent="0.25">
      <c r="A684" t="s">
        <v>912</v>
      </c>
      <c r="B684" t="s">
        <v>80</v>
      </c>
      <c r="C684">
        <v>9</v>
      </c>
      <c r="D684">
        <v>74.7</v>
      </c>
      <c r="E684">
        <v>672.3</v>
      </c>
      <c r="F684" s="58">
        <v>45687</v>
      </c>
      <c r="G684" s="58">
        <v>45689</v>
      </c>
      <c r="H684" t="s">
        <v>229</v>
      </c>
      <c r="I684" t="s">
        <v>59</v>
      </c>
      <c r="J684">
        <v>5</v>
      </c>
      <c r="K684" t="s">
        <v>103</v>
      </c>
      <c r="L684" t="s">
        <v>142</v>
      </c>
      <c r="M684">
        <f>orders[[#This Row],[Ship Date]]-orders[[#This Row],[Order Date]]</f>
        <v>2</v>
      </c>
      <c r="N684">
        <f>WEEKNUM(orders[[#This Row],[Order Date]],1)</f>
        <v>5</v>
      </c>
      <c r="O684" t="str">
        <f t="array" ref="O684">_xlfn.IFS(orders[[#This Row],[Customer Gender]]="M","Male", orders[[#This Row],[Customer Gender]]="F","Female", orders[[#This Row],[Customer Gender]]="O","Other", TRUE(),"Unknown")</f>
        <v>Male</v>
      </c>
    </row>
    <row r="685" spans="1:15" x14ac:dyDescent="0.25">
      <c r="A685" t="s">
        <v>913</v>
      </c>
      <c r="B685" t="s">
        <v>80</v>
      </c>
      <c r="C685">
        <v>1</v>
      </c>
      <c r="D685">
        <v>128.19999999999999</v>
      </c>
      <c r="E685">
        <v>128.19999999999999</v>
      </c>
      <c r="F685" s="58">
        <v>45687</v>
      </c>
      <c r="G685" s="58">
        <v>45687</v>
      </c>
      <c r="H685" t="s">
        <v>229</v>
      </c>
      <c r="I685" t="s">
        <v>63</v>
      </c>
      <c r="J685">
        <v>4</v>
      </c>
      <c r="K685" t="s">
        <v>103</v>
      </c>
      <c r="L685" t="s">
        <v>142</v>
      </c>
      <c r="M685">
        <f>orders[[#This Row],[Ship Date]]-orders[[#This Row],[Order Date]]</f>
        <v>0</v>
      </c>
      <c r="N685">
        <f>WEEKNUM(orders[[#This Row],[Order Date]],1)</f>
        <v>5</v>
      </c>
      <c r="O685" t="str">
        <f t="array" ref="O685">_xlfn.IFS(orders[[#This Row],[Customer Gender]]="M","Male", orders[[#This Row],[Customer Gender]]="F","Female", orders[[#This Row],[Customer Gender]]="O","Other", TRUE(),"Unknown")</f>
        <v>Male</v>
      </c>
    </row>
    <row r="686" spans="1:15" x14ac:dyDescent="0.25">
      <c r="A686" t="s">
        <v>914</v>
      </c>
      <c r="B686" t="s">
        <v>74</v>
      </c>
      <c r="C686">
        <v>4</v>
      </c>
      <c r="D686">
        <v>26.7</v>
      </c>
      <c r="E686">
        <v>106.8</v>
      </c>
      <c r="F686" s="58">
        <v>45687</v>
      </c>
      <c r="G686" s="58">
        <v>45688</v>
      </c>
      <c r="H686" t="s">
        <v>229</v>
      </c>
      <c r="I686" t="s">
        <v>63</v>
      </c>
      <c r="J686">
        <v>4</v>
      </c>
      <c r="K686" t="s">
        <v>103</v>
      </c>
      <c r="L686" t="s">
        <v>142</v>
      </c>
      <c r="M686">
        <f>orders[[#This Row],[Ship Date]]-orders[[#This Row],[Order Date]]</f>
        <v>1</v>
      </c>
      <c r="N686">
        <f>WEEKNUM(orders[[#This Row],[Order Date]],1)</f>
        <v>5</v>
      </c>
      <c r="O686" t="str">
        <f t="array" ref="O686">_xlfn.IFS(orders[[#This Row],[Customer Gender]]="M","Male", orders[[#This Row],[Customer Gender]]="F","Female", orders[[#This Row],[Customer Gender]]="O","Other", TRUE(),"Unknown")</f>
        <v>Male</v>
      </c>
    </row>
    <row r="687" spans="1:15" x14ac:dyDescent="0.25">
      <c r="A687" t="s">
        <v>915</v>
      </c>
      <c r="B687" t="s">
        <v>84</v>
      </c>
      <c r="C687">
        <v>6</v>
      </c>
      <c r="D687">
        <v>31.5</v>
      </c>
      <c r="E687">
        <v>189</v>
      </c>
      <c r="F687" s="58">
        <v>45687</v>
      </c>
      <c r="G687" s="58">
        <v>45688</v>
      </c>
      <c r="H687" t="s">
        <v>231</v>
      </c>
      <c r="I687" t="s">
        <v>62</v>
      </c>
      <c r="J687">
        <v>4</v>
      </c>
      <c r="K687" t="s">
        <v>103</v>
      </c>
      <c r="L687" t="s">
        <v>143</v>
      </c>
      <c r="M687">
        <f>orders[[#This Row],[Ship Date]]-orders[[#This Row],[Order Date]]</f>
        <v>1</v>
      </c>
      <c r="N687">
        <f>WEEKNUM(orders[[#This Row],[Order Date]],1)</f>
        <v>5</v>
      </c>
      <c r="O687" t="str">
        <f t="array" ref="O687">_xlfn.IFS(orders[[#This Row],[Customer Gender]]="M","Male", orders[[#This Row],[Customer Gender]]="F","Female", orders[[#This Row],[Customer Gender]]="O","Other", TRUE(),"Unknown")</f>
        <v>Female</v>
      </c>
    </row>
    <row r="688" spans="1:15" x14ac:dyDescent="0.25">
      <c r="A688" t="s">
        <v>916</v>
      </c>
      <c r="B688" t="s">
        <v>93</v>
      </c>
      <c r="C688">
        <v>7</v>
      </c>
      <c r="D688">
        <v>64.7</v>
      </c>
      <c r="E688">
        <v>452.9</v>
      </c>
      <c r="F688" s="58">
        <v>45687</v>
      </c>
      <c r="G688" s="58">
        <v>45688</v>
      </c>
      <c r="H688" t="s">
        <v>231</v>
      </c>
      <c r="I688" t="s">
        <v>59</v>
      </c>
      <c r="J688">
        <v>5</v>
      </c>
      <c r="K688" t="s">
        <v>103</v>
      </c>
      <c r="L688" t="s">
        <v>146</v>
      </c>
      <c r="M688">
        <f>orders[[#This Row],[Ship Date]]-orders[[#This Row],[Order Date]]</f>
        <v>1</v>
      </c>
      <c r="N688">
        <f>WEEKNUM(orders[[#This Row],[Order Date]],1)</f>
        <v>5</v>
      </c>
      <c r="O688" t="str">
        <f t="array" ref="O688">_xlfn.IFS(orders[[#This Row],[Customer Gender]]="M","Male", orders[[#This Row],[Customer Gender]]="F","Female", orders[[#This Row],[Customer Gender]]="O","Other", TRUE(),"Unknown")</f>
        <v>Female</v>
      </c>
    </row>
    <row r="689" spans="1:15" x14ac:dyDescent="0.25">
      <c r="A689" t="s">
        <v>917</v>
      </c>
      <c r="B689" t="s">
        <v>85</v>
      </c>
      <c r="C689">
        <v>2</v>
      </c>
      <c r="D689">
        <v>55.6</v>
      </c>
      <c r="E689">
        <v>111.2</v>
      </c>
      <c r="F689" s="58">
        <v>45687</v>
      </c>
      <c r="G689" s="58">
        <v>45690</v>
      </c>
      <c r="H689" t="s">
        <v>231</v>
      </c>
      <c r="I689" t="s">
        <v>60</v>
      </c>
      <c r="J689">
        <v>4</v>
      </c>
      <c r="K689" t="s">
        <v>103</v>
      </c>
      <c r="L689" t="s">
        <v>148</v>
      </c>
      <c r="M689">
        <f>orders[[#This Row],[Ship Date]]-orders[[#This Row],[Order Date]]</f>
        <v>3</v>
      </c>
      <c r="N689">
        <f>WEEKNUM(orders[[#This Row],[Order Date]],1)</f>
        <v>5</v>
      </c>
      <c r="O689" t="str">
        <f t="array" ref="O689">_xlfn.IFS(orders[[#This Row],[Customer Gender]]="M","Male", orders[[#This Row],[Customer Gender]]="F","Female", orders[[#This Row],[Customer Gender]]="O","Other", TRUE(),"Unknown")</f>
        <v>Female</v>
      </c>
    </row>
    <row r="690" spans="1:15" x14ac:dyDescent="0.25">
      <c r="A690" t="s">
        <v>918</v>
      </c>
      <c r="B690" t="s">
        <v>93</v>
      </c>
      <c r="C690">
        <v>2</v>
      </c>
      <c r="D690">
        <v>36.200000000000003</v>
      </c>
      <c r="E690">
        <v>72.400000000000006</v>
      </c>
      <c r="F690" s="58">
        <v>45687</v>
      </c>
      <c r="G690" s="58">
        <v>45688</v>
      </c>
      <c r="H690" t="s">
        <v>231</v>
      </c>
      <c r="I690" t="s">
        <v>60</v>
      </c>
      <c r="J690">
        <v>4</v>
      </c>
      <c r="K690" t="s">
        <v>103</v>
      </c>
      <c r="L690" t="s">
        <v>148</v>
      </c>
      <c r="M690">
        <f>orders[[#This Row],[Ship Date]]-orders[[#This Row],[Order Date]]</f>
        <v>1</v>
      </c>
      <c r="N690">
        <f>WEEKNUM(orders[[#This Row],[Order Date]],1)</f>
        <v>5</v>
      </c>
      <c r="O690" t="str">
        <f t="array" ref="O690">_xlfn.IFS(orders[[#This Row],[Customer Gender]]="M","Male", orders[[#This Row],[Customer Gender]]="F","Female", orders[[#This Row],[Customer Gender]]="O","Other", TRUE(),"Unknown")</f>
        <v>Female</v>
      </c>
    </row>
    <row r="691" spans="1:15" x14ac:dyDescent="0.25">
      <c r="A691" t="s">
        <v>919</v>
      </c>
      <c r="B691" t="s">
        <v>86</v>
      </c>
      <c r="C691">
        <v>1</v>
      </c>
      <c r="D691">
        <v>26.6</v>
      </c>
      <c r="E691">
        <v>26.6</v>
      </c>
      <c r="F691" s="58">
        <v>45687</v>
      </c>
      <c r="G691" s="58">
        <v>45688</v>
      </c>
      <c r="I691" t="s">
        <v>63</v>
      </c>
      <c r="J691">
        <v>3</v>
      </c>
      <c r="K691" t="s">
        <v>103</v>
      </c>
      <c r="L691" t="s">
        <v>155</v>
      </c>
      <c r="M691">
        <f>orders[[#This Row],[Ship Date]]-orders[[#This Row],[Order Date]]</f>
        <v>1</v>
      </c>
      <c r="N691">
        <f>WEEKNUM(orders[[#This Row],[Order Date]],1)</f>
        <v>5</v>
      </c>
      <c r="O691" t="str">
        <f t="array" ref="O691">_xlfn.IFS(orders[[#This Row],[Customer Gender]]="M","Male", orders[[#This Row],[Customer Gender]]="F","Female", orders[[#This Row],[Customer Gender]]="O","Other", TRUE(),"Unknown")</f>
        <v>Unknown</v>
      </c>
    </row>
    <row r="692" spans="1:15" x14ac:dyDescent="0.25">
      <c r="A692" t="s">
        <v>920</v>
      </c>
      <c r="B692" t="s">
        <v>75</v>
      </c>
      <c r="C692">
        <v>4</v>
      </c>
      <c r="D692">
        <v>31.5</v>
      </c>
      <c r="E692">
        <v>126</v>
      </c>
      <c r="F692" s="58">
        <v>45687</v>
      </c>
      <c r="G692" s="58">
        <v>45689</v>
      </c>
      <c r="H692" t="s">
        <v>229</v>
      </c>
      <c r="I692" t="s">
        <v>59</v>
      </c>
      <c r="J692">
        <v>4</v>
      </c>
      <c r="K692" t="s">
        <v>103</v>
      </c>
      <c r="L692" t="s">
        <v>156</v>
      </c>
      <c r="M692">
        <f>orders[[#This Row],[Ship Date]]-orders[[#This Row],[Order Date]]</f>
        <v>2</v>
      </c>
      <c r="N692">
        <f>WEEKNUM(orders[[#This Row],[Order Date]],1)</f>
        <v>5</v>
      </c>
      <c r="O692" t="str">
        <f t="array" ref="O692">_xlfn.IFS(orders[[#This Row],[Customer Gender]]="M","Male", orders[[#This Row],[Customer Gender]]="F","Female", orders[[#This Row],[Customer Gender]]="O","Other", TRUE(),"Unknown")</f>
        <v>Male</v>
      </c>
    </row>
    <row r="693" spans="1:15" x14ac:dyDescent="0.25">
      <c r="A693" t="s">
        <v>921</v>
      </c>
      <c r="B693" t="s">
        <v>75</v>
      </c>
      <c r="C693">
        <v>1</v>
      </c>
      <c r="D693">
        <v>27</v>
      </c>
      <c r="E693">
        <v>27</v>
      </c>
      <c r="F693" s="58">
        <v>45687</v>
      </c>
      <c r="G693" s="58">
        <v>45689</v>
      </c>
      <c r="H693" t="s">
        <v>231</v>
      </c>
      <c r="I693" t="s">
        <v>63</v>
      </c>
      <c r="J693">
        <v>5</v>
      </c>
      <c r="K693" t="s">
        <v>103</v>
      </c>
      <c r="L693" t="s">
        <v>161</v>
      </c>
      <c r="M693">
        <f>orders[[#This Row],[Ship Date]]-orders[[#This Row],[Order Date]]</f>
        <v>2</v>
      </c>
      <c r="N693">
        <f>WEEKNUM(orders[[#This Row],[Order Date]],1)</f>
        <v>5</v>
      </c>
      <c r="O693" t="str">
        <f t="array" ref="O693">_xlfn.IFS(orders[[#This Row],[Customer Gender]]="M","Male", orders[[#This Row],[Customer Gender]]="F","Female", orders[[#This Row],[Customer Gender]]="O","Other", TRUE(),"Unknown")</f>
        <v>Female</v>
      </c>
    </row>
    <row r="694" spans="1:15" x14ac:dyDescent="0.25">
      <c r="A694" t="s">
        <v>922</v>
      </c>
      <c r="B694" t="s">
        <v>78</v>
      </c>
      <c r="C694">
        <v>1</v>
      </c>
      <c r="D694">
        <v>32</v>
      </c>
      <c r="E694">
        <v>32</v>
      </c>
      <c r="F694" s="58">
        <v>45687</v>
      </c>
      <c r="G694" s="58">
        <v>45690</v>
      </c>
      <c r="H694" t="s">
        <v>229</v>
      </c>
      <c r="I694" t="s">
        <v>60</v>
      </c>
      <c r="J694">
        <v>4</v>
      </c>
      <c r="K694" t="s">
        <v>103</v>
      </c>
      <c r="L694" t="s">
        <v>106</v>
      </c>
      <c r="M694">
        <f>orders[[#This Row],[Ship Date]]-orders[[#This Row],[Order Date]]</f>
        <v>3</v>
      </c>
      <c r="N694">
        <f>WEEKNUM(orders[[#This Row],[Order Date]],1)</f>
        <v>5</v>
      </c>
      <c r="O694" t="str">
        <f t="array" ref="O694">_xlfn.IFS(orders[[#This Row],[Customer Gender]]="M","Male", orders[[#This Row],[Customer Gender]]="F","Female", orders[[#This Row],[Customer Gender]]="O","Other", TRUE(),"Unknown")</f>
        <v>Male</v>
      </c>
    </row>
    <row r="695" spans="1:15" x14ac:dyDescent="0.25">
      <c r="A695" t="s">
        <v>923</v>
      </c>
      <c r="B695" t="s">
        <v>91</v>
      </c>
      <c r="C695">
        <v>3</v>
      </c>
      <c r="D695">
        <v>48.1</v>
      </c>
      <c r="E695">
        <v>144.30000000000001</v>
      </c>
      <c r="F695" s="58">
        <v>45687</v>
      </c>
      <c r="G695" s="58">
        <v>45689</v>
      </c>
      <c r="H695" t="s">
        <v>229</v>
      </c>
      <c r="I695" t="s">
        <v>62</v>
      </c>
      <c r="J695">
        <v>3</v>
      </c>
      <c r="K695" t="s">
        <v>103</v>
      </c>
      <c r="L695" t="s">
        <v>112</v>
      </c>
      <c r="M695">
        <f>orders[[#This Row],[Ship Date]]-orders[[#This Row],[Order Date]]</f>
        <v>2</v>
      </c>
      <c r="N695">
        <f>WEEKNUM(orders[[#This Row],[Order Date]],1)</f>
        <v>5</v>
      </c>
      <c r="O695" t="str">
        <f t="array" ref="O695">_xlfn.IFS(orders[[#This Row],[Customer Gender]]="M","Male", orders[[#This Row],[Customer Gender]]="F","Female", orders[[#This Row],[Customer Gender]]="O","Other", TRUE(),"Unknown")</f>
        <v>Male</v>
      </c>
    </row>
    <row r="696" spans="1:15" x14ac:dyDescent="0.25">
      <c r="A696" t="s">
        <v>924</v>
      </c>
      <c r="B696" t="s">
        <v>88</v>
      </c>
      <c r="C696">
        <v>2</v>
      </c>
      <c r="D696">
        <v>43.4</v>
      </c>
      <c r="E696">
        <v>86.8</v>
      </c>
      <c r="F696" s="58">
        <v>45687</v>
      </c>
      <c r="G696" s="58">
        <v>45688</v>
      </c>
      <c r="H696" t="s">
        <v>229</v>
      </c>
      <c r="I696" t="s">
        <v>63</v>
      </c>
      <c r="J696">
        <v>3</v>
      </c>
      <c r="K696" t="s">
        <v>103</v>
      </c>
      <c r="L696" t="s">
        <v>120</v>
      </c>
      <c r="M696">
        <f>orders[[#This Row],[Ship Date]]-orders[[#This Row],[Order Date]]</f>
        <v>1</v>
      </c>
      <c r="N696">
        <f>WEEKNUM(orders[[#This Row],[Order Date]],1)</f>
        <v>5</v>
      </c>
      <c r="O696" t="str">
        <f t="array" ref="O696">_xlfn.IFS(orders[[#This Row],[Customer Gender]]="M","Male", orders[[#This Row],[Customer Gender]]="F","Female", orders[[#This Row],[Customer Gender]]="O","Other", TRUE(),"Unknown")</f>
        <v>Male</v>
      </c>
    </row>
    <row r="697" spans="1:15" x14ac:dyDescent="0.25">
      <c r="A697" t="s">
        <v>925</v>
      </c>
      <c r="B697" t="s">
        <v>80</v>
      </c>
      <c r="C697">
        <v>2</v>
      </c>
      <c r="D697">
        <v>42.6</v>
      </c>
      <c r="E697">
        <v>85.2</v>
      </c>
      <c r="F697" s="58">
        <v>45687</v>
      </c>
      <c r="G697" s="58">
        <v>45690</v>
      </c>
      <c r="H697" t="s">
        <v>231</v>
      </c>
      <c r="I697" t="s">
        <v>60</v>
      </c>
      <c r="J697">
        <v>4</v>
      </c>
      <c r="K697" t="s">
        <v>103</v>
      </c>
      <c r="L697" t="s">
        <v>120</v>
      </c>
      <c r="M697">
        <f>orders[[#This Row],[Ship Date]]-orders[[#This Row],[Order Date]]</f>
        <v>3</v>
      </c>
      <c r="N697">
        <f>WEEKNUM(orders[[#This Row],[Order Date]],1)</f>
        <v>5</v>
      </c>
      <c r="O697" t="str">
        <f t="array" ref="O697">_xlfn.IFS(orders[[#This Row],[Customer Gender]]="M","Male", orders[[#This Row],[Customer Gender]]="F","Female", orders[[#This Row],[Customer Gender]]="O","Other", TRUE(),"Unknown")</f>
        <v>Female</v>
      </c>
    </row>
    <row r="698" spans="1:15" x14ac:dyDescent="0.25">
      <c r="A698" t="s">
        <v>926</v>
      </c>
      <c r="B698" t="s">
        <v>90</v>
      </c>
      <c r="C698">
        <v>2</v>
      </c>
      <c r="D698">
        <v>15.9</v>
      </c>
      <c r="E698">
        <v>31.8</v>
      </c>
      <c r="F698" s="58">
        <v>45687</v>
      </c>
      <c r="G698" s="58">
        <v>45688</v>
      </c>
      <c r="H698" t="s">
        <v>231</v>
      </c>
      <c r="I698" t="s">
        <v>59</v>
      </c>
      <c r="J698">
        <v>4</v>
      </c>
      <c r="K698" t="s">
        <v>103</v>
      </c>
      <c r="L698" t="s">
        <v>121</v>
      </c>
      <c r="M698">
        <f>orders[[#This Row],[Ship Date]]-orders[[#This Row],[Order Date]]</f>
        <v>1</v>
      </c>
      <c r="N698">
        <f>WEEKNUM(orders[[#This Row],[Order Date]],1)</f>
        <v>5</v>
      </c>
      <c r="O698" t="str">
        <f t="array" ref="O698">_xlfn.IFS(orders[[#This Row],[Customer Gender]]="M","Male", orders[[#This Row],[Customer Gender]]="F","Female", orders[[#This Row],[Customer Gender]]="O","Other", TRUE(),"Unknown")</f>
        <v>Female</v>
      </c>
    </row>
    <row r="699" spans="1:15" x14ac:dyDescent="0.25">
      <c r="A699" t="s">
        <v>927</v>
      </c>
      <c r="B699" t="s">
        <v>88</v>
      </c>
      <c r="C699">
        <v>2</v>
      </c>
      <c r="D699">
        <v>63.2</v>
      </c>
      <c r="E699">
        <v>126.4</v>
      </c>
      <c r="F699" s="58">
        <v>45687</v>
      </c>
      <c r="G699" s="58">
        <v>45688</v>
      </c>
      <c r="H699" t="s">
        <v>229</v>
      </c>
      <c r="I699" t="s">
        <v>63</v>
      </c>
      <c r="J699">
        <v>4</v>
      </c>
      <c r="K699" t="s">
        <v>103</v>
      </c>
      <c r="L699" t="s">
        <v>124</v>
      </c>
      <c r="M699">
        <f>orders[[#This Row],[Ship Date]]-orders[[#This Row],[Order Date]]</f>
        <v>1</v>
      </c>
      <c r="N699">
        <f>WEEKNUM(orders[[#This Row],[Order Date]],1)</f>
        <v>5</v>
      </c>
      <c r="O699" t="str">
        <f t="array" ref="O699">_xlfn.IFS(orders[[#This Row],[Customer Gender]]="M","Male", orders[[#This Row],[Customer Gender]]="F","Female", orders[[#This Row],[Customer Gender]]="O","Other", TRUE(),"Unknown")</f>
        <v>Male</v>
      </c>
    </row>
    <row r="700" spans="1:15" x14ac:dyDescent="0.25">
      <c r="A700" t="s">
        <v>928</v>
      </c>
      <c r="B700" t="s">
        <v>79</v>
      </c>
      <c r="C700">
        <v>4</v>
      </c>
      <c r="D700">
        <v>64.8</v>
      </c>
      <c r="E700">
        <v>259.2</v>
      </c>
      <c r="F700" s="58">
        <v>45687</v>
      </c>
      <c r="G700" s="58">
        <v>45689</v>
      </c>
      <c r="I700" t="s">
        <v>61</v>
      </c>
      <c r="J700">
        <v>3</v>
      </c>
      <c r="K700" t="s">
        <v>103</v>
      </c>
      <c r="L700" t="s">
        <v>124</v>
      </c>
      <c r="M700">
        <f>orders[[#This Row],[Ship Date]]-orders[[#This Row],[Order Date]]</f>
        <v>2</v>
      </c>
      <c r="N700">
        <f>WEEKNUM(orders[[#This Row],[Order Date]],1)</f>
        <v>5</v>
      </c>
      <c r="O700" t="str">
        <f t="array" ref="O700">_xlfn.IFS(orders[[#This Row],[Customer Gender]]="M","Male", orders[[#This Row],[Customer Gender]]="F","Female", orders[[#This Row],[Customer Gender]]="O","Other", TRUE(),"Unknown")</f>
        <v>Unknown</v>
      </c>
    </row>
    <row r="701" spans="1:15" x14ac:dyDescent="0.25">
      <c r="A701" t="s">
        <v>929</v>
      </c>
      <c r="B701" t="s">
        <v>79</v>
      </c>
      <c r="C701">
        <v>3</v>
      </c>
      <c r="D701">
        <v>79.8</v>
      </c>
      <c r="E701">
        <v>239.4</v>
      </c>
      <c r="F701" s="58">
        <v>45687</v>
      </c>
      <c r="G701" s="58">
        <v>45688</v>
      </c>
      <c r="H701" t="s">
        <v>229</v>
      </c>
      <c r="I701" t="s">
        <v>59</v>
      </c>
      <c r="J701">
        <v>4</v>
      </c>
      <c r="K701" t="s">
        <v>103</v>
      </c>
      <c r="L701" t="s">
        <v>124</v>
      </c>
      <c r="M701">
        <f>orders[[#This Row],[Ship Date]]-orders[[#This Row],[Order Date]]</f>
        <v>1</v>
      </c>
      <c r="N701">
        <f>WEEKNUM(orders[[#This Row],[Order Date]],1)</f>
        <v>5</v>
      </c>
      <c r="O701" t="str">
        <f t="array" ref="O701">_xlfn.IFS(orders[[#This Row],[Customer Gender]]="M","Male", orders[[#This Row],[Customer Gender]]="F","Female", orders[[#This Row],[Customer Gender]]="O","Other", TRUE(),"Unknown")</f>
        <v>Male</v>
      </c>
    </row>
    <row r="702" spans="1:15" x14ac:dyDescent="0.25">
      <c r="A702" t="s">
        <v>930</v>
      </c>
      <c r="B702" t="s">
        <v>88</v>
      </c>
      <c r="C702">
        <v>1</v>
      </c>
      <c r="D702">
        <v>54.4</v>
      </c>
      <c r="E702">
        <v>54.4</v>
      </c>
      <c r="F702" s="58">
        <v>45687</v>
      </c>
      <c r="G702" s="58">
        <v>45689</v>
      </c>
      <c r="H702" t="s">
        <v>231</v>
      </c>
      <c r="I702" t="s">
        <v>61</v>
      </c>
      <c r="J702">
        <v>5</v>
      </c>
      <c r="K702" t="s">
        <v>103</v>
      </c>
      <c r="L702" t="s">
        <v>124</v>
      </c>
      <c r="M702">
        <f>orders[[#This Row],[Ship Date]]-orders[[#This Row],[Order Date]]</f>
        <v>2</v>
      </c>
      <c r="N702">
        <f>WEEKNUM(orders[[#This Row],[Order Date]],1)</f>
        <v>5</v>
      </c>
      <c r="O702" t="str">
        <f t="array" ref="O702">_xlfn.IFS(orders[[#This Row],[Customer Gender]]="M","Male", orders[[#This Row],[Customer Gender]]="F","Female", orders[[#This Row],[Customer Gender]]="O","Other", TRUE(),"Unknown")</f>
        <v>Female</v>
      </c>
    </row>
    <row r="703" spans="1:15" x14ac:dyDescent="0.25">
      <c r="A703" t="s">
        <v>931</v>
      </c>
      <c r="B703" t="s">
        <v>80</v>
      </c>
      <c r="C703">
        <v>1</v>
      </c>
      <c r="D703">
        <v>87.3</v>
      </c>
      <c r="E703">
        <v>87.3</v>
      </c>
      <c r="F703" s="58">
        <v>45687</v>
      </c>
      <c r="G703" s="58">
        <v>45688</v>
      </c>
      <c r="H703" t="s">
        <v>229</v>
      </c>
      <c r="I703" t="s">
        <v>63</v>
      </c>
      <c r="J703">
        <v>4</v>
      </c>
      <c r="K703" t="s">
        <v>103</v>
      </c>
      <c r="L703" t="s">
        <v>124</v>
      </c>
      <c r="M703">
        <f>orders[[#This Row],[Ship Date]]-orders[[#This Row],[Order Date]]</f>
        <v>1</v>
      </c>
      <c r="N703">
        <f>WEEKNUM(orders[[#This Row],[Order Date]],1)</f>
        <v>5</v>
      </c>
      <c r="O703" t="str">
        <f t="array" ref="O703">_xlfn.IFS(orders[[#This Row],[Customer Gender]]="M","Male", orders[[#This Row],[Customer Gender]]="F","Female", orders[[#This Row],[Customer Gender]]="O","Other", TRUE(),"Unknown")</f>
        <v>Male</v>
      </c>
    </row>
    <row r="704" spans="1:15" x14ac:dyDescent="0.25">
      <c r="A704" t="s">
        <v>932</v>
      </c>
      <c r="B704" t="s">
        <v>90</v>
      </c>
      <c r="C704">
        <v>4</v>
      </c>
      <c r="D704">
        <v>32.4</v>
      </c>
      <c r="E704">
        <v>129.6</v>
      </c>
      <c r="F704" s="58">
        <v>45687</v>
      </c>
      <c r="G704" s="58">
        <v>45687</v>
      </c>
      <c r="H704" t="s">
        <v>229</v>
      </c>
      <c r="I704" t="s">
        <v>63</v>
      </c>
      <c r="J704">
        <v>4</v>
      </c>
      <c r="K704" t="s">
        <v>103</v>
      </c>
      <c r="L704" t="s">
        <v>124</v>
      </c>
      <c r="M704">
        <f>orders[[#This Row],[Ship Date]]-orders[[#This Row],[Order Date]]</f>
        <v>0</v>
      </c>
      <c r="N704">
        <f>WEEKNUM(orders[[#This Row],[Order Date]],1)</f>
        <v>5</v>
      </c>
      <c r="O704" t="str">
        <f t="array" ref="O704">_xlfn.IFS(orders[[#This Row],[Customer Gender]]="M","Male", orders[[#This Row],[Customer Gender]]="F","Female", orders[[#This Row],[Customer Gender]]="O","Other", TRUE(),"Unknown")</f>
        <v>Male</v>
      </c>
    </row>
    <row r="705" spans="1:15" x14ac:dyDescent="0.25">
      <c r="A705" t="s">
        <v>933</v>
      </c>
      <c r="B705" t="s">
        <v>87</v>
      </c>
      <c r="C705">
        <v>1</v>
      </c>
      <c r="D705">
        <v>177.4</v>
      </c>
      <c r="E705">
        <v>177.4</v>
      </c>
      <c r="F705" s="58">
        <v>45687</v>
      </c>
      <c r="G705" s="58">
        <v>45691</v>
      </c>
      <c r="H705" t="s">
        <v>229</v>
      </c>
      <c r="I705" t="s">
        <v>59</v>
      </c>
      <c r="J705">
        <v>5</v>
      </c>
      <c r="K705" t="s">
        <v>103</v>
      </c>
      <c r="L705" t="s">
        <v>124</v>
      </c>
      <c r="M705">
        <f>orders[[#This Row],[Ship Date]]-orders[[#This Row],[Order Date]]</f>
        <v>4</v>
      </c>
      <c r="N705">
        <f>WEEKNUM(orders[[#This Row],[Order Date]],1)</f>
        <v>5</v>
      </c>
      <c r="O705" t="str">
        <f t="array" ref="O705">_xlfn.IFS(orders[[#This Row],[Customer Gender]]="M","Male", orders[[#This Row],[Customer Gender]]="F","Female", orders[[#This Row],[Customer Gender]]="O","Other", TRUE(),"Unknown")</f>
        <v>Male</v>
      </c>
    </row>
    <row r="706" spans="1:15" x14ac:dyDescent="0.25">
      <c r="A706" t="s">
        <v>934</v>
      </c>
      <c r="B706" t="s">
        <v>79</v>
      </c>
      <c r="C706">
        <v>2</v>
      </c>
      <c r="D706">
        <v>70.099999999999994</v>
      </c>
      <c r="E706">
        <v>140.19999999999999</v>
      </c>
      <c r="F706" s="58">
        <v>45687</v>
      </c>
      <c r="G706" s="58">
        <v>45688</v>
      </c>
      <c r="H706" t="s">
        <v>229</v>
      </c>
      <c r="I706" t="s">
        <v>60</v>
      </c>
      <c r="J706">
        <v>3</v>
      </c>
      <c r="K706" t="s">
        <v>103</v>
      </c>
      <c r="L706" t="s">
        <v>124</v>
      </c>
      <c r="M706">
        <f>orders[[#This Row],[Ship Date]]-orders[[#This Row],[Order Date]]</f>
        <v>1</v>
      </c>
      <c r="N706">
        <f>WEEKNUM(orders[[#This Row],[Order Date]],1)</f>
        <v>5</v>
      </c>
      <c r="O706" t="str">
        <f t="array" ref="O706">_xlfn.IFS(orders[[#This Row],[Customer Gender]]="M","Male", orders[[#This Row],[Customer Gender]]="F","Female", orders[[#This Row],[Customer Gender]]="O","Other", TRUE(),"Unknown")</f>
        <v>Male</v>
      </c>
    </row>
    <row r="707" spans="1:15" x14ac:dyDescent="0.25">
      <c r="A707" t="s">
        <v>935</v>
      </c>
      <c r="B707" t="s">
        <v>88</v>
      </c>
      <c r="C707">
        <v>6</v>
      </c>
      <c r="D707">
        <v>51.1</v>
      </c>
      <c r="E707">
        <v>306.60000000000002</v>
      </c>
      <c r="F707" s="58">
        <v>45687</v>
      </c>
      <c r="G707" s="58">
        <v>45688</v>
      </c>
      <c r="H707" t="s">
        <v>231</v>
      </c>
      <c r="I707" t="s">
        <v>59</v>
      </c>
      <c r="J707">
        <v>4</v>
      </c>
      <c r="K707" t="s">
        <v>103</v>
      </c>
      <c r="L707" t="s">
        <v>124</v>
      </c>
      <c r="M707">
        <f>orders[[#This Row],[Ship Date]]-orders[[#This Row],[Order Date]]</f>
        <v>1</v>
      </c>
      <c r="N707">
        <f>WEEKNUM(orders[[#This Row],[Order Date]],1)</f>
        <v>5</v>
      </c>
      <c r="O707" t="str">
        <f t="array" ref="O707">_xlfn.IFS(orders[[#This Row],[Customer Gender]]="M","Male", orders[[#This Row],[Customer Gender]]="F","Female", orders[[#This Row],[Customer Gender]]="O","Other", TRUE(),"Unknown")</f>
        <v>Female</v>
      </c>
    </row>
    <row r="708" spans="1:15" x14ac:dyDescent="0.25">
      <c r="A708" t="s">
        <v>936</v>
      </c>
      <c r="B708" t="s">
        <v>87</v>
      </c>
      <c r="C708">
        <v>5</v>
      </c>
      <c r="D708">
        <v>79.900000000000006</v>
      </c>
      <c r="E708">
        <v>399.5</v>
      </c>
      <c r="F708" s="58">
        <v>45687</v>
      </c>
      <c r="G708" s="58">
        <v>45689</v>
      </c>
      <c r="H708" t="s">
        <v>229</v>
      </c>
      <c r="I708" t="s">
        <v>60</v>
      </c>
      <c r="J708">
        <v>5</v>
      </c>
      <c r="K708" t="s">
        <v>103</v>
      </c>
      <c r="L708" t="s">
        <v>129</v>
      </c>
      <c r="M708">
        <f>orders[[#This Row],[Ship Date]]-orders[[#This Row],[Order Date]]</f>
        <v>2</v>
      </c>
      <c r="N708">
        <f>WEEKNUM(orders[[#This Row],[Order Date]],1)</f>
        <v>5</v>
      </c>
      <c r="O708" t="str">
        <f t="array" ref="O708">_xlfn.IFS(orders[[#This Row],[Customer Gender]]="M","Male", orders[[#This Row],[Customer Gender]]="F","Female", orders[[#This Row],[Customer Gender]]="O","Other", TRUE(),"Unknown")</f>
        <v>Male</v>
      </c>
    </row>
    <row r="709" spans="1:15" x14ac:dyDescent="0.25">
      <c r="A709" t="s">
        <v>937</v>
      </c>
      <c r="B709" t="s">
        <v>80</v>
      </c>
      <c r="C709">
        <v>1</v>
      </c>
      <c r="D709">
        <v>57.6</v>
      </c>
      <c r="E709">
        <v>57.6</v>
      </c>
      <c r="F709" s="58">
        <v>45688</v>
      </c>
      <c r="G709" s="58">
        <v>45693</v>
      </c>
      <c r="H709" t="s">
        <v>229</v>
      </c>
      <c r="I709" t="s">
        <v>59</v>
      </c>
      <c r="J709">
        <v>5</v>
      </c>
      <c r="K709" t="s">
        <v>103</v>
      </c>
      <c r="L709" t="s">
        <v>132</v>
      </c>
      <c r="M709">
        <f>orders[[#This Row],[Ship Date]]-orders[[#This Row],[Order Date]]</f>
        <v>5</v>
      </c>
      <c r="N709">
        <f>WEEKNUM(orders[[#This Row],[Order Date]],1)</f>
        <v>5</v>
      </c>
      <c r="O709" t="str">
        <f t="array" ref="O709">_xlfn.IFS(orders[[#This Row],[Customer Gender]]="M","Male", orders[[#This Row],[Customer Gender]]="F","Female", orders[[#This Row],[Customer Gender]]="O","Other", TRUE(),"Unknown")</f>
        <v>Male</v>
      </c>
    </row>
    <row r="710" spans="1:15" x14ac:dyDescent="0.25">
      <c r="A710" t="s">
        <v>938</v>
      </c>
      <c r="B710" t="s">
        <v>90</v>
      </c>
      <c r="C710">
        <v>10</v>
      </c>
      <c r="D710">
        <v>59.7</v>
      </c>
      <c r="E710">
        <v>597</v>
      </c>
      <c r="F710" s="58">
        <v>45688</v>
      </c>
      <c r="G710" s="58">
        <v>45692</v>
      </c>
      <c r="H710" t="s">
        <v>229</v>
      </c>
      <c r="I710" t="s">
        <v>62</v>
      </c>
      <c r="J710">
        <v>4</v>
      </c>
      <c r="K710" t="s">
        <v>103</v>
      </c>
      <c r="L710" t="s">
        <v>135</v>
      </c>
      <c r="M710">
        <f>orders[[#This Row],[Ship Date]]-orders[[#This Row],[Order Date]]</f>
        <v>4</v>
      </c>
      <c r="N710">
        <f>WEEKNUM(orders[[#This Row],[Order Date]],1)</f>
        <v>5</v>
      </c>
      <c r="O710" t="str">
        <f t="array" ref="O710">_xlfn.IFS(orders[[#This Row],[Customer Gender]]="M","Male", orders[[#This Row],[Customer Gender]]="F","Female", orders[[#This Row],[Customer Gender]]="O","Other", TRUE(),"Unknown")</f>
        <v>Male</v>
      </c>
    </row>
    <row r="711" spans="1:15" x14ac:dyDescent="0.25">
      <c r="A711" t="s">
        <v>939</v>
      </c>
      <c r="B711" t="s">
        <v>90</v>
      </c>
      <c r="C711">
        <v>5</v>
      </c>
      <c r="D711">
        <v>30</v>
      </c>
      <c r="E711">
        <v>150</v>
      </c>
      <c r="F711" s="58">
        <v>45688</v>
      </c>
      <c r="G711" s="58">
        <v>45690</v>
      </c>
      <c r="H711" t="s">
        <v>229</v>
      </c>
      <c r="I711" t="s">
        <v>63</v>
      </c>
      <c r="J711">
        <v>4</v>
      </c>
      <c r="K711" t="s">
        <v>103</v>
      </c>
      <c r="L711" t="s">
        <v>139</v>
      </c>
      <c r="M711">
        <f>orders[[#This Row],[Ship Date]]-orders[[#This Row],[Order Date]]</f>
        <v>2</v>
      </c>
      <c r="N711">
        <f>WEEKNUM(orders[[#This Row],[Order Date]],1)</f>
        <v>5</v>
      </c>
      <c r="O711" t="str">
        <f t="array" ref="O711">_xlfn.IFS(orders[[#This Row],[Customer Gender]]="M","Male", orders[[#This Row],[Customer Gender]]="F","Female", orders[[#This Row],[Customer Gender]]="O","Other", TRUE(),"Unknown")</f>
        <v>Male</v>
      </c>
    </row>
    <row r="712" spans="1:15" x14ac:dyDescent="0.25">
      <c r="A712" t="s">
        <v>940</v>
      </c>
      <c r="B712" t="s">
        <v>75</v>
      </c>
      <c r="C712">
        <v>2</v>
      </c>
      <c r="D712">
        <v>69.2</v>
      </c>
      <c r="E712">
        <v>138.4</v>
      </c>
      <c r="F712" s="58">
        <v>45688</v>
      </c>
      <c r="G712" s="58">
        <v>45690</v>
      </c>
      <c r="I712" t="s">
        <v>62</v>
      </c>
      <c r="J712">
        <v>3</v>
      </c>
      <c r="K712" t="s">
        <v>103</v>
      </c>
      <c r="L712" t="s">
        <v>139</v>
      </c>
      <c r="M712">
        <f>orders[[#This Row],[Ship Date]]-orders[[#This Row],[Order Date]]</f>
        <v>2</v>
      </c>
      <c r="N712">
        <f>WEEKNUM(orders[[#This Row],[Order Date]],1)</f>
        <v>5</v>
      </c>
      <c r="O712" t="str">
        <f t="array" ref="O712">_xlfn.IFS(orders[[#This Row],[Customer Gender]]="M","Male", orders[[#This Row],[Customer Gender]]="F","Female", orders[[#This Row],[Customer Gender]]="O","Other", TRUE(),"Unknown")</f>
        <v>Unknown</v>
      </c>
    </row>
    <row r="713" spans="1:15" x14ac:dyDescent="0.25">
      <c r="A713" t="s">
        <v>941</v>
      </c>
      <c r="B713" t="s">
        <v>86</v>
      </c>
      <c r="C713">
        <v>8</v>
      </c>
      <c r="D713">
        <v>10.9</v>
      </c>
      <c r="E713">
        <v>87.2</v>
      </c>
      <c r="F713" s="58">
        <v>45688</v>
      </c>
      <c r="G713" s="58">
        <v>45689</v>
      </c>
      <c r="H713" t="s">
        <v>231</v>
      </c>
      <c r="I713" t="s">
        <v>59</v>
      </c>
      <c r="J713">
        <v>5</v>
      </c>
      <c r="K713" t="s">
        <v>103</v>
      </c>
      <c r="L713" t="s">
        <v>139</v>
      </c>
      <c r="M713">
        <f>orders[[#This Row],[Ship Date]]-orders[[#This Row],[Order Date]]</f>
        <v>1</v>
      </c>
      <c r="N713">
        <f>WEEKNUM(orders[[#This Row],[Order Date]],1)</f>
        <v>5</v>
      </c>
      <c r="O713" t="str">
        <f t="array" ref="O713">_xlfn.IFS(orders[[#This Row],[Customer Gender]]="M","Male", orders[[#This Row],[Customer Gender]]="F","Female", orders[[#This Row],[Customer Gender]]="O","Other", TRUE(),"Unknown")</f>
        <v>Female</v>
      </c>
    </row>
    <row r="714" spans="1:15" x14ac:dyDescent="0.25">
      <c r="A714" t="s">
        <v>942</v>
      </c>
      <c r="B714" t="s">
        <v>89</v>
      </c>
      <c r="C714">
        <v>2</v>
      </c>
      <c r="D714">
        <v>48.6</v>
      </c>
      <c r="E714">
        <v>97.2</v>
      </c>
      <c r="F714" s="58">
        <v>45688</v>
      </c>
      <c r="G714" s="58">
        <v>45692</v>
      </c>
      <c r="H714" t="s">
        <v>229</v>
      </c>
      <c r="I714" t="s">
        <v>63</v>
      </c>
      <c r="J714">
        <v>5</v>
      </c>
      <c r="K714" t="s">
        <v>103</v>
      </c>
      <c r="L714" t="s">
        <v>139</v>
      </c>
      <c r="M714">
        <f>orders[[#This Row],[Ship Date]]-orders[[#This Row],[Order Date]]</f>
        <v>4</v>
      </c>
      <c r="N714">
        <f>WEEKNUM(orders[[#This Row],[Order Date]],1)</f>
        <v>5</v>
      </c>
      <c r="O714" t="str">
        <f t="array" ref="O714">_xlfn.IFS(orders[[#This Row],[Customer Gender]]="M","Male", orders[[#This Row],[Customer Gender]]="F","Female", orders[[#This Row],[Customer Gender]]="O","Other", TRUE(),"Unknown")</f>
        <v>Male</v>
      </c>
    </row>
    <row r="715" spans="1:15" x14ac:dyDescent="0.25">
      <c r="A715" t="s">
        <v>943</v>
      </c>
      <c r="B715" t="s">
        <v>87</v>
      </c>
      <c r="C715">
        <v>2</v>
      </c>
      <c r="D715">
        <v>61.1</v>
      </c>
      <c r="E715">
        <v>122.2</v>
      </c>
      <c r="F715" s="58">
        <v>45688</v>
      </c>
      <c r="G715" s="58">
        <v>45691</v>
      </c>
      <c r="H715" t="s">
        <v>231</v>
      </c>
      <c r="I715" t="s">
        <v>63</v>
      </c>
      <c r="J715">
        <v>5</v>
      </c>
      <c r="K715" t="s">
        <v>103</v>
      </c>
      <c r="L715" t="s">
        <v>141</v>
      </c>
      <c r="M715">
        <f>orders[[#This Row],[Ship Date]]-orders[[#This Row],[Order Date]]</f>
        <v>3</v>
      </c>
      <c r="N715">
        <f>WEEKNUM(orders[[#This Row],[Order Date]],1)</f>
        <v>5</v>
      </c>
      <c r="O715" t="str">
        <f t="array" ref="O715">_xlfn.IFS(orders[[#This Row],[Customer Gender]]="M","Male", orders[[#This Row],[Customer Gender]]="F","Female", orders[[#This Row],[Customer Gender]]="O","Other", TRUE(),"Unknown")</f>
        <v>Female</v>
      </c>
    </row>
    <row r="716" spans="1:15" x14ac:dyDescent="0.25">
      <c r="A716" t="s">
        <v>944</v>
      </c>
      <c r="B716" t="s">
        <v>90</v>
      </c>
      <c r="C716">
        <v>2</v>
      </c>
      <c r="D716">
        <v>23.2</v>
      </c>
      <c r="E716">
        <v>46.4</v>
      </c>
      <c r="F716" s="58">
        <v>45688</v>
      </c>
      <c r="G716" s="58">
        <v>45689</v>
      </c>
      <c r="H716" t="s">
        <v>229</v>
      </c>
      <c r="I716" t="s">
        <v>60</v>
      </c>
      <c r="J716">
        <v>5</v>
      </c>
      <c r="K716" t="s">
        <v>103</v>
      </c>
      <c r="L716" t="s">
        <v>142</v>
      </c>
      <c r="M716">
        <f>orders[[#This Row],[Ship Date]]-orders[[#This Row],[Order Date]]</f>
        <v>1</v>
      </c>
      <c r="N716">
        <f>WEEKNUM(orders[[#This Row],[Order Date]],1)</f>
        <v>5</v>
      </c>
      <c r="O716" t="str">
        <f t="array" ref="O716">_xlfn.IFS(orders[[#This Row],[Customer Gender]]="M","Male", orders[[#This Row],[Customer Gender]]="F","Female", orders[[#This Row],[Customer Gender]]="O","Other", TRUE(),"Unknown")</f>
        <v>Male</v>
      </c>
    </row>
    <row r="717" spans="1:15" x14ac:dyDescent="0.25">
      <c r="A717" t="s">
        <v>945</v>
      </c>
      <c r="B717" t="s">
        <v>76</v>
      </c>
      <c r="C717">
        <v>4</v>
      </c>
      <c r="D717">
        <v>55.8</v>
      </c>
      <c r="E717">
        <v>223.2</v>
      </c>
      <c r="F717" s="58">
        <v>45688</v>
      </c>
      <c r="G717" s="58">
        <v>45689</v>
      </c>
      <c r="H717" t="s">
        <v>229</v>
      </c>
      <c r="I717" t="s">
        <v>59</v>
      </c>
      <c r="J717">
        <v>4</v>
      </c>
      <c r="K717" t="s">
        <v>103</v>
      </c>
      <c r="L717" t="s">
        <v>142</v>
      </c>
      <c r="M717">
        <f>orders[[#This Row],[Ship Date]]-orders[[#This Row],[Order Date]]</f>
        <v>1</v>
      </c>
      <c r="N717">
        <f>WEEKNUM(orders[[#This Row],[Order Date]],1)</f>
        <v>5</v>
      </c>
      <c r="O717" t="str">
        <f t="array" ref="O717">_xlfn.IFS(orders[[#This Row],[Customer Gender]]="M","Male", orders[[#This Row],[Customer Gender]]="F","Female", orders[[#This Row],[Customer Gender]]="O","Other", TRUE(),"Unknown")</f>
        <v>Male</v>
      </c>
    </row>
    <row r="718" spans="1:15" x14ac:dyDescent="0.25">
      <c r="A718" t="s">
        <v>946</v>
      </c>
      <c r="B718" t="s">
        <v>88</v>
      </c>
      <c r="C718">
        <v>4</v>
      </c>
      <c r="D718">
        <v>24.8</v>
      </c>
      <c r="E718">
        <v>99.2</v>
      </c>
      <c r="F718" s="58">
        <v>45688</v>
      </c>
      <c r="G718" s="58">
        <v>45689</v>
      </c>
      <c r="H718" t="s">
        <v>231</v>
      </c>
      <c r="I718" t="s">
        <v>59</v>
      </c>
      <c r="J718">
        <v>5</v>
      </c>
      <c r="K718" t="s">
        <v>103</v>
      </c>
      <c r="L718" t="s">
        <v>142</v>
      </c>
      <c r="M718">
        <f>orders[[#This Row],[Ship Date]]-orders[[#This Row],[Order Date]]</f>
        <v>1</v>
      </c>
      <c r="N718">
        <f>WEEKNUM(orders[[#This Row],[Order Date]],1)</f>
        <v>5</v>
      </c>
      <c r="O718" t="str">
        <f t="array" ref="O718">_xlfn.IFS(orders[[#This Row],[Customer Gender]]="M","Male", orders[[#This Row],[Customer Gender]]="F","Female", orders[[#This Row],[Customer Gender]]="O","Other", TRUE(),"Unknown")</f>
        <v>Female</v>
      </c>
    </row>
    <row r="719" spans="1:15" x14ac:dyDescent="0.25">
      <c r="A719" t="s">
        <v>947</v>
      </c>
      <c r="B719" t="s">
        <v>75</v>
      </c>
      <c r="C719">
        <v>2</v>
      </c>
      <c r="D719">
        <v>27.9</v>
      </c>
      <c r="E719">
        <v>55.8</v>
      </c>
      <c r="F719" s="58">
        <v>45688</v>
      </c>
      <c r="G719" s="58">
        <v>45688</v>
      </c>
      <c r="H719" t="s">
        <v>229</v>
      </c>
      <c r="I719" t="s">
        <v>62</v>
      </c>
      <c r="J719">
        <v>5</v>
      </c>
      <c r="K719" t="s">
        <v>103</v>
      </c>
      <c r="L719" t="s">
        <v>142</v>
      </c>
      <c r="M719">
        <f>orders[[#This Row],[Ship Date]]-orders[[#This Row],[Order Date]]</f>
        <v>0</v>
      </c>
      <c r="N719">
        <f>WEEKNUM(orders[[#This Row],[Order Date]],1)</f>
        <v>5</v>
      </c>
      <c r="O719" t="str">
        <f t="array" ref="O719">_xlfn.IFS(orders[[#This Row],[Customer Gender]]="M","Male", orders[[#This Row],[Customer Gender]]="F","Female", orders[[#This Row],[Customer Gender]]="O","Other", TRUE(),"Unknown")</f>
        <v>Male</v>
      </c>
    </row>
    <row r="720" spans="1:15" x14ac:dyDescent="0.25">
      <c r="A720" t="s">
        <v>948</v>
      </c>
      <c r="B720" t="s">
        <v>75</v>
      </c>
      <c r="C720">
        <v>6</v>
      </c>
      <c r="D720">
        <v>51.1</v>
      </c>
      <c r="E720">
        <v>306.60000000000002</v>
      </c>
      <c r="F720" s="58">
        <v>45688</v>
      </c>
      <c r="G720" s="58">
        <v>45688</v>
      </c>
      <c r="H720" t="s">
        <v>231</v>
      </c>
      <c r="I720" t="s">
        <v>60</v>
      </c>
      <c r="J720">
        <v>4</v>
      </c>
      <c r="K720" t="s">
        <v>103</v>
      </c>
      <c r="L720" t="s">
        <v>142</v>
      </c>
      <c r="M720">
        <f>orders[[#This Row],[Ship Date]]-orders[[#This Row],[Order Date]]</f>
        <v>0</v>
      </c>
      <c r="N720">
        <f>WEEKNUM(orders[[#This Row],[Order Date]],1)</f>
        <v>5</v>
      </c>
      <c r="O720" t="str">
        <f t="array" ref="O720">_xlfn.IFS(orders[[#This Row],[Customer Gender]]="M","Male", orders[[#This Row],[Customer Gender]]="F","Female", orders[[#This Row],[Customer Gender]]="O","Other", TRUE(),"Unknown")</f>
        <v>Female</v>
      </c>
    </row>
    <row r="721" spans="1:15" x14ac:dyDescent="0.25">
      <c r="A721" t="s">
        <v>949</v>
      </c>
      <c r="B721" t="s">
        <v>84</v>
      </c>
      <c r="C721">
        <v>11</v>
      </c>
      <c r="D721">
        <v>32.700000000000003</v>
      </c>
      <c r="E721">
        <v>359.7</v>
      </c>
      <c r="F721" s="58">
        <v>45688</v>
      </c>
      <c r="G721" s="58">
        <v>45689</v>
      </c>
      <c r="H721" t="s">
        <v>229</v>
      </c>
      <c r="I721" t="s">
        <v>61</v>
      </c>
      <c r="J721">
        <v>5</v>
      </c>
      <c r="K721" t="s">
        <v>103</v>
      </c>
      <c r="L721" t="s">
        <v>143</v>
      </c>
      <c r="M721">
        <f>orders[[#This Row],[Ship Date]]-orders[[#This Row],[Order Date]]</f>
        <v>1</v>
      </c>
      <c r="N721">
        <f>WEEKNUM(orders[[#This Row],[Order Date]],1)</f>
        <v>5</v>
      </c>
      <c r="O721" t="str">
        <f t="array" ref="O721">_xlfn.IFS(orders[[#This Row],[Customer Gender]]="M","Male", orders[[#This Row],[Customer Gender]]="F","Female", orders[[#This Row],[Customer Gender]]="O","Other", TRUE(),"Unknown")</f>
        <v>Male</v>
      </c>
    </row>
    <row r="722" spans="1:15" x14ac:dyDescent="0.25">
      <c r="A722" t="s">
        <v>950</v>
      </c>
      <c r="B722" t="s">
        <v>90</v>
      </c>
      <c r="C722">
        <v>4</v>
      </c>
      <c r="D722">
        <v>22.5</v>
      </c>
      <c r="E722">
        <v>90</v>
      </c>
      <c r="F722" s="58">
        <v>45688</v>
      </c>
      <c r="G722" s="58">
        <v>45688</v>
      </c>
      <c r="H722" t="s">
        <v>229</v>
      </c>
      <c r="I722" t="s">
        <v>59</v>
      </c>
      <c r="J722">
        <v>5</v>
      </c>
      <c r="K722" t="s">
        <v>103</v>
      </c>
      <c r="L722" t="s">
        <v>144</v>
      </c>
      <c r="M722">
        <f>orders[[#This Row],[Ship Date]]-orders[[#This Row],[Order Date]]</f>
        <v>0</v>
      </c>
      <c r="N722">
        <f>WEEKNUM(orders[[#This Row],[Order Date]],1)</f>
        <v>5</v>
      </c>
      <c r="O722" t="str">
        <f t="array" ref="O722">_xlfn.IFS(orders[[#This Row],[Customer Gender]]="M","Male", orders[[#This Row],[Customer Gender]]="F","Female", orders[[#This Row],[Customer Gender]]="O","Other", TRUE(),"Unknown")</f>
        <v>Male</v>
      </c>
    </row>
    <row r="723" spans="1:15" x14ac:dyDescent="0.25">
      <c r="A723" t="s">
        <v>951</v>
      </c>
      <c r="B723" t="s">
        <v>86</v>
      </c>
      <c r="C723">
        <v>7</v>
      </c>
      <c r="D723">
        <v>14.6</v>
      </c>
      <c r="E723">
        <v>102.2</v>
      </c>
      <c r="F723" s="58">
        <v>45688</v>
      </c>
      <c r="G723" s="58">
        <v>45689</v>
      </c>
      <c r="H723" t="s">
        <v>231</v>
      </c>
      <c r="I723" t="s">
        <v>62</v>
      </c>
      <c r="J723">
        <v>4</v>
      </c>
      <c r="K723" t="s">
        <v>103</v>
      </c>
      <c r="L723" t="s">
        <v>145</v>
      </c>
      <c r="M723">
        <f>orders[[#This Row],[Ship Date]]-orders[[#This Row],[Order Date]]</f>
        <v>1</v>
      </c>
      <c r="N723">
        <f>WEEKNUM(orders[[#This Row],[Order Date]],1)</f>
        <v>5</v>
      </c>
      <c r="O723" t="str">
        <f t="array" ref="O723">_xlfn.IFS(orders[[#This Row],[Customer Gender]]="M","Male", orders[[#This Row],[Customer Gender]]="F","Female", orders[[#This Row],[Customer Gender]]="O","Other", TRUE(),"Unknown")</f>
        <v>Female</v>
      </c>
    </row>
    <row r="724" spans="1:15" x14ac:dyDescent="0.25">
      <c r="A724" t="s">
        <v>952</v>
      </c>
      <c r="B724" t="s">
        <v>85</v>
      </c>
      <c r="C724">
        <v>3</v>
      </c>
      <c r="D724">
        <v>32.5</v>
      </c>
      <c r="E724">
        <v>97.5</v>
      </c>
      <c r="F724" s="58">
        <v>45688</v>
      </c>
      <c r="G724" s="58">
        <v>45691</v>
      </c>
      <c r="H724" t="s">
        <v>229</v>
      </c>
      <c r="I724" t="s">
        <v>59</v>
      </c>
      <c r="J724">
        <v>4</v>
      </c>
      <c r="K724" t="s">
        <v>103</v>
      </c>
      <c r="L724" t="s">
        <v>147</v>
      </c>
      <c r="M724">
        <f>orders[[#This Row],[Ship Date]]-orders[[#This Row],[Order Date]]</f>
        <v>3</v>
      </c>
      <c r="N724">
        <f>WEEKNUM(orders[[#This Row],[Order Date]],1)</f>
        <v>5</v>
      </c>
      <c r="O724" t="str">
        <f t="array" ref="O724">_xlfn.IFS(orders[[#This Row],[Customer Gender]]="M","Male", orders[[#This Row],[Customer Gender]]="F","Female", orders[[#This Row],[Customer Gender]]="O","Other", TRUE(),"Unknown")</f>
        <v>Male</v>
      </c>
    </row>
    <row r="725" spans="1:15" x14ac:dyDescent="0.25">
      <c r="A725" t="s">
        <v>953</v>
      </c>
      <c r="B725" t="s">
        <v>82</v>
      </c>
      <c r="C725">
        <v>1</v>
      </c>
      <c r="D725">
        <v>78.099999999999994</v>
      </c>
      <c r="E725">
        <v>78.099999999999994</v>
      </c>
      <c r="F725" s="58">
        <v>45688</v>
      </c>
      <c r="G725" s="58">
        <v>45691</v>
      </c>
      <c r="H725" t="s">
        <v>229</v>
      </c>
      <c r="I725" t="s">
        <v>59</v>
      </c>
      <c r="J725">
        <v>5</v>
      </c>
      <c r="K725" t="s">
        <v>103</v>
      </c>
      <c r="L725" t="s">
        <v>148</v>
      </c>
      <c r="M725">
        <f>orders[[#This Row],[Ship Date]]-orders[[#This Row],[Order Date]]</f>
        <v>3</v>
      </c>
      <c r="N725">
        <f>WEEKNUM(orders[[#This Row],[Order Date]],1)</f>
        <v>5</v>
      </c>
      <c r="O725" t="str">
        <f t="array" ref="O725">_xlfn.IFS(orders[[#This Row],[Customer Gender]]="M","Male", orders[[#This Row],[Customer Gender]]="F","Female", orders[[#This Row],[Customer Gender]]="O","Other", TRUE(),"Unknown")</f>
        <v>Male</v>
      </c>
    </row>
    <row r="726" spans="1:15" x14ac:dyDescent="0.25">
      <c r="A726" t="s">
        <v>954</v>
      </c>
      <c r="B726" t="s">
        <v>76</v>
      </c>
      <c r="C726">
        <v>6</v>
      </c>
      <c r="D726">
        <v>110.2</v>
      </c>
      <c r="E726">
        <v>661.2</v>
      </c>
      <c r="F726" s="58">
        <v>45688</v>
      </c>
      <c r="G726" s="58">
        <v>45688</v>
      </c>
      <c r="H726" t="s">
        <v>229</v>
      </c>
      <c r="I726" t="s">
        <v>63</v>
      </c>
      <c r="J726">
        <v>2</v>
      </c>
      <c r="K726" t="s">
        <v>103</v>
      </c>
      <c r="L726" t="s">
        <v>161</v>
      </c>
      <c r="M726">
        <f>orders[[#This Row],[Ship Date]]-orders[[#This Row],[Order Date]]</f>
        <v>0</v>
      </c>
      <c r="N726">
        <f>WEEKNUM(orders[[#This Row],[Order Date]],1)</f>
        <v>5</v>
      </c>
      <c r="O726" t="str">
        <f t="array" ref="O726">_xlfn.IFS(orders[[#This Row],[Customer Gender]]="M","Male", orders[[#This Row],[Customer Gender]]="F","Female", orders[[#This Row],[Customer Gender]]="O","Other", TRUE(),"Unknown")</f>
        <v>Male</v>
      </c>
    </row>
    <row r="727" spans="1:15" x14ac:dyDescent="0.25">
      <c r="A727" t="s">
        <v>955</v>
      </c>
      <c r="B727" t="s">
        <v>80</v>
      </c>
      <c r="C727">
        <v>3</v>
      </c>
      <c r="D727">
        <v>86.3</v>
      </c>
      <c r="E727">
        <v>258.89999999999998</v>
      </c>
      <c r="F727" s="58">
        <v>45688</v>
      </c>
      <c r="G727" s="58">
        <v>45690</v>
      </c>
      <c r="H727" t="s">
        <v>231</v>
      </c>
      <c r="I727" t="s">
        <v>60</v>
      </c>
      <c r="J727">
        <v>4</v>
      </c>
      <c r="K727" t="s">
        <v>103</v>
      </c>
      <c r="L727" t="s">
        <v>106</v>
      </c>
      <c r="M727">
        <f>orders[[#This Row],[Ship Date]]-orders[[#This Row],[Order Date]]</f>
        <v>2</v>
      </c>
      <c r="N727">
        <f>WEEKNUM(orders[[#This Row],[Order Date]],1)</f>
        <v>5</v>
      </c>
      <c r="O727" t="str">
        <f t="array" ref="O727">_xlfn.IFS(orders[[#This Row],[Customer Gender]]="M","Male", orders[[#This Row],[Customer Gender]]="F","Female", orders[[#This Row],[Customer Gender]]="O","Other", TRUE(),"Unknown")</f>
        <v>Female</v>
      </c>
    </row>
    <row r="728" spans="1:15" x14ac:dyDescent="0.25">
      <c r="A728" t="s">
        <v>956</v>
      </c>
      <c r="B728" t="s">
        <v>91</v>
      </c>
      <c r="C728">
        <v>6</v>
      </c>
      <c r="D728">
        <v>73.599999999999994</v>
      </c>
      <c r="E728">
        <v>441.6</v>
      </c>
      <c r="F728" s="58">
        <v>45688</v>
      </c>
      <c r="G728" s="58">
        <v>45690</v>
      </c>
      <c r="H728" t="s">
        <v>263</v>
      </c>
      <c r="I728" t="s">
        <v>60</v>
      </c>
      <c r="J728">
        <v>2</v>
      </c>
      <c r="K728" t="s">
        <v>103</v>
      </c>
      <c r="L728" t="s">
        <v>117</v>
      </c>
      <c r="M728">
        <f>orders[[#This Row],[Ship Date]]-orders[[#This Row],[Order Date]]</f>
        <v>2</v>
      </c>
      <c r="N728">
        <f>WEEKNUM(orders[[#This Row],[Order Date]],1)</f>
        <v>5</v>
      </c>
      <c r="O728" t="str">
        <f t="array" ref="O728">_xlfn.IFS(orders[[#This Row],[Customer Gender]]="M","Male", orders[[#This Row],[Customer Gender]]="F","Female", orders[[#This Row],[Customer Gender]]="O","Other", TRUE(),"Unknown")</f>
        <v>Other</v>
      </c>
    </row>
    <row r="729" spans="1:15" x14ac:dyDescent="0.25">
      <c r="A729" t="s">
        <v>957</v>
      </c>
      <c r="B729" t="s">
        <v>80</v>
      </c>
      <c r="C729">
        <v>13</v>
      </c>
      <c r="D729">
        <v>67.7</v>
      </c>
      <c r="E729">
        <v>880.1</v>
      </c>
      <c r="F729" s="58">
        <v>45688</v>
      </c>
      <c r="G729" s="58">
        <v>45690</v>
      </c>
      <c r="H729" t="s">
        <v>231</v>
      </c>
      <c r="I729" t="s">
        <v>59</v>
      </c>
      <c r="J729">
        <v>5</v>
      </c>
      <c r="K729" t="s">
        <v>103</v>
      </c>
      <c r="L729" t="s">
        <v>124</v>
      </c>
      <c r="M729">
        <f>orders[[#This Row],[Ship Date]]-orders[[#This Row],[Order Date]]</f>
        <v>2</v>
      </c>
      <c r="N729">
        <f>WEEKNUM(orders[[#This Row],[Order Date]],1)</f>
        <v>5</v>
      </c>
      <c r="O729" t="str">
        <f t="array" ref="O729">_xlfn.IFS(orders[[#This Row],[Customer Gender]]="M","Male", orders[[#This Row],[Customer Gender]]="F","Female", orders[[#This Row],[Customer Gender]]="O","Other", TRUE(),"Unknown")</f>
        <v>Female</v>
      </c>
    </row>
    <row r="730" spans="1:15" x14ac:dyDescent="0.25">
      <c r="A730" t="s">
        <v>958</v>
      </c>
      <c r="B730" t="s">
        <v>79</v>
      </c>
      <c r="C730">
        <v>6</v>
      </c>
      <c r="D730">
        <v>142.19999999999999</v>
      </c>
      <c r="E730">
        <v>853.2</v>
      </c>
      <c r="F730" s="58">
        <v>45688</v>
      </c>
      <c r="G730" s="58">
        <v>45689</v>
      </c>
      <c r="H730" t="s">
        <v>231</v>
      </c>
      <c r="I730" t="s">
        <v>62</v>
      </c>
      <c r="J730">
        <v>2</v>
      </c>
      <c r="K730" t="s">
        <v>103</v>
      </c>
      <c r="L730" t="s">
        <v>124</v>
      </c>
      <c r="M730">
        <f>orders[[#This Row],[Ship Date]]-orders[[#This Row],[Order Date]]</f>
        <v>1</v>
      </c>
      <c r="N730">
        <f>WEEKNUM(orders[[#This Row],[Order Date]],1)</f>
        <v>5</v>
      </c>
      <c r="O730" t="str">
        <f t="array" ref="O730">_xlfn.IFS(orders[[#This Row],[Customer Gender]]="M","Male", orders[[#This Row],[Customer Gender]]="F","Female", orders[[#This Row],[Customer Gender]]="O","Other", TRUE(),"Unknown")</f>
        <v>Female</v>
      </c>
    </row>
    <row r="731" spans="1:15" x14ac:dyDescent="0.25">
      <c r="A731" t="s">
        <v>959</v>
      </c>
      <c r="B731" t="s">
        <v>91</v>
      </c>
      <c r="C731">
        <v>9</v>
      </c>
      <c r="D731">
        <v>45.8</v>
      </c>
      <c r="E731">
        <v>412.2</v>
      </c>
      <c r="F731" s="58">
        <v>45688</v>
      </c>
      <c r="G731" s="58">
        <v>45690</v>
      </c>
      <c r="H731" t="s">
        <v>231</v>
      </c>
      <c r="I731" t="s">
        <v>63</v>
      </c>
      <c r="J731">
        <v>5</v>
      </c>
      <c r="K731" t="s">
        <v>103</v>
      </c>
      <c r="L731" t="s">
        <v>124</v>
      </c>
      <c r="M731">
        <f>orders[[#This Row],[Ship Date]]-orders[[#This Row],[Order Date]]</f>
        <v>2</v>
      </c>
      <c r="N731">
        <f>WEEKNUM(orders[[#This Row],[Order Date]],1)</f>
        <v>5</v>
      </c>
      <c r="O731" t="str">
        <f t="array" ref="O731">_xlfn.IFS(orders[[#This Row],[Customer Gender]]="M","Male", orders[[#This Row],[Customer Gender]]="F","Female", orders[[#This Row],[Customer Gender]]="O","Other", TRUE(),"Unknown")</f>
        <v>Female</v>
      </c>
    </row>
    <row r="732" spans="1:15" x14ac:dyDescent="0.25">
      <c r="A732" t="s">
        <v>960</v>
      </c>
      <c r="B732" t="s">
        <v>75</v>
      </c>
      <c r="C732">
        <v>2</v>
      </c>
      <c r="D732">
        <v>24.2</v>
      </c>
      <c r="E732">
        <v>48.4</v>
      </c>
      <c r="F732" s="58">
        <v>45689</v>
      </c>
      <c r="G732" s="58">
        <v>45692</v>
      </c>
      <c r="H732" t="s">
        <v>231</v>
      </c>
      <c r="I732" t="s">
        <v>60</v>
      </c>
      <c r="J732">
        <v>5</v>
      </c>
      <c r="K732" t="s">
        <v>103</v>
      </c>
      <c r="L732" t="s">
        <v>124</v>
      </c>
      <c r="M732">
        <f>orders[[#This Row],[Ship Date]]-orders[[#This Row],[Order Date]]</f>
        <v>3</v>
      </c>
      <c r="N732">
        <f>WEEKNUM(orders[[#This Row],[Order Date]],1)</f>
        <v>5</v>
      </c>
      <c r="O732" t="str">
        <f t="array" ref="O732">_xlfn.IFS(orders[[#This Row],[Customer Gender]]="M","Male", orders[[#This Row],[Customer Gender]]="F","Female", orders[[#This Row],[Customer Gender]]="O","Other", TRUE(),"Unknown")</f>
        <v>Female</v>
      </c>
    </row>
    <row r="733" spans="1:15" x14ac:dyDescent="0.25">
      <c r="A733" t="s">
        <v>961</v>
      </c>
      <c r="B733" t="s">
        <v>87</v>
      </c>
      <c r="C733">
        <v>3</v>
      </c>
      <c r="D733">
        <v>144.9</v>
      </c>
      <c r="E733">
        <v>434.7</v>
      </c>
      <c r="F733" s="58">
        <v>45689</v>
      </c>
      <c r="G733" s="58">
        <v>45690</v>
      </c>
      <c r="H733" t="s">
        <v>263</v>
      </c>
      <c r="I733" t="s">
        <v>62</v>
      </c>
      <c r="J733">
        <v>5</v>
      </c>
      <c r="K733" t="s">
        <v>103</v>
      </c>
      <c r="L733" t="s">
        <v>124</v>
      </c>
      <c r="M733">
        <f>orders[[#This Row],[Ship Date]]-orders[[#This Row],[Order Date]]</f>
        <v>1</v>
      </c>
      <c r="N733">
        <f>WEEKNUM(orders[[#This Row],[Order Date]],1)</f>
        <v>5</v>
      </c>
      <c r="O733" t="str">
        <f t="array" ref="O733">_xlfn.IFS(orders[[#This Row],[Customer Gender]]="M","Male", orders[[#This Row],[Customer Gender]]="F","Female", orders[[#This Row],[Customer Gender]]="O","Other", TRUE(),"Unknown")</f>
        <v>Other</v>
      </c>
    </row>
    <row r="734" spans="1:15" x14ac:dyDescent="0.25">
      <c r="A734" t="s">
        <v>962</v>
      </c>
      <c r="B734" t="s">
        <v>83</v>
      </c>
      <c r="C734">
        <v>5</v>
      </c>
      <c r="D734">
        <v>32.799999999999997</v>
      </c>
      <c r="E734">
        <v>164</v>
      </c>
      <c r="F734" s="58">
        <v>45689</v>
      </c>
      <c r="G734" s="58">
        <v>45692</v>
      </c>
      <c r="H734" t="s">
        <v>231</v>
      </c>
      <c r="I734" t="s">
        <v>62</v>
      </c>
      <c r="J734">
        <v>4</v>
      </c>
      <c r="K734" t="s">
        <v>103</v>
      </c>
      <c r="L734" t="s">
        <v>138</v>
      </c>
      <c r="M734">
        <f>orders[[#This Row],[Ship Date]]-orders[[#This Row],[Order Date]]</f>
        <v>3</v>
      </c>
      <c r="N734">
        <f>WEEKNUM(orders[[#This Row],[Order Date]],1)</f>
        <v>5</v>
      </c>
      <c r="O734" t="str">
        <f t="array" ref="O734">_xlfn.IFS(orders[[#This Row],[Customer Gender]]="M","Male", orders[[#This Row],[Customer Gender]]="F","Female", orders[[#This Row],[Customer Gender]]="O","Other", TRUE(),"Unknown")</f>
        <v>Female</v>
      </c>
    </row>
    <row r="735" spans="1:15" x14ac:dyDescent="0.25">
      <c r="A735" t="s">
        <v>963</v>
      </c>
      <c r="B735" t="s">
        <v>79</v>
      </c>
      <c r="C735">
        <v>10</v>
      </c>
      <c r="D735">
        <v>35.700000000000003</v>
      </c>
      <c r="E735">
        <v>357</v>
      </c>
      <c r="F735" s="58">
        <v>45689</v>
      </c>
      <c r="G735" s="58">
        <v>45689</v>
      </c>
      <c r="H735" t="s">
        <v>231</v>
      </c>
      <c r="I735" t="s">
        <v>59</v>
      </c>
      <c r="J735">
        <v>3</v>
      </c>
      <c r="K735" t="s">
        <v>103</v>
      </c>
      <c r="L735" t="s">
        <v>139</v>
      </c>
      <c r="M735">
        <f>orders[[#This Row],[Ship Date]]-orders[[#This Row],[Order Date]]</f>
        <v>0</v>
      </c>
      <c r="N735">
        <f>WEEKNUM(orders[[#This Row],[Order Date]],1)</f>
        <v>5</v>
      </c>
      <c r="O735" t="str">
        <f t="array" ref="O735">_xlfn.IFS(orders[[#This Row],[Customer Gender]]="M","Male", orders[[#This Row],[Customer Gender]]="F","Female", orders[[#This Row],[Customer Gender]]="O","Other", TRUE(),"Unknown")</f>
        <v>Female</v>
      </c>
    </row>
    <row r="736" spans="1:15" x14ac:dyDescent="0.25">
      <c r="A736" t="s">
        <v>964</v>
      </c>
      <c r="B736" t="s">
        <v>88</v>
      </c>
      <c r="C736">
        <v>2</v>
      </c>
      <c r="D736">
        <v>54.6</v>
      </c>
      <c r="E736">
        <v>109.2</v>
      </c>
      <c r="F736" s="58">
        <v>45689</v>
      </c>
      <c r="G736" s="58">
        <v>45690</v>
      </c>
      <c r="H736" t="s">
        <v>231</v>
      </c>
      <c r="I736" t="s">
        <v>62</v>
      </c>
      <c r="J736">
        <v>4</v>
      </c>
      <c r="K736" t="s">
        <v>103</v>
      </c>
      <c r="L736" t="s">
        <v>139</v>
      </c>
      <c r="M736">
        <f>orders[[#This Row],[Ship Date]]-orders[[#This Row],[Order Date]]</f>
        <v>1</v>
      </c>
      <c r="N736">
        <f>WEEKNUM(orders[[#This Row],[Order Date]],1)</f>
        <v>5</v>
      </c>
      <c r="O736" t="str">
        <f t="array" ref="O736">_xlfn.IFS(orders[[#This Row],[Customer Gender]]="M","Male", orders[[#This Row],[Customer Gender]]="F","Female", orders[[#This Row],[Customer Gender]]="O","Other", TRUE(),"Unknown")</f>
        <v>Female</v>
      </c>
    </row>
    <row r="737" spans="1:15" x14ac:dyDescent="0.25">
      <c r="A737" t="s">
        <v>965</v>
      </c>
      <c r="B737" t="s">
        <v>90</v>
      </c>
      <c r="C737">
        <v>2</v>
      </c>
      <c r="D737">
        <v>35.700000000000003</v>
      </c>
      <c r="E737">
        <v>71.400000000000006</v>
      </c>
      <c r="F737" s="58">
        <v>45689</v>
      </c>
      <c r="G737" s="58">
        <v>45692</v>
      </c>
      <c r="I737" t="s">
        <v>59</v>
      </c>
      <c r="J737">
        <v>3</v>
      </c>
      <c r="K737" t="s">
        <v>103</v>
      </c>
      <c r="L737" t="s">
        <v>139</v>
      </c>
      <c r="M737">
        <f>orders[[#This Row],[Ship Date]]-orders[[#This Row],[Order Date]]</f>
        <v>3</v>
      </c>
      <c r="N737">
        <f>WEEKNUM(orders[[#This Row],[Order Date]],1)</f>
        <v>5</v>
      </c>
      <c r="O737" t="str">
        <f t="array" ref="O737">_xlfn.IFS(orders[[#This Row],[Customer Gender]]="M","Male", orders[[#This Row],[Customer Gender]]="F","Female", orders[[#This Row],[Customer Gender]]="O","Other", TRUE(),"Unknown")</f>
        <v>Unknown</v>
      </c>
    </row>
    <row r="738" spans="1:15" x14ac:dyDescent="0.25">
      <c r="A738" t="s">
        <v>966</v>
      </c>
      <c r="B738" t="s">
        <v>75</v>
      </c>
      <c r="C738">
        <v>2</v>
      </c>
      <c r="D738">
        <v>52.4</v>
      </c>
      <c r="E738">
        <v>104.8</v>
      </c>
      <c r="F738" s="58">
        <v>45689</v>
      </c>
      <c r="G738" s="58">
        <v>45689</v>
      </c>
      <c r="H738" t="s">
        <v>231</v>
      </c>
      <c r="I738" t="s">
        <v>59</v>
      </c>
      <c r="J738">
        <v>1</v>
      </c>
      <c r="K738" t="s">
        <v>103</v>
      </c>
      <c r="L738" t="s">
        <v>139</v>
      </c>
      <c r="M738">
        <f>orders[[#This Row],[Ship Date]]-orders[[#This Row],[Order Date]]</f>
        <v>0</v>
      </c>
      <c r="N738">
        <f>WEEKNUM(orders[[#This Row],[Order Date]],1)</f>
        <v>5</v>
      </c>
      <c r="O738" t="str">
        <f t="array" ref="O738">_xlfn.IFS(orders[[#This Row],[Customer Gender]]="M","Male", orders[[#This Row],[Customer Gender]]="F","Female", orders[[#This Row],[Customer Gender]]="O","Other", TRUE(),"Unknown")</f>
        <v>Female</v>
      </c>
    </row>
    <row r="739" spans="1:15" x14ac:dyDescent="0.25">
      <c r="A739" t="s">
        <v>967</v>
      </c>
      <c r="B739" t="s">
        <v>90</v>
      </c>
      <c r="C739">
        <v>14</v>
      </c>
      <c r="D739">
        <v>16.2</v>
      </c>
      <c r="E739">
        <v>226.8</v>
      </c>
      <c r="F739" s="58">
        <v>45689</v>
      </c>
      <c r="G739" s="58">
        <v>45690</v>
      </c>
      <c r="I739" t="s">
        <v>59</v>
      </c>
      <c r="J739">
        <v>3</v>
      </c>
      <c r="K739" t="s">
        <v>103</v>
      </c>
      <c r="L739" t="s">
        <v>142</v>
      </c>
      <c r="M739">
        <f>orders[[#This Row],[Ship Date]]-orders[[#This Row],[Order Date]]</f>
        <v>1</v>
      </c>
      <c r="N739">
        <f>WEEKNUM(orders[[#This Row],[Order Date]],1)</f>
        <v>5</v>
      </c>
      <c r="O739" t="str">
        <f t="array" ref="O739">_xlfn.IFS(orders[[#This Row],[Customer Gender]]="M","Male", orders[[#This Row],[Customer Gender]]="F","Female", orders[[#This Row],[Customer Gender]]="O","Other", TRUE(),"Unknown")</f>
        <v>Unknown</v>
      </c>
    </row>
    <row r="740" spans="1:15" x14ac:dyDescent="0.25">
      <c r="A740" t="s">
        <v>968</v>
      </c>
      <c r="B740" t="s">
        <v>80</v>
      </c>
      <c r="C740">
        <v>47</v>
      </c>
      <c r="D740">
        <v>42.8</v>
      </c>
      <c r="E740">
        <v>2011.6</v>
      </c>
      <c r="F740" s="58">
        <v>45689</v>
      </c>
      <c r="G740" s="58">
        <v>45690</v>
      </c>
      <c r="H740" t="s">
        <v>231</v>
      </c>
      <c r="I740" t="s">
        <v>59</v>
      </c>
      <c r="J740">
        <v>4</v>
      </c>
      <c r="K740" t="s">
        <v>103</v>
      </c>
      <c r="L740" t="s">
        <v>142</v>
      </c>
      <c r="M740">
        <f>orders[[#This Row],[Ship Date]]-orders[[#This Row],[Order Date]]</f>
        <v>1</v>
      </c>
      <c r="N740">
        <f>WEEKNUM(orders[[#This Row],[Order Date]],1)</f>
        <v>5</v>
      </c>
      <c r="O740" t="str">
        <f t="array" ref="O740">_xlfn.IFS(orders[[#This Row],[Customer Gender]]="M","Male", orders[[#This Row],[Customer Gender]]="F","Female", orders[[#This Row],[Customer Gender]]="O","Other", TRUE(),"Unknown")</f>
        <v>Female</v>
      </c>
    </row>
    <row r="741" spans="1:15" x14ac:dyDescent="0.25">
      <c r="A741" t="s">
        <v>969</v>
      </c>
      <c r="B741" t="s">
        <v>80</v>
      </c>
      <c r="C741">
        <v>9</v>
      </c>
      <c r="D741">
        <v>144.4</v>
      </c>
      <c r="E741">
        <v>1299.5999999999999</v>
      </c>
      <c r="F741" s="58">
        <v>45689</v>
      </c>
      <c r="G741" s="58">
        <v>45692</v>
      </c>
      <c r="H741" t="s">
        <v>231</v>
      </c>
      <c r="I741" t="s">
        <v>61</v>
      </c>
      <c r="J741">
        <v>4</v>
      </c>
      <c r="K741" t="s">
        <v>103</v>
      </c>
      <c r="L741" t="s">
        <v>142</v>
      </c>
      <c r="M741">
        <f>orders[[#This Row],[Ship Date]]-orders[[#This Row],[Order Date]]</f>
        <v>3</v>
      </c>
      <c r="N741">
        <f>WEEKNUM(orders[[#This Row],[Order Date]],1)</f>
        <v>5</v>
      </c>
      <c r="O741" t="str">
        <f t="array" ref="O741">_xlfn.IFS(orders[[#This Row],[Customer Gender]]="M","Male", orders[[#This Row],[Customer Gender]]="F","Female", orders[[#This Row],[Customer Gender]]="O","Other", TRUE(),"Unknown")</f>
        <v>Female</v>
      </c>
    </row>
    <row r="742" spans="1:15" x14ac:dyDescent="0.25">
      <c r="A742" t="s">
        <v>970</v>
      </c>
      <c r="B742" t="s">
        <v>93</v>
      </c>
      <c r="C742">
        <v>36</v>
      </c>
      <c r="D742">
        <v>30.6</v>
      </c>
      <c r="E742">
        <v>1101.5999999999999</v>
      </c>
      <c r="F742" s="58">
        <v>45689</v>
      </c>
      <c r="G742" s="58">
        <v>45693</v>
      </c>
      <c r="H742" t="s">
        <v>231</v>
      </c>
      <c r="I742" t="s">
        <v>62</v>
      </c>
      <c r="J742">
        <v>5</v>
      </c>
      <c r="K742" t="s">
        <v>103</v>
      </c>
      <c r="L742" t="s">
        <v>148</v>
      </c>
      <c r="M742">
        <f>orders[[#This Row],[Ship Date]]-orders[[#This Row],[Order Date]]</f>
        <v>4</v>
      </c>
      <c r="N742">
        <f>WEEKNUM(orders[[#This Row],[Order Date]],1)</f>
        <v>5</v>
      </c>
      <c r="O742" t="str">
        <f t="array" ref="O742">_xlfn.IFS(orders[[#This Row],[Customer Gender]]="M","Male", orders[[#This Row],[Customer Gender]]="F","Female", orders[[#This Row],[Customer Gender]]="O","Other", TRUE(),"Unknown")</f>
        <v>Female</v>
      </c>
    </row>
    <row r="743" spans="1:15" x14ac:dyDescent="0.25">
      <c r="A743" t="s">
        <v>971</v>
      </c>
      <c r="B743" t="s">
        <v>87</v>
      </c>
      <c r="C743">
        <v>2</v>
      </c>
      <c r="D743">
        <v>117.5</v>
      </c>
      <c r="E743">
        <v>235</v>
      </c>
      <c r="F743" s="58">
        <v>45689</v>
      </c>
      <c r="G743" s="58">
        <v>45690</v>
      </c>
      <c r="H743" t="s">
        <v>229</v>
      </c>
      <c r="I743" t="s">
        <v>59</v>
      </c>
      <c r="J743">
        <v>4</v>
      </c>
      <c r="K743" t="s">
        <v>103</v>
      </c>
      <c r="L743" t="s">
        <v>155</v>
      </c>
      <c r="M743">
        <f>orders[[#This Row],[Ship Date]]-orders[[#This Row],[Order Date]]</f>
        <v>1</v>
      </c>
      <c r="N743">
        <f>WEEKNUM(orders[[#This Row],[Order Date]],1)</f>
        <v>5</v>
      </c>
      <c r="O743" t="str">
        <f t="array" ref="O743">_xlfn.IFS(orders[[#This Row],[Customer Gender]]="M","Male", orders[[#This Row],[Customer Gender]]="F","Female", orders[[#This Row],[Customer Gender]]="O","Other", TRUE(),"Unknown")</f>
        <v>Male</v>
      </c>
    </row>
    <row r="744" spans="1:15" x14ac:dyDescent="0.25">
      <c r="A744" t="s">
        <v>972</v>
      </c>
      <c r="B744" t="s">
        <v>80</v>
      </c>
      <c r="C744">
        <v>2</v>
      </c>
      <c r="D744">
        <v>105.7</v>
      </c>
      <c r="E744">
        <v>211.4</v>
      </c>
      <c r="F744" s="58">
        <v>45689</v>
      </c>
      <c r="G744" s="58">
        <v>45690</v>
      </c>
      <c r="H744" t="s">
        <v>231</v>
      </c>
      <c r="I744" t="s">
        <v>62</v>
      </c>
      <c r="J744">
        <v>5</v>
      </c>
      <c r="K744" t="s">
        <v>103</v>
      </c>
      <c r="L744" t="s">
        <v>106</v>
      </c>
      <c r="M744">
        <f>orders[[#This Row],[Ship Date]]-orders[[#This Row],[Order Date]]</f>
        <v>1</v>
      </c>
      <c r="N744">
        <f>WEEKNUM(orders[[#This Row],[Order Date]],1)</f>
        <v>5</v>
      </c>
      <c r="O744" t="str">
        <f t="array" ref="O744">_xlfn.IFS(orders[[#This Row],[Customer Gender]]="M","Male", orders[[#This Row],[Customer Gender]]="F","Female", orders[[#This Row],[Customer Gender]]="O","Other", TRUE(),"Unknown")</f>
        <v>Female</v>
      </c>
    </row>
    <row r="745" spans="1:15" x14ac:dyDescent="0.25">
      <c r="A745" t="s">
        <v>973</v>
      </c>
      <c r="B745" t="s">
        <v>93</v>
      </c>
      <c r="C745">
        <v>3</v>
      </c>
      <c r="D745">
        <v>133.69999999999999</v>
      </c>
      <c r="E745">
        <v>401.1</v>
      </c>
      <c r="F745" s="58">
        <v>45689</v>
      </c>
      <c r="G745" s="58">
        <v>45690</v>
      </c>
      <c r="I745" t="s">
        <v>61</v>
      </c>
      <c r="J745">
        <v>5</v>
      </c>
      <c r="K745" t="s">
        <v>103</v>
      </c>
      <c r="L745" t="s">
        <v>106</v>
      </c>
      <c r="M745">
        <f>orders[[#This Row],[Ship Date]]-orders[[#This Row],[Order Date]]</f>
        <v>1</v>
      </c>
      <c r="N745">
        <f>WEEKNUM(orders[[#This Row],[Order Date]],1)</f>
        <v>5</v>
      </c>
      <c r="O745" t="str">
        <f t="array" ref="O745">_xlfn.IFS(orders[[#This Row],[Customer Gender]]="M","Male", orders[[#This Row],[Customer Gender]]="F","Female", orders[[#This Row],[Customer Gender]]="O","Other", TRUE(),"Unknown")</f>
        <v>Unknown</v>
      </c>
    </row>
    <row r="746" spans="1:15" x14ac:dyDescent="0.25">
      <c r="A746" t="s">
        <v>974</v>
      </c>
      <c r="B746" t="s">
        <v>78</v>
      </c>
      <c r="C746">
        <v>5</v>
      </c>
      <c r="D746">
        <v>46.8</v>
      </c>
      <c r="E746">
        <v>234</v>
      </c>
      <c r="F746" s="58">
        <v>45690</v>
      </c>
      <c r="G746" s="58">
        <v>45698</v>
      </c>
      <c r="H746" t="s">
        <v>231</v>
      </c>
      <c r="I746" t="s">
        <v>59</v>
      </c>
      <c r="J746">
        <v>3</v>
      </c>
      <c r="K746" t="s">
        <v>103</v>
      </c>
      <c r="L746" t="s">
        <v>106</v>
      </c>
      <c r="M746">
        <f>orders[[#This Row],[Ship Date]]-orders[[#This Row],[Order Date]]</f>
        <v>8</v>
      </c>
      <c r="N746">
        <f>WEEKNUM(orders[[#This Row],[Order Date]],1)</f>
        <v>6</v>
      </c>
      <c r="O746" t="str">
        <f t="array" ref="O746">_xlfn.IFS(orders[[#This Row],[Customer Gender]]="M","Male", orders[[#This Row],[Customer Gender]]="F","Female", orders[[#This Row],[Customer Gender]]="O","Other", TRUE(),"Unknown")</f>
        <v>Female</v>
      </c>
    </row>
    <row r="747" spans="1:15" x14ac:dyDescent="0.25">
      <c r="A747" t="s">
        <v>975</v>
      </c>
      <c r="B747" t="s">
        <v>75</v>
      </c>
      <c r="C747">
        <v>3</v>
      </c>
      <c r="D747">
        <v>58.4</v>
      </c>
      <c r="E747">
        <v>175.2</v>
      </c>
      <c r="F747" s="58">
        <v>45690</v>
      </c>
      <c r="G747" s="58">
        <v>45692</v>
      </c>
      <c r="H747" t="s">
        <v>231</v>
      </c>
      <c r="I747" t="s">
        <v>59</v>
      </c>
      <c r="J747">
        <v>4</v>
      </c>
      <c r="K747" t="s">
        <v>103</v>
      </c>
      <c r="L747" t="s">
        <v>112</v>
      </c>
      <c r="M747">
        <f>orders[[#This Row],[Ship Date]]-orders[[#This Row],[Order Date]]</f>
        <v>2</v>
      </c>
      <c r="N747">
        <f>WEEKNUM(orders[[#This Row],[Order Date]],1)</f>
        <v>6</v>
      </c>
      <c r="O747" t="str">
        <f t="array" ref="O747">_xlfn.IFS(orders[[#This Row],[Customer Gender]]="M","Male", orders[[#This Row],[Customer Gender]]="F","Female", orders[[#This Row],[Customer Gender]]="O","Other", TRUE(),"Unknown")</f>
        <v>Female</v>
      </c>
    </row>
    <row r="748" spans="1:15" x14ac:dyDescent="0.25">
      <c r="A748" t="s">
        <v>976</v>
      </c>
      <c r="B748" t="s">
        <v>80</v>
      </c>
      <c r="C748">
        <v>9</v>
      </c>
      <c r="D748">
        <v>65.099999999999994</v>
      </c>
      <c r="E748">
        <v>585.9</v>
      </c>
      <c r="F748" s="58">
        <v>45690</v>
      </c>
      <c r="G748" s="58">
        <v>45694</v>
      </c>
      <c r="H748" t="s">
        <v>229</v>
      </c>
      <c r="I748" t="s">
        <v>63</v>
      </c>
      <c r="J748">
        <v>5</v>
      </c>
      <c r="K748" t="s">
        <v>103</v>
      </c>
      <c r="L748" t="s">
        <v>120</v>
      </c>
      <c r="M748">
        <f>orders[[#This Row],[Ship Date]]-orders[[#This Row],[Order Date]]</f>
        <v>4</v>
      </c>
      <c r="N748">
        <f>WEEKNUM(orders[[#This Row],[Order Date]],1)</f>
        <v>6</v>
      </c>
      <c r="O748" t="str">
        <f t="array" ref="O748">_xlfn.IFS(orders[[#This Row],[Customer Gender]]="M","Male", orders[[#This Row],[Customer Gender]]="F","Female", orders[[#This Row],[Customer Gender]]="O","Other", TRUE(),"Unknown")</f>
        <v>Male</v>
      </c>
    </row>
    <row r="749" spans="1:15" x14ac:dyDescent="0.25">
      <c r="A749" t="s">
        <v>977</v>
      </c>
      <c r="B749" t="s">
        <v>90</v>
      </c>
      <c r="C749">
        <v>1</v>
      </c>
      <c r="D749">
        <v>18.600000000000001</v>
      </c>
      <c r="E749">
        <v>18.600000000000001</v>
      </c>
      <c r="F749" s="58">
        <v>45690</v>
      </c>
      <c r="G749" s="58">
        <v>45693</v>
      </c>
      <c r="H749" t="s">
        <v>231</v>
      </c>
      <c r="I749" t="s">
        <v>59</v>
      </c>
      <c r="J749">
        <v>2</v>
      </c>
      <c r="K749" t="s">
        <v>103</v>
      </c>
      <c r="L749" t="s">
        <v>120</v>
      </c>
      <c r="M749">
        <f>orders[[#This Row],[Ship Date]]-orders[[#This Row],[Order Date]]</f>
        <v>3</v>
      </c>
      <c r="N749">
        <f>WEEKNUM(orders[[#This Row],[Order Date]],1)</f>
        <v>6</v>
      </c>
      <c r="O749" t="str">
        <f t="array" ref="O749">_xlfn.IFS(orders[[#This Row],[Customer Gender]]="M","Male", orders[[#This Row],[Customer Gender]]="F","Female", orders[[#This Row],[Customer Gender]]="O","Other", TRUE(),"Unknown")</f>
        <v>Female</v>
      </c>
    </row>
    <row r="750" spans="1:15" x14ac:dyDescent="0.25">
      <c r="A750" t="s">
        <v>978</v>
      </c>
      <c r="B750" t="s">
        <v>91</v>
      </c>
      <c r="C750">
        <v>11</v>
      </c>
      <c r="D750">
        <v>92.3</v>
      </c>
      <c r="E750">
        <v>1015.3</v>
      </c>
      <c r="F750" s="58">
        <v>45690</v>
      </c>
      <c r="G750" s="58">
        <v>45692</v>
      </c>
      <c r="H750" t="s">
        <v>229</v>
      </c>
      <c r="I750" t="s">
        <v>63</v>
      </c>
      <c r="J750">
        <v>4</v>
      </c>
      <c r="K750" t="s">
        <v>103</v>
      </c>
      <c r="L750" t="s">
        <v>124</v>
      </c>
      <c r="M750">
        <f>orders[[#This Row],[Ship Date]]-orders[[#This Row],[Order Date]]</f>
        <v>2</v>
      </c>
      <c r="N750">
        <f>WEEKNUM(orders[[#This Row],[Order Date]],1)</f>
        <v>6</v>
      </c>
      <c r="O750" t="str">
        <f t="array" ref="O750">_xlfn.IFS(orders[[#This Row],[Customer Gender]]="M","Male", orders[[#This Row],[Customer Gender]]="F","Female", orders[[#This Row],[Customer Gender]]="O","Other", TRUE(),"Unknown")</f>
        <v>Male</v>
      </c>
    </row>
    <row r="751" spans="1:15" x14ac:dyDescent="0.25">
      <c r="A751" t="s">
        <v>979</v>
      </c>
      <c r="B751" t="s">
        <v>80</v>
      </c>
      <c r="C751">
        <v>3</v>
      </c>
      <c r="D751">
        <v>81.7</v>
      </c>
      <c r="E751">
        <v>245.1</v>
      </c>
      <c r="F751" s="58">
        <v>45690</v>
      </c>
      <c r="G751" s="58">
        <v>45691</v>
      </c>
      <c r="I751" t="s">
        <v>61</v>
      </c>
      <c r="J751">
        <v>2</v>
      </c>
      <c r="K751" t="s">
        <v>103</v>
      </c>
      <c r="L751" t="s">
        <v>124</v>
      </c>
      <c r="M751">
        <f>orders[[#This Row],[Ship Date]]-orders[[#This Row],[Order Date]]</f>
        <v>1</v>
      </c>
      <c r="N751">
        <f>WEEKNUM(orders[[#This Row],[Order Date]],1)</f>
        <v>6</v>
      </c>
      <c r="O751" t="str">
        <f t="array" ref="O751">_xlfn.IFS(orders[[#This Row],[Customer Gender]]="M","Male", orders[[#This Row],[Customer Gender]]="F","Female", orders[[#This Row],[Customer Gender]]="O","Other", TRUE(),"Unknown")</f>
        <v>Unknown</v>
      </c>
    </row>
    <row r="752" spans="1:15" x14ac:dyDescent="0.25">
      <c r="A752" t="s">
        <v>980</v>
      </c>
      <c r="B752" t="s">
        <v>90</v>
      </c>
      <c r="C752">
        <v>2</v>
      </c>
      <c r="D752">
        <v>40.9</v>
      </c>
      <c r="E752">
        <v>81.8</v>
      </c>
      <c r="F752" s="58">
        <v>45690</v>
      </c>
      <c r="G752" s="58">
        <v>45692</v>
      </c>
      <c r="H752" t="s">
        <v>229</v>
      </c>
      <c r="I752" t="s">
        <v>59</v>
      </c>
      <c r="J752">
        <v>3</v>
      </c>
      <c r="K752" t="s">
        <v>103</v>
      </c>
      <c r="L752" t="s">
        <v>124</v>
      </c>
      <c r="M752">
        <f>orders[[#This Row],[Ship Date]]-orders[[#This Row],[Order Date]]</f>
        <v>2</v>
      </c>
      <c r="N752">
        <f>WEEKNUM(orders[[#This Row],[Order Date]],1)</f>
        <v>6</v>
      </c>
      <c r="O752" t="str">
        <f t="array" ref="O752">_xlfn.IFS(orders[[#This Row],[Customer Gender]]="M","Male", orders[[#This Row],[Customer Gender]]="F","Female", orders[[#This Row],[Customer Gender]]="O","Other", TRUE(),"Unknown")</f>
        <v>Male</v>
      </c>
    </row>
    <row r="753" spans="1:15" x14ac:dyDescent="0.25">
      <c r="A753" t="s">
        <v>981</v>
      </c>
      <c r="B753" t="s">
        <v>80</v>
      </c>
      <c r="C753">
        <v>4</v>
      </c>
      <c r="D753">
        <v>43.2</v>
      </c>
      <c r="E753">
        <v>172.8</v>
      </c>
      <c r="F753" s="58">
        <v>45690</v>
      </c>
      <c r="G753" s="58">
        <v>45696</v>
      </c>
      <c r="H753" t="s">
        <v>231</v>
      </c>
      <c r="I753" t="s">
        <v>59</v>
      </c>
      <c r="J753">
        <v>3</v>
      </c>
      <c r="K753" t="s">
        <v>103</v>
      </c>
      <c r="L753" t="s">
        <v>124</v>
      </c>
      <c r="M753">
        <f>orders[[#This Row],[Ship Date]]-orders[[#This Row],[Order Date]]</f>
        <v>6</v>
      </c>
      <c r="N753">
        <f>WEEKNUM(orders[[#This Row],[Order Date]],1)</f>
        <v>6</v>
      </c>
      <c r="O753" t="str">
        <f t="array" ref="O753">_xlfn.IFS(orders[[#This Row],[Customer Gender]]="M","Male", orders[[#This Row],[Customer Gender]]="F","Female", orders[[#This Row],[Customer Gender]]="O","Other", TRUE(),"Unknown")</f>
        <v>Female</v>
      </c>
    </row>
    <row r="754" spans="1:15" x14ac:dyDescent="0.25">
      <c r="A754" t="s">
        <v>982</v>
      </c>
      <c r="B754" t="s">
        <v>90</v>
      </c>
      <c r="C754">
        <v>11</v>
      </c>
      <c r="D754">
        <v>25.8</v>
      </c>
      <c r="E754">
        <v>283.8</v>
      </c>
      <c r="F754" s="58">
        <v>45690</v>
      </c>
      <c r="G754" s="58">
        <v>45693</v>
      </c>
      <c r="H754" t="s">
        <v>229</v>
      </c>
      <c r="I754" t="s">
        <v>62</v>
      </c>
      <c r="J754">
        <v>3</v>
      </c>
      <c r="K754" t="s">
        <v>103</v>
      </c>
      <c r="L754" t="s">
        <v>124</v>
      </c>
      <c r="M754">
        <f>orders[[#This Row],[Ship Date]]-orders[[#This Row],[Order Date]]</f>
        <v>3</v>
      </c>
      <c r="N754">
        <f>WEEKNUM(orders[[#This Row],[Order Date]],1)</f>
        <v>6</v>
      </c>
      <c r="O754" t="str">
        <f t="array" ref="O754">_xlfn.IFS(orders[[#This Row],[Customer Gender]]="M","Male", orders[[#This Row],[Customer Gender]]="F","Female", orders[[#This Row],[Customer Gender]]="O","Other", TRUE(),"Unknown")</f>
        <v>Male</v>
      </c>
    </row>
    <row r="755" spans="1:15" x14ac:dyDescent="0.25">
      <c r="A755" t="s">
        <v>983</v>
      </c>
      <c r="B755" t="s">
        <v>77</v>
      </c>
      <c r="C755">
        <v>4</v>
      </c>
      <c r="D755">
        <v>36.4</v>
      </c>
      <c r="E755">
        <v>145.6</v>
      </c>
      <c r="F755" s="58">
        <v>45690</v>
      </c>
      <c r="G755" s="58">
        <v>45691</v>
      </c>
      <c r="H755" t="s">
        <v>229</v>
      </c>
      <c r="I755" t="s">
        <v>59</v>
      </c>
      <c r="J755">
        <v>4</v>
      </c>
      <c r="K755" t="s">
        <v>103</v>
      </c>
      <c r="L755" t="s">
        <v>124</v>
      </c>
      <c r="M755">
        <f>orders[[#This Row],[Ship Date]]-orders[[#This Row],[Order Date]]</f>
        <v>1</v>
      </c>
      <c r="N755">
        <f>WEEKNUM(orders[[#This Row],[Order Date]],1)</f>
        <v>6</v>
      </c>
      <c r="O755" t="str">
        <f t="array" ref="O755">_xlfn.IFS(orders[[#This Row],[Customer Gender]]="M","Male", orders[[#This Row],[Customer Gender]]="F","Female", orders[[#This Row],[Customer Gender]]="O","Other", TRUE(),"Unknown")</f>
        <v>Male</v>
      </c>
    </row>
    <row r="756" spans="1:15" x14ac:dyDescent="0.25">
      <c r="A756" t="s">
        <v>984</v>
      </c>
      <c r="B756" t="s">
        <v>75</v>
      </c>
      <c r="C756">
        <v>1</v>
      </c>
      <c r="D756">
        <v>59.1</v>
      </c>
      <c r="E756">
        <v>59.1</v>
      </c>
      <c r="F756" s="58">
        <v>45690</v>
      </c>
      <c r="G756" s="58">
        <v>45691</v>
      </c>
      <c r="H756" t="s">
        <v>231</v>
      </c>
      <c r="I756" t="s">
        <v>62</v>
      </c>
      <c r="J756">
        <v>4</v>
      </c>
      <c r="K756" t="s">
        <v>103</v>
      </c>
      <c r="L756" t="s">
        <v>141</v>
      </c>
      <c r="M756">
        <f>orders[[#This Row],[Ship Date]]-orders[[#This Row],[Order Date]]</f>
        <v>1</v>
      </c>
      <c r="N756">
        <f>WEEKNUM(orders[[#This Row],[Order Date]],1)</f>
        <v>6</v>
      </c>
      <c r="O756" t="str">
        <f t="array" ref="O756">_xlfn.IFS(orders[[#This Row],[Customer Gender]]="M","Male", orders[[#This Row],[Customer Gender]]="F","Female", orders[[#This Row],[Customer Gender]]="O","Other", TRUE(),"Unknown")</f>
        <v>Female</v>
      </c>
    </row>
    <row r="757" spans="1:15" x14ac:dyDescent="0.25">
      <c r="A757" t="s">
        <v>985</v>
      </c>
      <c r="B757" t="s">
        <v>87</v>
      </c>
      <c r="C757">
        <v>17</v>
      </c>
      <c r="D757">
        <v>74.5</v>
      </c>
      <c r="E757">
        <v>1266.5</v>
      </c>
      <c r="F757" s="58">
        <v>45690</v>
      </c>
      <c r="G757" s="58">
        <v>45692</v>
      </c>
      <c r="H757" t="s">
        <v>229</v>
      </c>
      <c r="I757" t="s">
        <v>61</v>
      </c>
      <c r="J757">
        <v>4</v>
      </c>
      <c r="K757" t="s">
        <v>103</v>
      </c>
      <c r="L757" t="s">
        <v>154</v>
      </c>
      <c r="M757">
        <f>orders[[#This Row],[Ship Date]]-orders[[#This Row],[Order Date]]</f>
        <v>2</v>
      </c>
      <c r="N757">
        <f>WEEKNUM(orders[[#This Row],[Order Date]],1)</f>
        <v>6</v>
      </c>
      <c r="O757" t="str">
        <f t="array" ref="O757">_xlfn.IFS(orders[[#This Row],[Customer Gender]]="M","Male", orders[[#This Row],[Customer Gender]]="F","Female", orders[[#This Row],[Customer Gender]]="O","Other", TRUE(),"Unknown")</f>
        <v>Male</v>
      </c>
    </row>
    <row r="758" spans="1:15" x14ac:dyDescent="0.25">
      <c r="A758" t="s">
        <v>986</v>
      </c>
      <c r="B758" t="s">
        <v>85</v>
      </c>
      <c r="C758">
        <v>1</v>
      </c>
      <c r="D758">
        <v>72.8</v>
      </c>
      <c r="E758">
        <v>72.8</v>
      </c>
      <c r="F758" s="58">
        <v>45690</v>
      </c>
      <c r="G758" s="58">
        <v>45691</v>
      </c>
      <c r="H758" t="s">
        <v>231</v>
      </c>
      <c r="I758" t="s">
        <v>59</v>
      </c>
      <c r="J758">
        <v>3</v>
      </c>
      <c r="K758" t="s">
        <v>103</v>
      </c>
      <c r="L758" t="s">
        <v>155</v>
      </c>
      <c r="M758">
        <f>orders[[#This Row],[Ship Date]]-orders[[#This Row],[Order Date]]</f>
        <v>1</v>
      </c>
      <c r="N758">
        <f>WEEKNUM(orders[[#This Row],[Order Date]],1)</f>
        <v>6</v>
      </c>
      <c r="O758" t="str">
        <f t="array" ref="O758">_xlfn.IFS(orders[[#This Row],[Customer Gender]]="M","Male", orders[[#This Row],[Customer Gender]]="F","Female", orders[[#This Row],[Customer Gender]]="O","Other", TRUE(),"Unknown")</f>
        <v>Female</v>
      </c>
    </row>
    <row r="759" spans="1:15" x14ac:dyDescent="0.25">
      <c r="A759" t="s">
        <v>987</v>
      </c>
      <c r="B759" t="s">
        <v>80</v>
      </c>
      <c r="C759">
        <v>4</v>
      </c>
      <c r="D759">
        <v>137.30000000000001</v>
      </c>
      <c r="E759">
        <v>549.20000000000005</v>
      </c>
      <c r="F759" s="58">
        <v>45690</v>
      </c>
      <c r="G759" s="58">
        <v>45693</v>
      </c>
      <c r="H759" t="s">
        <v>231</v>
      </c>
      <c r="I759" t="s">
        <v>59</v>
      </c>
      <c r="J759">
        <v>4</v>
      </c>
      <c r="K759" t="s">
        <v>103</v>
      </c>
      <c r="L759" t="s">
        <v>161</v>
      </c>
      <c r="M759">
        <f>orders[[#This Row],[Ship Date]]-orders[[#This Row],[Order Date]]</f>
        <v>3</v>
      </c>
      <c r="N759">
        <f>WEEKNUM(orders[[#This Row],[Order Date]],1)</f>
        <v>6</v>
      </c>
      <c r="O759" t="str">
        <f t="array" ref="O759">_xlfn.IFS(orders[[#This Row],[Customer Gender]]="M","Male", orders[[#This Row],[Customer Gender]]="F","Female", orders[[#This Row],[Customer Gender]]="O","Other", TRUE(),"Unknown")</f>
        <v>Female</v>
      </c>
    </row>
    <row r="760" spans="1:15" x14ac:dyDescent="0.25">
      <c r="A760" t="s">
        <v>988</v>
      </c>
      <c r="B760" t="s">
        <v>91</v>
      </c>
      <c r="C760">
        <v>3</v>
      </c>
      <c r="D760">
        <v>48.7</v>
      </c>
      <c r="E760">
        <v>146.1</v>
      </c>
      <c r="F760" s="58">
        <v>45690</v>
      </c>
      <c r="G760" s="58">
        <v>45695</v>
      </c>
      <c r="H760" t="s">
        <v>231</v>
      </c>
      <c r="I760" t="s">
        <v>59</v>
      </c>
      <c r="J760">
        <v>3</v>
      </c>
      <c r="K760" t="s">
        <v>103</v>
      </c>
      <c r="L760" t="s">
        <v>106</v>
      </c>
      <c r="M760">
        <f>orders[[#This Row],[Ship Date]]-orders[[#This Row],[Order Date]]</f>
        <v>5</v>
      </c>
      <c r="N760">
        <f>WEEKNUM(orders[[#This Row],[Order Date]],1)</f>
        <v>6</v>
      </c>
      <c r="O760" t="str">
        <f t="array" ref="O760">_xlfn.IFS(orders[[#This Row],[Customer Gender]]="M","Male", orders[[#This Row],[Customer Gender]]="F","Female", orders[[#This Row],[Customer Gender]]="O","Other", TRUE(),"Unknown")</f>
        <v>Female</v>
      </c>
    </row>
    <row r="761" spans="1:15" x14ac:dyDescent="0.25">
      <c r="A761" t="s">
        <v>989</v>
      </c>
      <c r="B761" t="s">
        <v>80</v>
      </c>
      <c r="C761">
        <v>4</v>
      </c>
      <c r="D761">
        <v>53.7</v>
      </c>
      <c r="E761">
        <v>214.8</v>
      </c>
      <c r="F761" s="58">
        <v>45690</v>
      </c>
      <c r="G761" s="58">
        <v>45694</v>
      </c>
      <c r="H761" t="s">
        <v>229</v>
      </c>
      <c r="I761" t="s">
        <v>63</v>
      </c>
      <c r="J761">
        <v>2</v>
      </c>
      <c r="K761" t="s">
        <v>103</v>
      </c>
      <c r="L761" t="s">
        <v>115</v>
      </c>
      <c r="M761">
        <f>orders[[#This Row],[Ship Date]]-orders[[#This Row],[Order Date]]</f>
        <v>4</v>
      </c>
      <c r="N761">
        <f>WEEKNUM(orders[[#This Row],[Order Date]],1)</f>
        <v>6</v>
      </c>
      <c r="O761" t="str">
        <f t="array" ref="O761">_xlfn.IFS(orders[[#This Row],[Customer Gender]]="M","Male", orders[[#This Row],[Customer Gender]]="F","Female", orders[[#This Row],[Customer Gender]]="O","Other", TRUE(),"Unknown")</f>
        <v>Male</v>
      </c>
    </row>
    <row r="762" spans="1:15" x14ac:dyDescent="0.25">
      <c r="A762" t="s">
        <v>990</v>
      </c>
      <c r="B762" t="s">
        <v>87</v>
      </c>
      <c r="C762">
        <v>7</v>
      </c>
      <c r="D762">
        <v>100.9</v>
      </c>
      <c r="E762">
        <v>706.3</v>
      </c>
      <c r="F762" s="58">
        <v>45690</v>
      </c>
      <c r="G762" s="58">
        <v>45692</v>
      </c>
      <c r="H762" t="s">
        <v>231</v>
      </c>
      <c r="I762" t="s">
        <v>59</v>
      </c>
      <c r="J762">
        <v>3</v>
      </c>
      <c r="K762" t="s">
        <v>103</v>
      </c>
      <c r="L762" t="s">
        <v>115</v>
      </c>
      <c r="M762">
        <f>orders[[#This Row],[Ship Date]]-orders[[#This Row],[Order Date]]</f>
        <v>2</v>
      </c>
      <c r="N762">
        <f>WEEKNUM(orders[[#This Row],[Order Date]],1)</f>
        <v>6</v>
      </c>
      <c r="O762" t="str">
        <f t="array" ref="O762">_xlfn.IFS(orders[[#This Row],[Customer Gender]]="M","Male", orders[[#This Row],[Customer Gender]]="F","Female", orders[[#This Row],[Customer Gender]]="O","Other", TRUE(),"Unknown")</f>
        <v>Female</v>
      </c>
    </row>
    <row r="763" spans="1:15" x14ac:dyDescent="0.25">
      <c r="A763" t="s">
        <v>991</v>
      </c>
      <c r="B763" t="s">
        <v>75</v>
      </c>
      <c r="C763">
        <v>2</v>
      </c>
      <c r="D763">
        <v>41.8</v>
      </c>
      <c r="E763">
        <v>83.6</v>
      </c>
      <c r="F763" s="58">
        <v>45690</v>
      </c>
      <c r="G763" s="58">
        <v>45694</v>
      </c>
      <c r="H763" t="s">
        <v>229</v>
      </c>
      <c r="I763" t="s">
        <v>60</v>
      </c>
      <c r="J763">
        <v>5</v>
      </c>
      <c r="K763" t="s">
        <v>103</v>
      </c>
      <c r="L763" t="s">
        <v>120</v>
      </c>
      <c r="M763">
        <f>orders[[#This Row],[Ship Date]]-orders[[#This Row],[Order Date]]</f>
        <v>4</v>
      </c>
      <c r="N763">
        <f>WEEKNUM(orders[[#This Row],[Order Date]],1)</f>
        <v>6</v>
      </c>
      <c r="O763" t="str">
        <f t="array" ref="O763">_xlfn.IFS(orders[[#This Row],[Customer Gender]]="M","Male", orders[[#This Row],[Customer Gender]]="F","Female", orders[[#This Row],[Customer Gender]]="O","Other", TRUE(),"Unknown")</f>
        <v>Male</v>
      </c>
    </row>
    <row r="764" spans="1:15" x14ac:dyDescent="0.25">
      <c r="A764" t="s">
        <v>992</v>
      </c>
      <c r="B764" t="s">
        <v>78</v>
      </c>
      <c r="C764">
        <v>8</v>
      </c>
      <c r="D764">
        <v>28.5</v>
      </c>
      <c r="E764">
        <v>228</v>
      </c>
      <c r="F764" s="58">
        <v>45690</v>
      </c>
      <c r="G764" s="58">
        <v>45692</v>
      </c>
      <c r="H764" t="s">
        <v>229</v>
      </c>
      <c r="I764" t="s">
        <v>62</v>
      </c>
      <c r="J764">
        <v>3</v>
      </c>
      <c r="K764" t="s">
        <v>103</v>
      </c>
      <c r="L764" t="s">
        <v>124</v>
      </c>
      <c r="M764">
        <f>orders[[#This Row],[Ship Date]]-orders[[#This Row],[Order Date]]</f>
        <v>2</v>
      </c>
      <c r="N764">
        <f>WEEKNUM(orders[[#This Row],[Order Date]],1)</f>
        <v>6</v>
      </c>
      <c r="O764" t="str">
        <f t="array" ref="O764">_xlfn.IFS(orders[[#This Row],[Customer Gender]]="M","Male", orders[[#This Row],[Customer Gender]]="F","Female", orders[[#This Row],[Customer Gender]]="O","Other", TRUE(),"Unknown")</f>
        <v>Male</v>
      </c>
    </row>
    <row r="765" spans="1:15" x14ac:dyDescent="0.25">
      <c r="A765" t="s">
        <v>993</v>
      </c>
      <c r="B765" t="s">
        <v>79</v>
      </c>
      <c r="C765">
        <v>4</v>
      </c>
      <c r="D765">
        <v>88.9</v>
      </c>
      <c r="E765">
        <v>355.6</v>
      </c>
      <c r="F765" s="58">
        <v>45690</v>
      </c>
      <c r="G765" s="58">
        <v>45693</v>
      </c>
      <c r="H765" t="s">
        <v>231</v>
      </c>
      <c r="I765" t="s">
        <v>59</v>
      </c>
      <c r="J765">
        <v>5</v>
      </c>
      <c r="K765" t="s">
        <v>103</v>
      </c>
      <c r="L765" t="s">
        <v>124</v>
      </c>
      <c r="M765">
        <f>orders[[#This Row],[Ship Date]]-orders[[#This Row],[Order Date]]</f>
        <v>3</v>
      </c>
      <c r="N765">
        <f>WEEKNUM(orders[[#This Row],[Order Date]],1)</f>
        <v>6</v>
      </c>
      <c r="O765" t="str">
        <f t="array" ref="O765">_xlfn.IFS(orders[[#This Row],[Customer Gender]]="M","Male", orders[[#This Row],[Customer Gender]]="F","Female", orders[[#This Row],[Customer Gender]]="O","Other", TRUE(),"Unknown")</f>
        <v>Female</v>
      </c>
    </row>
    <row r="766" spans="1:15" x14ac:dyDescent="0.25">
      <c r="A766" t="s">
        <v>994</v>
      </c>
      <c r="B766" t="s">
        <v>80</v>
      </c>
      <c r="C766">
        <v>1</v>
      </c>
      <c r="D766">
        <v>62.5</v>
      </c>
      <c r="E766">
        <v>62.5</v>
      </c>
      <c r="F766" s="58">
        <v>45690</v>
      </c>
      <c r="G766" s="58">
        <v>45699</v>
      </c>
      <c r="H766" t="s">
        <v>231</v>
      </c>
      <c r="I766" t="s">
        <v>59</v>
      </c>
      <c r="J766">
        <v>5</v>
      </c>
      <c r="K766" t="s">
        <v>103</v>
      </c>
      <c r="L766" t="s">
        <v>124</v>
      </c>
      <c r="M766">
        <f>orders[[#This Row],[Ship Date]]-orders[[#This Row],[Order Date]]</f>
        <v>9</v>
      </c>
      <c r="N766">
        <f>WEEKNUM(orders[[#This Row],[Order Date]],1)</f>
        <v>6</v>
      </c>
      <c r="O766" t="str">
        <f t="array" ref="O766">_xlfn.IFS(orders[[#This Row],[Customer Gender]]="M","Male", orders[[#This Row],[Customer Gender]]="F","Female", orders[[#This Row],[Customer Gender]]="O","Other", TRUE(),"Unknown")</f>
        <v>Female</v>
      </c>
    </row>
    <row r="767" spans="1:15" x14ac:dyDescent="0.25">
      <c r="A767" t="s">
        <v>995</v>
      </c>
      <c r="B767" t="s">
        <v>91</v>
      </c>
      <c r="C767">
        <v>3</v>
      </c>
      <c r="D767">
        <v>46.9</v>
      </c>
      <c r="E767">
        <v>140.69999999999999</v>
      </c>
      <c r="F767" s="58">
        <v>45690</v>
      </c>
      <c r="G767" s="58">
        <v>45691</v>
      </c>
      <c r="H767" t="s">
        <v>229</v>
      </c>
      <c r="I767" t="s">
        <v>59</v>
      </c>
      <c r="J767">
        <v>5</v>
      </c>
      <c r="K767" t="s">
        <v>103</v>
      </c>
      <c r="L767" t="s">
        <v>124</v>
      </c>
      <c r="M767">
        <f>orders[[#This Row],[Ship Date]]-orders[[#This Row],[Order Date]]</f>
        <v>1</v>
      </c>
      <c r="N767">
        <f>WEEKNUM(orders[[#This Row],[Order Date]],1)</f>
        <v>6</v>
      </c>
      <c r="O767" t="str">
        <f t="array" ref="O767">_xlfn.IFS(orders[[#This Row],[Customer Gender]]="M","Male", orders[[#This Row],[Customer Gender]]="F","Female", orders[[#This Row],[Customer Gender]]="O","Other", TRUE(),"Unknown")</f>
        <v>Male</v>
      </c>
    </row>
    <row r="768" spans="1:15" x14ac:dyDescent="0.25">
      <c r="A768" t="s">
        <v>996</v>
      </c>
      <c r="B768" t="s">
        <v>90</v>
      </c>
      <c r="C768">
        <v>3</v>
      </c>
      <c r="D768">
        <v>45</v>
      </c>
      <c r="E768">
        <v>135</v>
      </c>
      <c r="F768" s="58">
        <v>45690</v>
      </c>
      <c r="G768" s="58">
        <v>45704</v>
      </c>
      <c r="H768" t="s">
        <v>229</v>
      </c>
      <c r="I768" t="s">
        <v>63</v>
      </c>
      <c r="J768">
        <v>4</v>
      </c>
      <c r="K768" t="s">
        <v>103</v>
      </c>
      <c r="L768" t="s">
        <v>124</v>
      </c>
      <c r="M768">
        <f>orders[[#This Row],[Ship Date]]-orders[[#This Row],[Order Date]]</f>
        <v>14</v>
      </c>
      <c r="N768">
        <f>WEEKNUM(orders[[#This Row],[Order Date]],1)</f>
        <v>6</v>
      </c>
      <c r="O768" t="str">
        <f t="array" ref="O768">_xlfn.IFS(orders[[#This Row],[Customer Gender]]="M","Male", orders[[#This Row],[Customer Gender]]="F","Female", orders[[#This Row],[Customer Gender]]="O","Other", TRUE(),"Unknown")</f>
        <v>Male</v>
      </c>
    </row>
    <row r="769" spans="1:15" x14ac:dyDescent="0.25">
      <c r="A769" t="s">
        <v>997</v>
      </c>
      <c r="B769" t="s">
        <v>80</v>
      </c>
      <c r="C769">
        <v>3</v>
      </c>
      <c r="D769">
        <v>45.2</v>
      </c>
      <c r="E769">
        <v>135.6</v>
      </c>
      <c r="F769" s="58">
        <v>45690</v>
      </c>
      <c r="G769" s="58">
        <v>45692</v>
      </c>
      <c r="H769" t="s">
        <v>229</v>
      </c>
      <c r="I769" t="s">
        <v>61</v>
      </c>
      <c r="J769">
        <v>5</v>
      </c>
      <c r="K769" t="s">
        <v>103</v>
      </c>
      <c r="L769" t="s">
        <v>124</v>
      </c>
      <c r="M769">
        <f>orders[[#This Row],[Ship Date]]-orders[[#This Row],[Order Date]]</f>
        <v>2</v>
      </c>
      <c r="N769">
        <f>WEEKNUM(orders[[#This Row],[Order Date]],1)</f>
        <v>6</v>
      </c>
      <c r="O769" t="str">
        <f t="array" ref="O769">_xlfn.IFS(orders[[#This Row],[Customer Gender]]="M","Male", orders[[#This Row],[Customer Gender]]="F","Female", orders[[#This Row],[Customer Gender]]="O","Other", TRUE(),"Unknown")</f>
        <v>Male</v>
      </c>
    </row>
    <row r="770" spans="1:15" x14ac:dyDescent="0.25">
      <c r="A770" t="s">
        <v>998</v>
      </c>
      <c r="B770" t="s">
        <v>78</v>
      </c>
      <c r="C770">
        <v>2</v>
      </c>
      <c r="D770">
        <v>60.1</v>
      </c>
      <c r="E770">
        <v>120.2</v>
      </c>
      <c r="F770" s="58">
        <v>45690</v>
      </c>
      <c r="G770" s="58">
        <v>45691</v>
      </c>
      <c r="H770" t="s">
        <v>231</v>
      </c>
      <c r="I770" t="s">
        <v>59</v>
      </c>
      <c r="J770">
        <v>5</v>
      </c>
      <c r="K770" t="s">
        <v>103</v>
      </c>
      <c r="L770" t="s">
        <v>124</v>
      </c>
      <c r="M770">
        <f>orders[[#This Row],[Ship Date]]-orders[[#This Row],[Order Date]]</f>
        <v>1</v>
      </c>
      <c r="N770">
        <f>WEEKNUM(orders[[#This Row],[Order Date]],1)</f>
        <v>6</v>
      </c>
      <c r="O770" t="str">
        <f t="array" ref="O770">_xlfn.IFS(orders[[#This Row],[Customer Gender]]="M","Male", orders[[#This Row],[Customer Gender]]="F","Female", orders[[#This Row],[Customer Gender]]="O","Other", TRUE(),"Unknown")</f>
        <v>Female</v>
      </c>
    </row>
    <row r="771" spans="1:15" x14ac:dyDescent="0.25">
      <c r="A771" t="s">
        <v>999</v>
      </c>
      <c r="B771" t="s">
        <v>76</v>
      </c>
      <c r="C771">
        <v>4</v>
      </c>
      <c r="D771">
        <v>118.7</v>
      </c>
      <c r="E771">
        <v>474.8</v>
      </c>
      <c r="F771" s="58">
        <v>45690</v>
      </c>
      <c r="G771" s="58">
        <v>45692</v>
      </c>
      <c r="H771" t="s">
        <v>231</v>
      </c>
      <c r="I771" t="s">
        <v>59</v>
      </c>
      <c r="J771">
        <v>4</v>
      </c>
      <c r="K771" t="s">
        <v>103</v>
      </c>
      <c r="L771" t="s">
        <v>124</v>
      </c>
      <c r="M771">
        <f>orders[[#This Row],[Ship Date]]-orders[[#This Row],[Order Date]]</f>
        <v>2</v>
      </c>
      <c r="N771">
        <f>WEEKNUM(orders[[#This Row],[Order Date]],1)</f>
        <v>6</v>
      </c>
      <c r="O771" t="str">
        <f t="array" ref="O771">_xlfn.IFS(orders[[#This Row],[Customer Gender]]="M","Male", orders[[#This Row],[Customer Gender]]="F","Female", orders[[#This Row],[Customer Gender]]="O","Other", TRUE(),"Unknown")</f>
        <v>Female</v>
      </c>
    </row>
    <row r="772" spans="1:15" x14ac:dyDescent="0.25">
      <c r="A772" t="s">
        <v>1000</v>
      </c>
      <c r="B772" t="s">
        <v>88</v>
      </c>
      <c r="C772">
        <v>1</v>
      </c>
      <c r="D772">
        <v>57.8</v>
      </c>
      <c r="E772">
        <v>57.8</v>
      </c>
      <c r="F772" s="58">
        <v>45690</v>
      </c>
      <c r="G772" s="58">
        <v>45699</v>
      </c>
      <c r="H772" t="s">
        <v>231</v>
      </c>
      <c r="I772" t="s">
        <v>63</v>
      </c>
      <c r="J772">
        <v>4</v>
      </c>
      <c r="K772" t="s">
        <v>103</v>
      </c>
      <c r="L772" t="s">
        <v>124</v>
      </c>
      <c r="M772">
        <f>orders[[#This Row],[Ship Date]]-orders[[#This Row],[Order Date]]</f>
        <v>9</v>
      </c>
      <c r="N772">
        <f>WEEKNUM(orders[[#This Row],[Order Date]],1)</f>
        <v>6</v>
      </c>
      <c r="O772" t="str">
        <f t="array" ref="O772">_xlfn.IFS(orders[[#This Row],[Customer Gender]]="M","Male", orders[[#This Row],[Customer Gender]]="F","Female", orders[[#This Row],[Customer Gender]]="O","Other", TRUE(),"Unknown")</f>
        <v>Female</v>
      </c>
    </row>
    <row r="773" spans="1:15" x14ac:dyDescent="0.25">
      <c r="A773" t="s">
        <v>1001</v>
      </c>
      <c r="B773" t="s">
        <v>78</v>
      </c>
      <c r="C773">
        <v>1</v>
      </c>
      <c r="D773">
        <v>19.5</v>
      </c>
      <c r="E773">
        <v>19.5</v>
      </c>
      <c r="F773" s="58">
        <v>45690</v>
      </c>
      <c r="G773" s="58">
        <v>45691</v>
      </c>
      <c r="H773" t="s">
        <v>229</v>
      </c>
      <c r="I773" t="s">
        <v>63</v>
      </c>
      <c r="J773">
        <v>3</v>
      </c>
      <c r="K773" t="s">
        <v>103</v>
      </c>
      <c r="L773" t="s">
        <v>124</v>
      </c>
      <c r="M773">
        <f>orders[[#This Row],[Ship Date]]-orders[[#This Row],[Order Date]]</f>
        <v>1</v>
      </c>
      <c r="N773">
        <f>WEEKNUM(orders[[#This Row],[Order Date]],1)</f>
        <v>6</v>
      </c>
      <c r="O773" t="str">
        <f t="array" ref="O773">_xlfn.IFS(orders[[#This Row],[Customer Gender]]="M","Male", orders[[#This Row],[Customer Gender]]="F","Female", orders[[#This Row],[Customer Gender]]="O","Other", TRUE(),"Unknown")</f>
        <v>Male</v>
      </c>
    </row>
    <row r="774" spans="1:15" x14ac:dyDescent="0.25">
      <c r="A774" t="s">
        <v>1002</v>
      </c>
      <c r="B774" t="s">
        <v>76</v>
      </c>
      <c r="C774">
        <v>1</v>
      </c>
      <c r="D774">
        <v>42.6</v>
      </c>
      <c r="E774">
        <v>42.6</v>
      </c>
      <c r="F774" s="58">
        <v>45690</v>
      </c>
      <c r="G774" s="58">
        <v>45691</v>
      </c>
      <c r="H774" t="s">
        <v>229</v>
      </c>
      <c r="I774" t="s">
        <v>59</v>
      </c>
      <c r="J774">
        <v>3</v>
      </c>
      <c r="K774" t="s">
        <v>103</v>
      </c>
      <c r="L774" t="s">
        <v>124</v>
      </c>
      <c r="M774">
        <f>orders[[#This Row],[Ship Date]]-orders[[#This Row],[Order Date]]</f>
        <v>1</v>
      </c>
      <c r="N774">
        <f>WEEKNUM(orders[[#This Row],[Order Date]],1)</f>
        <v>6</v>
      </c>
      <c r="O774" t="str">
        <f t="array" ref="O774">_xlfn.IFS(orders[[#This Row],[Customer Gender]]="M","Male", orders[[#This Row],[Customer Gender]]="F","Female", orders[[#This Row],[Customer Gender]]="O","Other", TRUE(),"Unknown")</f>
        <v>Male</v>
      </c>
    </row>
    <row r="775" spans="1:15" x14ac:dyDescent="0.25">
      <c r="A775" t="s">
        <v>1003</v>
      </c>
      <c r="B775" t="s">
        <v>80</v>
      </c>
      <c r="C775">
        <v>2</v>
      </c>
      <c r="D775">
        <v>74.8</v>
      </c>
      <c r="E775">
        <v>149.6</v>
      </c>
      <c r="F775" s="58">
        <v>45690</v>
      </c>
      <c r="G775" s="58">
        <v>45691</v>
      </c>
      <c r="H775" t="s">
        <v>231</v>
      </c>
      <c r="I775" t="s">
        <v>60</v>
      </c>
      <c r="J775">
        <v>5</v>
      </c>
      <c r="K775" t="s">
        <v>103</v>
      </c>
      <c r="L775" t="s">
        <v>125</v>
      </c>
      <c r="M775">
        <f>orders[[#This Row],[Ship Date]]-orders[[#This Row],[Order Date]]</f>
        <v>1</v>
      </c>
      <c r="N775">
        <f>WEEKNUM(orders[[#This Row],[Order Date]],1)</f>
        <v>6</v>
      </c>
      <c r="O775" t="str">
        <f t="array" ref="O775">_xlfn.IFS(orders[[#This Row],[Customer Gender]]="M","Male", orders[[#This Row],[Customer Gender]]="F","Female", orders[[#This Row],[Customer Gender]]="O","Other", TRUE(),"Unknown")</f>
        <v>Female</v>
      </c>
    </row>
    <row r="776" spans="1:15" x14ac:dyDescent="0.25">
      <c r="A776" t="s">
        <v>1004</v>
      </c>
      <c r="B776" t="s">
        <v>90</v>
      </c>
      <c r="C776">
        <v>3</v>
      </c>
      <c r="D776">
        <v>32.5</v>
      </c>
      <c r="E776">
        <v>97.5</v>
      </c>
      <c r="F776" s="58">
        <v>45690</v>
      </c>
      <c r="G776" s="58">
        <v>45691</v>
      </c>
      <c r="H776" t="s">
        <v>229</v>
      </c>
      <c r="I776" t="s">
        <v>62</v>
      </c>
      <c r="J776">
        <v>2</v>
      </c>
      <c r="K776" t="s">
        <v>103</v>
      </c>
      <c r="L776" t="s">
        <v>133</v>
      </c>
      <c r="M776">
        <f>orders[[#This Row],[Ship Date]]-orders[[#This Row],[Order Date]]</f>
        <v>1</v>
      </c>
      <c r="N776">
        <f>WEEKNUM(orders[[#This Row],[Order Date]],1)</f>
        <v>6</v>
      </c>
      <c r="O776" t="str">
        <f t="array" ref="O776">_xlfn.IFS(orders[[#This Row],[Customer Gender]]="M","Male", orders[[#This Row],[Customer Gender]]="F","Female", orders[[#This Row],[Customer Gender]]="O","Other", TRUE(),"Unknown")</f>
        <v>Male</v>
      </c>
    </row>
    <row r="777" spans="1:15" x14ac:dyDescent="0.25">
      <c r="A777" t="s">
        <v>1005</v>
      </c>
      <c r="B777" t="s">
        <v>87</v>
      </c>
      <c r="C777">
        <v>3</v>
      </c>
      <c r="D777">
        <v>60.5</v>
      </c>
      <c r="E777">
        <v>181.5</v>
      </c>
      <c r="F777" s="58">
        <v>45690</v>
      </c>
      <c r="G777" s="58">
        <v>45690</v>
      </c>
      <c r="H777" t="s">
        <v>231</v>
      </c>
      <c r="I777" t="s">
        <v>63</v>
      </c>
      <c r="J777">
        <v>5</v>
      </c>
      <c r="K777" t="s">
        <v>103</v>
      </c>
      <c r="L777" t="s">
        <v>135</v>
      </c>
      <c r="M777">
        <f>orders[[#This Row],[Ship Date]]-orders[[#This Row],[Order Date]]</f>
        <v>0</v>
      </c>
      <c r="N777">
        <f>WEEKNUM(orders[[#This Row],[Order Date]],1)</f>
        <v>6</v>
      </c>
      <c r="O777" t="str">
        <f t="array" ref="O777">_xlfn.IFS(orders[[#This Row],[Customer Gender]]="M","Male", orders[[#This Row],[Customer Gender]]="F","Female", orders[[#This Row],[Customer Gender]]="O","Other", TRUE(),"Unknown")</f>
        <v>Female</v>
      </c>
    </row>
    <row r="778" spans="1:15" x14ac:dyDescent="0.25">
      <c r="A778" t="s">
        <v>1006</v>
      </c>
      <c r="B778" t="s">
        <v>91</v>
      </c>
      <c r="C778">
        <v>7</v>
      </c>
      <c r="D778">
        <v>57.2</v>
      </c>
      <c r="E778">
        <v>400.4</v>
      </c>
      <c r="F778" s="58">
        <v>45690</v>
      </c>
      <c r="G778" s="58">
        <v>45692</v>
      </c>
      <c r="I778" t="s">
        <v>62</v>
      </c>
      <c r="J778">
        <v>4</v>
      </c>
      <c r="K778" t="s">
        <v>103</v>
      </c>
      <c r="L778" t="s">
        <v>135</v>
      </c>
      <c r="M778">
        <f>orders[[#This Row],[Ship Date]]-orders[[#This Row],[Order Date]]</f>
        <v>2</v>
      </c>
      <c r="N778">
        <f>WEEKNUM(orders[[#This Row],[Order Date]],1)</f>
        <v>6</v>
      </c>
      <c r="O778" t="str">
        <f t="array" ref="O778">_xlfn.IFS(orders[[#This Row],[Customer Gender]]="M","Male", orders[[#This Row],[Customer Gender]]="F","Female", orders[[#This Row],[Customer Gender]]="O","Other", TRUE(),"Unknown")</f>
        <v>Unknown</v>
      </c>
    </row>
    <row r="779" spans="1:15" x14ac:dyDescent="0.25">
      <c r="A779" t="s">
        <v>1007</v>
      </c>
      <c r="B779" t="s">
        <v>89</v>
      </c>
      <c r="C779">
        <v>2</v>
      </c>
      <c r="D779">
        <v>112</v>
      </c>
      <c r="E779">
        <v>224</v>
      </c>
      <c r="F779" s="58">
        <v>45690</v>
      </c>
      <c r="G779" s="58">
        <v>45691</v>
      </c>
      <c r="H779" t="s">
        <v>231</v>
      </c>
      <c r="I779" t="s">
        <v>63</v>
      </c>
      <c r="J779">
        <v>3</v>
      </c>
      <c r="K779" t="s">
        <v>103</v>
      </c>
      <c r="L779" t="s">
        <v>136</v>
      </c>
      <c r="M779">
        <f>orders[[#This Row],[Ship Date]]-orders[[#This Row],[Order Date]]</f>
        <v>1</v>
      </c>
      <c r="N779">
        <f>WEEKNUM(orders[[#This Row],[Order Date]],1)</f>
        <v>6</v>
      </c>
      <c r="O779" t="str">
        <f t="array" ref="O779">_xlfn.IFS(orders[[#This Row],[Customer Gender]]="M","Male", orders[[#This Row],[Customer Gender]]="F","Female", orders[[#This Row],[Customer Gender]]="O","Other", TRUE(),"Unknown")</f>
        <v>Female</v>
      </c>
    </row>
    <row r="780" spans="1:15" x14ac:dyDescent="0.25">
      <c r="A780" t="s">
        <v>1008</v>
      </c>
      <c r="B780" t="s">
        <v>79</v>
      </c>
      <c r="C780">
        <v>10</v>
      </c>
      <c r="D780">
        <v>49</v>
      </c>
      <c r="E780">
        <v>490</v>
      </c>
      <c r="F780" s="58">
        <v>45690</v>
      </c>
      <c r="G780" s="58">
        <v>45691</v>
      </c>
      <c r="H780" t="s">
        <v>263</v>
      </c>
      <c r="I780" t="s">
        <v>62</v>
      </c>
      <c r="J780">
        <v>3</v>
      </c>
      <c r="K780" t="s">
        <v>103</v>
      </c>
      <c r="L780" t="s">
        <v>139</v>
      </c>
      <c r="M780">
        <f>orders[[#This Row],[Ship Date]]-orders[[#This Row],[Order Date]]</f>
        <v>1</v>
      </c>
      <c r="N780">
        <f>WEEKNUM(orders[[#This Row],[Order Date]],1)</f>
        <v>6</v>
      </c>
      <c r="O780" t="str">
        <f t="array" ref="O780">_xlfn.IFS(orders[[#This Row],[Customer Gender]]="M","Male", orders[[#This Row],[Customer Gender]]="F","Female", orders[[#This Row],[Customer Gender]]="O","Other", TRUE(),"Unknown")</f>
        <v>Other</v>
      </c>
    </row>
    <row r="781" spans="1:15" x14ac:dyDescent="0.25">
      <c r="A781" t="s">
        <v>1009</v>
      </c>
      <c r="B781" t="s">
        <v>86</v>
      </c>
      <c r="C781">
        <v>2</v>
      </c>
      <c r="D781">
        <v>33.700000000000003</v>
      </c>
      <c r="E781">
        <v>67.400000000000006</v>
      </c>
      <c r="F781" s="58">
        <v>45690</v>
      </c>
      <c r="G781" s="58">
        <v>45694</v>
      </c>
      <c r="H781" t="s">
        <v>231</v>
      </c>
      <c r="I781" t="s">
        <v>60</v>
      </c>
      <c r="J781">
        <v>4</v>
      </c>
      <c r="K781" t="s">
        <v>103</v>
      </c>
      <c r="L781" t="s">
        <v>139</v>
      </c>
      <c r="M781">
        <f>orders[[#This Row],[Ship Date]]-orders[[#This Row],[Order Date]]</f>
        <v>4</v>
      </c>
      <c r="N781">
        <f>WEEKNUM(orders[[#This Row],[Order Date]],1)</f>
        <v>6</v>
      </c>
      <c r="O781" t="str">
        <f t="array" ref="O781">_xlfn.IFS(orders[[#This Row],[Customer Gender]]="M","Male", orders[[#This Row],[Customer Gender]]="F","Female", orders[[#This Row],[Customer Gender]]="O","Other", TRUE(),"Unknown")</f>
        <v>Female</v>
      </c>
    </row>
    <row r="782" spans="1:15" x14ac:dyDescent="0.25">
      <c r="A782" t="s">
        <v>1010</v>
      </c>
      <c r="B782" t="s">
        <v>78</v>
      </c>
      <c r="C782">
        <v>3</v>
      </c>
      <c r="D782">
        <v>35.6</v>
      </c>
      <c r="E782">
        <v>106.8</v>
      </c>
      <c r="F782" s="58">
        <v>45690</v>
      </c>
      <c r="G782" s="58">
        <v>45693</v>
      </c>
      <c r="H782" t="s">
        <v>231</v>
      </c>
      <c r="I782" t="s">
        <v>59</v>
      </c>
      <c r="J782">
        <v>5</v>
      </c>
      <c r="K782" t="s">
        <v>103</v>
      </c>
      <c r="L782" t="s">
        <v>139</v>
      </c>
      <c r="M782">
        <f>orders[[#This Row],[Ship Date]]-orders[[#This Row],[Order Date]]</f>
        <v>3</v>
      </c>
      <c r="N782">
        <f>WEEKNUM(orders[[#This Row],[Order Date]],1)</f>
        <v>6</v>
      </c>
      <c r="O782" t="str">
        <f t="array" ref="O782">_xlfn.IFS(orders[[#This Row],[Customer Gender]]="M","Male", orders[[#This Row],[Customer Gender]]="F","Female", orders[[#This Row],[Customer Gender]]="O","Other", TRUE(),"Unknown")</f>
        <v>Female</v>
      </c>
    </row>
    <row r="783" spans="1:15" x14ac:dyDescent="0.25">
      <c r="A783" t="s">
        <v>1011</v>
      </c>
      <c r="B783" t="s">
        <v>78</v>
      </c>
      <c r="C783">
        <v>35</v>
      </c>
      <c r="D783">
        <v>30.4</v>
      </c>
      <c r="E783">
        <v>1064</v>
      </c>
      <c r="F783" s="58">
        <v>45691</v>
      </c>
      <c r="G783" s="58">
        <v>45691</v>
      </c>
      <c r="H783" t="s">
        <v>231</v>
      </c>
      <c r="I783" t="s">
        <v>59</v>
      </c>
      <c r="J783">
        <v>3</v>
      </c>
      <c r="K783" t="s">
        <v>103</v>
      </c>
      <c r="L783" t="s">
        <v>141</v>
      </c>
      <c r="M783">
        <f>orders[[#This Row],[Ship Date]]-orders[[#This Row],[Order Date]]</f>
        <v>0</v>
      </c>
      <c r="N783">
        <f>WEEKNUM(orders[[#This Row],[Order Date]],1)</f>
        <v>6</v>
      </c>
      <c r="O783" t="str">
        <f t="array" ref="O783">_xlfn.IFS(orders[[#This Row],[Customer Gender]]="M","Male", orders[[#This Row],[Customer Gender]]="F","Female", orders[[#This Row],[Customer Gender]]="O","Other", TRUE(),"Unknown")</f>
        <v>Female</v>
      </c>
    </row>
    <row r="784" spans="1:15" x14ac:dyDescent="0.25">
      <c r="A784" t="s">
        <v>1012</v>
      </c>
      <c r="B784" t="s">
        <v>75</v>
      </c>
      <c r="C784">
        <v>12</v>
      </c>
      <c r="D784">
        <v>50.2</v>
      </c>
      <c r="E784">
        <v>602.4</v>
      </c>
      <c r="F784" s="58">
        <v>45691</v>
      </c>
      <c r="G784" s="58">
        <v>45692</v>
      </c>
      <c r="H784" t="s">
        <v>229</v>
      </c>
      <c r="I784" t="s">
        <v>61</v>
      </c>
      <c r="J784">
        <v>4</v>
      </c>
      <c r="K784" t="s">
        <v>103</v>
      </c>
      <c r="L784" t="s">
        <v>142</v>
      </c>
      <c r="M784">
        <f>orders[[#This Row],[Ship Date]]-orders[[#This Row],[Order Date]]</f>
        <v>1</v>
      </c>
      <c r="N784">
        <f>WEEKNUM(orders[[#This Row],[Order Date]],1)</f>
        <v>6</v>
      </c>
      <c r="O784" t="str">
        <f t="array" ref="O784">_xlfn.IFS(orders[[#This Row],[Customer Gender]]="M","Male", orders[[#This Row],[Customer Gender]]="F","Female", orders[[#This Row],[Customer Gender]]="O","Other", TRUE(),"Unknown")</f>
        <v>Male</v>
      </c>
    </row>
    <row r="785" spans="1:15" x14ac:dyDescent="0.25">
      <c r="A785" t="s">
        <v>1013</v>
      </c>
      <c r="B785" t="s">
        <v>91</v>
      </c>
      <c r="C785">
        <v>2</v>
      </c>
      <c r="D785">
        <v>43.7</v>
      </c>
      <c r="E785">
        <v>87.4</v>
      </c>
      <c r="F785" s="58">
        <v>45691</v>
      </c>
      <c r="G785" s="58">
        <v>45693</v>
      </c>
      <c r="H785" t="s">
        <v>231</v>
      </c>
      <c r="I785" t="s">
        <v>59</v>
      </c>
      <c r="J785">
        <v>4</v>
      </c>
      <c r="K785" t="s">
        <v>103</v>
      </c>
      <c r="L785" t="s">
        <v>142</v>
      </c>
      <c r="M785">
        <f>orders[[#This Row],[Ship Date]]-orders[[#This Row],[Order Date]]</f>
        <v>2</v>
      </c>
      <c r="N785">
        <f>WEEKNUM(orders[[#This Row],[Order Date]],1)</f>
        <v>6</v>
      </c>
      <c r="O785" t="str">
        <f t="array" ref="O785">_xlfn.IFS(orders[[#This Row],[Customer Gender]]="M","Male", orders[[#This Row],[Customer Gender]]="F","Female", orders[[#This Row],[Customer Gender]]="O","Other", TRUE(),"Unknown")</f>
        <v>Female</v>
      </c>
    </row>
    <row r="786" spans="1:15" x14ac:dyDescent="0.25">
      <c r="A786" t="s">
        <v>1014</v>
      </c>
      <c r="B786" t="s">
        <v>75</v>
      </c>
      <c r="C786">
        <v>1</v>
      </c>
      <c r="D786">
        <v>33.299999999999997</v>
      </c>
      <c r="E786">
        <v>33.299999999999997</v>
      </c>
      <c r="F786" s="58">
        <v>45691</v>
      </c>
      <c r="G786" s="58">
        <v>45692</v>
      </c>
      <c r="H786" t="s">
        <v>231</v>
      </c>
      <c r="I786" t="s">
        <v>62</v>
      </c>
      <c r="J786">
        <v>3</v>
      </c>
      <c r="K786" t="s">
        <v>103</v>
      </c>
      <c r="L786" t="s">
        <v>142</v>
      </c>
      <c r="M786">
        <f>orders[[#This Row],[Ship Date]]-orders[[#This Row],[Order Date]]</f>
        <v>1</v>
      </c>
      <c r="N786">
        <f>WEEKNUM(orders[[#This Row],[Order Date]],1)</f>
        <v>6</v>
      </c>
      <c r="O786" t="str">
        <f t="array" ref="O786">_xlfn.IFS(orders[[#This Row],[Customer Gender]]="M","Male", orders[[#This Row],[Customer Gender]]="F","Female", orders[[#This Row],[Customer Gender]]="O","Other", TRUE(),"Unknown")</f>
        <v>Female</v>
      </c>
    </row>
    <row r="787" spans="1:15" x14ac:dyDescent="0.25">
      <c r="A787" t="s">
        <v>1015</v>
      </c>
      <c r="B787" t="s">
        <v>90</v>
      </c>
      <c r="C787">
        <v>4</v>
      </c>
      <c r="D787">
        <v>15.1</v>
      </c>
      <c r="E787">
        <v>60.4</v>
      </c>
      <c r="F787" s="58">
        <v>45691</v>
      </c>
      <c r="G787" s="58">
        <v>45693</v>
      </c>
      <c r="H787" t="s">
        <v>231</v>
      </c>
      <c r="I787" t="s">
        <v>61</v>
      </c>
      <c r="J787">
        <v>5</v>
      </c>
      <c r="K787" t="s">
        <v>103</v>
      </c>
      <c r="L787" t="s">
        <v>142</v>
      </c>
      <c r="M787">
        <f>orders[[#This Row],[Ship Date]]-orders[[#This Row],[Order Date]]</f>
        <v>2</v>
      </c>
      <c r="N787">
        <f>WEEKNUM(orders[[#This Row],[Order Date]],1)</f>
        <v>6</v>
      </c>
      <c r="O787" t="str">
        <f t="array" ref="O787">_xlfn.IFS(orders[[#This Row],[Customer Gender]]="M","Male", orders[[#This Row],[Customer Gender]]="F","Female", orders[[#This Row],[Customer Gender]]="O","Other", TRUE(),"Unknown")</f>
        <v>Female</v>
      </c>
    </row>
    <row r="788" spans="1:15" x14ac:dyDescent="0.25">
      <c r="A788" t="s">
        <v>1016</v>
      </c>
      <c r="B788" t="s">
        <v>80</v>
      </c>
      <c r="C788">
        <v>5</v>
      </c>
      <c r="D788">
        <v>118.2</v>
      </c>
      <c r="E788">
        <v>591</v>
      </c>
      <c r="F788" s="58">
        <v>45691</v>
      </c>
      <c r="G788" s="58">
        <v>45692</v>
      </c>
      <c r="H788" t="s">
        <v>231</v>
      </c>
      <c r="I788" t="s">
        <v>60</v>
      </c>
      <c r="J788">
        <v>2</v>
      </c>
      <c r="K788" t="s">
        <v>103</v>
      </c>
      <c r="L788" t="s">
        <v>142</v>
      </c>
      <c r="M788">
        <f>orders[[#This Row],[Ship Date]]-orders[[#This Row],[Order Date]]</f>
        <v>1</v>
      </c>
      <c r="N788">
        <f>WEEKNUM(orders[[#This Row],[Order Date]],1)</f>
        <v>6</v>
      </c>
      <c r="O788" t="str">
        <f t="array" ref="O788">_xlfn.IFS(orders[[#This Row],[Customer Gender]]="M","Male", orders[[#This Row],[Customer Gender]]="F","Female", orders[[#This Row],[Customer Gender]]="O","Other", TRUE(),"Unknown")</f>
        <v>Female</v>
      </c>
    </row>
    <row r="789" spans="1:15" x14ac:dyDescent="0.25">
      <c r="A789" t="s">
        <v>1017</v>
      </c>
      <c r="B789" t="s">
        <v>75</v>
      </c>
      <c r="C789">
        <v>3</v>
      </c>
      <c r="D789">
        <v>28.9</v>
      </c>
      <c r="E789">
        <v>86.7</v>
      </c>
      <c r="F789" s="58">
        <v>45691</v>
      </c>
      <c r="G789" s="58">
        <v>45693</v>
      </c>
      <c r="H789" t="s">
        <v>231</v>
      </c>
      <c r="I789" t="s">
        <v>62</v>
      </c>
      <c r="J789">
        <v>3</v>
      </c>
      <c r="K789" t="s">
        <v>103</v>
      </c>
      <c r="L789" t="s">
        <v>142</v>
      </c>
      <c r="M789">
        <f>orders[[#This Row],[Ship Date]]-orders[[#This Row],[Order Date]]</f>
        <v>2</v>
      </c>
      <c r="N789">
        <f>WEEKNUM(orders[[#This Row],[Order Date]],1)</f>
        <v>6</v>
      </c>
      <c r="O789" t="str">
        <f t="array" ref="O789">_xlfn.IFS(orders[[#This Row],[Customer Gender]]="M","Male", orders[[#This Row],[Customer Gender]]="F","Female", orders[[#This Row],[Customer Gender]]="O","Other", TRUE(),"Unknown")</f>
        <v>Female</v>
      </c>
    </row>
    <row r="790" spans="1:15" x14ac:dyDescent="0.25">
      <c r="A790" t="s">
        <v>1018</v>
      </c>
      <c r="B790" t="s">
        <v>78</v>
      </c>
      <c r="C790">
        <v>3</v>
      </c>
      <c r="D790">
        <v>55.6</v>
      </c>
      <c r="E790">
        <v>166.8</v>
      </c>
      <c r="F790" s="58">
        <v>45691</v>
      </c>
      <c r="G790" s="58">
        <v>45692</v>
      </c>
      <c r="H790" t="s">
        <v>229</v>
      </c>
      <c r="I790" t="s">
        <v>59</v>
      </c>
      <c r="J790">
        <v>3</v>
      </c>
      <c r="K790" t="s">
        <v>103</v>
      </c>
      <c r="L790" t="s">
        <v>142</v>
      </c>
      <c r="M790">
        <f>orders[[#This Row],[Ship Date]]-orders[[#This Row],[Order Date]]</f>
        <v>1</v>
      </c>
      <c r="N790">
        <f>WEEKNUM(orders[[#This Row],[Order Date]],1)</f>
        <v>6</v>
      </c>
      <c r="O790" t="str">
        <f t="array" ref="O790">_xlfn.IFS(orders[[#This Row],[Customer Gender]]="M","Male", orders[[#This Row],[Customer Gender]]="F","Female", orders[[#This Row],[Customer Gender]]="O","Other", TRUE(),"Unknown")</f>
        <v>Male</v>
      </c>
    </row>
    <row r="791" spans="1:15" x14ac:dyDescent="0.25">
      <c r="A791" t="s">
        <v>1019</v>
      </c>
      <c r="B791" t="s">
        <v>88</v>
      </c>
      <c r="C791">
        <v>4</v>
      </c>
      <c r="D791">
        <v>25.6</v>
      </c>
      <c r="E791">
        <v>102.4</v>
      </c>
      <c r="F791" s="58">
        <v>45691</v>
      </c>
      <c r="G791" s="58">
        <v>45693</v>
      </c>
      <c r="H791" t="s">
        <v>231</v>
      </c>
      <c r="I791" t="s">
        <v>59</v>
      </c>
      <c r="J791">
        <v>3</v>
      </c>
      <c r="K791" t="s">
        <v>103</v>
      </c>
      <c r="L791" t="s">
        <v>142</v>
      </c>
      <c r="M791">
        <f>orders[[#This Row],[Ship Date]]-orders[[#This Row],[Order Date]]</f>
        <v>2</v>
      </c>
      <c r="N791">
        <f>WEEKNUM(orders[[#This Row],[Order Date]],1)</f>
        <v>6</v>
      </c>
      <c r="O791" t="str">
        <f t="array" ref="O791">_xlfn.IFS(orders[[#This Row],[Customer Gender]]="M","Male", orders[[#This Row],[Customer Gender]]="F","Female", orders[[#This Row],[Customer Gender]]="O","Other", TRUE(),"Unknown")</f>
        <v>Female</v>
      </c>
    </row>
    <row r="792" spans="1:15" x14ac:dyDescent="0.25">
      <c r="A792" t="s">
        <v>1020</v>
      </c>
      <c r="B792" t="s">
        <v>79</v>
      </c>
      <c r="C792">
        <v>3</v>
      </c>
      <c r="D792">
        <v>31.3</v>
      </c>
      <c r="E792">
        <v>93.9</v>
      </c>
      <c r="F792" s="58">
        <v>45691</v>
      </c>
      <c r="G792" s="58">
        <v>45692</v>
      </c>
      <c r="H792" t="s">
        <v>229</v>
      </c>
      <c r="I792" t="s">
        <v>59</v>
      </c>
      <c r="J792">
        <v>4</v>
      </c>
      <c r="K792" t="s">
        <v>103</v>
      </c>
      <c r="L792" t="s">
        <v>143</v>
      </c>
      <c r="M792">
        <f>orders[[#This Row],[Ship Date]]-orders[[#This Row],[Order Date]]</f>
        <v>1</v>
      </c>
      <c r="N792">
        <f>WEEKNUM(orders[[#This Row],[Order Date]],1)</f>
        <v>6</v>
      </c>
      <c r="O792" t="str">
        <f t="array" ref="O792">_xlfn.IFS(orders[[#This Row],[Customer Gender]]="M","Male", orders[[#This Row],[Customer Gender]]="F","Female", orders[[#This Row],[Customer Gender]]="O","Other", TRUE(),"Unknown")</f>
        <v>Male</v>
      </c>
    </row>
    <row r="793" spans="1:15" x14ac:dyDescent="0.25">
      <c r="A793" t="s">
        <v>1021</v>
      </c>
      <c r="B793" t="s">
        <v>86</v>
      </c>
      <c r="C793">
        <v>3</v>
      </c>
      <c r="D793">
        <v>22.1</v>
      </c>
      <c r="E793">
        <v>66.3</v>
      </c>
      <c r="F793" s="58">
        <v>45691</v>
      </c>
      <c r="G793" s="58">
        <v>45695</v>
      </c>
      <c r="H793" t="s">
        <v>229</v>
      </c>
      <c r="I793" t="s">
        <v>59</v>
      </c>
      <c r="J793">
        <v>4</v>
      </c>
      <c r="K793" t="s">
        <v>103</v>
      </c>
      <c r="L793" t="s">
        <v>143</v>
      </c>
      <c r="M793">
        <f>orders[[#This Row],[Ship Date]]-orders[[#This Row],[Order Date]]</f>
        <v>4</v>
      </c>
      <c r="N793">
        <f>WEEKNUM(orders[[#This Row],[Order Date]],1)</f>
        <v>6</v>
      </c>
      <c r="O793" t="str">
        <f t="array" ref="O793">_xlfn.IFS(orders[[#This Row],[Customer Gender]]="M","Male", orders[[#This Row],[Customer Gender]]="F","Female", orders[[#This Row],[Customer Gender]]="O","Other", TRUE(),"Unknown")</f>
        <v>Male</v>
      </c>
    </row>
    <row r="794" spans="1:15" x14ac:dyDescent="0.25">
      <c r="A794" t="s">
        <v>1022</v>
      </c>
      <c r="B794" t="s">
        <v>87</v>
      </c>
      <c r="C794">
        <v>14</v>
      </c>
      <c r="D794">
        <v>99.4</v>
      </c>
      <c r="E794">
        <v>1391.6</v>
      </c>
      <c r="F794" s="58">
        <v>45691</v>
      </c>
      <c r="G794" s="58">
        <v>45692</v>
      </c>
      <c r="H794" t="s">
        <v>229</v>
      </c>
      <c r="I794" t="s">
        <v>63</v>
      </c>
      <c r="J794">
        <v>4</v>
      </c>
      <c r="K794" t="s">
        <v>103</v>
      </c>
      <c r="L794" t="s">
        <v>148</v>
      </c>
      <c r="M794">
        <f>orders[[#This Row],[Ship Date]]-orders[[#This Row],[Order Date]]</f>
        <v>1</v>
      </c>
      <c r="N794">
        <f>WEEKNUM(orders[[#This Row],[Order Date]],1)</f>
        <v>6</v>
      </c>
      <c r="O794" t="str">
        <f t="array" ref="O794">_xlfn.IFS(orders[[#This Row],[Customer Gender]]="M","Male", orders[[#This Row],[Customer Gender]]="F","Female", orders[[#This Row],[Customer Gender]]="O","Other", TRUE(),"Unknown")</f>
        <v>Male</v>
      </c>
    </row>
    <row r="795" spans="1:15" x14ac:dyDescent="0.25">
      <c r="A795" t="s">
        <v>1023</v>
      </c>
      <c r="B795" t="s">
        <v>79</v>
      </c>
      <c r="C795">
        <v>6</v>
      </c>
      <c r="D795">
        <v>66.599999999999994</v>
      </c>
      <c r="E795">
        <v>399.6</v>
      </c>
      <c r="F795" s="58">
        <v>45691</v>
      </c>
      <c r="G795" s="58">
        <v>45692</v>
      </c>
      <c r="H795" t="s">
        <v>231</v>
      </c>
      <c r="I795" t="s">
        <v>59</v>
      </c>
      <c r="J795">
        <v>4</v>
      </c>
      <c r="K795" t="s">
        <v>103</v>
      </c>
      <c r="L795" t="s">
        <v>148</v>
      </c>
      <c r="M795">
        <f>orders[[#This Row],[Ship Date]]-orders[[#This Row],[Order Date]]</f>
        <v>1</v>
      </c>
      <c r="N795">
        <f>WEEKNUM(orders[[#This Row],[Order Date]],1)</f>
        <v>6</v>
      </c>
      <c r="O795" t="str">
        <f t="array" ref="O795">_xlfn.IFS(orders[[#This Row],[Customer Gender]]="M","Male", orders[[#This Row],[Customer Gender]]="F","Female", orders[[#This Row],[Customer Gender]]="O","Other", TRUE(),"Unknown")</f>
        <v>Female</v>
      </c>
    </row>
    <row r="796" spans="1:15" x14ac:dyDescent="0.25">
      <c r="A796" t="s">
        <v>1024</v>
      </c>
      <c r="B796" t="s">
        <v>90</v>
      </c>
      <c r="C796">
        <v>2</v>
      </c>
      <c r="D796">
        <v>22.6</v>
      </c>
      <c r="E796">
        <v>45.2</v>
      </c>
      <c r="F796" s="58">
        <v>45691</v>
      </c>
      <c r="G796" s="58">
        <v>45694</v>
      </c>
      <c r="H796" t="s">
        <v>229</v>
      </c>
      <c r="I796" t="s">
        <v>59</v>
      </c>
      <c r="J796">
        <v>4</v>
      </c>
      <c r="K796" t="s">
        <v>103</v>
      </c>
      <c r="L796" t="s">
        <v>148</v>
      </c>
      <c r="M796">
        <f>orders[[#This Row],[Ship Date]]-orders[[#This Row],[Order Date]]</f>
        <v>3</v>
      </c>
      <c r="N796">
        <f>WEEKNUM(orders[[#This Row],[Order Date]],1)</f>
        <v>6</v>
      </c>
      <c r="O796" t="str">
        <f t="array" ref="O796">_xlfn.IFS(orders[[#This Row],[Customer Gender]]="M","Male", orders[[#This Row],[Customer Gender]]="F","Female", orders[[#This Row],[Customer Gender]]="O","Other", TRUE(),"Unknown")</f>
        <v>Male</v>
      </c>
    </row>
    <row r="797" spans="1:15" x14ac:dyDescent="0.25">
      <c r="A797" t="s">
        <v>1025</v>
      </c>
      <c r="B797" t="s">
        <v>87</v>
      </c>
      <c r="C797">
        <v>18</v>
      </c>
      <c r="D797">
        <v>66.8</v>
      </c>
      <c r="E797">
        <v>1202.4000000000001</v>
      </c>
      <c r="F797" s="58">
        <v>45691</v>
      </c>
      <c r="G797" s="58">
        <v>45692</v>
      </c>
      <c r="H797" t="s">
        <v>231</v>
      </c>
      <c r="I797" t="s">
        <v>59</v>
      </c>
      <c r="J797">
        <v>2</v>
      </c>
      <c r="K797" t="s">
        <v>103</v>
      </c>
      <c r="L797" t="s">
        <v>161</v>
      </c>
      <c r="M797">
        <f>orders[[#This Row],[Ship Date]]-orders[[#This Row],[Order Date]]</f>
        <v>1</v>
      </c>
      <c r="N797">
        <f>WEEKNUM(orders[[#This Row],[Order Date]],1)</f>
        <v>6</v>
      </c>
      <c r="O797" t="str">
        <f t="array" ref="O797">_xlfn.IFS(orders[[#This Row],[Customer Gender]]="M","Male", orders[[#This Row],[Customer Gender]]="F","Female", orders[[#This Row],[Customer Gender]]="O","Other", TRUE(),"Unknown")</f>
        <v>Female</v>
      </c>
    </row>
    <row r="798" spans="1:15" x14ac:dyDescent="0.25">
      <c r="A798" t="s">
        <v>1026</v>
      </c>
      <c r="B798" t="s">
        <v>86</v>
      </c>
      <c r="C798">
        <v>4</v>
      </c>
      <c r="D798">
        <v>20.8</v>
      </c>
      <c r="E798">
        <v>83.2</v>
      </c>
      <c r="F798" s="58">
        <v>45691</v>
      </c>
      <c r="G798" s="58">
        <v>45698</v>
      </c>
      <c r="H798" t="s">
        <v>229</v>
      </c>
      <c r="I798" t="s">
        <v>63</v>
      </c>
      <c r="J798">
        <v>2</v>
      </c>
      <c r="K798" t="s">
        <v>103</v>
      </c>
      <c r="L798" t="s">
        <v>112</v>
      </c>
      <c r="M798">
        <f>orders[[#This Row],[Ship Date]]-orders[[#This Row],[Order Date]]</f>
        <v>7</v>
      </c>
      <c r="N798">
        <f>WEEKNUM(orders[[#This Row],[Order Date]],1)</f>
        <v>6</v>
      </c>
      <c r="O798" t="str">
        <f t="array" ref="O798">_xlfn.IFS(orders[[#This Row],[Customer Gender]]="M","Male", orders[[#This Row],[Customer Gender]]="F","Female", orders[[#This Row],[Customer Gender]]="O","Other", TRUE(),"Unknown")</f>
        <v>Male</v>
      </c>
    </row>
    <row r="799" spans="1:15" x14ac:dyDescent="0.25">
      <c r="A799" t="s">
        <v>1027</v>
      </c>
      <c r="B799" t="s">
        <v>87</v>
      </c>
      <c r="C799">
        <v>7</v>
      </c>
      <c r="D799">
        <v>102.5</v>
      </c>
      <c r="E799">
        <v>717.5</v>
      </c>
      <c r="F799" s="58">
        <v>45691</v>
      </c>
      <c r="G799" s="58">
        <v>45692</v>
      </c>
      <c r="H799" t="s">
        <v>231</v>
      </c>
      <c r="I799" t="s">
        <v>61</v>
      </c>
      <c r="J799">
        <v>5</v>
      </c>
      <c r="K799" t="s">
        <v>103</v>
      </c>
      <c r="L799" t="s">
        <v>124</v>
      </c>
      <c r="M799">
        <f>orders[[#This Row],[Ship Date]]-orders[[#This Row],[Order Date]]</f>
        <v>1</v>
      </c>
      <c r="N799">
        <f>WEEKNUM(orders[[#This Row],[Order Date]],1)</f>
        <v>6</v>
      </c>
      <c r="O799" t="str">
        <f t="array" ref="O799">_xlfn.IFS(orders[[#This Row],[Customer Gender]]="M","Male", orders[[#This Row],[Customer Gender]]="F","Female", orders[[#This Row],[Customer Gender]]="O","Other", TRUE(),"Unknown")</f>
        <v>Female</v>
      </c>
    </row>
    <row r="800" spans="1:15" x14ac:dyDescent="0.25">
      <c r="A800" t="s">
        <v>1028</v>
      </c>
      <c r="B800" t="s">
        <v>86</v>
      </c>
      <c r="C800">
        <v>18</v>
      </c>
      <c r="D800">
        <v>24.8</v>
      </c>
      <c r="E800">
        <v>446.4</v>
      </c>
      <c r="F800" s="58">
        <v>45691</v>
      </c>
      <c r="G800" s="58">
        <v>45695</v>
      </c>
      <c r="H800" t="s">
        <v>231</v>
      </c>
      <c r="I800" t="s">
        <v>59</v>
      </c>
      <c r="J800">
        <v>4</v>
      </c>
      <c r="K800" t="s">
        <v>103</v>
      </c>
      <c r="L800" t="s">
        <v>124</v>
      </c>
      <c r="M800">
        <f>orders[[#This Row],[Ship Date]]-orders[[#This Row],[Order Date]]</f>
        <v>4</v>
      </c>
      <c r="N800">
        <f>WEEKNUM(orders[[#This Row],[Order Date]],1)</f>
        <v>6</v>
      </c>
      <c r="O800" t="str">
        <f t="array" ref="O800">_xlfn.IFS(orders[[#This Row],[Customer Gender]]="M","Male", orders[[#This Row],[Customer Gender]]="F","Female", orders[[#This Row],[Customer Gender]]="O","Other", TRUE(),"Unknown")</f>
        <v>Female</v>
      </c>
    </row>
    <row r="801" spans="1:15" x14ac:dyDescent="0.25">
      <c r="A801" t="s">
        <v>1029</v>
      </c>
      <c r="B801" t="s">
        <v>78</v>
      </c>
      <c r="C801">
        <v>31</v>
      </c>
      <c r="D801">
        <v>31.4</v>
      </c>
      <c r="E801">
        <v>973.4</v>
      </c>
      <c r="F801" s="58">
        <v>45691</v>
      </c>
      <c r="G801" s="58">
        <v>45692</v>
      </c>
      <c r="H801" t="s">
        <v>231</v>
      </c>
      <c r="I801" t="s">
        <v>60</v>
      </c>
      <c r="J801">
        <v>4</v>
      </c>
      <c r="K801" t="s">
        <v>103</v>
      </c>
      <c r="L801" t="s">
        <v>124</v>
      </c>
      <c r="M801">
        <f>orders[[#This Row],[Ship Date]]-orders[[#This Row],[Order Date]]</f>
        <v>1</v>
      </c>
      <c r="N801">
        <f>WEEKNUM(orders[[#This Row],[Order Date]],1)</f>
        <v>6</v>
      </c>
      <c r="O801" t="str">
        <f t="array" ref="O801">_xlfn.IFS(orders[[#This Row],[Customer Gender]]="M","Male", orders[[#This Row],[Customer Gender]]="F","Female", orders[[#This Row],[Customer Gender]]="O","Other", TRUE(),"Unknown")</f>
        <v>Female</v>
      </c>
    </row>
    <row r="802" spans="1:15" x14ac:dyDescent="0.25">
      <c r="A802" t="s">
        <v>1030</v>
      </c>
      <c r="B802" t="s">
        <v>88</v>
      </c>
      <c r="C802">
        <v>5</v>
      </c>
      <c r="D802">
        <v>59.3</v>
      </c>
      <c r="E802">
        <v>296.5</v>
      </c>
      <c r="F802" s="58">
        <v>45691</v>
      </c>
      <c r="G802" s="58">
        <v>45694</v>
      </c>
      <c r="H802" t="s">
        <v>229</v>
      </c>
      <c r="I802" t="s">
        <v>63</v>
      </c>
      <c r="J802">
        <v>5</v>
      </c>
      <c r="K802" t="s">
        <v>103</v>
      </c>
      <c r="L802" t="s">
        <v>126</v>
      </c>
      <c r="M802">
        <f>orders[[#This Row],[Ship Date]]-orders[[#This Row],[Order Date]]</f>
        <v>3</v>
      </c>
      <c r="N802">
        <f>WEEKNUM(orders[[#This Row],[Order Date]],1)</f>
        <v>6</v>
      </c>
      <c r="O802" t="str">
        <f t="array" ref="O802">_xlfn.IFS(orders[[#This Row],[Customer Gender]]="M","Male", orders[[#This Row],[Customer Gender]]="F","Female", orders[[#This Row],[Customer Gender]]="O","Other", TRUE(),"Unknown")</f>
        <v>Male</v>
      </c>
    </row>
    <row r="803" spans="1:15" x14ac:dyDescent="0.25">
      <c r="A803" t="s">
        <v>1031</v>
      </c>
      <c r="B803" t="s">
        <v>83</v>
      </c>
      <c r="C803">
        <v>6</v>
      </c>
      <c r="D803">
        <v>39</v>
      </c>
      <c r="E803">
        <v>234</v>
      </c>
      <c r="F803" s="58">
        <v>45691</v>
      </c>
      <c r="G803" s="58">
        <v>45694</v>
      </c>
      <c r="H803" t="s">
        <v>229</v>
      </c>
      <c r="I803" t="s">
        <v>63</v>
      </c>
      <c r="J803">
        <v>4</v>
      </c>
      <c r="K803" t="s">
        <v>103</v>
      </c>
      <c r="L803" t="s">
        <v>139</v>
      </c>
      <c r="M803">
        <f>orders[[#This Row],[Ship Date]]-orders[[#This Row],[Order Date]]</f>
        <v>3</v>
      </c>
      <c r="N803">
        <f>WEEKNUM(orders[[#This Row],[Order Date]],1)</f>
        <v>6</v>
      </c>
      <c r="O803" t="str">
        <f t="array" ref="O803">_xlfn.IFS(orders[[#This Row],[Customer Gender]]="M","Male", orders[[#This Row],[Customer Gender]]="F","Female", orders[[#This Row],[Customer Gender]]="O","Other", TRUE(),"Unknown")</f>
        <v>Male</v>
      </c>
    </row>
    <row r="804" spans="1:15" x14ac:dyDescent="0.25">
      <c r="A804" t="s">
        <v>1032</v>
      </c>
      <c r="B804" t="s">
        <v>85</v>
      </c>
      <c r="C804">
        <v>6</v>
      </c>
      <c r="D804">
        <v>98.6</v>
      </c>
      <c r="E804">
        <v>591.6</v>
      </c>
      <c r="F804" s="58">
        <v>45691</v>
      </c>
      <c r="G804" s="58">
        <v>45693</v>
      </c>
      <c r="H804" t="s">
        <v>231</v>
      </c>
      <c r="I804" t="s">
        <v>63</v>
      </c>
      <c r="J804">
        <v>4</v>
      </c>
      <c r="K804" t="s">
        <v>103</v>
      </c>
      <c r="L804" t="s">
        <v>139</v>
      </c>
      <c r="M804">
        <f>orders[[#This Row],[Ship Date]]-orders[[#This Row],[Order Date]]</f>
        <v>2</v>
      </c>
      <c r="N804">
        <f>WEEKNUM(orders[[#This Row],[Order Date]],1)</f>
        <v>6</v>
      </c>
      <c r="O804" t="str">
        <f t="array" ref="O804">_xlfn.IFS(orders[[#This Row],[Customer Gender]]="M","Male", orders[[#This Row],[Customer Gender]]="F","Female", orders[[#This Row],[Customer Gender]]="O","Other", TRUE(),"Unknown")</f>
        <v>Female</v>
      </c>
    </row>
    <row r="805" spans="1:15" x14ac:dyDescent="0.25">
      <c r="A805" t="s">
        <v>1033</v>
      </c>
      <c r="B805" t="s">
        <v>90</v>
      </c>
      <c r="C805">
        <v>1</v>
      </c>
      <c r="D805">
        <v>20</v>
      </c>
      <c r="E805">
        <v>20</v>
      </c>
      <c r="F805" s="58">
        <v>45692</v>
      </c>
      <c r="G805" s="58">
        <v>45693</v>
      </c>
      <c r="H805" t="s">
        <v>229</v>
      </c>
      <c r="I805" t="s">
        <v>60</v>
      </c>
      <c r="J805">
        <v>5</v>
      </c>
      <c r="K805" t="s">
        <v>103</v>
      </c>
      <c r="L805" t="s">
        <v>142</v>
      </c>
      <c r="M805">
        <f>orders[[#This Row],[Ship Date]]-orders[[#This Row],[Order Date]]</f>
        <v>1</v>
      </c>
      <c r="N805">
        <f>WEEKNUM(orders[[#This Row],[Order Date]],1)</f>
        <v>6</v>
      </c>
      <c r="O805" t="str">
        <f t="array" ref="O805">_xlfn.IFS(orders[[#This Row],[Customer Gender]]="M","Male", orders[[#This Row],[Customer Gender]]="F","Female", orders[[#This Row],[Customer Gender]]="O","Other", TRUE(),"Unknown")</f>
        <v>Male</v>
      </c>
    </row>
    <row r="806" spans="1:15" x14ac:dyDescent="0.25">
      <c r="A806" t="s">
        <v>1034</v>
      </c>
      <c r="B806" t="s">
        <v>91</v>
      </c>
      <c r="C806">
        <v>2</v>
      </c>
      <c r="D806">
        <v>42.9</v>
      </c>
      <c r="E806">
        <v>85.8</v>
      </c>
      <c r="F806" s="58">
        <v>45692</v>
      </c>
      <c r="G806" s="58">
        <v>45694</v>
      </c>
      <c r="H806" t="s">
        <v>231</v>
      </c>
      <c r="I806" t="s">
        <v>59</v>
      </c>
      <c r="J806">
        <v>5</v>
      </c>
      <c r="K806" t="s">
        <v>103</v>
      </c>
      <c r="L806" t="s">
        <v>142</v>
      </c>
      <c r="M806">
        <f>orders[[#This Row],[Ship Date]]-orders[[#This Row],[Order Date]]</f>
        <v>2</v>
      </c>
      <c r="N806">
        <f>WEEKNUM(orders[[#This Row],[Order Date]],1)</f>
        <v>6</v>
      </c>
      <c r="O806" t="str">
        <f t="array" ref="O806">_xlfn.IFS(orders[[#This Row],[Customer Gender]]="M","Male", orders[[#This Row],[Customer Gender]]="F","Female", orders[[#This Row],[Customer Gender]]="O","Other", TRUE(),"Unknown")</f>
        <v>Female</v>
      </c>
    </row>
    <row r="807" spans="1:15" x14ac:dyDescent="0.25">
      <c r="A807" t="s">
        <v>1035</v>
      </c>
      <c r="B807" t="s">
        <v>79</v>
      </c>
      <c r="C807">
        <v>7</v>
      </c>
      <c r="D807">
        <v>55.6</v>
      </c>
      <c r="E807">
        <v>389.2</v>
      </c>
      <c r="F807" s="58">
        <v>45692</v>
      </c>
      <c r="G807" s="58">
        <v>45694</v>
      </c>
      <c r="H807" t="s">
        <v>231</v>
      </c>
      <c r="I807" t="s">
        <v>62</v>
      </c>
      <c r="J807">
        <v>3</v>
      </c>
      <c r="K807" t="s">
        <v>103</v>
      </c>
      <c r="L807" t="s">
        <v>142</v>
      </c>
      <c r="M807">
        <f>orders[[#This Row],[Ship Date]]-orders[[#This Row],[Order Date]]</f>
        <v>2</v>
      </c>
      <c r="N807">
        <f>WEEKNUM(orders[[#This Row],[Order Date]],1)</f>
        <v>6</v>
      </c>
      <c r="O807" t="str">
        <f t="array" ref="O807">_xlfn.IFS(orders[[#This Row],[Customer Gender]]="M","Male", orders[[#This Row],[Customer Gender]]="F","Female", orders[[#This Row],[Customer Gender]]="O","Other", TRUE(),"Unknown")</f>
        <v>Female</v>
      </c>
    </row>
    <row r="808" spans="1:15" x14ac:dyDescent="0.25">
      <c r="A808" t="s">
        <v>1036</v>
      </c>
      <c r="B808" t="s">
        <v>90</v>
      </c>
      <c r="C808">
        <v>4</v>
      </c>
      <c r="D808">
        <v>19.2</v>
      </c>
      <c r="E808">
        <v>76.8</v>
      </c>
      <c r="F808" s="58">
        <v>45692</v>
      </c>
      <c r="G808" s="58">
        <v>45697</v>
      </c>
      <c r="H808" t="s">
        <v>231</v>
      </c>
      <c r="I808" t="s">
        <v>59</v>
      </c>
      <c r="J808">
        <v>4</v>
      </c>
      <c r="K808" t="s">
        <v>103</v>
      </c>
      <c r="L808" t="s">
        <v>145</v>
      </c>
      <c r="M808">
        <f>orders[[#This Row],[Ship Date]]-orders[[#This Row],[Order Date]]</f>
        <v>5</v>
      </c>
      <c r="N808">
        <f>WEEKNUM(orders[[#This Row],[Order Date]],1)</f>
        <v>6</v>
      </c>
      <c r="O808" t="str">
        <f t="array" ref="O808">_xlfn.IFS(orders[[#This Row],[Customer Gender]]="M","Male", orders[[#This Row],[Customer Gender]]="F","Female", orders[[#This Row],[Customer Gender]]="O","Other", TRUE(),"Unknown")</f>
        <v>Female</v>
      </c>
    </row>
    <row r="809" spans="1:15" x14ac:dyDescent="0.25">
      <c r="A809" t="s">
        <v>1037</v>
      </c>
      <c r="B809" t="s">
        <v>85</v>
      </c>
      <c r="C809">
        <v>2</v>
      </c>
      <c r="D809">
        <v>28.8</v>
      </c>
      <c r="E809">
        <v>57.6</v>
      </c>
      <c r="F809" s="58">
        <v>45692</v>
      </c>
      <c r="G809" s="58">
        <v>45694</v>
      </c>
      <c r="H809" t="s">
        <v>229</v>
      </c>
      <c r="I809" t="s">
        <v>63</v>
      </c>
      <c r="J809">
        <v>4</v>
      </c>
      <c r="K809" t="s">
        <v>103</v>
      </c>
      <c r="L809" t="s">
        <v>154</v>
      </c>
      <c r="M809">
        <f>orders[[#This Row],[Ship Date]]-orders[[#This Row],[Order Date]]</f>
        <v>2</v>
      </c>
      <c r="N809">
        <f>WEEKNUM(orders[[#This Row],[Order Date]],1)</f>
        <v>6</v>
      </c>
      <c r="O809" t="str">
        <f t="array" ref="O809">_xlfn.IFS(orders[[#This Row],[Customer Gender]]="M","Male", orders[[#This Row],[Customer Gender]]="F","Female", orders[[#This Row],[Customer Gender]]="O","Other", TRUE(),"Unknown")</f>
        <v>Male</v>
      </c>
    </row>
    <row r="810" spans="1:15" x14ac:dyDescent="0.25">
      <c r="A810" t="s">
        <v>1038</v>
      </c>
      <c r="B810" t="s">
        <v>78</v>
      </c>
      <c r="C810">
        <v>1</v>
      </c>
      <c r="D810">
        <v>29.7</v>
      </c>
      <c r="E810">
        <v>29.7</v>
      </c>
      <c r="F810" s="58">
        <v>45692</v>
      </c>
      <c r="G810" s="58">
        <v>45694</v>
      </c>
      <c r="H810" t="s">
        <v>231</v>
      </c>
      <c r="I810" t="s">
        <v>62</v>
      </c>
      <c r="J810">
        <v>2</v>
      </c>
      <c r="K810" t="s">
        <v>103</v>
      </c>
      <c r="L810" t="s">
        <v>159</v>
      </c>
      <c r="M810">
        <f>orders[[#This Row],[Ship Date]]-orders[[#This Row],[Order Date]]</f>
        <v>2</v>
      </c>
      <c r="N810">
        <f>WEEKNUM(orders[[#This Row],[Order Date]],1)</f>
        <v>6</v>
      </c>
      <c r="O810" t="str">
        <f t="array" ref="O810">_xlfn.IFS(orders[[#This Row],[Customer Gender]]="M","Male", orders[[#This Row],[Customer Gender]]="F","Female", orders[[#This Row],[Customer Gender]]="O","Other", TRUE(),"Unknown")</f>
        <v>Female</v>
      </c>
    </row>
    <row r="811" spans="1:15" x14ac:dyDescent="0.25">
      <c r="A811" t="s">
        <v>1039</v>
      </c>
      <c r="B811" t="s">
        <v>80</v>
      </c>
      <c r="C811">
        <v>6</v>
      </c>
      <c r="D811">
        <v>63.3</v>
      </c>
      <c r="E811">
        <v>379.8</v>
      </c>
      <c r="F811" s="58">
        <v>45692</v>
      </c>
      <c r="G811" s="58">
        <v>45693</v>
      </c>
      <c r="I811" t="s">
        <v>59</v>
      </c>
      <c r="J811">
        <v>5</v>
      </c>
      <c r="K811" t="s">
        <v>103</v>
      </c>
      <c r="L811" t="s">
        <v>106</v>
      </c>
      <c r="M811">
        <f>orders[[#This Row],[Ship Date]]-orders[[#This Row],[Order Date]]</f>
        <v>1</v>
      </c>
      <c r="N811">
        <f>WEEKNUM(orders[[#This Row],[Order Date]],1)</f>
        <v>6</v>
      </c>
      <c r="O811" t="str">
        <f t="array" ref="O811">_xlfn.IFS(orders[[#This Row],[Customer Gender]]="M","Male", orders[[#This Row],[Customer Gender]]="F","Female", orders[[#This Row],[Customer Gender]]="O","Other", TRUE(),"Unknown")</f>
        <v>Unknown</v>
      </c>
    </row>
    <row r="812" spans="1:15" x14ac:dyDescent="0.25">
      <c r="A812" t="s">
        <v>1040</v>
      </c>
      <c r="B812" t="s">
        <v>78</v>
      </c>
      <c r="C812">
        <v>1</v>
      </c>
      <c r="D812">
        <v>46</v>
      </c>
      <c r="E812">
        <v>46</v>
      </c>
      <c r="F812" s="58">
        <v>45692</v>
      </c>
      <c r="G812" s="58">
        <v>45693</v>
      </c>
      <c r="H812" t="s">
        <v>231</v>
      </c>
      <c r="I812" t="s">
        <v>59</v>
      </c>
      <c r="J812">
        <v>5</v>
      </c>
      <c r="K812" t="s">
        <v>103</v>
      </c>
      <c r="L812" t="s">
        <v>106</v>
      </c>
      <c r="M812">
        <f>orders[[#This Row],[Ship Date]]-orders[[#This Row],[Order Date]]</f>
        <v>1</v>
      </c>
      <c r="N812">
        <f>WEEKNUM(orders[[#This Row],[Order Date]],1)</f>
        <v>6</v>
      </c>
      <c r="O812" t="str">
        <f t="array" ref="O812">_xlfn.IFS(orders[[#This Row],[Customer Gender]]="M","Male", orders[[#This Row],[Customer Gender]]="F","Female", orders[[#This Row],[Customer Gender]]="O","Other", TRUE(),"Unknown")</f>
        <v>Female</v>
      </c>
    </row>
    <row r="813" spans="1:15" x14ac:dyDescent="0.25">
      <c r="A813" t="s">
        <v>1041</v>
      </c>
      <c r="B813" t="s">
        <v>83</v>
      </c>
      <c r="C813">
        <v>3</v>
      </c>
      <c r="D813">
        <v>38</v>
      </c>
      <c r="E813">
        <v>114</v>
      </c>
      <c r="F813" s="58">
        <v>45692</v>
      </c>
      <c r="G813" s="58">
        <v>45694</v>
      </c>
      <c r="H813" t="s">
        <v>231</v>
      </c>
      <c r="I813" t="s">
        <v>63</v>
      </c>
      <c r="J813">
        <v>5</v>
      </c>
      <c r="K813" t="s">
        <v>103</v>
      </c>
      <c r="L813" t="s">
        <v>106</v>
      </c>
      <c r="M813">
        <f>orders[[#This Row],[Ship Date]]-orders[[#This Row],[Order Date]]</f>
        <v>2</v>
      </c>
      <c r="N813">
        <f>WEEKNUM(orders[[#This Row],[Order Date]],1)</f>
        <v>6</v>
      </c>
      <c r="O813" t="str">
        <f t="array" ref="O813">_xlfn.IFS(orders[[#This Row],[Customer Gender]]="M","Male", orders[[#This Row],[Customer Gender]]="F","Female", orders[[#This Row],[Customer Gender]]="O","Other", TRUE(),"Unknown")</f>
        <v>Female</v>
      </c>
    </row>
    <row r="814" spans="1:15" x14ac:dyDescent="0.25">
      <c r="A814" t="s">
        <v>1042</v>
      </c>
      <c r="B814" t="s">
        <v>75</v>
      </c>
      <c r="C814">
        <v>13</v>
      </c>
      <c r="D814">
        <v>34.6</v>
      </c>
      <c r="E814">
        <v>449.8</v>
      </c>
      <c r="F814" s="58">
        <v>45692</v>
      </c>
      <c r="G814" s="58">
        <v>45694</v>
      </c>
      <c r="H814" t="s">
        <v>231</v>
      </c>
      <c r="I814" t="s">
        <v>59</v>
      </c>
      <c r="J814">
        <v>3</v>
      </c>
      <c r="K814" t="s">
        <v>103</v>
      </c>
      <c r="L814" t="s">
        <v>106</v>
      </c>
      <c r="M814">
        <f>orders[[#This Row],[Ship Date]]-orders[[#This Row],[Order Date]]</f>
        <v>2</v>
      </c>
      <c r="N814">
        <f>WEEKNUM(orders[[#This Row],[Order Date]],1)</f>
        <v>6</v>
      </c>
      <c r="O814" t="str">
        <f t="array" ref="O814">_xlfn.IFS(orders[[#This Row],[Customer Gender]]="M","Male", orders[[#This Row],[Customer Gender]]="F","Female", orders[[#This Row],[Customer Gender]]="O","Other", TRUE(),"Unknown")</f>
        <v>Female</v>
      </c>
    </row>
    <row r="815" spans="1:15" x14ac:dyDescent="0.25">
      <c r="A815" t="s">
        <v>1043</v>
      </c>
      <c r="B815" t="s">
        <v>93</v>
      </c>
      <c r="C815">
        <v>10</v>
      </c>
      <c r="D815">
        <v>79.7</v>
      </c>
      <c r="E815">
        <v>797</v>
      </c>
      <c r="F815" s="58">
        <v>45692</v>
      </c>
      <c r="G815" s="58">
        <v>45693</v>
      </c>
      <c r="H815" t="s">
        <v>231</v>
      </c>
      <c r="I815" t="s">
        <v>61</v>
      </c>
      <c r="J815">
        <v>3</v>
      </c>
      <c r="K815" t="s">
        <v>103</v>
      </c>
      <c r="L815" t="s">
        <v>106</v>
      </c>
      <c r="M815">
        <f>orders[[#This Row],[Ship Date]]-orders[[#This Row],[Order Date]]</f>
        <v>1</v>
      </c>
      <c r="N815">
        <f>WEEKNUM(orders[[#This Row],[Order Date]],1)</f>
        <v>6</v>
      </c>
      <c r="O815" t="str">
        <f t="array" ref="O815">_xlfn.IFS(orders[[#This Row],[Customer Gender]]="M","Male", orders[[#This Row],[Customer Gender]]="F","Female", orders[[#This Row],[Customer Gender]]="O","Other", TRUE(),"Unknown")</f>
        <v>Female</v>
      </c>
    </row>
    <row r="816" spans="1:15" x14ac:dyDescent="0.25">
      <c r="A816" t="s">
        <v>1044</v>
      </c>
      <c r="B816" t="s">
        <v>90</v>
      </c>
      <c r="C816">
        <v>8</v>
      </c>
      <c r="D816">
        <v>30.5</v>
      </c>
      <c r="E816">
        <v>244</v>
      </c>
      <c r="F816" s="58">
        <v>45692</v>
      </c>
      <c r="G816" s="58">
        <v>45696</v>
      </c>
      <c r="H816" t="s">
        <v>229</v>
      </c>
      <c r="I816" t="s">
        <v>60</v>
      </c>
      <c r="J816">
        <v>4</v>
      </c>
      <c r="K816" t="s">
        <v>103</v>
      </c>
      <c r="L816" t="s">
        <v>112</v>
      </c>
      <c r="M816">
        <f>orders[[#This Row],[Ship Date]]-orders[[#This Row],[Order Date]]</f>
        <v>4</v>
      </c>
      <c r="N816">
        <f>WEEKNUM(orders[[#This Row],[Order Date]],1)</f>
        <v>6</v>
      </c>
      <c r="O816" t="str">
        <f t="array" ref="O816">_xlfn.IFS(orders[[#This Row],[Customer Gender]]="M","Male", orders[[#This Row],[Customer Gender]]="F","Female", orders[[#This Row],[Customer Gender]]="O","Other", TRUE(),"Unknown")</f>
        <v>Male</v>
      </c>
    </row>
    <row r="817" spans="1:15" x14ac:dyDescent="0.25">
      <c r="A817" t="s">
        <v>1045</v>
      </c>
      <c r="B817" t="s">
        <v>86</v>
      </c>
      <c r="C817">
        <v>2</v>
      </c>
      <c r="D817">
        <v>20.8</v>
      </c>
      <c r="E817">
        <v>41.6</v>
      </c>
      <c r="F817" s="58">
        <v>45692</v>
      </c>
      <c r="G817" s="58">
        <v>45693</v>
      </c>
      <c r="H817" t="s">
        <v>231</v>
      </c>
      <c r="I817" t="s">
        <v>59</v>
      </c>
      <c r="J817">
        <v>4</v>
      </c>
      <c r="K817" t="s">
        <v>103</v>
      </c>
      <c r="L817" t="s">
        <v>115</v>
      </c>
      <c r="M817">
        <f>orders[[#This Row],[Ship Date]]-orders[[#This Row],[Order Date]]</f>
        <v>1</v>
      </c>
      <c r="N817">
        <f>WEEKNUM(orders[[#This Row],[Order Date]],1)</f>
        <v>6</v>
      </c>
      <c r="O817" t="str">
        <f t="array" ref="O817">_xlfn.IFS(orders[[#This Row],[Customer Gender]]="M","Male", orders[[#This Row],[Customer Gender]]="F","Female", orders[[#This Row],[Customer Gender]]="O","Other", TRUE(),"Unknown")</f>
        <v>Female</v>
      </c>
    </row>
    <row r="818" spans="1:15" x14ac:dyDescent="0.25">
      <c r="A818" t="s">
        <v>1046</v>
      </c>
      <c r="B818" t="s">
        <v>83</v>
      </c>
      <c r="C818">
        <v>7</v>
      </c>
      <c r="D818">
        <v>48.5</v>
      </c>
      <c r="E818">
        <v>339.5</v>
      </c>
      <c r="F818" s="58">
        <v>45692</v>
      </c>
      <c r="G818" s="58">
        <v>45696</v>
      </c>
      <c r="H818" t="s">
        <v>231</v>
      </c>
      <c r="I818" t="s">
        <v>62</v>
      </c>
      <c r="J818">
        <v>5</v>
      </c>
      <c r="K818" t="s">
        <v>103</v>
      </c>
      <c r="L818" t="s">
        <v>115</v>
      </c>
      <c r="M818">
        <f>orders[[#This Row],[Ship Date]]-orders[[#This Row],[Order Date]]</f>
        <v>4</v>
      </c>
      <c r="N818">
        <f>WEEKNUM(orders[[#This Row],[Order Date]],1)</f>
        <v>6</v>
      </c>
      <c r="O818" t="str">
        <f t="array" ref="O818">_xlfn.IFS(orders[[#This Row],[Customer Gender]]="M","Male", orders[[#This Row],[Customer Gender]]="F","Female", orders[[#This Row],[Customer Gender]]="O","Other", TRUE(),"Unknown")</f>
        <v>Female</v>
      </c>
    </row>
    <row r="819" spans="1:15" x14ac:dyDescent="0.25">
      <c r="A819" t="s">
        <v>1047</v>
      </c>
      <c r="B819" t="s">
        <v>87</v>
      </c>
      <c r="C819">
        <v>4</v>
      </c>
      <c r="D819">
        <v>61.8</v>
      </c>
      <c r="E819">
        <v>247.2</v>
      </c>
      <c r="F819" s="58">
        <v>45692</v>
      </c>
      <c r="G819" s="58">
        <v>45696</v>
      </c>
      <c r="H819" t="s">
        <v>231</v>
      </c>
      <c r="I819" t="s">
        <v>61</v>
      </c>
      <c r="J819">
        <v>4</v>
      </c>
      <c r="K819" t="s">
        <v>103</v>
      </c>
      <c r="L819" t="s">
        <v>120</v>
      </c>
      <c r="M819">
        <f>orders[[#This Row],[Ship Date]]-orders[[#This Row],[Order Date]]</f>
        <v>4</v>
      </c>
      <c r="N819">
        <f>WEEKNUM(orders[[#This Row],[Order Date]],1)</f>
        <v>6</v>
      </c>
      <c r="O819" t="str">
        <f t="array" ref="O819">_xlfn.IFS(orders[[#This Row],[Customer Gender]]="M","Male", orders[[#This Row],[Customer Gender]]="F","Female", orders[[#This Row],[Customer Gender]]="O","Other", TRUE(),"Unknown")</f>
        <v>Female</v>
      </c>
    </row>
    <row r="820" spans="1:15" x14ac:dyDescent="0.25">
      <c r="A820" t="s">
        <v>1048</v>
      </c>
      <c r="B820" t="s">
        <v>75</v>
      </c>
      <c r="C820">
        <v>1</v>
      </c>
      <c r="D820">
        <v>46.1</v>
      </c>
      <c r="E820">
        <v>46.1</v>
      </c>
      <c r="F820" s="58">
        <v>45692</v>
      </c>
      <c r="G820" s="58">
        <v>45693</v>
      </c>
      <c r="H820" t="s">
        <v>263</v>
      </c>
      <c r="I820" t="s">
        <v>62</v>
      </c>
      <c r="J820">
        <v>4</v>
      </c>
      <c r="K820" t="s">
        <v>103</v>
      </c>
      <c r="L820" t="s">
        <v>124</v>
      </c>
      <c r="M820">
        <f>orders[[#This Row],[Ship Date]]-orders[[#This Row],[Order Date]]</f>
        <v>1</v>
      </c>
      <c r="N820">
        <f>WEEKNUM(orders[[#This Row],[Order Date]],1)</f>
        <v>6</v>
      </c>
      <c r="O820" t="str">
        <f t="array" ref="O820">_xlfn.IFS(orders[[#This Row],[Customer Gender]]="M","Male", orders[[#This Row],[Customer Gender]]="F","Female", orders[[#This Row],[Customer Gender]]="O","Other", TRUE(),"Unknown")</f>
        <v>Other</v>
      </c>
    </row>
    <row r="821" spans="1:15" x14ac:dyDescent="0.25">
      <c r="A821" t="s">
        <v>1049</v>
      </c>
      <c r="B821" t="s">
        <v>78</v>
      </c>
      <c r="C821">
        <v>6</v>
      </c>
      <c r="D821">
        <v>44</v>
      </c>
      <c r="E821">
        <v>264</v>
      </c>
      <c r="F821" s="58">
        <v>45692</v>
      </c>
      <c r="G821" s="58">
        <v>45693</v>
      </c>
      <c r="H821" t="s">
        <v>231</v>
      </c>
      <c r="I821" t="s">
        <v>59</v>
      </c>
      <c r="J821">
        <v>4</v>
      </c>
      <c r="K821" t="s">
        <v>103</v>
      </c>
      <c r="L821" t="s">
        <v>124</v>
      </c>
      <c r="M821">
        <f>orders[[#This Row],[Ship Date]]-orders[[#This Row],[Order Date]]</f>
        <v>1</v>
      </c>
      <c r="N821">
        <f>WEEKNUM(orders[[#This Row],[Order Date]],1)</f>
        <v>6</v>
      </c>
      <c r="O821" t="str">
        <f t="array" ref="O821">_xlfn.IFS(orders[[#This Row],[Customer Gender]]="M","Male", orders[[#This Row],[Customer Gender]]="F","Female", orders[[#This Row],[Customer Gender]]="O","Other", TRUE(),"Unknown")</f>
        <v>Female</v>
      </c>
    </row>
    <row r="822" spans="1:15" x14ac:dyDescent="0.25">
      <c r="A822" t="s">
        <v>1050</v>
      </c>
      <c r="B822" t="s">
        <v>82</v>
      </c>
      <c r="C822">
        <v>2</v>
      </c>
      <c r="D822">
        <v>95.7</v>
      </c>
      <c r="E822">
        <v>191.4</v>
      </c>
      <c r="F822" s="58">
        <v>45692</v>
      </c>
      <c r="G822" s="58">
        <v>45698</v>
      </c>
      <c r="H822" t="s">
        <v>231</v>
      </c>
      <c r="I822" t="s">
        <v>60</v>
      </c>
      <c r="J822">
        <v>5</v>
      </c>
      <c r="K822" t="s">
        <v>103</v>
      </c>
      <c r="L822" t="s">
        <v>124</v>
      </c>
      <c r="M822">
        <f>orders[[#This Row],[Ship Date]]-orders[[#This Row],[Order Date]]</f>
        <v>6</v>
      </c>
      <c r="N822">
        <f>WEEKNUM(orders[[#This Row],[Order Date]],1)</f>
        <v>6</v>
      </c>
      <c r="O822" t="str">
        <f t="array" ref="O822">_xlfn.IFS(orders[[#This Row],[Customer Gender]]="M","Male", orders[[#This Row],[Customer Gender]]="F","Female", orders[[#This Row],[Customer Gender]]="O","Other", TRUE(),"Unknown")</f>
        <v>Female</v>
      </c>
    </row>
    <row r="823" spans="1:15" x14ac:dyDescent="0.25">
      <c r="A823" t="s">
        <v>1051</v>
      </c>
      <c r="B823" t="s">
        <v>79</v>
      </c>
      <c r="C823">
        <v>5</v>
      </c>
      <c r="D823">
        <v>46.4</v>
      </c>
      <c r="E823">
        <v>232</v>
      </c>
      <c r="F823" s="58">
        <v>45692</v>
      </c>
      <c r="G823" s="58">
        <v>45695</v>
      </c>
      <c r="H823" t="s">
        <v>231</v>
      </c>
      <c r="I823" t="s">
        <v>59</v>
      </c>
      <c r="J823">
        <v>4</v>
      </c>
      <c r="K823" t="s">
        <v>103</v>
      </c>
      <c r="L823" t="s">
        <v>124</v>
      </c>
      <c r="M823">
        <f>orders[[#This Row],[Ship Date]]-orders[[#This Row],[Order Date]]</f>
        <v>3</v>
      </c>
      <c r="N823">
        <f>WEEKNUM(orders[[#This Row],[Order Date]],1)</f>
        <v>6</v>
      </c>
      <c r="O823" t="str">
        <f t="array" ref="O823">_xlfn.IFS(orders[[#This Row],[Customer Gender]]="M","Male", orders[[#This Row],[Customer Gender]]="F","Female", orders[[#This Row],[Customer Gender]]="O","Other", TRUE(),"Unknown")</f>
        <v>Female</v>
      </c>
    </row>
    <row r="824" spans="1:15" x14ac:dyDescent="0.25">
      <c r="A824" t="s">
        <v>1052</v>
      </c>
      <c r="B824" t="s">
        <v>80</v>
      </c>
      <c r="C824">
        <v>2</v>
      </c>
      <c r="D824">
        <v>47.2</v>
      </c>
      <c r="E824">
        <v>94.4</v>
      </c>
      <c r="F824" s="58">
        <v>45692</v>
      </c>
      <c r="G824" s="58">
        <v>45694</v>
      </c>
      <c r="H824" t="s">
        <v>231</v>
      </c>
      <c r="I824" t="s">
        <v>59</v>
      </c>
      <c r="J824">
        <v>5</v>
      </c>
      <c r="K824" t="s">
        <v>103</v>
      </c>
      <c r="L824" t="s">
        <v>124</v>
      </c>
      <c r="M824">
        <f>orders[[#This Row],[Ship Date]]-orders[[#This Row],[Order Date]]</f>
        <v>2</v>
      </c>
      <c r="N824">
        <f>WEEKNUM(orders[[#This Row],[Order Date]],1)</f>
        <v>6</v>
      </c>
      <c r="O824" t="str">
        <f t="array" ref="O824">_xlfn.IFS(orders[[#This Row],[Customer Gender]]="M","Male", orders[[#This Row],[Customer Gender]]="F","Female", orders[[#This Row],[Customer Gender]]="O","Other", TRUE(),"Unknown")</f>
        <v>Female</v>
      </c>
    </row>
    <row r="825" spans="1:15" x14ac:dyDescent="0.25">
      <c r="A825" t="s">
        <v>1053</v>
      </c>
      <c r="B825" t="s">
        <v>79</v>
      </c>
      <c r="C825">
        <v>2</v>
      </c>
      <c r="D825">
        <v>58.6</v>
      </c>
      <c r="E825">
        <v>117.2</v>
      </c>
      <c r="F825" s="58">
        <v>45692</v>
      </c>
      <c r="G825" s="58">
        <v>45693</v>
      </c>
      <c r="H825" t="s">
        <v>231</v>
      </c>
      <c r="I825" t="s">
        <v>62</v>
      </c>
      <c r="J825">
        <v>3</v>
      </c>
      <c r="K825" t="s">
        <v>103</v>
      </c>
      <c r="L825" t="s">
        <v>124</v>
      </c>
      <c r="M825">
        <f>orders[[#This Row],[Ship Date]]-orders[[#This Row],[Order Date]]</f>
        <v>1</v>
      </c>
      <c r="N825">
        <f>WEEKNUM(orders[[#This Row],[Order Date]],1)</f>
        <v>6</v>
      </c>
      <c r="O825" t="str">
        <f t="array" ref="O825">_xlfn.IFS(orders[[#This Row],[Customer Gender]]="M","Male", orders[[#This Row],[Customer Gender]]="F","Female", orders[[#This Row],[Customer Gender]]="O","Other", TRUE(),"Unknown")</f>
        <v>Female</v>
      </c>
    </row>
    <row r="826" spans="1:15" x14ac:dyDescent="0.25">
      <c r="A826" t="s">
        <v>1054</v>
      </c>
      <c r="B826" t="s">
        <v>78</v>
      </c>
      <c r="C826">
        <v>3</v>
      </c>
      <c r="D826">
        <v>57</v>
      </c>
      <c r="E826">
        <v>171</v>
      </c>
      <c r="F826" s="58">
        <v>45692</v>
      </c>
      <c r="G826" s="58">
        <v>45693</v>
      </c>
      <c r="H826" t="s">
        <v>229</v>
      </c>
      <c r="I826" t="s">
        <v>59</v>
      </c>
      <c r="J826">
        <v>5</v>
      </c>
      <c r="K826" t="s">
        <v>103</v>
      </c>
      <c r="L826" t="s">
        <v>124</v>
      </c>
      <c r="M826">
        <f>orders[[#This Row],[Ship Date]]-orders[[#This Row],[Order Date]]</f>
        <v>1</v>
      </c>
      <c r="N826">
        <f>WEEKNUM(orders[[#This Row],[Order Date]],1)</f>
        <v>6</v>
      </c>
      <c r="O826" t="str">
        <f t="array" ref="O826">_xlfn.IFS(orders[[#This Row],[Customer Gender]]="M","Male", orders[[#This Row],[Customer Gender]]="F","Female", orders[[#This Row],[Customer Gender]]="O","Other", TRUE(),"Unknown")</f>
        <v>Male</v>
      </c>
    </row>
    <row r="827" spans="1:15" x14ac:dyDescent="0.25">
      <c r="A827" t="s">
        <v>1055</v>
      </c>
      <c r="B827" t="s">
        <v>90</v>
      </c>
      <c r="C827">
        <v>4</v>
      </c>
      <c r="D827">
        <v>28.9</v>
      </c>
      <c r="E827">
        <v>115.6</v>
      </c>
      <c r="F827" s="58">
        <v>45692</v>
      </c>
      <c r="G827" s="58">
        <v>45696</v>
      </c>
      <c r="H827" t="s">
        <v>229</v>
      </c>
      <c r="I827" t="s">
        <v>62</v>
      </c>
      <c r="J827">
        <v>4</v>
      </c>
      <c r="K827" t="s">
        <v>103</v>
      </c>
      <c r="L827" t="s">
        <v>124</v>
      </c>
      <c r="M827">
        <f>orders[[#This Row],[Ship Date]]-orders[[#This Row],[Order Date]]</f>
        <v>4</v>
      </c>
      <c r="N827">
        <f>WEEKNUM(orders[[#This Row],[Order Date]],1)</f>
        <v>6</v>
      </c>
      <c r="O827" t="str">
        <f t="array" ref="O827">_xlfn.IFS(orders[[#This Row],[Customer Gender]]="M","Male", orders[[#This Row],[Customer Gender]]="F","Female", orders[[#This Row],[Customer Gender]]="O","Other", TRUE(),"Unknown")</f>
        <v>Male</v>
      </c>
    </row>
    <row r="828" spans="1:15" x14ac:dyDescent="0.25">
      <c r="A828" t="s">
        <v>1056</v>
      </c>
      <c r="B828" t="s">
        <v>76</v>
      </c>
      <c r="C828">
        <v>5</v>
      </c>
      <c r="D828">
        <v>60.7</v>
      </c>
      <c r="E828">
        <v>303.5</v>
      </c>
      <c r="F828" s="58">
        <v>45692</v>
      </c>
      <c r="G828" s="58">
        <v>45696</v>
      </c>
      <c r="I828" t="s">
        <v>63</v>
      </c>
      <c r="J828">
        <v>3</v>
      </c>
      <c r="K828" t="s">
        <v>103</v>
      </c>
      <c r="L828" t="s">
        <v>124</v>
      </c>
      <c r="M828">
        <f>orders[[#This Row],[Ship Date]]-orders[[#This Row],[Order Date]]</f>
        <v>4</v>
      </c>
      <c r="N828">
        <f>WEEKNUM(orders[[#This Row],[Order Date]],1)</f>
        <v>6</v>
      </c>
      <c r="O828" t="str">
        <f t="array" ref="O828">_xlfn.IFS(orders[[#This Row],[Customer Gender]]="M","Male", orders[[#This Row],[Customer Gender]]="F","Female", orders[[#This Row],[Customer Gender]]="O","Other", TRUE(),"Unknown")</f>
        <v>Unknown</v>
      </c>
    </row>
    <row r="829" spans="1:15" x14ac:dyDescent="0.25">
      <c r="A829" t="s">
        <v>1057</v>
      </c>
      <c r="B829" t="s">
        <v>80</v>
      </c>
      <c r="C829">
        <v>5</v>
      </c>
      <c r="D829">
        <v>60.8</v>
      </c>
      <c r="E829">
        <v>304</v>
      </c>
      <c r="F829" s="58">
        <v>45692</v>
      </c>
      <c r="G829" s="58">
        <v>45696</v>
      </c>
      <c r="H829" t="s">
        <v>229</v>
      </c>
      <c r="I829" t="s">
        <v>59</v>
      </c>
      <c r="J829">
        <v>3</v>
      </c>
      <c r="K829" t="s">
        <v>103</v>
      </c>
      <c r="L829" t="s">
        <v>124</v>
      </c>
      <c r="M829">
        <f>orders[[#This Row],[Ship Date]]-orders[[#This Row],[Order Date]]</f>
        <v>4</v>
      </c>
      <c r="N829">
        <f>WEEKNUM(orders[[#This Row],[Order Date]],1)</f>
        <v>6</v>
      </c>
      <c r="O829" t="str">
        <f t="array" ref="O829">_xlfn.IFS(orders[[#This Row],[Customer Gender]]="M","Male", orders[[#This Row],[Customer Gender]]="F","Female", orders[[#This Row],[Customer Gender]]="O","Other", TRUE(),"Unknown")</f>
        <v>Male</v>
      </c>
    </row>
    <row r="830" spans="1:15" x14ac:dyDescent="0.25">
      <c r="A830" t="s">
        <v>1058</v>
      </c>
      <c r="B830" t="s">
        <v>80</v>
      </c>
      <c r="C830">
        <v>5</v>
      </c>
      <c r="D830">
        <v>64.599999999999994</v>
      </c>
      <c r="E830">
        <v>323</v>
      </c>
      <c r="F830" s="58">
        <v>45692</v>
      </c>
      <c r="G830" s="58">
        <v>45693</v>
      </c>
      <c r="H830" t="s">
        <v>231</v>
      </c>
      <c r="I830" t="s">
        <v>60</v>
      </c>
      <c r="J830">
        <v>4</v>
      </c>
      <c r="K830" t="s">
        <v>103</v>
      </c>
      <c r="L830" t="s">
        <v>124</v>
      </c>
      <c r="M830">
        <f>orders[[#This Row],[Ship Date]]-orders[[#This Row],[Order Date]]</f>
        <v>1</v>
      </c>
      <c r="N830">
        <f>WEEKNUM(orders[[#This Row],[Order Date]],1)</f>
        <v>6</v>
      </c>
      <c r="O830" t="str">
        <f t="array" ref="O830">_xlfn.IFS(orders[[#This Row],[Customer Gender]]="M","Male", orders[[#This Row],[Customer Gender]]="F","Female", orders[[#This Row],[Customer Gender]]="O","Other", TRUE(),"Unknown")</f>
        <v>Female</v>
      </c>
    </row>
    <row r="831" spans="1:15" x14ac:dyDescent="0.25">
      <c r="A831" t="s">
        <v>1059</v>
      </c>
      <c r="B831" t="s">
        <v>90</v>
      </c>
      <c r="C831">
        <v>1</v>
      </c>
      <c r="D831">
        <v>21.9</v>
      </c>
      <c r="E831">
        <v>21.9</v>
      </c>
      <c r="F831" s="58">
        <v>45692</v>
      </c>
      <c r="G831" s="58">
        <v>45695</v>
      </c>
      <c r="H831" t="s">
        <v>229</v>
      </c>
      <c r="I831" t="s">
        <v>63</v>
      </c>
      <c r="J831">
        <v>5</v>
      </c>
      <c r="K831" t="s">
        <v>103</v>
      </c>
      <c r="L831" t="s">
        <v>134</v>
      </c>
      <c r="M831">
        <f>orders[[#This Row],[Ship Date]]-orders[[#This Row],[Order Date]]</f>
        <v>3</v>
      </c>
      <c r="N831">
        <f>WEEKNUM(orders[[#This Row],[Order Date]],1)</f>
        <v>6</v>
      </c>
      <c r="O831" t="str">
        <f t="array" ref="O831">_xlfn.IFS(orders[[#This Row],[Customer Gender]]="M","Male", orders[[#This Row],[Customer Gender]]="F","Female", orders[[#This Row],[Customer Gender]]="O","Other", TRUE(),"Unknown")</f>
        <v>Male</v>
      </c>
    </row>
    <row r="832" spans="1:15" x14ac:dyDescent="0.25">
      <c r="A832" t="s">
        <v>1060</v>
      </c>
      <c r="B832" t="s">
        <v>78</v>
      </c>
      <c r="C832">
        <v>12</v>
      </c>
      <c r="D832">
        <v>33.4</v>
      </c>
      <c r="E832">
        <v>400.8</v>
      </c>
      <c r="F832" s="58">
        <v>45692</v>
      </c>
      <c r="G832" s="58">
        <v>45694</v>
      </c>
      <c r="H832" t="s">
        <v>231</v>
      </c>
      <c r="I832" t="s">
        <v>59</v>
      </c>
      <c r="J832">
        <v>4</v>
      </c>
      <c r="K832" t="s">
        <v>103</v>
      </c>
      <c r="L832" t="s">
        <v>138</v>
      </c>
      <c r="M832">
        <f>orders[[#This Row],[Ship Date]]-orders[[#This Row],[Order Date]]</f>
        <v>2</v>
      </c>
      <c r="N832">
        <f>WEEKNUM(orders[[#This Row],[Order Date]],1)</f>
        <v>6</v>
      </c>
      <c r="O832" t="str">
        <f t="array" ref="O832">_xlfn.IFS(orders[[#This Row],[Customer Gender]]="M","Male", orders[[#This Row],[Customer Gender]]="F","Female", orders[[#This Row],[Customer Gender]]="O","Other", TRUE(),"Unknown")</f>
        <v>Female</v>
      </c>
    </row>
    <row r="833" spans="1:15" x14ac:dyDescent="0.25">
      <c r="A833" t="s">
        <v>1061</v>
      </c>
      <c r="B833" t="s">
        <v>87</v>
      </c>
      <c r="C833">
        <v>1</v>
      </c>
      <c r="D833">
        <v>51.7</v>
      </c>
      <c r="E833">
        <v>51.7</v>
      </c>
      <c r="F833" s="58">
        <v>45692</v>
      </c>
      <c r="G833" s="58">
        <v>45693</v>
      </c>
      <c r="I833" t="s">
        <v>59</v>
      </c>
      <c r="J833">
        <v>4</v>
      </c>
      <c r="K833" t="s">
        <v>103</v>
      </c>
      <c r="L833" t="s">
        <v>139</v>
      </c>
      <c r="M833">
        <f>orders[[#This Row],[Ship Date]]-orders[[#This Row],[Order Date]]</f>
        <v>1</v>
      </c>
      <c r="N833">
        <f>WEEKNUM(orders[[#This Row],[Order Date]],1)</f>
        <v>6</v>
      </c>
      <c r="O833" t="str">
        <f t="array" ref="O833">_xlfn.IFS(orders[[#This Row],[Customer Gender]]="M","Male", orders[[#This Row],[Customer Gender]]="F","Female", orders[[#This Row],[Customer Gender]]="O","Other", TRUE(),"Unknown")</f>
        <v>Unknown</v>
      </c>
    </row>
    <row r="834" spans="1:15" x14ac:dyDescent="0.25">
      <c r="A834" t="s">
        <v>1062</v>
      </c>
      <c r="B834" t="s">
        <v>91</v>
      </c>
      <c r="C834">
        <v>4</v>
      </c>
      <c r="D834">
        <v>84.9</v>
      </c>
      <c r="E834">
        <v>339.6</v>
      </c>
      <c r="F834" s="58">
        <v>45692</v>
      </c>
      <c r="G834" s="58">
        <v>45693</v>
      </c>
      <c r="H834" t="s">
        <v>231</v>
      </c>
      <c r="I834" t="s">
        <v>63</v>
      </c>
      <c r="J834">
        <v>3</v>
      </c>
      <c r="K834" t="s">
        <v>103</v>
      </c>
      <c r="L834" t="s">
        <v>139</v>
      </c>
      <c r="M834">
        <f>orders[[#This Row],[Ship Date]]-orders[[#This Row],[Order Date]]</f>
        <v>1</v>
      </c>
      <c r="N834">
        <f>WEEKNUM(orders[[#This Row],[Order Date]],1)</f>
        <v>6</v>
      </c>
      <c r="O834" t="str">
        <f t="array" ref="O834">_xlfn.IFS(orders[[#This Row],[Customer Gender]]="M","Male", orders[[#This Row],[Customer Gender]]="F","Female", orders[[#This Row],[Customer Gender]]="O","Other", TRUE(),"Unknown")</f>
        <v>Female</v>
      </c>
    </row>
    <row r="835" spans="1:15" x14ac:dyDescent="0.25">
      <c r="A835" t="s">
        <v>1063</v>
      </c>
      <c r="B835" t="s">
        <v>91</v>
      </c>
      <c r="C835">
        <v>11</v>
      </c>
      <c r="D835">
        <v>62.3</v>
      </c>
      <c r="E835">
        <v>685.3</v>
      </c>
      <c r="F835" s="58">
        <v>45692</v>
      </c>
      <c r="G835" s="58">
        <v>45693</v>
      </c>
      <c r="H835" t="s">
        <v>231</v>
      </c>
      <c r="I835" t="s">
        <v>62</v>
      </c>
      <c r="J835">
        <v>5</v>
      </c>
      <c r="K835" t="s">
        <v>103</v>
      </c>
      <c r="L835" t="s">
        <v>141</v>
      </c>
      <c r="M835">
        <f>orders[[#This Row],[Ship Date]]-orders[[#This Row],[Order Date]]</f>
        <v>1</v>
      </c>
      <c r="N835">
        <f>WEEKNUM(orders[[#This Row],[Order Date]],1)</f>
        <v>6</v>
      </c>
      <c r="O835" t="str">
        <f t="array" ref="O835">_xlfn.IFS(orders[[#This Row],[Customer Gender]]="M","Male", orders[[#This Row],[Customer Gender]]="F","Female", orders[[#This Row],[Customer Gender]]="O","Other", TRUE(),"Unknown")</f>
        <v>Female</v>
      </c>
    </row>
    <row r="836" spans="1:15" x14ac:dyDescent="0.25">
      <c r="A836" t="s">
        <v>1064</v>
      </c>
      <c r="B836" t="s">
        <v>78</v>
      </c>
      <c r="C836">
        <v>1</v>
      </c>
      <c r="D836">
        <v>50.7</v>
      </c>
      <c r="E836">
        <v>50.7</v>
      </c>
      <c r="F836" s="58">
        <v>45692</v>
      </c>
      <c r="G836" s="58">
        <v>45694</v>
      </c>
      <c r="H836" t="s">
        <v>229</v>
      </c>
      <c r="I836" t="s">
        <v>62</v>
      </c>
      <c r="J836">
        <v>5</v>
      </c>
      <c r="K836" t="s">
        <v>103</v>
      </c>
      <c r="L836" t="s">
        <v>142</v>
      </c>
      <c r="M836">
        <f>orders[[#This Row],[Ship Date]]-orders[[#This Row],[Order Date]]</f>
        <v>2</v>
      </c>
      <c r="N836">
        <f>WEEKNUM(orders[[#This Row],[Order Date]],1)</f>
        <v>6</v>
      </c>
      <c r="O836" t="str">
        <f t="array" ref="O836">_xlfn.IFS(orders[[#This Row],[Customer Gender]]="M","Male", orders[[#This Row],[Customer Gender]]="F","Female", orders[[#This Row],[Customer Gender]]="O","Other", TRUE(),"Unknown")</f>
        <v>Male</v>
      </c>
    </row>
    <row r="837" spans="1:15" x14ac:dyDescent="0.25">
      <c r="A837" t="s">
        <v>1065</v>
      </c>
      <c r="B837" t="s">
        <v>82</v>
      </c>
      <c r="C837">
        <v>1</v>
      </c>
      <c r="D837">
        <v>39.5</v>
      </c>
      <c r="E837">
        <v>39.5</v>
      </c>
      <c r="F837" s="58">
        <v>45692</v>
      </c>
      <c r="G837" s="58">
        <v>45693</v>
      </c>
      <c r="H837" t="s">
        <v>229</v>
      </c>
      <c r="I837" t="s">
        <v>61</v>
      </c>
      <c r="J837">
        <v>3</v>
      </c>
      <c r="K837" t="s">
        <v>103</v>
      </c>
      <c r="L837" t="s">
        <v>142</v>
      </c>
      <c r="M837">
        <f>orders[[#This Row],[Ship Date]]-orders[[#This Row],[Order Date]]</f>
        <v>1</v>
      </c>
      <c r="N837">
        <f>WEEKNUM(orders[[#This Row],[Order Date]],1)</f>
        <v>6</v>
      </c>
      <c r="O837" t="str">
        <f t="array" ref="O837">_xlfn.IFS(orders[[#This Row],[Customer Gender]]="M","Male", orders[[#This Row],[Customer Gender]]="F","Female", orders[[#This Row],[Customer Gender]]="O","Other", TRUE(),"Unknown")</f>
        <v>Male</v>
      </c>
    </row>
    <row r="838" spans="1:15" x14ac:dyDescent="0.25">
      <c r="A838" t="s">
        <v>1066</v>
      </c>
      <c r="B838" t="s">
        <v>76</v>
      </c>
      <c r="C838">
        <v>3</v>
      </c>
      <c r="D838">
        <v>30.9</v>
      </c>
      <c r="E838">
        <v>92.7</v>
      </c>
      <c r="F838" s="58">
        <v>45692</v>
      </c>
      <c r="G838" s="58">
        <v>45693</v>
      </c>
      <c r="I838" t="s">
        <v>61</v>
      </c>
      <c r="J838">
        <v>5</v>
      </c>
      <c r="K838" t="s">
        <v>103</v>
      </c>
      <c r="L838" t="s">
        <v>142</v>
      </c>
      <c r="M838">
        <f>orders[[#This Row],[Ship Date]]-orders[[#This Row],[Order Date]]</f>
        <v>1</v>
      </c>
      <c r="N838">
        <f>WEEKNUM(orders[[#This Row],[Order Date]],1)</f>
        <v>6</v>
      </c>
      <c r="O838" t="str">
        <f t="array" ref="O838">_xlfn.IFS(orders[[#This Row],[Customer Gender]]="M","Male", orders[[#This Row],[Customer Gender]]="F","Female", orders[[#This Row],[Customer Gender]]="O","Other", TRUE(),"Unknown")</f>
        <v>Unknown</v>
      </c>
    </row>
    <row r="839" spans="1:15" x14ac:dyDescent="0.25">
      <c r="A839" t="s">
        <v>1067</v>
      </c>
      <c r="B839" t="s">
        <v>91</v>
      </c>
      <c r="C839">
        <v>7</v>
      </c>
      <c r="D839">
        <v>36.4</v>
      </c>
      <c r="E839">
        <v>254.8</v>
      </c>
      <c r="F839" s="58">
        <v>45692</v>
      </c>
      <c r="G839" s="58">
        <v>45695</v>
      </c>
      <c r="H839" t="s">
        <v>231</v>
      </c>
      <c r="I839" t="s">
        <v>59</v>
      </c>
      <c r="J839">
        <v>5</v>
      </c>
      <c r="K839" t="s">
        <v>103</v>
      </c>
      <c r="L839" t="s">
        <v>142</v>
      </c>
      <c r="M839">
        <f>orders[[#This Row],[Ship Date]]-orders[[#This Row],[Order Date]]</f>
        <v>3</v>
      </c>
      <c r="N839">
        <f>WEEKNUM(orders[[#This Row],[Order Date]],1)</f>
        <v>6</v>
      </c>
      <c r="O839" t="str">
        <f t="array" ref="O839">_xlfn.IFS(orders[[#This Row],[Customer Gender]]="M","Male", orders[[#This Row],[Customer Gender]]="F","Female", orders[[#This Row],[Customer Gender]]="O","Other", TRUE(),"Unknown")</f>
        <v>Female</v>
      </c>
    </row>
    <row r="840" spans="1:15" x14ac:dyDescent="0.25">
      <c r="A840" t="s">
        <v>1068</v>
      </c>
      <c r="B840" t="s">
        <v>80</v>
      </c>
      <c r="C840">
        <v>8</v>
      </c>
      <c r="D840">
        <v>105.6</v>
      </c>
      <c r="E840">
        <v>844.8</v>
      </c>
      <c r="F840" s="58">
        <v>45692</v>
      </c>
      <c r="G840" s="58">
        <v>45702</v>
      </c>
      <c r="H840" t="s">
        <v>231</v>
      </c>
      <c r="I840" t="s">
        <v>59</v>
      </c>
      <c r="J840">
        <v>4</v>
      </c>
      <c r="K840" t="s">
        <v>103</v>
      </c>
      <c r="L840" t="s">
        <v>142</v>
      </c>
      <c r="M840">
        <f>orders[[#This Row],[Ship Date]]-orders[[#This Row],[Order Date]]</f>
        <v>10</v>
      </c>
      <c r="N840">
        <f>WEEKNUM(orders[[#This Row],[Order Date]],1)</f>
        <v>6</v>
      </c>
      <c r="O840" t="str">
        <f t="array" ref="O840">_xlfn.IFS(orders[[#This Row],[Customer Gender]]="M","Male", orders[[#This Row],[Customer Gender]]="F","Female", orders[[#This Row],[Customer Gender]]="O","Other", TRUE(),"Unknown")</f>
        <v>Female</v>
      </c>
    </row>
    <row r="841" spans="1:15" x14ac:dyDescent="0.25">
      <c r="A841" t="s">
        <v>1069</v>
      </c>
      <c r="B841" t="s">
        <v>90</v>
      </c>
      <c r="C841">
        <v>2</v>
      </c>
      <c r="D841">
        <v>22.1</v>
      </c>
      <c r="E841">
        <v>44.2</v>
      </c>
      <c r="F841" s="58">
        <v>45692</v>
      </c>
      <c r="G841" s="58">
        <v>45693</v>
      </c>
      <c r="H841" t="s">
        <v>231</v>
      </c>
      <c r="I841" t="s">
        <v>59</v>
      </c>
      <c r="J841">
        <v>5</v>
      </c>
      <c r="K841" t="s">
        <v>103</v>
      </c>
      <c r="L841" t="s">
        <v>143</v>
      </c>
      <c r="M841">
        <f>orders[[#This Row],[Ship Date]]-orders[[#This Row],[Order Date]]</f>
        <v>1</v>
      </c>
      <c r="N841">
        <f>WEEKNUM(orders[[#This Row],[Order Date]],1)</f>
        <v>6</v>
      </c>
      <c r="O841" t="str">
        <f t="array" ref="O841">_xlfn.IFS(orders[[#This Row],[Customer Gender]]="M","Male", orders[[#This Row],[Customer Gender]]="F","Female", orders[[#This Row],[Customer Gender]]="O","Other", TRUE(),"Unknown")</f>
        <v>Female</v>
      </c>
    </row>
    <row r="842" spans="1:15" x14ac:dyDescent="0.25">
      <c r="A842" t="s">
        <v>1070</v>
      </c>
      <c r="B842" t="s">
        <v>86</v>
      </c>
      <c r="C842">
        <v>3</v>
      </c>
      <c r="D842">
        <v>22.6</v>
      </c>
      <c r="E842">
        <v>67.8</v>
      </c>
      <c r="F842" s="58">
        <v>45692</v>
      </c>
      <c r="G842" s="58">
        <v>45693</v>
      </c>
      <c r="H842" t="s">
        <v>231</v>
      </c>
      <c r="I842" t="s">
        <v>62</v>
      </c>
      <c r="J842">
        <v>4</v>
      </c>
      <c r="K842" t="s">
        <v>103</v>
      </c>
      <c r="L842" t="s">
        <v>143</v>
      </c>
      <c r="M842">
        <f>orders[[#This Row],[Ship Date]]-orders[[#This Row],[Order Date]]</f>
        <v>1</v>
      </c>
      <c r="N842">
        <f>WEEKNUM(orders[[#This Row],[Order Date]],1)</f>
        <v>6</v>
      </c>
      <c r="O842" t="str">
        <f t="array" ref="O842">_xlfn.IFS(orders[[#This Row],[Customer Gender]]="M","Male", orders[[#This Row],[Customer Gender]]="F","Female", orders[[#This Row],[Customer Gender]]="O","Other", TRUE(),"Unknown")</f>
        <v>Female</v>
      </c>
    </row>
    <row r="843" spans="1:15" x14ac:dyDescent="0.25">
      <c r="A843" t="s">
        <v>1071</v>
      </c>
      <c r="B843" t="s">
        <v>75</v>
      </c>
      <c r="C843">
        <v>6</v>
      </c>
      <c r="D843">
        <v>26.3</v>
      </c>
      <c r="E843">
        <v>157.80000000000001</v>
      </c>
      <c r="F843" s="58">
        <v>45692</v>
      </c>
      <c r="G843" s="58">
        <v>45692</v>
      </c>
      <c r="H843" t="s">
        <v>231</v>
      </c>
      <c r="I843" t="s">
        <v>62</v>
      </c>
      <c r="J843">
        <v>4</v>
      </c>
      <c r="K843" t="s">
        <v>103</v>
      </c>
      <c r="L843" t="s">
        <v>146</v>
      </c>
      <c r="M843">
        <f>orders[[#This Row],[Ship Date]]-orders[[#This Row],[Order Date]]</f>
        <v>0</v>
      </c>
      <c r="N843">
        <f>WEEKNUM(orders[[#This Row],[Order Date]],1)</f>
        <v>6</v>
      </c>
      <c r="O843" t="str">
        <f t="array" ref="O843">_xlfn.IFS(orders[[#This Row],[Customer Gender]]="M","Male", orders[[#This Row],[Customer Gender]]="F","Female", orders[[#This Row],[Customer Gender]]="O","Other", TRUE(),"Unknown")</f>
        <v>Female</v>
      </c>
    </row>
    <row r="844" spans="1:15" x14ac:dyDescent="0.25">
      <c r="A844" t="s">
        <v>1072</v>
      </c>
      <c r="B844" t="s">
        <v>91</v>
      </c>
      <c r="C844">
        <v>4</v>
      </c>
      <c r="D844">
        <v>37.799999999999997</v>
      </c>
      <c r="E844">
        <v>151.19999999999999</v>
      </c>
      <c r="F844" s="58">
        <v>45692</v>
      </c>
      <c r="G844" s="58">
        <v>45693</v>
      </c>
      <c r="H844" t="s">
        <v>231</v>
      </c>
      <c r="I844" t="s">
        <v>59</v>
      </c>
      <c r="J844">
        <v>5</v>
      </c>
      <c r="K844" t="s">
        <v>103</v>
      </c>
      <c r="L844" t="s">
        <v>148</v>
      </c>
      <c r="M844">
        <f>orders[[#This Row],[Ship Date]]-orders[[#This Row],[Order Date]]</f>
        <v>1</v>
      </c>
      <c r="N844">
        <f>WEEKNUM(orders[[#This Row],[Order Date]],1)</f>
        <v>6</v>
      </c>
      <c r="O844" t="str">
        <f t="array" ref="O844">_xlfn.IFS(orders[[#This Row],[Customer Gender]]="M","Male", orders[[#This Row],[Customer Gender]]="F","Female", orders[[#This Row],[Customer Gender]]="O","Other", TRUE(),"Unknown")</f>
        <v>Female</v>
      </c>
    </row>
    <row r="845" spans="1:15" x14ac:dyDescent="0.25">
      <c r="A845" t="s">
        <v>1073</v>
      </c>
      <c r="B845" t="s">
        <v>80</v>
      </c>
      <c r="C845">
        <v>17</v>
      </c>
      <c r="D845">
        <v>96</v>
      </c>
      <c r="E845">
        <v>1632</v>
      </c>
      <c r="F845" s="58">
        <v>45692</v>
      </c>
      <c r="G845" s="58">
        <v>45695</v>
      </c>
      <c r="H845" t="s">
        <v>231</v>
      </c>
      <c r="I845" t="s">
        <v>61</v>
      </c>
      <c r="J845">
        <v>3</v>
      </c>
      <c r="K845" t="s">
        <v>103</v>
      </c>
      <c r="L845" t="s">
        <v>154</v>
      </c>
      <c r="M845">
        <f>orders[[#This Row],[Ship Date]]-orders[[#This Row],[Order Date]]</f>
        <v>3</v>
      </c>
      <c r="N845">
        <f>WEEKNUM(orders[[#This Row],[Order Date]],1)</f>
        <v>6</v>
      </c>
      <c r="O845" t="str">
        <f t="array" ref="O845">_xlfn.IFS(orders[[#This Row],[Customer Gender]]="M","Male", orders[[#This Row],[Customer Gender]]="F","Female", orders[[#This Row],[Customer Gender]]="O","Other", TRUE(),"Unknown")</f>
        <v>Female</v>
      </c>
    </row>
    <row r="846" spans="1:15" x14ac:dyDescent="0.25">
      <c r="A846" t="s">
        <v>1074</v>
      </c>
      <c r="B846" t="s">
        <v>91</v>
      </c>
      <c r="C846">
        <v>1</v>
      </c>
      <c r="D846">
        <v>83.6</v>
      </c>
      <c r="E846">
        <v>83.6</v>
      </c>
      <c r="F846" s="58">
        <v>45692</v>
      </c>
      <c r="G846" s="58">
        <v>45695</v>
      </c>
      <c r="H846" t="s">
        <v>231</v>
      </c>
      <c r="I846" t="s">
        <v>62</v>
      </c>
      <c r="J846">
        <v>3</v>
      </c>
      <c r="K846" t="s">
        <v>103</v>
      </c>
      <c r="L846" t="s">
        <v>155</v>
      </c>
      <c r="M846">
        <f>orders[[#This Row],[Ship Date]]-orders[[#This Row],[Order Date]]</f>
        <v>3</v>
      </c>
      <c r="N846">
        <f>WEEKNUM(orders[[#This Row],[Order Date]],1)</f>
        <v>6</v>
      </c>
      <c r="O846" t="str">
        <f t="array" ref="O846">_xlfn.IFS(orders[[#This Row],[Customer Gender]]="M","Male", orders[[#This Row],[Customer Gender]]="F","Female", orders[[#This Row],[Customer Gender]]="O","Other", TRUE(),"Unknown")</f>
        <v>Female</v>
      </c>
    </row>
    <row r="847" spans="1:15" x14ac:dyDescent="0.25">
      <c r="A847" t="s">
        <v>1075</v>
      </c>
      <c r="B847" t="s">
        <v>87</v>
      </c>
      <c r="C847">
        <v>6</v>
      </c>
      <c r="D847">
        <v>72.599999999999994</v>
      </c>
      <c r="E847">
        <v>435.6</v>
      </c>
      <c r="F847" s="58">
        <v>45692</v>
      </c>
      <c r="G847" s="58">
        <v>45693</v>
      </c>
      <c r="H847" t="s">
        <v>231</v>
      </c>
      <c r="I847" t="s">
        <v>59</v>
      </c>
      <c r="J847">
        <v>4</v>
      </c>
      <c r="K847" t="s">
        <v>103</v>
      </c>
      <c r="L847" t="s">
        <v>106</v>
      </c>
      <c r="M847">
        <f>orders[[#This Row],[Ship Date]]-orders[[#This Row],[Order Date]]</f>
        <v>1</v>
      </c>
      <c r="N847">
        <f>WEEKNUM(orders[[#This Row],[Order Date]],1)</f>
        <v>6</v>
      </c>
      <c r="O847" t="str">
        <f t="array" ref="O847">_xlfn.IFS(orders[[#This Row],[Customer Gender]]="M","Male", orders[[#This Row],[Customer Gender]]="F","Female", orders[[#This Row],[Customer Gender]]="O","Other", TRUE(),"Unknown")</f>
        <v>Female</v>
      </c>
    </row>
    <row r="848" spans="1:15" x14ac:dyDescent="0.25">
      <c r="A848" t="s">
        <v>1076</v>
      </c>
      <c r="B848" t="s">
        <v>85</v>
      </c>
      <c r="C848">
        <v>20</v>
      </c>
      <c r="D848">
        <v>69.099999999999994</v>
      </c>
      <c r="E848">
        <v>1382</v>
      </c>
      <c r="F848" s="58">
        <v>45693</v>
      </c>
      <c r="G848" s="58">
        <v>45699</v>
      </c>
      <c r="H848" t="s">
        <v>229</v>
      </c>
      <c r="I848" t="s">
        <v>59</v>
      </c>
      <c r="J848">
        <v>5</v>
      </c>
      <c r="K848" t="s">
        <v>103</v>
      </c>
      <c r="L848" t="s">
        <v>106</v>
      </c>
      <c r="M848">
        <f>orders[[#This Row],[Ship Date]]-orders[[#This Row],[Order Date]]</f>
        <v>6</v>
      </c>
      <c r="N848">
        <f>WEEKNUM(orders[[#This Row],[Order Date]],1)</f>
        <v>6</v>
      </c>
      <c r="O848" t="str">
        <f t="array" ref="O848">_xlfn.IFS(orders[[#This Row],[Customer Gender]]="M","Male", orders[[#This Row],[Customer Gender]]="F","Female", orders[[#This Row],[Customer Gender]]="O","Other", TRUE(),"Unknown")</f>
        <v>Male</v>
      </c>
    </row>
    <row r="849" spans="1:15" x14ac:dyDescent="0.25">
      <c r="A849" t="s">
        <v>1077</v>
      </c>
      <c r="B849" t="s">
        <v>78</v>
      </c>
      <c r="C849">
        <v>2</v>
      </c>
      <c r="D849">
        <v>22.6</v>
      </c>
      <c r="E849">
        <v>45.2</v>
      </c>
      <c r="F849" s="58">
        <v>45693</v>
      </c>
      <c r="G849" s="58">
        <v>45695</v>
      </c>
      <c r="H849" t="s">
        <v>231</v>
      </c>
      <c r="I849" t="s">
        <v>63</v>
      </c>
      <c r="J849">
        <v>5</v>
      </c>
      <c r="K849" t="s">
        <v>103</v>
      </c>
      <c r="L849" t="s">
        <v>106</v>
      </c>
      <c r="M849">
        <f>orders[[#This Row],[Ship Date]]-orders[[#This Row],[Order Date]]</f>
        <v>2</v>
      </c>
      <c r="N849">
        <f>WEEKNUM(orders[[#This Row],[Order Date]],1)</f>
        <v>6</v>
      </c>
      <c r="O849" t="str">
        <f t="array" ref="O849">_xlfn.IFS(orders[[#This Row],[Customer Gender]]="M","Male", orders[[#This Row],[Customer Gender]]="F","Female", orders[[#This Row],[Customer Gender]]="O","Other", TRUE(),"Unknown")</f>
        <v>Female</v>
      </c>
    </row>
    <row r="850" spans="1:15" x14ac:dyDescent="0.25">
      <c r="A850" t="s">
        <v>1078</v>
      </c>
      <c r="B850" t="s">
        <v>80</v>
      </c>
      <c r="C850">
        <v>2</v>
      </c>
      <c r="D850">
        <v>45.3</v>
      </c>
      <c r="E850">
        <v>90.6</v>
      </c>
      <c r="F850" s="58">
        <v>45693</v>
      </c>
      <c r="G850" s="58">
        <v>45697</v>
      </c>
      <c r="H850" t="s">
        <v>229</v>
      </c>
      <c r="I850" t="s">
        <v>61</v>
      </c>
      <c r="J850">
        <v>5</v>
      </c>
      <c r="K850" t="s">
        <v>103</v>
      </c>
      <c r="L850" t="s">
        <v>106</v>
      </c>
      <c r="M850">
        <f>orders[[#This Row],[Ship Date]]-orders[[#This Row],[Order Date]]</f>
        <v>4</v>
      </c>
      <c r="N850">
        <f>WEEKNUM(orders[[#This Row],[Order Date]],1)</f>
        <v>6</v>
      </c>
      <c r="O850" t="str">
        <f t="array" ref="O850">_xlfn.IFS(orders[[#This Row],[Customer Gender]]="M","Male", orders[[#This Row],[Customer Gender]]="F","Female", orders[[#This Row],[Customer Gender]]="O","Other", TRUE(),"Unknown")</f>
        <v>Male</v>
      </c>
    </row>
    <row r="851" spans="1:15" x14ac:dyDescent="0.25">
      <c r="A851" t="s">
        <v>1079</v>
      </c>
      <c r="B851" t="s">
        <v>87</v>
      </c>
      <c r="C851">
        <v>2</v>
      </c>
      <c r="D851">
        <v>115.1</v>
      </c>
      <c r="E851">
        <v>230.2</v>
      </c>
      <c r="F851" s="58">
        <v>45693</v>
      </c>
      <c r="G851" s="58">
        <v>45694</v>
      </c>
      <c r="H851" t="s">
        <v>231</v>
      </c>
      <c r="I851" t="s">
        <v>63</v>
      </c>
      <c r="J851">
        <v>4</v>
      </c>
      <c r="K851" t="s">
        <v>103</v>
      </c>
      <c r="L851" t="s">
        <v>112</v>
      </c>
      <c r="M851">
        <f>orders[[#This Row],[Ship Date]]-orders[[#This Row],[Order Date]]</f>
        <v>1</v>
      </c>
      <c r="N851">
        <f>WEEKNUM(orders[[#This Row],[Order Date]],1)</f>
        <v>6</v>
      </c>
      <c r="O851" t="str">
        <f t="array" ref="O851">_xlfn.IFS(orders[[#This Row],[Customer Gender]]="M","Male", orders[[#This Row],[Customer Gender]]="F","Female", orders[[#This Row],[Customer Gender]]="O","Other", TRUE(),"Unknown")</f>
        <v>Female</v>
      </c>
    </row>
    <row r="852" spans="1:15" x14ac:dyDescent="0.25">
      <c r="A852" t="s">
        <v>1080</v>
      </c>
      <c r="B852" t="s">
        <v>82</v>
      </c>
      <c r="C852">
        <v>4</v>
      </c>
      <c r="D852">
        <v>79</v>
      </c>
      <c r="E852">
        <v>316</v>
      </c>
      <c r="F852" s="58">
        <v>45693</v>
      </c>
      <c r="G852" s="58">
        <v>45695</v>
      </c>
      <c r="H852" t="s">
        <v>229</v>
      </c>
      <c r="I852" t="s">
        <v>62</v>
      </c>
      <c r="J852">
        <v>2</v>
      </c>
      <c r="K852" t="s">
        <v>103</v>
      </c>
      <c r="L852" t="s">
        <v>112</v>
      </c>
      <c r="M852">
        <f>orders[[#This Row],[Ship Date]]-orders[[#This Row],[Order Date]]</f>
        <v>2</v>
      </c>
      <c r="N852">
        <f>WEEKNUM(orders[[#This Row],[Order Date]],1)</f>
        <v>6</v>
      </c>
      <c r="O852" t="str">
        <f t="array" ref="O852">_xlfn.IFS(orders[[#This Row],[Customer Gender]]="M","Male", orders[[#This Row],[Customer Gender]]="F","Female", orders[[#This Row],[Customer Gender]]="O","Other", TRUE(),"Unknown")</f>
        <v>Male</v>
      </c>
    </row>
    <row r="853" spans="1:15" x14ac:dyDescent="0.25">
      <c r="A853" t="s">
        <v>1081</v>
      </c>
      <c r="B853" t="s">
        <v>80</v>
      </c>
      <c r="C853">
        <v>5</v>
      </c>
      <c r="D853">
        <v>52.8</v>
      </c>
      <c r="E853">
        <v>264</v>
      </c>
      <c r="F853" s="58">
        <v>45693</v>
      </c>
      <c r="G853" s="58">
        <v>45694</v>
      </c>
      <c r="H853" t="s">
        <v>231</v>
      </c>
      <c r="I853" t="s">
        <v>59</v>
      </c>
      <c r="J853">
        <v>4</v>
      </c>
      <c r="K853" t="s">
        <v>103</v>
      </c>
      <c r="L853" t="s">
        <v>114</v>
      </c>
      <c r="M853">
        <f>orders[[#This Row],[Ship Date]]-orders[[#This Row],[Order Date]]</f>
        <v>1</v>
      </c>
      <c r="N853">
        <f>WEEKNUM(orders[[#This Row],[Order Date]],1)</f>
        <v>6</v>
      </c>
      <c r="O853" t="str">
        <f t="array" ref="O853">_xlfn.IFS(orders[[#This Row],[Customer Gender]]="M","Male", orders[[#This Row],[Customer Gender]]="F","Female", orders[[#This Row],[Customer Gender]]="O","Other", TRUE(),"Unknown")</f>
        <v>Female</v>
      </c>
    </row>
    <row r="854" spans="1:15" x14ac:dyDescent="0.25">
      <c r="A854" t="s">
        <v>1082</v>
      </c>
      <c r="B854" t="s">
        <v>90</v>
      </c>
      <c r="C854">
        <v>2</v>
      </c>
      <c r="D854">
        <v>34.1</v>
      </c>
      <c r="E854">
        <v>68.2</v>
      </c>
      <c r="F854" s="58">
        <v>45693</v>
      </c>
      <c r="G854" s="58">
        <v>45694</v>
      </c>
      <c r="H854" t="s">
        <v>229</v>
      </c>
      <c r="I854" t="s">
        <v>60</v>
      </c>
      <c r="J854">
        <v>5</v>
      </c>
      <c r="K854" t="s">
        <v>103</v>
      </c>
      <c r="L854" t="s">
        <v>117</v>
      </c>
      <c r="M854">
        <f>orders[[#This Row],[Ship Date]]-orders[[#This Row],[Order Date]]</f>
        <v>1</v>
      </c>
      <c r="N854">
        <f>WEEKNUM(orders[[#This Row],[Order Date]],1)</f>
        <v>6</v>
      </c>
      <c r="O854" t="str">
        <f t="array" ref="O854">_xlfn.IFS(orders[[#This Row],[Customer Gender]]="M","Male", orders[[#This Row],[Customer Gender]]="F","Female", orders[[#This Row],[Customer Gender]]="O","Other", TRUE(),"Unknown")</f>
        <v>Male</v>
      </c>
    </row>
    <row r="855" spans="1:15" x14ac:dyDescent="0.25">
      <c r="A855" t="s">
        <v>1083</v>
      </c>
      <c r="B855" t="s">
        <v>80</v>
      </c>
      <c r="C855">
        <v>5</v>
      </c>
      <c r="D855">
        <v>107.9</v>
      </c>
      <c r="E855">
        <v>539.5</v>
      </c>
      <c r="F855" s="58">
        <v>45693</v>
      </c>
      <c r="G855" s="58">
        <v>45693</v>
      </c>
      <c r="H855" t="s">
        <v>231</v>
      </c>
      <c r="I855" t="s">
        <v>59</v>
      </c>
      <c r="J855">
        <v>5</v>
      </c>
      <c r="K855" t="s">
        <v>103</v>
      </c>
      <c r="L855" t="s">
        <v>122</v>
      </c>
      <c r="M855">
        <f>orders[[#This Row],[Ship Date]]-orders[[#This Row],[Order Date]]</f>
        <v>0</v>
      </c>
      <c r="N855">
        <f>WEEKNUM(orders[[#This Row],[Order Date]],1)</f>
        <v>6</v>
      </c>
      <c r="O855" t="str">
        <f t="array" ref="O855">_xlfn.IFS(orders[[#This Row],[Customer Gender]]="M","Male", orders[[#This Row],[Customer Gender]]="F","Female", orders[[#This Row],[Customer Gender]]="O","Other", TRUE(),"Unknown")</f>
        <v>Female</v>
      </c>
    </row>
    <row r="856" spans="1:15" x14ac:dyDescent="0.25">
      <c r="A856" t="s">
        <v>1084</v>
      </c>
      <c r="B856" t="s">
        <v>90</v>
      </c>
      <c r="C856">
        <v>13</v>
      </c>
      <c r="D856">
        <v>48.5</v>
      </c>
      <c r="E856">
        <v>630.5</v>
      </c>
      <c r="F856" s="58">
        <v>45693</v>
      </c>
      <c r="G856" s="58">
        <v>45693</v>
      </c>
      <c r="H856" t="s">
        <v>229</v>
      </c>
      <c r="I856" t="s">
        <v>62</v>
      </c>
      <c r="J856">
        <v>5</v>
      </c>
      <c r="K856" t="s">
        <v>103</v>
      </c>
      <c r="L856" t="s">
        <v>124</v>
      </c>
      <c r="M856">
        <f>orders[[#This Row],[Ship Date]]-orders[[#This Row],[Order Date]]</f>
        <v>0</v>
      </c>
      <c r="N856">
        <f>WEEKNUM(orders[[#This Row],[Order Date]],1)</f>
        <v>6</v>
      </c>
      <c r="O856" t="str">
        <f t="array" ref="O856">_xlfn.IFS(orders[[#This Row],[Customer Gender]]="M","Male", orders[[#This Row],[Customer Gender]]="F","Female", orders[[#This Row],[Customer Gender]]="O","Other", TRUE(),"Unknown")</f>
        <v>Male</v>
      </c>
    </row>
    <row r="857" spans="1:15" x14ac:dyDescent="0.25">
      <c r="A857" t="s">
        <v>1085</v>
      </c>
      <c r="B857" t="s">
        <v>85</v>
      </c>
      <c r="C857">
        <v>3</v>
      </c>
      <c r="D857">
        <v>34.700000000000003</v>
      </c>
      <c r="E857">
        <v>104.1</v>
      </c>
      <c r="F857" s="58">
        <v>45693</v>
      </c>
      <c r="G857" s="58">
        <v>45694</v>
      </c>
      <c r="I857" t="s">
        <v>61</v>
      </c>
      <c r="J857">
        <v>3</v>
      </c>
      <c r="K857" t="s">
        <v>103</v>
      </c>
      <c r="L857" t="s">
        <v>124</v>
      </c>
      <c r="M857">
        <f>orders[[#This Row],[Ship Date]]-orders[[#This Row],[Order Date]]</f>
        <v>1</v>
      </c>
      <c r="N857">
        <f>WEEKNUM(orders[[#This Row],[Order Date]],1)</f>
        <v>6</v>
      </c>
      <c r="O857" t="str">
        <f t="array" ref="O857">_xlfn.IFS(orders[[#This Row],[Customer Gender]]="M","Male", orders[[#This Row],[Customer Gender]]="F","Female", orders[[#This Row],[Customer Gender]]="O","Other", TRUE(),"Unknown")</f>
        <v>Unknown</v>
      </c>
    </row>
    <row r="858" spans="1:15" x14ac:dyDescent="0.25">
      <c r="A858" t="s">
        <v>1086</v>
      </c>
      <c r="B858" t="s">
        <v>90</v>
      </c>
      <c r="C858">
        <v>1</v>
      </c>
      <c r="D858">
        <v>16.8</v>
      </c>
      <c r="E858">
        <v>16.8</v>
      </c>
      <c r="F858" s="58">
        <v>45693</v>
      </c>
      <c r="G858" s="58">
        <v>45695</v>
      </c>
      <c r="H858" t="s">
        <v>231</v>
      </c>
      <c r="I858" t="s">
        <v>60</v>
      </c>
      <c r="J858">
        <v>4</v>
      </c>
      <c r="K858" t="s">
        <v>103</v>
      </c>
      <c r="L858" t="s">
        <v>124</v>
      </c>
      <c r="M858">
        <f>orders[[#This Row],[Ship Date]]-orders[[#This Row],[Order Date]]</f>
        <v>2</v>
      </c>
      <c r="N858">
        <f>WEEKNUM(orders[[#This Row],[Order Date]],1)</f>
        <v>6</v>
      </c>
      <c r="O858" t="str">
        <f t="array" ref="O858">_xlfn.IFS(orders[[#This Row],[Customer Gender]]="M","Male", orders[[#This Row],[Customer Gender]]="F","Female", orders[[#This Row],[Customer Gender]]="O","Other", TRUE(),"Unknown")</f>
        <v>Female</v>
      </c>
    </row>
    <row r="859" spans="1:15" x14ac:dyDescent="0.25">
      <c r="A859" t="s">
        <v>1087</v>
      </c>
      <c r="B859" t="s">
        <v>90</v>
      </c>
      <c r="C859">
        <v>6</v>
      </c>
      <c r="D859">
        <v>18.3</v>
      </c>
      <c r="E859">
        <v>109.8</v>
      </c>
      <c r="F859" s="58">
        <v>45693</v>
      </c>
      <c r="G859" s="58">
        <v>45696</v>
      </c>
      <c r="H859" t="s">
        <v>231</v>
      </c>
      <c r="I859" t="s">
        <v>59</v>
      </c>
      <c r="J859">
        <v>4</v>
      </c>
      <c r="K859" t="s">
        <v>103</v>
      </c>
      <c r="L859" t="s">
        <v>124</v>
      </c>
      <c r="M859">
        <f>orders[[#This Row],[Ship Date]]-orders[[#This Row],[Order Date]]</f>
        <v>3</v>
      </c>
      <c r="N859">
        <f>WEEKNUM(orders[[#This Row],[Order Date]],1)</f>
        <v>6</v>
      </c>
      <c r="O859" t="str">
        <f t="array" ref="O859">_xlfn.IFS(orders[[#This Row],[Customer Gender]]="M","Male", orders[[#This Row],[Customer Gender]]="F","Female", orders[[#This Row],[Customer Gender]]="O","Other", TRUE(),"Unknown")</f>
        <v>Female</v>
      </c>
    </row>
    <row r="860" spans="1:15" x14ac:dyDescent="0.25">
      <c r="A860" t="s">
        <v>1088</v>
      </c>
      <c r="B860" t="s">
        <v>82</v>
      </c>
      <c r="C860">
        <v>3</v>
      </c>
      <c r="D860">
        <v>55.9</v>
      </c>
      <c r="E860">
        <v>167.7</v>
      </c>
      <c r="F860" s="58">
        <v>45693</v>
      </c>
      <c r="G860" s="58">
        <v>45699</v>
      </c>
      <c r="H860" t="s">
        <v>229</v>
      </c>
      <c r="I860" t="s">
        <v>60</v>
      </c>
      <c r="J860">
        <v>3</v>
      </c>
      <c r="K860" t="s">
        <v>103</v>
      </c>
      <c r="L860" t="s">
        <v>124</v>
      </c>
      <c r="M860">
        <f>orders[[#This Row],[Ship Date]]-orders[[#This Row],[Order Date]]</f>
        <v>6</v>
      </c>
      <c r="N860">
        <f>WEEKNUM(orders[[#This Row],[Order Date]],1)</f>
        <v>6</v>
      </c>
      <c r="O860" t="str">
        <f t="array" ref="O860">_xlfn.IFS(orders[[#This Row],[Customer Gender]]="M","Male", orders[[#This Row],[Customer Gender]]="F","Female", orders[[#This Row],[Customer Gender]]="O","Other", TRUE(),"Unknown")</f>
        <v>Male</v>
      </c>
    </row>
    <row r="861" spans="1:15" x14ac:dyDescent="0.25">
      <c r="A861" t="s">
        <v>1089</v>
      </c>
      <c r="B861" t="s">
        <v>90</v>
      </c>
      <c r="C861">
        <v>3</v>
      </c>
      <c r="D861">
        <v>39.200000000000003</v>
      </c>
      <c r="E861">
        <v>117.6</v>
      </c>
      <c r="F861" s="58">
        <v>45693</v>
      </c>
      <c r="G861" s="58">
        <v>45695</v>
      </c>
      <c r="H861" t="s">
        <v>231</v>
      </c>
      <c r="I861" t="s">
        <v>59</v>
      </c>
      <c r="J861">
        <v>3</v>
      </c>
      <c r="K861" t="s">
        <v>103</v>
      </c>
      <c r="L861" t="s">
        <v>124</v>
      </c>
      <c r="M861">
        <f>orders[[#This Row],[Ship Date]]-orders[[#This Row],[Order Date]]</f>
        <v>2</v>
      </c>
      <c r="N861">
        <f>WEEKNUM(orders[[#This Row],[Order Date]],1)</f>
        <v>6</v>
      </c>
      <c r="O861" t="str">
        <f t="array" ref="O861">_xlfn.IFS(orders[[#This Row],[Customer Gender]]="M","Male", orders[[#This Row],[Customer Gender]]="F","Female", orders[[#This Row],[Customer Gender]]="O","Other", TRUE(),"Unknown")</f>
        <v>Female</v>
      </c>
    </row>
    <row r="862" spans="1:15" x14ac:dyDescent="0.25">
      <c r="A862" t="s">
        <v>1090</v>
      </c>
      <c r="B862" t="s">
        <v>77</v>
      </c>
      <c r="C862">
        <v>4</v>
      </c>
      <c r="D862">
        <v>66.5</v>
      </c>
      <c r="E862">
        <v>266</v>
      </c>
      <c r="F862" s="58">
        <v>45693</v>
      </c>
      <c r="G862" s="58">
        <v>45695</v>
      </c>
      <c r="I862" t="s">
        <v>60</v>
      </c>
      <c r="J862">
        <v>3</v>
      </c>
      <c r="K862" t="s">
        <v>103</v>
      </c>
      <c r="L862" t="s">
        <v>124</v>
      </c>
      <c r="M862">
        <f>orders[[#This Row],[Ship Date]]-orders[[#This Row],[Order Date]]</f>
        <v>2</v>
      </c>
      <c r="N862">
        <f>WEEKNUM(orders[[#This Row],[Order Date]],1)</f>
        <v>6</v>
      </c>
      <c r="O862" t="str">
        <f t="array" ref="O862">_xlfn.IFS(orders[[#This Row],[Customer Gender]]="M","Male", orders[[#This Row],[Customer Gender]]="F","Female", orders[[#This Row],[Customer Gender]]="O","Other", TRUE(),"Unknown")</f>
        <v>Unknown</v>
      </c>
    </row>
    <row r="863" spans="1:15" x14ac:dyDescent="0.25">
      <c r="A863" t="s">
        <v>1091</v>
      </c>
      <c r="B863" t="s">
        <v>80</v>
      </c>
      <c r="C863">
        <v>6</v>
      </c>
      <c r="D863">
        <v>52.1</v>
      </c>
      <c r="E863">
        <v>312.60000000000002</v>
      </c>
      <c r="F863" s="58">
        <v>45693</v>
      </c>
      <c r="G863" s="58">
        <v>45695</v>
      </c>
      <c r="H863" t="s">
        <v>229</v>
      </c>
      <c r="I863" t="s">
        <v>63</v>
      </c>
      <c r="J863">
        <v>3</v>
      </c>
      <c r="K863" t="s">
        <v>103</v>
      </c>
      <c r="L863" t="s">
        <v>133</v>
      </c>
      <c r="M863">
        <f>orders[[#This Row],[Ship Date]]-orders[[#This Row],[Order Date]]</f>
        <v>2</v>
      </c>
      <c r="N863">
        <f>WEEKNUM(orders[[#This Row],[Order Date]],1)</f>
        <v>6</v>
      </c>
      <c r="O863" t="str">
        <f t="array" ref="O863">_xlfn.IFS(orders[[#This Row],[Customer Gender]]="M","Male", orders[[#This Row],[Customer Gender]]="F","Female", orders[[#This Row],[Customer Gender]]="O","Other", TRUE(),"Unknown")</f>
        <v>Male</v>
      </c>
    </row>
    <row r="864" spans="1:15" x14ac:dyDescent="0.25">
      <c r="A864" t="s">
        <v>1092</v>
      </c>
      <c r="B864" t="s">
        <v>90</v>
      </c>
      <c r="C864">
        <v>2</v>
      </c>
      <c r="D864">
        <v>19</v>
      </c>
      <c r="E864">
        <v>38</v>
      </c>
      <c r="F864" s="58">
        <v>45693</v>
      </c>
      <c r="G864" s="58">
        <v>45694</v>
      </c>
      <c r="H864" t="s">
        <v>229</v>
      </c>
      <c r="I864" t="s">
        <v>61</v>
      </c>
      <c r="J864">
        <v>5</v>
      </c>
      <c r="K864" t="s">
        <v>103</v>
      </c>
      <c r="L864" t="s">
        <v>139</v>
      </c>
      <c r="M864">
        <f>orders[[#This Row],[Ship Date]]-orders[[#This Row],[Order Date]]</f>
        <v>1</v>
      </c>
      <c r="N864">
        <f>WEEKNUM(orders[[#This Row],[Order Date]],1)</f>
        <v>6</v>
      </c>
      <c r="O864" t="str">
        <f t="array" ref="O864">_xlfn.IFS(orders[[#This Row],[Customer Gender]]="M","Male", orders[[#This Row],[Customer Gender]]="F","Female", orders[[#This Row],[Customer Gender]]="O","Other", TRUE(),"Unknown")</f>
        <v>Male</v>
      </c>
    </row>
    <row r="865" spans="1:15" x14ac:dyDescent="0.25">
      <c r="A865" t="s">
        <v>1093</v>
      </c>
      <c r="B865" t="s">
        <v>79</v>
      </c>
      <c r="C865">
        <v>3</v>
      </c>
      <c r="D865">
        <v>84.8</v>
      </c>
      <c r="E865">
        <v>254.4</v>
      </c>
      <c r="F865" s="58">
        <v>45693</v>
      </c>
      <c r="G865" s="58">
        <v>45695</v>
      </c>
      <c r="H865" t="s">
        <v>231</v>
      </c>
      <c r="I865" t="s">
        <v>62</v>
      </c>
      <c r="J865">
        <v>4</v>
      </c>
      <c r="K865" t="s">
        <v>103</v>
      </c>
      <c r="L865" t="s">
        <v>142</v>
      </c>
      <c r="M865">
        <f>orders[[#This Row],[Ship Date]]-orders[[#This Row],[Order Date]]</f>
        <v>2</v>
      </c>
      <c r="N865">
        <f>WEEKNUM(orders[[#This Row],[Order Date]],1)</f>
        <v>6</v>
      </c>
      <c r="O865" t="str">
        <f t="array" ref="O865">_xlfn.IFS(orders[[#This Row],[Customer Gender]]="M","Male", orders[[#This Row],[Customer Gender]]="F","Female", orders[[#This Row],[Customer Gender]]="O","Other", TRUE(),"Unknown")</f>
        <v>Female</v>
      </c>
    </row>
    <row r="866" spans="1:15" x14ac:dyDescent="0.25">
      <c r="A866" t="s">
        <v>1094</v>
      </c>
      <c r="B866" t="s">
        <v>87</v>
      </c>
      <c r="C866">
        <v>4</v>
      </c>
      <c r="D866">
        <v>63.9</v>
      </c>
      <c r="E866">
        <v>255.6</v>
      </c>
      <c r="F866" s="58">
        <v>45693</v>
      </c>
      <c r="G866" s="58">
        <v>45696</v>
      </c>
      <c r="H866" t="s">
        <v>231</v>
      </c>
      <c r="I866" t="s">
        <v>59</v>
      </c>
      <c r="J866">
        <v>4</v>
      </c>
      <c r="K866" t="s">
        <v>103</v>
      </c>
      <c r="L866" t="s">
        <v>142</v>
      </c>
      <c r="M866">
        <f>orders[[#This Row],[Ship Date]]-orders[[#This Row],[Order Date]]</f>
        <v>3</v>
      </c>
      <c r="N866">
        <f>WEEKNUM(orders[[#This Row],[Order Date]],1)</f>
        <v>6</v>
      </c>
      <c r="O866" t="str">
        <f t="array" ref="O866">_xlfn.IFS(orders[[#This Row],[Customer Gender]]="M","Male", orders[[#This Row],[Customer Gender]]="F","Female", orders[[#This Row],[Customer Gender]]="O","Other", TRUE(),"Unknown")</f>
        <v>Female</v>
      </c>
    </row>
    <row r="867" spans="1:15" x14ac:dyDescent="0.25">
      <c r="A867" t="s">
        <v>1095</v>
      </c>
      <c r="B867" t="s">
        <v>87</v>
      </c>
      <c r="C867">
        <v>3</v>
      </c>
      <c r="D867">
        <v>65.5</v>
      </c>
      <c r="E867">
        <v>196.5</v>
      </c>
      <c r="F867" s="58">
        <v>45693</v>
      </c>
      <c r="G867" s="58">
        <v>45693</v>
      </c>
      <c r="H867" t="s">
        <v>231</v>
      </c>
      <c r="I867" t="s">
        <v>63</v>
      </c>
      <c r="J867">
        <v>3</v>
      </c>
      <c r="K867" t="s">
        <v>103</v>
      </c>
      <c r="L867" t="s">
        <v>142</v>
      </c>
      <c r="M867">
        <f>orders[[#This Row],[Ship Date]]-orders[[#This Row],[Order Date]]</f>
        <v>0</v>
      </c>
      <c r="N867">
        <f>WEEKNUM(orders[[#This Row],[Order Date]],1)</f>
        <v>6</v>
      </c>
      <c r="O867" t="str">
        <f t="array" ref="O867">_xlfn.IFS(orders[[#This Row],[Customer Gender]]="M","Male", orders[[#This Row],[Customer Gender]]="F","Female", orders[[#This Row],[Customer Gender]]="O","Other", TRUE(),"Unknown")</f>
        <v>Female</v>
      </c>
    </row>
    <row r="868" spans="1:15" x14ac:dyDescent="0.25">
      <c r="A868" t="s">
        <v>1096</v>
      </c>
      <c r="B868" t="s">
        <v>76</v>
      </c>
      <c r="C868">
        <v>2</v>
      </c>
      <c r="D868">
        <v>116.2</v>
      </c>
      <c r="E868">
        <v>232.4</v>
      </c>
      <c r="F868" s="58">
        <v>45693</v>
      </c>
      <c r="G868" s="58">
        <v>45699</v>
      </c>
      <c r="H868" t="s">
        <v>229</v>
      </c>
      <c r="I868" t="s">
        <v>60</v>
      </c>
      <c r="J868">
        <v>4</v>
      </c>
      <c r="K868" t="s">
        <v>103</v>
      </c>
      <c r="L868" t="s">
        <v>143</v>
      </c>
      <c r="M868">
        <f>orders[[#This Row],[Ship Date]]-orders[[#This Row],[Order Date]]</f>
        <v>6</v>
      </c>
      <c r="N868">
        <f>WEEKNUM(orders[[#This Row],[Order Date]],1)</f>
        <v>6</v>
      </c>
      <c r="O868" t="str">
        <f t="array" ref="O868">_xlfn.IFS(orders[[#This Row],[Customer Gender]]="M","Male", orders[[#This Row],[Customer Gender]]="F","Female", orders[[#This Row],[Customer Gender]]="O","Other", TRUE(),"Unknown")</f>
        <v>Male</v>
      </c>
    </row>
    <row r="869" spans="1:15" x14ac:dyDescent="0.25">
      <c r="A869" t="s">
        <v>1097</v>
      </c>
      <c r="B869" t="s">
        <v>75</v>
      </c>
      <c r="C869">
        <v>4</v>
      </c>
      <c r="D869">
        <v>22.9</v>
      </c>
      <c r="E869">
        <v>91.6</v>
      </c>
      <c r="F869" s="58">
        <v>45693</v>
      </c>
      <c r="G869" s="58">
        <v>45695</v>
      </c>
      <c r="H869" t="s">
        <v>231</v>
      </c>
      <c r="I869" t="s">
        <v>62</v>
      </c>
      <c r="J869">
        <v>3</v>
      </c>
      <c r="K869" t="s">
        <v>103</v>
      </c>
      <c r="L869" t="s">
        <v>153</v>
      </c>
      <c r="M869">
        <f>orders[[#This Row],[Ship Date]]-orders[[#This Row],[Order Date]]</f>
        <v>2</v>
      </c>
      <c r="N869">
        <f>WEEKNUM(orders[[#This Row],[Order Date]],1)</f>
        <v>6</v>
      </c>
      <c r="O869" t="str">
        <f t="array" ref="O869">_xlfn.IFS(orders[[#This Row],[Customer Gender]]="M","Male", orders[[#This Row],[Customer Gender]]="F","Female", orders[[#This Row],[Customer Gender]]="O","Other", TRUE(),"Unknown")</f>
        <v>Female</v>
      </c>
    </row>
    <row r="870" spans="1:15" x14ac:dyDescent="0.25">
      <c r="A870" t="s">
        <v>1098</v>
      </c>
      <c r="B870" t="s">
        <v>75</v>
      </c>
      <c r="C870">
        <v>3</v>
      </c>
      <c r="D870">
        <v>53.7</v>
      </c>
      <c r="E870">
        <v>161.1</v>
      </c>
      <c r="F870" s="58">
        <v>45693</v>
      </c>
      <c r="G870" s="58">
        <v>45694</v>
      </c>
      <c r="H870" t="s">
        <v>229</v>
      </c>
      <c r="I870" t="s">
        <v>59</v>
      </c>
      <c r="J870">
        <v>2</v>
      </c>
      <c r="K870" t="s">
        <v>103</v>
      </c>
      <c r="L870" t="s">
        <v>154</v>
      </c>
      <c r="M870">
        <f>orders[[#This Row],[Ship Date]]-orders[[#This Row],[Order Date]]</f>
        <v>1</v>
      </c>
      <c r="N870">
        <f>WEEKNUM(orders[[#This Row],[Order Date]],1)</f>
        <v>6</v>
      </c>
      <c r="O870" t="str">
        <f t="array" ref="O870">_xlfn.IFS(orders[[#This Row],[Customer Gender]]="M","Male", orders[[#This Row],[Customer Gender]]="F","Female", orders[[#This Row],[Customer Gender]]="O","Other", TRUE(),"Unknown")</f>
        <v>Male</v>
      </c>
    </row>
    <row r="871" spans="1:15" x14ac:dyDescent="0.25">
      <c r="A871" t="s">
        <v>1099</v>
      </c>
      <c r="B871" t="s">
        <v>80</v>
      </c>
      <c r="C871">
        <v>5</v>
      </c>
      <c r="D871">
        <v>43.2</v>
      </c>
      <c r="E871">
        <v>216</v>
      </c>
      <c r="F871" s="58">
        <v>45693</v>
      </c>
      <c r="G871" s="58">
        <v>45695</v>
      </c>
      <c r="H871" t="s">
        <v>231</v>
      </c>
      <c r="I871" t="s">
        <v>59</v>
      </c>
      <c r="J871">
        <v>4</v>
      </c>
      <c r="K871" t="s">
        <v>103</v>
      </c>
      <c r="L871" t="s">
        <v>155</v>
      </c>
      <c r="M871">
        <f>orders[[#This Row],[Ship Date]]-orders[[#This Row],[Order Date]]</f>
        <v>2</v>
      </c>
      <c r="N871">
        <f>WEEKNUM(orders[[#This Row],[Order Date]],1)</f>
        <v>6</v>
      </c>
      <c r="O871" t="str">
        <f t="array" ref="O871">_xlfn.IFS(orders[[#This Row],[Customer Gender]]="M","Male", orders[[#This Row],[Customer Gender]]="F","Female", orders[[#This Row],[Customer Gender]]="O","Other", TRUE(),"Unknown")</f>
        <v>Female</v>
      </c>
    </row>
    <row r="872" spans="1:15" x14ac:dyDescent="0.25">
      <c r="A872" t="s">
        <v>1100</v>
      </c>
      <c r="B872" t="s">
        <v>91</v>
      </c>
      <c r="C872">
        <v>3</v>
      </c>
      <c r="D872">
        <v>84.5</v>
      </c>
      <c r="E872">
        <v>253.5</v>
      </c>
      <c r="F872" s="58">
        <v>45693</v>
      </c>
      <c r="G872" s="58">
        <v>45695</v>
      </c>
      <c r="H872" t="s">
        <v>229</v>
      </c>
      <c r="I872" t="s">
        <v>62</v>
      </c>
      <c r="J872">
        <v>5</v>
      </c>
      <c r="K872" t="s">
        <v>103</v>
      </c>
      <c r="L872" t="s">
        <v>109</v>
      </c>
      <c r="M872">
        <f>orders[[#This Row],[Ship Date]]-orders[[#This Row],[Order Date]]</f>
        <v>2</v>
      </c>
      <c r="N872">
        <f>WEEKNUM(orders[[#This Row],[Order Date]],1)</f>
        <v>6</v>
      </c>
      <c r="O872" t="str">
        <f t="array" ref="O872">_xlfn.IFS(orders[[#This Row],[Customer Gender]]="M","Male", orders[[#This Row],[Customer Gender]]="F","Female", orders[[#This Row],[Customer Gender]]="O","Other", TRUE(),"Unknown")</f>
        <v>Male</v>
      </c>
    </row>
    <row r="873" spans="1:15" x14ac:dyDescent="0.25">
      <c r="A873" t="s">
        <v>1101</v>
      </c>
      <c r="B873" t="s">
        <v>93</v>
      </c>
      <c r="C873">
        <v>2</v>
      </c>
      <c r="D873">
        <v>42.2</v>
      </c>
      <c r="E873">
        <v>84.4</v>
      </c>
      <c r="F873" s="58">
        <v>45693</v>
      </c>
      <c r="G873" s="58">
        <v>45694</v>
      </c>
      <c r="H873" t="s">
        <v>231</v>
      </c>
      <c r="I873" t="s">
        <v>63</v>
      </c>
      <c r="J873">
        <v>5</v>
      </c>
      <c r="K873" t="s">
        <v>103</v>
      </c>
      <c r="L873" t="s">
        <v>112</v>
      </c>
      <c r="M873">
        <f>orders[[#This Row],[Ship Date]]-orders[[#This Row],[Order Date]]</f>
        <v>1</v>
      </c>
      <c r="N873">
        <f>WEEKNUM(orders[[#This Row],[Order Date]],1)</f>
        <v>6</v>
      </c>
      <c r="O873" t="str">
        <f t="array" ref="O873">_xlfn.IFS(orders[[#This Row],[Customer Gender]]="M","Male", orders[[#This Row],[Customer Gender]]="F","Female", orders[[#This Row],[Customer Gender]]="O","Other", TRUE(),"Unknown")</f>
        <v>Female</v>
      </c>
    </row>
    <row r="874" spans="1:15" x14ac:dyDescent="0.25">
      <c r="A874" t="s">
        <v>1102</v>
      </c>
      <c r="B874" t="s">
        <v>87</v>
      </c>
      <c r="C874">
        <v>6</v>
      </c>
      <c r="D874">
        <v>94.7</v>
      </c>
      <c r="E874">
        <v>568.20000000000005</v>
      </c>
      <c r="F874" s="58">
        <v>45693</v>
      </c>
      <c r="G874" s="58">
        <v>45696</v>
      </c>
      <c r="H874" t="s">
        <v>231</v>
      </c>
      <c r="I874" t="s">
        <v>63</v>
      </c>
      <c r="J874">
        <v>5</v>
      </c>
      <c r="K874" t="s">
        <v>103</v>
      </c>
      <c r="L874" t="s">
        <v>115</v>
      </c>
      <c r="M874">
        <f>orders[[#This Row],[Ship Date]]-orders[[#This Row],[Order Date]]</f>
        <v>3</v>
      </c>
      <c r="N874">
        <f>WEEKNUM(orders[[#This Row],[Order Date]],1)</f>
        <v>6</v>
      </c>
      <c r="O874" t="str">
        <f t="array" ref="O874">_xlfn.IFS(orders[[#This Row],[Customer Gender]]="M","Male", orders[[#This Row],[Customer Gender]]="F","Female", orders[[#This Row],[Customer Gender]]="O","Other", TRUE(),"Unknown")</f>
        <v>Female</v>
      </c>
    </row>
    <row r="875" spans="1:15" x14ac:dyDescent="0.25">
      <c r="A875" t="s">
        <v>1103</v>
      </c>
      <c r="B875" t="s">
        <v>90</v>
      </c>
      <c r="C875">
        <v>18</v>
      </c>
      <c r="D875">
        <v>16.7</v>
      </c>
      <c r="E875">
        <v>300.60000000000002</v>
      </c>
      <c r="F875" s="58">
        <v>45693</v>
      </c>
      <c r="G875" s="58">
        <v>45705</v>
      </c>
      <c r="H875" t="s">
        <v>231</v>
      </c>
      <c r="I875" t="s">
        <v>59</v>
      </c>
      <c r="J875">
        <v>5</v>
      </c>
      <c r="K875" t="s">
        <v>103</v>
      </c>
      <c r="L875" t="s">
        <v>115</v>
      </c>
      <c r="M875">
        <f>orders[[#This Row],[Ship Date]]-orders[[#This Row],[Order Date]]</f>
        <v>12</v>
      </c>
      <c r="N875">
        <f>WEEKNUM(orders[[#This Row],[Order Date]],1)</f>
        <v>6</v>
      </c>
      <c r="O875" t="str">
        <f t="array" ref="O875">_xlfn.IFS(orders[[#This Row],[Customer Gender]]="M","Male", orders[[#This Row],[Customer Gender]]="F","Female", orders[[#This Row],[Customer Gender]]="O","Other", TRUE(),"Unknown")</f>
        <v>Female</v>
      </c>
    </row>
    <row r="876" spans="1:15" x14ac:dyDescent="0.25">
      <c r="A876" t="s">
        <v>1104</v>
      </c>
      <c r="B876" t="s">
        <v>87</v>
      </c>
      <c r="C876">
        <v>2</v>
      </c>
      <c r="D876">
        <v>83.6</v>
      </c>
      <c r="E876">
        <v>167.2</v>
      </c>
      <c r="F876" s="58">
        <v>45693</v>
      </c>
      <c r="G876" s="58">
        <v>45699</v>
      </c>
      <c r="H876" t="s">
        <v>231</v>
      </c>
      <c r="I876" t="s">
        <v>63</v>
      </c>
      <c r="J876">
        <v>4</v>
      </c>
      <c r="K876" t="s">
        <v>103</v>
      </c>
      <c r="L876" t="s">
        <v>124</v>
      </c>
      <c r="M876">
        <f>orders[[#This Row],[Ship Date]]-orders[[#This Row],[Order Date]]</f>
        <v>6</v>
      </c>
      <c r="N876">
        <f>WEEKNUM(orders[[#This Row],[Order Date]],1)</f>
        <v>6</v>
      </c>
      <c r="O876" t="str">
        <f t="array" ref="O876">_xlfn.IFS(orders[[#This Row],[Customer Gender]]="M","Male", orders[[#This Row],[Customer Gender]]="F","Female", orders[[#This Row],[Customer Gender]]="O","Other", TRUE(),"Unknown")</f>
        <v>Female</v>
      </c>
    </row>
    <row r="877" spans="1:15" x14ac:dyDescent="0.25">
      <c r="A877" t="s">
        <v>1105</v>
      </c>
      <c r="B877" t="s">
        <v>79</v>
      </c>
      <c r="C877">
        <v>6</v>
      </c>
      <c r="D877">
        <v>33.6</v>
      </c>
      <c r="E877">
        <v>201.6</v>
      </c>
      <c r="F877" s="58">
        <v>45694</v>
      </c>
      <c r="G877" s="58">
        <v>45695</v>
      </c>
      <c r="H877" t="s">
        <v>231</v>
      </c>
      <c r="I877" t="s">
        <v>60</v>
      </c>
      <c r="J877">
        <v>4</v>
      </c>
      <c r="K877" t="s">
        <v>103</v>
      </c>
      <c r="L877" t="s">
        <v>124</v>
      </c>
      <c r="M877">
        <f>orders[[#This Row],[Ship Date]]-orders[[#This Row],[Order Date]]</f>
        <v>1</v>
      </c>
      <c r="N877">
        <f>WEEKNUM(orders[[#This Row],[Order Date]],1)</f>
        <v>6</v>
      </c>
      <c r="O877" t="str">
        <f t="array" ref="O877">_xlfn.IFS(orders[[#This Row],[Customer Gender]]="M","Male", orders[[#This Row],[Customer Gender]]="F","Female", orders[[#This Row],[Customer Gender]]="O","Other", TRUE(),"Unknown")</f>
        <v>Female</v>
      </c>
    </row>
    <row r="878" spans="1:15" x14ac:dyDescent="0.25">
      <c r="A878" t="s">
        <v>1106</v>
      </c>
      <c r="B878" t="s">
        <v>79</v>
      </c>
      <c r="C878">
        <v>2</v>
      </c>
      <c r="D878">
        <v>64.7</v>
      </c>
      <c r="E878">
        <v>129.4</v>
      </c>
      <c r="F878" s="58">
        <v>45694</v>
      </c>
      <c r="G878" s="58">
        <v>45696</v>
      </c>
      <c r="H878" t="s">
        <v>229</v>
      </c>
      <c r="I878" t="s">
        <v>63</v>
      </c>
      <c r="J878">
        <v>5</v>
      </c>
      <c r="K878" t="s">
        <v>103</v>
      </c>
      <c r="L878" t="s">
        <v>124</v>
      </c>
      <c r="M878">
        <f>orders[[#This Row],[Ship Date]]-orders[[#This Row],[Order Date]]</f>
        <v>2</v>
      </c>
      <c r="N878">
        <f>WEEKNUM(orders[[#This Row],[Order Date]],1)</f>
        <v>6</v>
      </c>
      <c r="O878" t="str">
        <f t="array" ref="O878">_xlfn.IFS(orders[[#This Row],[Customer Gender]]="M","Male", orders[[#This Row],[Customer Gender]]="F","Female", orders[[#This Row],[Customer Gender]]="O","Other", TRUE(),"Unknown")</f>
        <v>Male</v>
      </c>
    </row>
    <row r="879" spans="1:15" x14ac:dyDescent="0.25">
      <c r="A879" t="s">
        <v>1107</v>
      </c>
      <c r="B879" t="s">
        <v>86</v>
      </c>
      <c r="C879">
        <v>3</v>
      </c>
      <c r="D879">
        <v>15.7</v>
      </c>
      <c r="E879">
        <v>47.1</v>
      </c>
      <c r="F879" s="58">
        <v>45694</v>
      </c>
      <c r="G879" s="58">
        <v>45700</v>
      </c>
      <c r="H879" t="s">
        <v>231</v>
      </c>
      <c r="I879" t="s">
        <v>59</v>
      </c>
      <c r="J879">
        <v>4</v>
      </c>
      <c r="K879" t="s">
        <v>103</v>
      </c>
      <c r="L879" t="s">
        <v>124</v>
      </c>
      <c r="M879">
        <f>orders[[#This Row],[Ship Date]]-orders[[#This Row],[Order Date]]</f>
        <v>6</v>
      </c>
      <c r="N879">
        <f>WEEKNUM(orders[[#This Row],[Order Date]],1)</f>
        <v>6</v>
      </c>
      <c r="O879" t="str">
        <f t="array" ref="O879">_xlfn.IFS(orders[[#This Row],[Customer Gender]]="M","Male", orders[[#This Row],[Customer Gender]]="F","Female", orders[[#This Row],[Customer Gender]]="O","Other", TRUE(),"Unknown")</f>
        <v>Female</v>
      </c>
    </row>
    <row r="880" spans="1:15" x14ac:dyDescent="0.25">
      <c r="A880" t="s">
        <v>1108</v>
      </c>
      <c r="B880" t="s">
        <v>77</v>
      </c>
      <c r="C880">
        <v>6</v>
      </c>
      <c r="D880">
        <v>49.4</v>
      </c>
      <c r="E880">
        <v>296.39999999999998</v>
      </c>
      <c r="F880" s="58">
        <v>45694</v>
      </c>
      <c r="G880" s="58">
        <v>45694</v>
      </c>
      <c r="H880" t="s">
        <v>229</v>
      </c>
      <c r="I880" t="s">
        <v>63</v>
      </c>
      <c r="J880">
        <v>4</v>
      </c>
      <c r="K880" t="s">
        <v>103</v>
      </c>
      <c r="L880" t="s">
        <v>124</v>
      </c>
      <c r="M880">
        <f>orders[[#This Row],[Ship Date]]-orders[[#This Row],[Order Date]]</f>
        <v>0</v>
      </c>
      <c r="N880">
        <f>WEEKNUM(orders[[#This Row],[Order Date]],1)</f>
        <v>6</v>
      </c>
      <c r="O880" t="str">
        <f t="array" ref="O880">_xlfn.IFS(orders[[#This Row],[Customer Gender]]="M","Male", orders[[#This Row],[Customer Gender]]="F","Female", orders[[#This Row],[Customer Gender]]="O","Other", TRUE(),"Unknown")</f>
        <v>Male</v>
      </c>
    </row>
    <row r="881" spans="1:15" x14ac:dyDescent="0.25">
      <c r="A881" t="s">
        <v>1109</v>
      </c>
      <c r="B881" t="s">
        <v>75</v>
      </c>
      <c r="C881">
        <v>6</v>
      </c>
      <c r="D881">
        <v>37</v>
      </c>
      <c r="E881">
        <v>222</v>
      </c>
      <c r="F881" s="58">
        <v>45694</v>
      </c>
      <c r="G881" s="58">
        <v>45697</v>
      </c>
      <c r="H881" t="s">
        <v>231</v>
      </c>
      <c r="I881" t="s">
        <v>63</v>
      </c>
      <c r="J881">
        <v>5</v>
      </c>
      <c r="K881" t="s">
        <v>103</v>
      </c>
      <c r="L881" t="s">
        <v>124</v>
      </c>
      <c r="M881">
        <f>orders[[#This Row],[Ship Date]]-orders[[#This Row],[Order Date]]</f>
        <v>3</v>
      </c>
      <c r="N881">
        <f>WEEKNUM(orders[[#This Row],[Order Date]],1)</f>
        <v>6</v>
      </c>
      <c r="O881" t="str">
        <f t="array" ref="O881">_xlfn.IFS(orders[[#This Row],[Customer Gender]]="M","Male", orders[[#This Row],[Customer Gender]]="F","Female", orders[[#This Row],[Customer Gender]]="O","Other", TRUE(),"Unknown")</f>
        <v>Female</v>
      </c>
    </row>
    <row r="882" spans="1:15" x14ac:dyDescent="0.25">
      <c r="A882" t="s">
        <v>1110</v>
      </c>
      <c r="B882" t="s">
        <v>87</v>
      </c>
      <c r="C882">
        <v>2</v>
      </c>
      <c r="D882">
        <v>83.7</v>
      </c>
      <c r="E882">
        <v>167.4</v>
      </c>
      <c r="F882" s="58">
        <v>45694</v>
      </c>
      <c r="G882" s="58">
        <v>45696</v>
      </c>
      <c r="H882" t="s">
        <v>231</v>
      </c>
      <c r="I882" t="s">
        <v>60</v>
      </c>
      <c r="J882">
        <v>5</v>
      </c>
      <c r="K882" t="s">
        <v>103</v>
      </c>
      <c r="L882" t="s">
        <v>124</v>
      </c>
      <c r="M882">
        <f>orders[[#This Row],[Ship Date]]-orders[[#This Row],[Order Date]]</f>
        <v>2</v>
      </c>
      <c r="N882">
        <f>WEEKNUM(orders[[#This Row],[Order Date]],1)</f>
        <v>6</v>
      </c>
      <c r="O882" t="str">
        <f t="array" ref="O882">_xlfn.IFS(orders[[#This Row],[Customer Gender]]="M","Male", orders[[#This Row],[Customer Gender]]="F","Female", orders[[#This Row],[Customer Gender]]="O","Other", TRUE(),"Unknown")</f>
        <v>Female</v>
      </c>
    </row>
    <row r="883" spans="1:15" x14ac:dyDescent="0.25">
      <c r="A883" t="s">
        <v>1111</v>
      </c>
      <c r="B883" t="s">
        <v>91</v>
      </c>
      <c r="C883">
        <v>5</v>
      </c>
      <c r="D883">
        <v>35.1</v>
      </c>
      <c r="E883">
        <v>175.5</v>
      </c>
      <c r="F883" s="58">
        <v>45694</v>
      </c>
      <c r="G883" s="58">
        <v>45695</v>
      </c>
      <c r="H883" t="s">
        <v>231</v>
      </c>
      <c r="I883" t="s">
        <v>59</v>
      </c>
      <c r="J883">
        <v>4</v>
      </c>
      <c r="K883" t="s">
        <v>103</v>
      </c>
      <c r="L883" t="s">
        <v>124</v>
      </c>
      <c r="M883">
        <f>orders[[#This Row],[Ship Date]]-orders[[#This Row],[Order Date]]</f>
        <v>1</v>
      </c>
      <c r="N883">
        <f>WEEKNUM(orders[[#This Row],[Order Date]],1)</f>
        <v>6</v>
      </c>
      <c r="O883" t="str">
        <f t="array" ref="O883">_xlfn.IFS(orders[[#This Row],[Customer Gender]]="M","Male", orders[[#This Row],[Customer Gender]]="F","Female", orders[[#This Row],[Customer Gender]]="O","Other", TRUE(),"Unknown")</f>
        <v>Female</v>
      </c>
    </row>
    <row r="884" spans="1:15" x14ac:dyDescent="0.25">
      <c r="A884" t="s">
        <v>1112</v>
      </c>
      <c r="B884" t="s">
        <v>89</v>
      </c>
      <c r="C884">
        <v>8</v>
      </c>
      <c r="D884">
        <v>74</v>
      </c>
      <c r="E884">
        <v>592</v>
      </c>
      <c r="F884" s="58">
        <v>45694</v>
      </c>
      <c r="G884" s="58">
        <v>45695</v>
      </c>
      <c r="H884" t="s">
        <v>231</v>
      </c>
      <c r="I884" t="s">
        <v>61</v>
      </c>
      <c r="J884">
        <v>4</v>
      </c>
      <c r="K884" t="s">
        <v>103</v>
      </c>
      <c r="L884" t="s">
        <v>125</v>
      </c>
      <c r="M884">
        <f>orders[[#This Row],[Ship Date]]-orders[[#This Row],[Order Date]]</f>
        <v>1</v>
      </c>
      <c r="N884">
        <f>WEEKNUM(orders[[#This Row],[Order Date]],1)</f>
        <v>6</v>
      </c>
      <c r="O884" t="str">
        <f t="array" ref="O884">_xlfn.IFS(orders[[#This Row],[Customer Gender]]="M","Male", orders[[#This Row],[Customer Gender]]="F","Female", orders[[#This Row],[Customer Gender]]="O","Other", TRUE(),"Unknown")</f>
        <v>Female</v>
      </c>
    </row>
    <row r="885" spans="1:15" x14ac:dyDescent="0.25">
      <c r="A885" t="s">
        <v>1113</v>
      </c>
      <c r="B885" t="s">
        <v>80</v>
      </c>
      <c r="C885">
        <v>24</v>
      </c>
      <c r="D885">
        <v>55.5</v>
      </c>
      <c r="E885">
        <v>1332</v>
      </c>
      <c r="F885" s="58">
        <v>45694</v>
      </c>
      <c r="G885" s="58">
        <v>45697</v>
      </c>
      <c r="H885" t="s">
        <v>229</v>
      </c>
      <c r="I885" t="s">
        <v>60</v>
      </c>
      <c r="J885">
        <v>4</v>
      </c>
      <c r="K885" t="s">
        <v>103</v>
      </c>
      <c r="L885" t="s">
        <v>132</v>
      </c>
      <c r="M885">
        <f>orders[[#This Row],[Ship Date]]-orders[[#This Row],[Order Date]]</f>
        <v>3</v>
      </c>
      <c r="N885">
        <f>WEEKNUM(orders[[#This Row],[Order Date]],1)</f>
        <v>6</v>
      </c>
      <c r="O885" t="str">
        <f t="array" ref="O885">_xlfn.IFS(orders[[#This Row],[Customer Gender]]="M","Male", orders[[#This Row],[Customer Gender]]="F","Female", orders[[#This Row],[Customer Gender]]="O","Other", TRUE(),"Unknown")</f>
        <v>Male</v>
      </c>
    </row>
    <row r="886" spans="1:15" x14ac:dyDescent="0.25">
      <c r="A886" t="s">
        <v>1114</v>
      </c>
      <c r="B886" t="s">
        <v>83</v>
      </c>
      <c r="C886">
        <v>2</v>
      </c>
      <c r="D886">
        <v>38.9</v>
      </c>
      <c r="E886">
        <v>77.8</v>
      </c>
      <c r="F886" s="58">
        <v>45694</v>
      </c>
      <c r="G886" s="58">
        <v>45696</v>
      </c>
      <c r="H886" t="s">
        <v>231</v>
      </c>
      <c r="I886" t="s">
        <v>63</v>
      </c>
      <c r="J886">
        <v>5</v>
      </c>
      <c r="K886" t="s">
        <v>103</v>
      </c>
      <c r="L886" t="s">
        <v>135</v>
      </c>
      <c r="M886">
        <f>orders[[#This Row],[Ship Date]]-orders[[#This Row],[Order Date]]</f>
        <v>2</v>
      </c>
      <c r="N886">
        <f>WEEKNUM(orders[[#This Row],[Order Date]],1)</f>
        <v>6</v>
      </c>
      <c r="O886" t="str">
        <f t="array" ref="O886">_xlfn.IFS(orders[[#This Row],[Customer Gender]]="M","Male", orders[[#This Row],[Customer Gender]]="F","Female", orders[[#This Row],[Customer Gender]]="O","Other", TRUE(),"Unknown")</f>
        <v>Female</v>
      </c>
    </row>
    <row r="887" spans="1:15" x14ac:dyDescent="0.25">
      <c r="A887" t="s">
        <v>1115</v>
      </c>
      <c r="B887" t="s">
        <v>89</v>
      </c>
      <c r="C887">
        <v>2</v>
      </c>
      <c r="D887">
        <v>64.599999999999994</v>
      </c>
      <c r="E887">
        <v>129.19999999999999</v>
      </c>
      <c r="F887" s="58">
        <v>45694</v>
      </c>
      <c r="G887" s="58">
        <v>45701</v>
      </c>
      <c r="H887" t="s">
        <v>229</v>
      </c>
      <c r="I887" t="s">
        <v>62</v>
      </c>
      <c r="J887">
        <v>3</v>
      </c>
      <c r="K887" t="s">
        <v>103</v>
      </c>
      <c r="L887" t="s">
        <v>135</v>
      </c>
      <c r="M887">
        <f>orders[[#This Row],[Ship Date]]-orders[[#This Row],[Order Date]]</f>
        <v>7</v>
      </c>
      <c r="N887">
        <f>WEEKNUM(orders[[#This Row],[Order Date]],1)</f>
        <v>6</v>
      </c>
      <c r="O887" t="str">
        <f t="array" ref="O887">_xlfn.IFS(orders[[#This Row],[Customer Gender]]="M","Male", orders[[#This Row],[Customer Gender]]="F","Female", orders[[#This Row],[Customer Gender]]="O","Other", TRUE(),"Unknown")</f>
        <v>Male</v>
      </c>
    </row>
    <row r="888" spans="1:15" x14ac:dyDescent="0.25">
      <c r="A888" t="s">
        <v>1116</v>
      </c>
      <c r="B888" t="s">
        <v>87</v>
      </c>
      <c r="C888">
        <v>3</v>
      </c>
      <c r="D888">
        <v>95.3</v>
      </c>
      <c r="E888">
        <v>285.89999999999998</v>
      </c>
      <c r="F888" s="58">
        <v>45694</v>
      </c>
      <c r="G888" s="58">
        <v>45695</v>
      </c>
      <c r="H888" t="s">
        <v>229</v>
      </c>
      <c r="I888" t="s">
        <v>59</v>
      </c>
      <c r="J888">
        <v>4</v>
      </c>
      <c r="K888" t="s">
        <v>103</v>
      </c>
      <c r="L888" t="s">
        <v>136</v>
      </c>
      <c r="M888">
        <f>orders[[#This Row],[Ship Date]]-orders[[#This Row],[Order Date]]</f>
        <v>1</v>
      </c>
      <c r="N888">
        <f>WEEKNUM(orders[[#This Row],[Order Date]],1)</f>
        <v>6</v>
      </c>
      <c r="O888" t="str">
        <f t="array" ref="O888">_xlfn.IFS(orders[[#This Row],[Customer Gender]]="M","Male", orders[[#This Row],[Customer Gender]]="F","Female", orders[[#This Row],[Customer Gender]]="O","Other", TRUE(),"Unknown")</f>
        <v>Male</v>
      </c>
    </row>
    <row r="889" spans="1:15" x14ac:dyDescent="0.25">
      <c r="A889" t="s">
        <v>1117</v>
      </c>
      <c r="B889" t="s">
        <v>92</v>
      </c>
      <c r="C889">
        <v>3</v>
      </c>
      <c r="D889">
        <v>25.8</v>
      </c>
      <c r="E889">
        <v>77.400000000000006</v>
      </c>
      <c r="F889" s="58">
        <v>45694</v>
      </c>
      <c r="G889" s="58">
        <v>45695</v>
      </c>
      <c r="H889" t="s">
        <v>231</v>
      </c>
      <c r="I889" t="s">
        <v>63</v>
      </c>
      <c r="J889">
        <v>3</v>
      </c>
      <c r="K889" t="s">
        <v>103</v>
      </c>
      <c r="L889" t="s">
        <v>139</v>
      </c>
      <c r="M889">
        <f>orders[[#This Row],[Ship Date]]-orders[[#This Row],[Order Date]]</f>
        <v>1</v>
      </c>
      <c r="N889">
        <f>WEEKNUM(orders[[#This Row],[Order Date]],1)</f>
        <v>6</v>
      </c>
      <c r="O889" t="str">
        <f t="array" ref="O889">_xlfn.IFS(orders[[#This Row],[Customer Gender]]="M","Male", orders[[#This Row],[Customer Gender]]="F","Female", orders[[#This Row],[Customer Gender]]="O","Other", TRUE(),"Unknown")</f>
        <v>Female</v>
      </c>
    </row>
    <row r="890" spans="1:15" x14ac:dyDescent="0.25">
      <c r="A890" t="s">
        <v>1118</v>
      </c>
      <c r="B890" t="s">
        <v>86</v>
      </c>
      <c r="C890">
        <v>2</v>
      </c>
      <c r="D890">
        <v>11.6</v>
      </c>
      <c r="E890">
        <v>23.2</v>
      </c>
      <c r="F890" s="58">
        <v>45694</v>
      </c>
      <c r="G890" s="58">
        <v>45698</v>
      </c>
      <c r="H890" t="s">
        <v>231</v>
      </c>
      <c r="I890" t="s">
        <v>63</v>
      </c>
      <c r="J890">
        <v>3</v>
      </c>
      <c r="K890" t="s">
        <v>103</v>
      </c>
      <c r="L890" t="s">
        <v>139</v>
      </c>
      <c r="M890">
        <f>orders[[#This Row],[Ship Date]]-orders[[#This Row],[Order Date]]</f>
        <v>4</v>
      </c>
      <c r="N890">
        <f>WEEKNUM(orders[[#This Row],[Order Date]],1)</f>
        <v>6</v>
      </c>
      <c r="O890" t="str">
        <f t="array" ref="O890">_xlfn.IFS(orders[[#This Row],[Customer Gender]]="M","Male", orders[[#This Row],[Customer Gender]]="F","Female", orders[[#This Row],[Customer Gender]]="O","Other", TRUE(),"Unknown")</f>
        <v>Female</v>
      </c>
    </row>
    <row r="891" spans="1:15" x14ac:dyDescent="0.25">
      <c r="A891" t="s">
        <v>1119</v>
      </c>
      <c r="B891" t="s">
        <v>79</v>
      </c>
      <c r="C891">
        <v>1</v>
      </c>
      <c r="D891">
        <v>52.3</v>
      </c>
      <c r="E891">
        <v>52.3</v>
      </c>
      <c r="F891" s="58">
        <v>45694</v>
      </c>
      <c r="G891" s="58">
        <v>45695</v>
      </c>
      <c r="H891" t="s">
        <v>231</v>
      </c>
      <c r="I891" t="s">
        <v>63</v>
      </c>
      <c r="J891">
        <v>4</v>
      </c>
      <c r="K891" t="s">
        <v>103</v>
      </c>
      <c r="L891" t="s">
        <v>142</v>
      </c>
      <c r="M891">
        <f>orders[[#This Row],[Ship Date]]-orders[[#This Row],[Order Date]]</f>
        <v>1</v>
      </c>
      <c r="N891">
        <f>WEEKNUM(orders[[#This Row],[Order Date]],1)</f>
        <v>6</v>
      </c>
      <c r="O891" t="str">
        <f t="array" ref="O891">_xlfn.IFS(orders[[#This Row],[Customer Gender]]="M","Male", orders[[#This Row],[Customer Gender]]="F","Female", orders[[#This Row],[Customer Gender]]="O","Other", TRUE(),"Unknown")</f>
        <v>Female</v>
      </c>
    </row>
    <row r="892" spans="1:15" x14ac:dyDescent="0.25">
      <c r="A892" t="s">
        <v>1120</v>
      </c>
      <c r="B892" t="s">
        <v>87</v>
      </c>
      <c r="C892">
        <v>10</v>
      </c>
      <c r="D892">
        <v>112.2</v>
      </c>
      <c r="E892">
        <v>1122</v>
      </c>
      <c r="F892" s="58">
        <v>45694</v>
      </c>
      <c r="G892" s="58">
        <v>45695</v>
      </c>
      <c r="H892" t="s">
        <v>231</v>
      </c>
      <c r="I892" t="s">
        <v>63</v>
      </c>
      <c r="J892">
        <v>3</v>
      </c>
      <c r="K892" t="s">
        <v>103</v>
      </c>
      <c r="L892" t="s">
        <v>142</v>
      </c>
      <c r="M892">
        <f>orders[[#This Row],[Ship Date]]-orders[[#This Row],[Order Date]]</f>
        <v>1</v>
      </c>
      <c r="N892">
        <f>WEEKNUM(orders[[#This Row],[Order Date]],1)</f>
        <v>6</v>
      </c>
      <c r="O892" t="str">
        <f t="array" ref="O892">_xlfn.IFS(orders[[#This Row],[Customer Gender]]="M","Male", orders[[#This Row],[Customer Gender]]="F","Female", orders[[#This Row],[Customer Gender]]="O","Other", TRUE(),"Unknown")</f>
        <v>Female</v>
      </c>
    </row>
    <row r="893" spans="1:15" x14ac:dyDescent="0.25">
      <c r="A893" t="s">
        <v>1121</v>
      </c>
      <c r="B893" t="s">
        <v>78</v>
      </c>
      <c r="C893">
        <v>5</v>
      </c>
      <c r="D893">
        <v>34.6</v>
      </c>
      <c r="E893">
        <v>173</v>
      </c>
      <c r="F893" s="58">
        <v>45694</v>
      </c>
      <c r="G893" s="58">
        <v>45696</v>
      </c>
      <c r="H893" t="s">
        <v>229</v>
      </c>
      <c r="I893" t="s">
        <v>62</v>
      </c>
      <c r="J893">
        <v>4</v>
      </c>
      <c r="K893" t="s">
        <v>103</v>
      </c>
      <c r="L893" t="s">
        <v>142</v>
      </c>
      <c r="M893">
        <f>orders[[#This Row],[Ship Date]]-orders[[#This Row],[Order Date]]</f>
        <v>2</v>
      </c>
      <c r="N893">
        <f>WEEKNUM(orders[[#This Row],[Order Date]],1)</f>
        <v>6</v>
      </c>
      <c r="O893" t="str">
        <f t="array" ref="O893">_xlfn.IFS(orders[[#This Row],[Customer Gender]]="M","Male", orders[[#This Row],[Customer Gender]]="F","Female", orders[[#This Row],[Customer Gender]]="O","Other", TRUE(),"Unknown")</f>
        <v>Male</v>
      </c>
    </row>
    <row r="894" spans="1:15" x14ac:dyDescent="0.25">
      <c r="A894" t="s">
        <v>1122</v>
      </c>
      <c r="B894" t="s">
        <v>74</v>
      </c>
      <c r="C894">
        <v>4</v>
      </c>
      <c r="D894">
        <v>20.100000000000001</v>
      </c>
      <c r="E894">
        <v>80.400000000000006</v>
      </c>
      <c r="F894" s="58">
        <v>45694</v>
      </c>
      <c r="G894" s="58">
        <v>45700</v>
      </c>
      <c r="H894" t="s">
        <v>229</v>
      </c>
      <c r="I894" t="s">
        <v>63</v>
      </c>
      <c r="J894">
        <v>5</v>
      </c>
      <c r="K894" t="s">
        <v>103</v>
      </c>
      <c r="L894" t="s">
        <v>142</v>
      </c>
      <c r="M894">
        <f>orders[[#This Row],[Ship Date]]-orders[[#This Row],[Order Date]]</f>
        <v>6</v>
      </c>
      <c r="N894">
        <f>WEEKNUM(orders[[#This Row],[Order Date]],1)</f>
        <v>6</v>
      </c>
      <c r="O894" t="str">
        <f t="array" ref="O894">_xlfn.IFS(orders[[#This Row],[Customer Gender]]="M","Male", orders[[#This Row],[Customer Gender]]="F","Female", orders[[#This Row],[Customer Gender]]="O","Other", TRUE(),"Unknown")</f>
        <v>Male</v>
      </c>
    </row>
    <row r="895" spans="1:15" x14ac:dyDescent="0.25">
      <c r="A895" t="s">
        <v>1123</v>
      </c>
      <c r="B895" t="s">
        <v>87</v>
      </c>
      <c r="C895">
        <v>4</v>
      </c>
      <c r="D895">
        <v>56.4</v>
      </c>
      <c r="E895">
        <v>225.6</v>
      </c>
      <c r="F895" s="58">
        <v>45694</v>
      </c>
      <c r="G895" s="58">
        <v>45696</v>
      </c>
      <c r="H895" t="s">
        <v>231</v>
      </c>
      <c r="I895" t="s">
        <v>62</v>
      </c>
      <c r="J895">
        <v>4</v>
      </c>
      <c r="K895" t="s">
        <v>103</v>
      </c>
      <c r="L895" t="s">
        <v>147</v>
      </c>
      <c r="M895">
        <f>orders[[#This Row],[Ship Date]]-orders[[#This Row],[Order Date]]</f>
        <v>2</v>
      </c>
      <c r="N895">
        <f>WEEKNUM(orders[[#This Row],[Order Date]],1)</f>
        <v>6</v>
      </c>
      <c r="O895" t="str">
        <f t="array" ref="O895">_xlfn.IFS(orders[[#This Row],[Customer Gender]]="M","Male", orders[[#This Row],[Customer Gender]]="F","Female", orders[[#This Row],[Customer Gender]]="O","Other", TRUE(),"Unknown")</f>
        <v>Female</v>
      </c>
    </row>
    <row r="896" spans="1:15" x14ac:dyDescent="0.25">
      <c r="A896" t="s">
        <v>1124</v>
      </c>
      <c r="B896" t="s">
        <v>92</v>
      </c>
      <c r="C896">
        <v>9</v>
      </c>
      <c r="D896">
        <v>55.3</v>
      </c>
      <c r="E896">
        <v>497.7</v>
      </c>
      <c r="F896" s="58">
        <v>45694</v>
      </c>
      <c r="G896" s="58">
        <v>45696</v>
      </c>
      <c r="H896" t="s">
        <v>231</v>
      </c>
      <c r="I896" t="s">
        <v>63</v>
      </c>
      <c r="J896">
        <v>2</v>
      </c>
      <c r="K896" t="s">
        <v>103</v>
      </c>
      <c r="L896" t="s">
        <v>148</v>
      </c>
      <c r="M896">
        <f>orders[[#This Row],[Ship Date]]-orders[[#This Row],[Order Date]]</f>
        <v>2</v>
      </c>
      <c r="N896">
        <f>WEEKNUM(orders[[#This Row],[Order Date]],1)</f>
        <v>6</v>
      </c>
      <c r="O896" t="str">
        <f t="array" ref="O896">_xlfn.IFS(orders[[#This Row],[Customer Gender]]="M","Male", orders[[#This Row],[Customer Gender]]="F","Female", orders[[#This Row],[Customer Gender]]="O","Other", TRUE(),"Unknown")</f>
        <v>Female</v>
      </c>
    </row>
    <row r="897" spans="1:15" x14ac:dyDescent="0.25">
      <c r="A897" t="s">
        <v>1125</v>
      </c>
      <c r="B897" t="s">
        <v>87</v>
      </c>
      <c r="C897">
        <v>28</v>
      </c>
      <c r="D897">
        <v>75.5</v>
      </c>
      <c r="E897">
        <v>2114</v>
      </c>
      <c r="F897" s="58">
        <v>45694</v>
      </c>
      <c r="G897" s="58">
        <v>45695</v>
      </c>
      <c r="H897" t="s">
        <v>231</v>
      </c>
      <c r="I897" t="s">
        <v>59</v>
      </c>
      <c r="J897">
        <v>4</v>
      </c>
      <c r="K897" t="s">
        <v>103</v>
      </c>
      <c r="L897" t="s">
        <v>148</v>
      </c>
      <c r="M897">
        <f>orders[[#This Row],[Ship Date]]-orders[[#This Row],[Order Date]]</f>
        <v>1</v>
      </c>
      <c r="N897">
        <f>WEEKNUM(orders[[#This Row],[Order Date]],1)</f>
        <v>6</v>
      </c>
      <c r="O897" t="str">
        <f t="array" ref="O897">_xlfn.IFS(orders[[#This Row],[Customer Gender]]="M","Male", orders[[#This Row],[Customer Gender]]="F","Female", orders[[#This Row],[Customer Gender]]="O","Other", TRUE(),"Unknown")</f>
        <v>Female</v>
      </c>
    </row>
    <row r="898" spans="1:15" x14ac:dyDescent="0.25">
      <c r="A898" t="s">
        <v>1126</v>
      </c>
      <c r="B898" t="s">
        <v>90</v>
      </c>
      <c r="C898">
        <v>1</v>
      </c>
      <c r="D898">
        <v>23.6</v>
      </c>
      <c r="E898">
        <v>23.6</v>
      </c>
      <c r="F898" s="58">
        <v>45694</v>
      </c>
      <c r="G898" s="58">
        <v>45699</v>
      </c>
      <c r="H898" t="s">
        <v>231</v>
      </c>
      <c r="I898" t="s">
        <v>59</v>
      </c>
      <c r="J898">
        <v>4</v>
      </c>
      <c r="K898" t="s">
        <v>103</v>
      </c>
      <c r="L898" t="s">
        <v>155</v>
      </c>
      <c r="M898">
        <f>orders[[#This Row],[Ship Date]]-orders[[#This Row],[Order Date]]</f>
        <v>5</v>
      </c>
      <c r="N898">
        <f>WEEKNUM(orders[[#This Row],[Order Date]],1)</f>
        <v>6</v>
      </c>
      <c r="O898" t="str">
        <f t="array" ref="O898">_xlfn.IFS(orders[[#This Row],[Customer Gender]]="M","Male", orders[[#This Row],[Customer Gender]]="F","Female", orders[[#This Row],[Customer Gender]]="O","Other", TRUE(),"Unknown")</f>
        <v>Female</v>
      </c>
    </row>
    <row r="899" spans="1:15" x14ac:dyDescent="0.25">
      <c r="A899" t="s">
        <v>1127</v>
      </c>
      <c r="B899" t="s">
        <v>88</v>
      </c>
      <c r="C899">
        <v>2</v>
      </c>
      <c r="D899">
        <v>70.7</v>
      </c>
      <c r="E899">
        <v>141.4</v>
      </c>
      <c r="F899" s="58">
        <v>45694</v>
      </c>
      <c r="G899" s="58">
        <v>45696</v>
      </c>
      <c r="H899" t="s">
        <v>231</v>
      </c>
      <c r="I899" t="s">
        <v>62</v>
      </c>
      <c r="J899">
        <v>4</v>
      </c>
      <c r="K899" t="s">
        <v>103</v>
      </c>
      <c r="L899" t="s">
        <v>155</v>
      </c>
      <c r="M899">
        <f>orders[[#This Row],[Ship Date]]-orders[[#This Row],[Order Date]]</f>
        <v>2</v>
      </c>
      <c r="N899">
        <f>WEEKNUM(orders[[#This Row],[Order Date]],1)</f>
        <v>6</v>
      </c>
      <c r="O899" t="str">
        <f t="array" ref="O899">_xlfn.IFS(orders[[#This Row],[Customer Gender]]="M","Male", orders[[#This Row],[Customer Gender]]="F","Female", orders[[#This Row],[Customer Gender]]="O","Other", TRUE(),"Unknown")</f>
        <v>Female</v>
      </c>
    </row>
    <row r="900" spans="1:15" x14ac:dyDescent="0.25">
      <c r="A900" t="s">
        <v>1128</v>
      </c>
      <c r="B900" t="s">
        <v>76</v>
      </c>
      <c r="C900">
        <v>2</v>
      </c>
      <c r="D900">
        <v>43.2</v>
      </c>
      <c r="E900">
        <v>86.4</v>
      </c>
      <c r="F900" s="58">
        <v>45694</v>
      </c>
      <c r="G900" s="58">
        <v>45695</v>
      </c>
      <c r="H900" t="s">
        <v>231</v>
      </c>
      <c r="I900" t="s">
        <v>62</v>
      </c>
      <c r="J900">
        <v>4</v>
      </c>
      <c r="K900" t="s">
        <v>103</v>
      </c>
      <c r="L900" t="s">
        <v>156</v>
      </c>
      <c r="M900">
        <f>orders[[#This Row],[Ship Date]]-orders[[#This Row],[Order Date]]</f>
        <v>1</v>
      </c>
      <c r="N900">
        <f>WEEKNUM(orders[[#This Row],[Order Date]],1)</f>
        <v>6</v>
      </c>
      <c r="O900" t="str">
        <f t="array" ref="O900">_xlfn.IFS(orders[[#This Row],[Customer Gender]]="M","Male", orders[[#This Row],[Customer Gender]]="F","Female", orders[[#This Row],[Customer Gender]]="O","Other", TRUE(),"Unknown")</f>
        <v>Female</v>
      </c>
    </row>
    <row r="901" spans="1:15" x14ac:dyDescent="0.25">
      <c r="A901" t="s">
        <v>1129</v>
      </c>
      <c r="B901" t="s">
        <v>88</v>
      </c>
      <c r="C901">
        <v>9</v>
      </c>
      <c r="D901">
        <v>70</v>
      </c>
      <c r="E901">
        <v>630</v>
      </c>
      <c r="F901" s="58">
        <v>45694</v>
      </c>
      <c r="G901" s="58">
        <v>45695</v>
      </c>
      <c r="I901" t="s">
        <v>63</v>
      </c>
      <c r="J901">
        <v>4</v>
      </c>
      <c r="K901" t="s">
        <v>103</v>
      </c>
      <c r="L901" t="s">
        <v>160</v>
      </c>
      <c r="M901">
        <f>orders[[#This Row],[Ship Date]]-orders[[#This Row],[Order Date]]</f>
        <v>1</v>
      </c>
      <c r="N901">
        <f>WEEKNUM(orders[[#This Row],[Order Date]],1)</f>
        <v>6</v>
      </c>
      <c r="O901" t="str">
        <f t="array" ref="O901">_xlfn.IFS(orders[[#This Row],[Customer Gender]]="M","Male", orders[[#This Row],[Customer Gender]]="F","Female", orders[[#This Row],[Customer Gender]]="O","Other", TRUE(),"Unknown")</f>
        <v>Unknown</v>
      </c>
    </row>
    <row r="902" spans="1:15" x14ac:dyDescent="0.25">
      <c r="A902" t="s">
        <v>1130</v>
      </c>
      <c r="B902" t="s">
        <v>86</v>
      </c>
      <c r="C902">
        <v>2</v>
      </c>
      <c r="D902">
        <v>20.5</v>
      </c>
      <c r="E902">
        <v>41</v>
      </c>
      <c r="F902" s="58">
        <v>45694</v>
      </c>
      <c r="G902" s="58">
        <v>45696</v>
      </c>
      <c r="H902" t="s">
        <v>231</v>
      </c>
      <c r="I902" t="s">
        <v>62</v>
      </c>
      <c r="J902">
        <v>2</v>
      </c>
      <c r="K902" t="s">
        <v>103</v>
      </c>
      <c r="L902" t="s">
        <v>161</v>
      </c>
      <c r="M902">
        <f>orders[[#This Row],[Ship Date]]-orders[[#This Row],[Order Date]]</f>
        <v>2</v>
      </c>
      <c r="N902">
        <f>WEEKNUM(orders[[#This Row],[Order Date]],1)</f>
        <v>6</v>
      </c>
      <c r="O902" t="str">
        <f t="array" ref="O902">_xlfn.IFS(orders[[#This Row],[Customer Gender]]="M","Male", orders[[#This Row],[Customer Gender]]="F","Female", orders[[#This Row],[Customer Gender]]="O","Other", TRUE(),"Unknown")</f>
        <v>Female</v>
      </c>
    </row>
    <row r="903" spans="1:15" x14ac:dyDescent="0.25">
      <c r="A903" t="s">
        <v>1131</v>
      </c>
      <c r="B903" t="s">
        <v>86</v>
      </c>
      <c r="C903">
        <v>4</v>
      </c>
      <c r="D903">
        <v>29.1</v>
      </c>
      <c r="E903">
        <v>116.4</v>
      </c>
      <c r="F903" s="58">
        <v>45694</v>
      </c>
      <c r="G903" s="58">
        <v>45695</v>
      </c>
      <c r="H903" t="s">
        <v>231</v>
      </c>
      <c r="I903" t="s">
        <v>60</v>
      </c>
      <c r="J903">
        <v>4</v>
      </c>
      <c r="K903" t="s">
        <v>103</v>
      </c>
      <c r="L903" t="s">
        <v>162</v>
      </c>
      <c r="M903">
        <f>orders[[#This Row],[Ship Date]]-orders[[#This Row],[Order Date]]</f>
        <v>1</v>
      </c>
      <c r="N903">
        <f>WEEKNUM(orders[[#This Row],[Order Date]],1)</f>
        <v>6</v>
      </c>
      <c r="O903" t="str">
        <f t="array" ref="O903">_xlfn.IFS(orders[[#This Row],[Customer Gender]]="M","Male", orders[[#This Row],[Customer Gender]]="F","Female", orders[[#This Row],[Customer Gender]]="O","Other", TRUE(),"Unknown")</f>
        <v>Female</v>
      </c>
    </row>
    <row r="904" spans="1:15" x14ac:dyDescent="0.25">
      <c r="A904" t="s">
        <v>1132</v>
      </c>
      <c r="B904" t="s">
        <v>80</v>
      </c>
      <c r="C904">
        <v>9</v>
      </c>
      <c r="D904">
        <v>53.6</v>
      </c>
      <c r="E904">
        <v>482.4</v>
      </c>
      <c r="F904" s="58">
        <v>45694</v>
      </c>
      <c r="G904" s="58">
        <v>45695</v>
      </c>
      <c r="H904" t="s">
        <v>229</v>
      </c>
      <c r="I904" t="s">
        <v>62</v>
      </c>
      <c r="J904">
        <v>3</v>
      </c>
      <c r="K904" t="s">
        <v>103</v>
      </c>
      <c r="L904" t="s">
        <v>124</v>
      </c>
      <c r="M904">
        <f>orders[[#This Row],[Ship Date]]-orders[[#This Row],[Order Date]]</f>
        <v>1</v>
      </c>
      <c r="N904">
        <f>WEEKNUM(orders[[#This Row],[Order Date]],1)</f>
        <v>6</v>
      </c>
      <c r="O904" t="str">
        <f t="array" ref="O904">_xlfn.IFS(orders[[#This Row],[Customer Gender]]="M","Male", orders[[#This Row],[Customer Gender]]="F","Female", orders[[#This Row],[Customer Gender]]="O","Other", TRUE(),"Unknown")</f>
        <v>Male</v>
      </c>
    </row>
    <row r="905" spans="1:15" x14ac:dyDescent="0.25">
      <c r="A905" t="s">
        <v>1133</v>
      </c>
      <c r="B905" t="s">
        <v>80</v>
      </c>
      <c r="C905">
        <v>5</v>
      </c>
      <c r="D905">
        <v>72.3</v>
      </c>
      <c r="E905">
        <v>361.5</v>
      </c>
      <c r="F905" s="58">
        <v>45694</v>
      </c>
      <c r="G905" s="58">
        <v>45696</v>
      </c>
      <c r="H905" t="s">
        <v>231</v>
      </c>
      <c r="I905" t="s">
        <v>63</v>
      </c>
      <c r="J905">
        <v>4</v>
      </c>
      <c r="K905" t="s">
        <v>103</v>
      </c>
      <c r="L905" t="s">
        <v>124</v>
      </c>
      <c r="M905">
        <f>orders[[#This Row],[Ship Date]]-orders[[#This Row],[Order Date]]</f>
        <v>2</v>
      </c>
      <c r="N905">
        <f>WEEKNUM(orders[[#This Row],[Order Date]],1)</f>
        <v>6</v>
      </c>
      <c r="O905" t="str">
        <f t="array" ref="O905">_xlfn.IFS(orders[[#This Row],[Customer Gender]]="M","Male", orders[[#This Row],[Customer Gender]]="F","Female", orders[[#This Row],[Customer Gender]]="O","Other", TRUE(),"Unknown")</f>
        <v>Female</v>
      </c>
    </row>
    <row r="906" spans="1:15" x14ac:dyDescent="0.25">
      <c r="A906" t="s">
        <v>1134</v>
      </c>
      <c r="B906" t="s">
        <v>92</v>
      </c>
      <c r="C906">
        <v>4</v>
      </c>
      <c r="D906">
        <v>22.6</v>
      </c>
      <c r="E906">
        <v>90.4</v>
      </c>
      <c r="F906" s="58">
        <v>45694</v>
      </c>
      <c r="G906" s="58">
        <v>45697</v>
      </c>
      <c r="H906" t="s">
        <v>263</v>
      </c>
      <c r="I906" t="s">
        <v>59</v>
      </c>
      <c r="J906">
        <v>3</v>
      </c>
      <c r="K906" t="s">
        <v>103</v>
      </c>
      <c r="L906" t="s">
        <v>124</v>
      </c>
      <c r="M906">
        <f>orders[[#This Row],[Ship Date]]-orders[[#This Row],[Order Date]]</f>
        <v>3</v>
      </c>
      <c r="N906">
        <f>WEEKNUM(orders[[#This Row],[Order Date]],1)</f>
        <v>6</v>
      </c>
      <c r="O906" t="str">
        <f t="array" ref="O906">_xlfn.IFS(orders[[#This Row],[Customer Gender]]="M","Male", orders[[#This Row],[Customer Gender]]="F","Female", orders[[#This Row],[Customer Gender]]="O","Other", TRUE(),"Unknown")</f>
        <v>Other</v>
      </c>
    </row>
    <row r="907" spans="1:15" x14ac:dyDescent="0.25">
      <c r="A907" t="s">
        <v>1135</v>
      </c>
      <c r="B907" t="s">
        <v>88</v>
      </c>
      <c r="C907">
        <v>2</v>
      </c>
      <c r="D907">
        <v>44.2</v>
      </c>
      <c r="E907">
        <v>88.4</v>
      </c>
      <c r="F907" s="58">
        <v>45694</v>
      </c>
      <c r="G907" s="58">
        <v>45698</v>
      </c>
      <c r="I907" t="s">
        <v>62</v>
      </c>
      <c r="J907">
        <v>2</v>
      </c>
      <c r="K907" t="s">
        <v>103</v>
      </c>
      <c r="L907" t="s">
        <v>124</v>
      </c>
      <c r="M907">
        <f>orders[[#This Row],[Ship Date]]-orders[[#This Row],[Order Date]]</f>
        <v>4</v>
      </c>
      <c r="N907">
        <f>WEEKNUM(orders[[#This Row],[Order Date]],1)</f>
        <v>6</v>
      </c>
      <c r="O907" t="str">
        <f t="array" ref="O907">_xlfn.IFS(orders[[#This Row],[Customer Gender]]="M","Male", orders[[#This Row],[Customer Gender]]="F","Female", orders[[#This Row],[Customer Gender]]="O","Other", TRUE(),"Unknown")</f>
        <v>Unknown</v>
      </c>
    </row>
    <row r="908" spans="1:15" x14ac:dyDescent="0.25">
      <c r="A908" t="s">
        <v>1136</v>
      </c>
      <c r="B908" t="s">
        <v>88</v>
      </c>
      <c r="C908">
        <v>3</v>
      </c>
      <c r="D908">
        <v>94.1</v>
      </c>
      <c r="E908">
        <v>282.3</v>
      </c>
      <c r="F908" s="58">
        <v>45694</v>
      </c>
      <c r="G908" s="58">
        <v>45707</v>
      </c>
      <c r="H908" t="s">
        <v>231</v>
      </c>
      <c r="I908" t="s">
        <v>62</v>
      </c>
      <c r="J908">
        <v>5</v>
      </c>
      <c r="K908" t="s">
        <v>103</v>
      </c>
      <c r="L908" t="s">
        <v>124</v>
      </c>
      <c r="M908">
        <f>orders[[#This Row],[Ship Date]]-orders[[#This Row],[Order Date]]</f>
        <v>13</v>
      </c>
      <c r="N908">
        <f>WEEKNUM(orders[[#This Row],[Order Date]],1)</f>
        <v>6</v>
      </c>
      <c r="O908" t="str">
        <f t="array" ref="O908">_xlfn.IFS(orders[[#This Row],[Customer Gender]]="M","Male", orders[[#This Row],[Customer Gender]]="F","Female", orders[[#This Row],[Customer Gender]]="O","Other", TRUE(),"Unknown")</f>
        <v>Female</v>
      </c>
    </row>
    <row r="909" spans="1:15" x14ac:dyDescent="0.25">
      <c r="A909" t="s">
        <v>1137</v>
      </c>
      <c r="B909" t="s">
        <v>90</v>
      </c>
      <c r="C909">
        <v>3</v>
      </c>
      <c r="D909">
        <v>17.899999999999999</v>
      </c>
      <c r="E909">
        <v>53.7</v>
      </c>
      <c r="F909" s="58">
        <v>45694</v>
      </c>
      <c r="G909" s="58">
        <v>45696</v>
      </c>
      <c r="H909" t="s">
        <v>229</v>
      </c>
      <c r="I909" t="s">
        <v>63</v>
      </c>
      <c r="J909">
        <v>3</v>
      </c>
      <c r="K909" t="s">
        <v>103</v>
      </c>
      <c r="L909" t="s">
        <v>124</v>
      </c>
      <c r="M909">
        <f>orders[[#This Row],[Ship Date]]-orders[[#This Row],[Order Date]]</f>
        <v>2</v>
      </c>
      <c r="N909">
        <f>WEEKNUM(orders[[#This Row],[Order Date]],1)</f>
        <v>6</v>
      </c>
      <c r="O909" t="str">
        <f t="array" ref="O909">_xlfn.IFS(orders[[#This Row],[Customer Gender]]="M","Male", orders[[#This Row],[Customer Gender]]="F","Female", orders[[#This Row],[Customer Gender]]="O","Other", TRUE(),"Unknown")</f>
        <v>Male</v>
      </c>
    </row>
    <row r="910" spans="1:15" x14ac:dyDescent="0.25">
      <c r="A910" t="s">
        <v>1138</v>
      </c>
      <c r="B910" t="s">
        <v>76</v>
      </c>
      <c r="C910">
        <v>7</v>
      </c>
      <c r="D910">
        <v>52.7</v>
      </c>
      <c r="E910">
        <v>368.9</v>
      </c>
      <c r="F910" s="58">
        <v>45694</v>
      </c>
      <c r="G910" s="58">
        <v>45695</v>
      </c>
      <c r="H910" t="s">
        <v>229</v>
      </c>
      <c r="I910" t="s">
        <v>63</v>
      </c>
      <c r="J910">
        <v>3</v>
      </c>
      <c r="K910" t="s">
        <v>103</v>
      </c>
      <c r="L910" t="s">
        <v>124</v>
      </c>
      <c r="M910">
        <f>orders[[#This Row],[Ship Date]]-orders[[#This Row],[Order Date]]</f>
        <v>1</v>
      </c>
      <c r="N910">
        <f>WEEKNUM(orders[[#This Row],[Order Date]],1)</f>
        <v>6</v>
      </c>
      <c r="O910" t="str">
        <f t="array" ref="O910">_xlfn.IFS(orders[[#This Row],[Customer Gender]]="M","Male", orders[[#This Row],[Customer Gender]]="F","Female", orders[[#This Row],[Customer Gender]]="O","Other", TRUE(),"Unknown")</f>
        <v>Male</v>
      </c>
    </row>
    <row r="911" spans="1:15" x14ac:dyDescent="0.25">
      <c r="A911" t="s">
        <v>1139</v>
      </c>
      <c r="B911" t="s">
        <v>90</v>
      </c>
      <c r="C911">
        <v>1</v>
      </c>
      <c r="D911">
        <v>36.799999999999997</v>
      </c>
      <c r="E911">
        <v>36.799999999999997</v>
      </c>
      <c r="F911" s="58">
        <v>45694</v>
      </c>
      <c r="G911" s="58">
        <v>45694</v>
      </c>
      <c r="I911" t="s">
        <v>59</v>
      </c>
      <c r="J911">
        <v>5</v>
      </c>
      <c r="K911" t="s">
        <v>103</v>
      </c>
      <c r="L911" t="s">
        <v>124</v>
      </c>
      <c r="M911">
        <f>orders[[#This Row],[Ship Date]]-orders[[#This Row],[Order Date]]</f>
        <v>0</v>
      </c>
      <c r="N911">
        <f>WEEKNUM(orders[[#This Row],[Order Date]],1)</f>
        <v>6</v>
      </c>
      <c r="O911" t="str">
        <f t="array" ref="O911">_xlfn.IFS(orders[[#This Row],[Customer Gender]]="M","Male", orders[[#This Row],[Customer Gender]]="F","Female", orders[[#This Row],[Customer Gender]]="O","Other", TRUE(),"Unknown")</f>
        <v>Unknown</v>
      </c>
    </row>
    <row r="912" spans="1:15" x14ac:dyDescent="0.25">
      <c r="A912" t="s">
        <v>1140</v>
      </c>
      <c r="B912" t="s">
        <v>78</v>
      </c>
      <c r="C912">
        <v>1</v>
      </c>
      <c r="D912">
        <v>52.5</v>
      </c>
      <c r="E912">
        <v>52.5</v>
      </c>
      <c r="F912" s="58">
        <v>45694</v>
      </c>
      <c r="G912" s="58">
        <v>45695</v>
      </c>
      <c r="H912" t="s">
        <v>229</v>
      </c>
      <c r="I912" t="s">
        <v>59</v>
      </c>
      <c r="J912">
        <v>3</v>
      </c>
      <c r="K912" t="s">
        <v>103</v>
      </c>
      <c r="L912" t="s">
        <v>139</v>
      </c>
      <c r="M912">
        <f>orders[[#This Row],[Ship Date]]-orders[[#This Row],[Order Date]]</f>
        <v>1</v>
      </c>
      <c r="N912">
        <f>WEEKNUM(orders[[#This Row],[Order Date]],1)</f>
        <v>6</v>
      </c>
      <c r="O912" t="str">
        <f t="array" ref="O912">_xlfn.IFS(orders[[#This Row],[Customer Gender]]="M","Male", orders[[#This Row],[Customer Gender]]="F","Female", orders[[#This Row],[Customer Gender]]="O","Other", TRUE(),"Unknown")</f>
        <v>Male</v>
      </c>
    </row>
    <row r="913" spans="1:15" x14ac:dyDescent="0.25">
      <c r="A913" t="s">
        <v>1141</v>
      </c>
      <c r="B913" t="s">
        <v>87</v>
      </c>
      <c r="C913">
        <v>2</v>
      </c>
      <c r="D913">
        <v>133.80000000000001</v>
      </c>
      <c r="E913">
        <v>267.60000000000002</v>
      </c>
      <c r="F913" s="58">
        <v>45694</v>
      </c>
      <c r="G913" s="58">
        <v>45696</v>
      </c>
      <c r="H913" t="s">
        <v>229</v>
      </c>
      <c r="I913" t="s">
        <v>59</v>
      </c>
      <c r="J913">
        <v>3</v>
      </c>
      <c r="K913" t="s">
        <v>103</v>
      </c>
      <c r="L913" t="s">
        <v>141</v>
      </c>
      <c r="M913">
        <f>orders[[#This Row],[Ship Date]]-orders[[#This Row],[Order Date]]</f>
        <v>2</v>
      </c>
      <c r="N913">
        <f>WEEKNUM(orders[[#This Row],[Order Date]],1)</f>
        <v>6</v>
      </c>
      <c r="O913" t="str">
        <f t="array" ref="O913">_xlfn.IFS(orders[[#This Row],[Customer Gender]]="M","Male", orders[[#This Row],[Customer Gender]]="F","Female", orders[[#This Row],[Customer Gender]]="O","Other", TRUE(),"Unknown")</f>
        <v>Male</v>
      </c>
    </row>
    <row r="914" spans="1:15" x14ac:dyDescent="0.25">
      <c r="A914" t="s">
        <v>1142</v>
      </c>
      <c r="B914" t="s">
        <v>80</v>
      </c>
      <c r="C914">
        <v>2</v>
      </c>
      <c r="D914">
        <v>53.2</v>
      </c>
      <c r="E914">
        <v>106.4</v>
      </c>
      <c r="F914" s="58">
        <v>45694</v>
      </c>
      <c r="G914" s="58">
        <v>45696</v>
      </c>
      <c r="H914" t="s">
        <v>229</v>
      </c>
      <c r="I914" t="s">
        <v>59</v>
      </c>
      <c r="J914">
        <v>4</v>
      </c>
      <c r="K914" t="s">
        <v>103</v>
      </c>
      <c r="L914" t="s">
        <v>143</v>
      </c>
      <c r="M914">
        <f>orders[[#This Row],[Ship Date]]-orders[[#This Row],[Order Date]]</f>
        <v>2</v>
      </c>
      <c r="N914">
        <f>WEEKNUM(orders[[#This Row],[Order Date]],1)</f>
        <v>6</v>
      </c>
      <c r="O914" t="str">
        <f t="array" ref="O914">_xlfn.IFS(orders[[#This Row],[Customer Gender]]="M","Male", orders[[#This Row],[Customer Gender]]="F","Female", orders[[#This Row],[Customer Gender]]="O","Other", TRUE(),"Unknown")</f>
        <v>Male</v>
      </c>
    </row>
    <row r="915" spans="1:15" x14ac:dyDescent="0.25">
      <c r="A915" t="s">
        <v>1143</v>
      </c>
      <c r="B915" t="s">
        <v>74</v>
      </c>
      <c r="C915">
        <v>6</v>
      </c>
      <c r="D915">
        <v>18.7</v>
      </c>
      <c r="E915">
        <v>112.2</v>
      </c>
      <c r="F915" s="58">
        <v>45694</v>
      </c>
      <c r="G915" s="58">
        <v>45696</v>
      </c>
      <c r="I915" t="s">
        <v>59</v>
      </c>
      <c r="J915">
        <v>3</v>
      </c>
      <c r="K915" t="s">
        <v>103</v>
      </c>
      <c r="L915" t="s">
        <v>147</v>
      </c>
      <c r="M915">
        <f>orders[[#This Row],[Ship Date]]-orders[[#This Row],[Order Date]]</f>
        <v>2</v>
      </c>
      <c r="N915">
        <f>WEEKNUM(orders[[#This Row],[Order Date]],1)</f>
        <v>6</v>
      </c>
      <c r="O915" t="str">
        <f t="array" ref="O915">_xlfn.IFS(orders[[#This Row],[Customer Gender]]="M","Male", orders[[#This Row],[Customer Gender]]="F","Female", orders[[#This Row],[Customer Gender]]="O","Other", TRUE(),"Unknown")</f>
        <v>Unknown</v>
      </c>
    </row>
    <row r="916" spans="1:15" x14ac:dyDescent="0.25">
      <c r="A916" t="s">
        <v>1144</v>
      </c>
      <c r="B916" t="s">
        <v>80</v>
      </c>
      <c r="C916">
        <v>4</v>
      </c>
      <c r="D916">
        <v>108.8</v>
      </c>
      <c r="E916">
        <v>435.2</v>
      </c>
      <c r="F916" s="58">
        <v>45694</v>
      </c>
      <c r="G916" s="58">
        <v>45695</v>
      </c>
      <c r="H916" t="s">
        <v>231</v>
      </c>
      <c r="I916" t="s">
        <v>60</v>
      </c>
      <c r="J916">
        <v>5</v>
      </c>
      <c r="K916" t="s">
        <v>103</v>
      </c>
      <c r="L916" t="s">
        <v>148</v>
      </c>
      <c r="M916">
        <f>orders[[#This Row],[Ship Date]]-orders[[#This Row],[Order Date]]</f>
        <v>1</v>
      </c>
      <c r="N916">
        <f>WEEKNUM(orders[[#This Row],[Order Date]],1)</f>
        <v>6</v>
      </c>
      <c r="O916" t="str">
        <f t="array" ref="O916">_xlfn.IFS(orders[[#This Row],[Customer Gender]]="M","Male", orders[[#This Row],[Customer Gender]]="F","Female", orders[[#This Row],[Customer Gender]]="O","Other", TRUE(),"Unknown")</f>
        <v>Female</v>
      </c>
    </row>
    <row r="917" spans="1:15" x14ac:dyDescent="0.25">
      <c r="A917" t="s">
        <v>1145</v>
      </c>
      <c r="B917" t="s">
        <v>77</v>
      </c>
      <c r="C917">
        <v>5</v>
      </c>
      <c r="D917">
        <v>38.5</v>
      </c>
      <c r="E917">
        <v>192.5</v>
      </c>
      <c r="F917" s="58">
        <v>45694</v>
      </c>
      <c r="G917" s="58">
        <v>45698</v>
      </c>
      <c r="H917" t="s">
        <v>231</v>
      </c>
      <c r="I917" t="s">
        <v>59</v>
      </c>
      <c r="J917">
        <v>3</v>
      </c>
      <c r="K917" t="s">
        <v>103</v>
      </c>
      <c r="L917" t="s">
        <v>110</v>
      </c>
      <c r="M917">
        <f>orders[[#This Row],[Ship Date]]-orders[[#This Row],[Order Date]]</f>
        <v>4</v>
      </c>
      <c r="N917">
        <f>WEEKNUM(orders[[#This Row],[Order Date]],1)</f>
        <v>6</v>
      </c>
      <c r="O917" t="str">
        <f t="array" ref="O917">_xlfn.IFS(orders[[#This Row],[Customer Gender]]="M","Male", orders[[#This Row],[Customer Gender]]="F","Female", orders[[#This Row],[Customer Gender]]="O","Other", TRUE(),"Unknown")</f>
        <v>Female</v>
      </c>
    </row>
    <row r="918" spans="1:15" x14ac:dyDescent="0.25">
      <c r="A918" t="s">
        <v>1146</v>
      </c>
      <c r="B918" t="s">
        <v>75</v>
      </c>
      <c r="C918">
        <v>10</v>
      </c>
      <c r="D918">
        <v>46.5</v>
      </c>
      <c r="E918">
        <v>465</v>
      </c>
      <c r="F918" s="58">
        <v>45694</v>
      </c>
      <c r="G918" s="58">
        <v>45696</v>
      </c>
      <c r="H918" t="s">
        <v>229</v>
      </c>
      <c r="I918" t="s">
        <v>62</v>
      </c>
      <c r="J918">
        <v>3</v>
      </c>
      <c r="K918" t="s">
        <v>103</v>
      </c>
      <c r="L918" t="s">
        <v>115</v>
      </c>
      <c r="M918">
        <f>orders[[#This Row],[Ship Date]]-orders[[#This Row],[Order Date]]</f>
        <v>2</v>
      </c>
      <c r="N918">
        <f>WEEKNUM(orders[[#This Row],[Order Date]],1)</f>
        <v>6</v>
      </c>
      <c r="O918" t="str">
        <f t="array" ref="O918">_xlfn.IFS(orders[[#This Row],[Customer Gender]]="M","Male", orders[[#This Row],[Customer Gender]]="F","Female", orders[[#This Row],[Customer Gender]]="O","Other", TRUE(),"Unknown")</f>
        <v>Male</v>
      </c>
    </row>
    <row r="919" spans="1:15" x14ac:dyDescent="0.25">
      <c r="A919" t="s">
        <v>1147</v>
      </c>
      <c r="B919" t="s">
        <v>87</v>
      </c>
      <c r="C919">
        <v>3</v>
      </c>
      <c r="D919">
        <v>75.8</v>
      </c>
      <c r="E919">
        <v>227.4</v>
      </c>
      <c r="F919" s="58">
        <v>45694</v>
      </c>
      <c r="G919" s="58">
        <v>45698</v>
      </c>
      <c r="H919" t="s">
        <v>231</v>
      </c>
      <c r="I919" t="s">
        <v>63</v>
      </c>
      <c r="J919">
        <v>2</v>
      </c>
      <c r="K919" t="s">
        <v>103</v>
      </c>
      <c r="L919" t="s">
        <v>117</v>
      </c>
      <c r="M919">
        <f>orders[[#This Row],[Ship Date]]-orders[[#This Row],[Order Date]]</f>
        <v>4</v>
      </c>
      <c r="N919">
        <f>WEEKNUM(orders[[#This Row],[Order Date]],1)</f>
        <v>6</v>
      </c>
      <c r="O919" t="str">
        <f t="array" ref="O919">_xlfn.IFS(orders[[#This Row],[Customer Gender]]="M","Male", orders[[#This Row],[Customer Gender]]="F","Female", orders[[#This Row],[Customer Gender]]="O","Other", TRUE(),"Unknown")</f>
        <v>Female</v>
      </c>
    </row>
    <row r="920" spans="1:15" x14ac:dyDescent="0.25">
      <c r="A920" t="s">
        <v>1148</v>
      </c>
      <c r="B920" t="s">
        <v>90</v>
      </c>
      <c r="C920">
        <v>1</v>
      </c>
      <c r="D920">
        <v>20.9</v>
      </c>
      <c r="E920">
        <v>20.9</v>
      </c>
      <c r="F920" s="58">
        <v>45694</v>
      </c>
      <c r="G920" s="58">
        <v>45698</v>
      </c>
      <c r="H920" t="s">
        <v>229</v>
      </c>
      <c r="I920" t="s">
        <v>59</v>
      </c>
      <c r="J920">
        <v>4</v>
      </c>
      <c r="K920" t="s">
        <v>103</v>
      </c>
      <c r="L920" t="s">
        <v>120</v>
      </c>
      <c r="M920">
        <f>orders[[#This Row],[Ship Date]]-orders[[#This Row],[Order Date]]</f>
        <v>4</v>
      </c>
      <c r="N920">
        <f>WEEKNUM(orders[[#This Row],[Order Date]],1)</f>
        <v>6</v>
      </c>
      <c r="O920" t="str">
        <f t="array" ref="O920">_xlfn.IFS(orders[[#This Row],[Customer Gender]]="M","Male", orders[[#This Row],[Customer Gender]]="F","Female", orders[[#This Row],[Customer Gender]]="O","Other", TRUE(),"Unknown")</f>
        <v>Male</v>
      </c>
    </row>
    <row r="921" spans="1:15" x14ac:dyDescent="0.25">
      <c r="A921" t="s">
        <v>1149</v>
      </c>
      <c r="B921" t="s">
        <v>82</v>
      </c>
      <c r="C921">
        <v>3</v>
      </c>
      <c r="D921">
        <v>47.4</v>
      </c>
      <c r="E921">
        <v>142.19999999999999</v>
      </c>
      <c r="F921" s="58">
        <v>45694</v>
      </c>
      <c r="G921" s="58">
        <v>45697</v>
      </c>
      <c r="H921" t="s">
        <v>231</v>
      </c>
      <c r="I921" t="s">
        <v>59</v>
      </c>
      <c r="J921">
        <v>4</v>
      </c>
      <c r="K921" t="s">
        <v>103</v>
      </c>
      <c r="L921" t="s">
        <v>124</v>
      </c>
      <c r="M921">
        <f>orders[[#This Row],[Ship Date]]-orders[[#This Row],[Order Date]]</f>
        <v>3</v>
      </c>
      <c r="N921">
        <f>WEEKNUM(orders[[#This Row],[Order Date]],1)</f>
        <v>6</v>
      </c>
      <c r="O921" t="str">
        <f t="array" ref="O921">_xlfn.IFS(orders[[#This Row],[Customer Gender]]="M","Male", orders[[#This Row],[Customer Gender]]="F","Female", orders[[#This Row],[Customer Gender]]="O","Other", TRUE(),"Unknown")</f>
        <v>Female</v>
      </c>
    </row>
    <row r="922" spans="1:15" x14ac:dyDescent="0.25">
      <c r="A922" t="s">
        <v>1150</v>
      </c>
      <c r="B922" t="s">
        <v>88</v>
      </c>
      <c r="C922">
        <v>2</v>
      </c>
      <c r="D922">
        <v>53.8</v>
      </c>
      <c r="E922">
        <v>107.6</v>
      </c>
      <c r="F922" s="58">
        <v>45694</v>
      </c>
      <c r="G922" s="58">
        <v>45695</v>
      </c>
      <c r="I922" t="s">
        <v>59</v>
      </c>
      <c r="J922">
        <v>3</v>
      </c>
      <c r="K922" t="s">
        <v>103</v>
      </c>
      <c r="L922" t="s">
        <v>124</v>
      </c>
      <c r="M922">
        <f>orders[[#This Row],[Ship Date]]-orders[[#This Row],[Order Date]]</f>
        <v>1</v>
      </c>
      <c r="N922">
        <f>WEEKNUM(orders[[#This Row],[Order Date]],1)</f>
        <v>6</v>
      </c>
      <c r="O922" t="str">
        <f t="array" ref="O922">_xlfn.IFS(orders[[#This Row],[Customer Gender]]="M","Male", orders[[#This Row],[Customer Gender]]="F","Female", orders[[#This Row],[Customer Gender]]="O","Other", TRUE(),"Unknown")</f>
        <v>Unknown</v>
      </c>
    </row>
    <row r="923" spans="1:15" x14ac:dyDescent="0.25">
      <c r="A923" t="s">
        <v>1151</v>
      </c>
      <c r="B923" t="s">
        <v>90</v>
      </c>
      <c r="C923">
        <v>3</v>
      </c>
      <c r="D923">
        <v>24.6</v>
      </c>
      <c r="E923">
        <v>73.8</v>
      </c>
      <c r="F923" s="58">
        <v>45694</v>
      </c>
      <c r="G923" s="58">
        <v>45696</v>
      </c>
      <c r="H923" t="s">
        <v>263</v>
      </c>
      <c r="I923" t="s">
        <v>63</v>
      </c>
      <c r="J923">
        <v>5</v>
      </c>
      <c r="K923" t="s">
        <v>103</v>
      </c>
      <c r="L923" t="s">
        <v>124</v>
      </c>
      <c r="M923">
        <f>orders[[#This Row],[Ship Date]]-orders[[#This Row],[Order Date]]</f>
        <v>2</v>
      </c>
      <c r="N923">
        <f>WEEKNUM(orders[[#This Row],[Order Date]],1)</f>
        <v>6</v>
      </c>
      <c r="O923" t="str">
        <f t="array" ref="O923">_xlfn.IFS(orders[[#This Row],[Customer Gender]]="M","Male", orders[[#This Row],[Customer Gender]]="F","Female", orders[[#This Row],[Customer Gender]]="O","Other", TRUE(),"Unknown")</f>
        <v>Other</v>
      </c>
    </row>
    <row r="924" spans="1:15" x14ac:dyDescent="0.25">
      <c r="A924" t="s">
        <v>1152</v>
      </c>
      <c r="B924" t="s">
        <v>88</v>
      </c>
      <c r="C924">
        <v>3</v>
      </c>
      <c r="D924">
        <v>70.900000000000006</v>
      </c>
      <c r="E924">
        <v>212.7</v>
      </c>
      <c r="F924" s="58">
        <v>45694</v>
      </c>
      <c r="G924" s="58">
        <v>45699</v>
      </c>
      <c r="H924" t="s">
        <v>231</v>
      </c>
      <c r="I924" t="s">
        <v>62</v>
      </c>
      <c r="J924">
        <v>5</v>
      </c>
      <c r="K924" t="s">
        <v>103</v>
      </c>
      <c r="L924" t="s">
        <v>124</v>
      </c>
      <c r="M924">
        <f>orders[[#This Row],[Ship Date]]-orders[[#This Row],[Order Date]]</f>
        <v>5</v>
      </c>
      <c r="N924">
        <f>WEEKNUM(orders[[#This Row],[Order Date]],1)</f>
        <v>6</v>
      </c>
      <c r="O924" t="str">
        <f t="array" ref="O924">_xlfn.IFS(orders[[#This Row],[Customer Gender]]="M","Male", orders[[#This Row],[Customer Gender]]="F","Female", orders[[#This Row],[Customer Gender]]="O","Other", TRUE(),"Unknown")</f>
        <v>Female</v>
      </c>
    </row>
    <row r="925" spans="1:15" x14ac:dyDescent="0.25">
      <c r="A925" t="s">
        <v>1153</v>
      </c>
      <c r="B925" t="s">
        <v>84</v>
      </c>
      <c r="C925">
        <v>3</v>
      </c>
      <c r="D925">
        <v>31.9</v>
      </c>
      <c r="E925">
        <v>95.7</v>
      </c>
      <c r="F925" s="58">
        <v>45694</v>
      </c>
      <c r="G925" s="58">
        <v>45696</v>
      </c>
      <c r="H925" t="s">
        <v>231</v>
      </c>
      <c r="I925" t="s">
        <v>62</v>
      </c>
      <c r="J925">
        <v>5</v>
      </c>
      <c r="K925" t="s">
        <v>103</v>
      </c>
      <c r="L925" t="s">
        <v>124</v>
      </c>
      <c r="M925">
        <f>orders[[#This Row],[Ship Date]]-orders[[#This Row],[Order Date]]</f>
        <v>2</v>
      </c>
      <c r="N925">
        <f>WEEKNUM(orders[[#This Row],[Order Date]],1)</f>
        <v>6</v>
      </c>
      <c r="O925" t="str">
        <f t="array" ref="O925">_xlfn.IFS(orders[[#This Row],[Customer Gender]]="M","Male", orders[[#This Row],[Customer Gender]]="F","Female", orders[[#This Row],[Customer Gender]]="O","Other", TRUE(),"Unknown")</f>
        <v>Female</v>
      </c>
    </row>
    <row r="926" spans="1:15" x14ac:dyDescent="0.25">
      <c r="A926" t="s">
        <v>1154</v>
      </c>
      <c r="B926" t="s">
        <v>86</v>
      </c>
      <c r="C926">
        <v>2</v>
      </c>
      <c r="D926">
        <v>20.399999999999999</v>
      </c>
      <c r="E926">
        <v>40.799999999999997</v>
      </c>
      <c r="F926" s="58">
        <v>45694</v>
      </c>
      <c r="G926" s="58">
        <v>45698</v>
      </c>
      <c r="H926" t="s">
        <v>229</v>
      </c>
      <c r="I926" t="s">
        <v>60</v>
      </c>
      <c r="J926">
        <v>5</v>
      </c>
      <c r="K926" t="s">
        <v>103</v>
      </c>
      <c r="L926" t="s">
        <v>124</v>
      </c>
      <c r="M926">
        <f>orders[[#This Row],[Ship Date]]-orders[[#This Row],[Order Date]]</f>
        <v>4</v>
      </c>
      <c r="N926">
        <f>WEEKNUM(orders[[#This Row],[Order Date]],1)</f>
        <v>6</v>
      </c>
      <c r="O926" t="str">
        <f t="array" ref="O926">_xlfn.IFS(orders[[#This Row],[Customer Gender]]="M","Male", orders[[#This Row],[Customer Gender]]="F","Female", orders[[#This Row],[Customer Gender]]="O","Other", TRUE(),"Unknown")</f>
        <v>Male</v>
      </c>
    </row>
    <row r="927" spans="1:15" x14ac:dyDescent="0.25">
      <c r="A927" t="s">
        <v>1155</v>
      </c>
      <c r="B927" t="s">
        <v>90</v>
      </c>
      <c r="C927">
        <v>2</v>
      </c>
      <c r="D927">
        <v>18.600000000000001</v>
      </c>
      <c r="E927">
        <v>37.200000000000003</v>
      </c>
      <c r="F927" s="58">
        <v>45694</v>
      </c>
      <c r="G927" s="58">
        <v>45696</v>
      </c>
      <c r="I927" t="s">
        <v>59</v>
      </c>
      <c r="J927">
        <v>3</v>
      </c>
      <c r="K927" t="s">
        <v>103</v>
      </c>
      <c r="L927" t="s">
        <v>124</v>
      </c>
      <c r="M927">
        <f>orders[[#This Row],[Ship Date]]-orders[[#This Row],[Order Date]]</f>
        <v>2</v>
      </c>
      <c r="N927">
        <f>WEEKNUM(orders[[#This Row],[Order Date]],1)</f>
        <v>6</v>
      </c>
      <c r="O927" t="str">
        <f t="array" ref="O927">_xlfn.IFS(orders[[#This Row],[Customer Gender]]="M","Male", orders[[#This Row],[Customer Gender]]="F","Female", orders[[#This Row],[Customer Gender]]="O","Other", TRUE(),"Unknown")</f>
        <v>Unknown</v>
      </c>
    </row>
    <row r="928" spans="1:15" x14ac:dyDescent="0.25">
      <c r="A928" t="s">
        <v>1156</v>
      </c>
      <c r="B928" t="s">
        <v>78</v>
      </c>
      <c r="C928">
        <v>5</v>
      </c>
      <c r="D928">
        <v>48.3</v>
      </c>
      <c r="E928">
        <v>241.5</v>
      </c>
      <c r="F928" s="58">
        <v>45694</v>
      </c>
      <c r="G928" s="58">
        <v>45696</v>
      </c>
      <c r="H928" t="s">
        <v>231</v>
      </c>
      <c r="I928" t="s">
        <v>63</v>
      </c>
      <c r="J928">
        <v>4</v>
      </c>
      <c r="K928" t="s">
        <v>103</v>
      </c>
      <c r="L928" t="s">
        <v>124</v>
      </c>
      <c r="M928">
        <f>orders[[#This Row],[Ship Date]]-orders[[#This Row],[Order Date]]</f>
        <v>2</v>
      </c>
      <c r="N928">
        <f>WEEKNUM(orders[[#This Row],[Order Date]],1)</f>
        <v>6</v>
      </c>
      <c r="O928" t="str">
        <f t="array" ref="O928">_xlfn.IFS(orders[[#This Row],[Customer Gender]]="M","Male", orders[[#This Row],[Customer Gender]]="F","Female", orders[[#This Row],[Customer Gender]]="O","Other", TRUE(),"Unknown")</f>
        <v>Female</v>
      </c>
    </row>
    <row r="929" spans="1:15" x14ac:dyDescent="0.25">
      <c r="A929" t="s">
        <v>1157</v>
      </c>
      <c r="B929" t="s">
        <v>86</v>
      </c>
      <c r="C929">
        <v>4</v>
      </c>
      <c r="D929">
        <v>27.7</v>
      </c>
      <c r="E929">
        <v>110.8</v>
      </c>
      <c r="F929" s="58">
        <v>45694</v>
      </c>
      <c r="G929" s="58">
        <v>45696</v>
      </c>
      <c r="H929" t="s">
        <v>231</v>
      </c>
      <c r="I929" t="s">
        <v>59</v>
      </c>
      <c r="J929">
        <v>4</v>
      </c>
      <c r="K929" t="s">
        <v>103</v>
      </c>
      <c r="L929" t="s">
        <v>124</v>
      </c>
      <c r="M929">
        <f>orders[[#This Row],[Ship Date]]-orders[[#This Row],[Order Date]]</f>
        <v>2</v>
      </c>
      <c r="N929">
        <f>WEEKNUM(orders[[#This Row],[Order Date]],1)</f>
        <v>6</v>
      </c>
      <c r="O929" t="str">
        <f t="array" ref="O929">_xlfn.IFS(orders[[#This Row],[Customer Gender]]="M","Male", orders[[#This Row],[Customer Gender]]="F","Female", orders[[#This Row],[Customer Gender]]="O","Other", TRUE(),"Unknown")</f>
        <v>Female</v>
      </c>
    </row>
    <row r="930" spans="1:15" x14ac:dyDescent="0.25">
      <c r="A930" t="s">
        <v>1158</v>
      </c>
      <c r="B930" t="s">
        <v>78</v>
      </c>
      <c r="C930">
        <v>5</v>
      </c>
      <c r="D930">
        <v>22.5</v>
      </c>
      <c r="E930">
        <v>112.5</v>
      </c>
      <c r="F930" s="58">
        <v>45694</v>
      </c>
      <c r="G930" s="58">
        <v>45696</v>
      </c>
      <c r="H930" t="s">
        <v>231</v>
      </c>
      <c r="I930" t="s">
        <v>61</v>
      </c>
      <c r="J930">
        <v>5</v>
      </c>
      <c r="K930" t="s">
        <v>103</v>
      </c>
      <c r="L930" t="s">
        <v>124</v>
      </c>
      <c r="M930">
        <f>orders[[#This Row],[Ship Date]]-orders[[#This Row],[Order Date]]</f>
        <v>2</v>
      </c>
      <c r="N930">
        <f>WEEKNUM(orders[[#This Row],[Order Date]],1)</f>
        <v>6</v>
      </c>
      <c r="O930" t="str">
        <f t="array" ref="O930">_xlfn.IFS(orders[[#This Row],[Customer Gender]]="M","Male", orders[[#This Row],[Customer Gender]]="F","Female", orders[[#This Row],[Customer Gender]]="O","Other", TRUE(),"Unknown")</f>
        <v>Female</v>
      </c>
    </row>
    <row r="931" spans="1:15" x14ac:dyDescent="0.25">
      <c r="A931" t="s">
        <v>1159</v>
      </c>
      <c r="B931" t="s">
        <v>84</v>
      </c>
      <c r="C931">
        <v>5</v>
      </c>
      <c r="D931">
        <v>21.6</v>
      </c>
      <c r="E931">
        <v>108</v>
      </c>
      <c r="F931" s="58">
        <v>45694</v>
      </c>
      <c r="G931" s="58">
        <v>45702</v>
      </c>
      <c r="H931" t="s">
        <v>231</v>
      </c>
      <c r="I931" t="s">
        <v>59</v>
      </c>
      <c r="J931">
        <v>3</v>
      </c>
      <c r="K931" t="s">
        <v>103</v>
      </c>
      <c r="L931" t="s">
        <v>124</v>
      </c>
      <c r="M931">
        <f>orders[[#This Row],[Ship Date]]-orders[[#This Row],[Order Date]]</f>
        <v>8</v>
      </c>
      <c r="N931">
        <f>WEEKNUM(orders[[#This Row],[Order Date]],1)</f>
        <v>6</v>
      </c>
      <c r="O931" t="str">
        <f t="array" ref="O931">_xlfn.IFS(orders[[#This Row],[Customer Gender]]="M","Male", orders[[#This Row],[Customer Gender]]="F","Female", orders[[#This Row],[Customer Gender]]="O","Other", TRUE(),"Unknown")</f>
        <v>Female</v>
      </c>
    </row>
    <row r="932" spans="1:15" x14ac:dyDescent="0.25">
      <c r="A932" t="s">
        <v>1160</v>
      </c>
      <c r="B932" t="s">
        <v>75</v>
      </c>
      <c r="C932">
        <v>7</v>
      </c>
      <c r="D932">
        <v>26.3</v>
      </c>
      <c r="E932">
        <v>184.1</v>
      </c>
      <c r="F932" s="58">
        <v>45694</v>
      </c>
      <c r="G932" s="58">
        <v>45694</v>
      </c>
      <c r="H932" t="s">
        <v>231</v>
      </c>
      <c r="I932" t="s">
        <v>62</v>
      </c>
      <c r="J932">
        <v>3</v>
      </c>
      <c r="K932" t="s">
        <v>103</v>
      </c>
      <c r="L932" t="s">
        <v>124</v>
      </c>
      <c r="M932">
        <f>orders[[#This Row],[Ship Date]]-orders[[#This Row],[Order Date]]</f>
        <v>0</v>
      </c>
      <c r="N932">
        <f>WEEKNUM(orders[[#This Row],[Order Date]],1)</f>
        <v>6</v>
      </c>
      <c r="O932" t="str">
        <f t="array" ref="O932">_xlfn.IFS(orders[[#This Row],[Customer Gender]]="M","Male", orders[[#This Row],[Customer Gender]]="F","Female", orders[[#This Row],[Customer Gender]]="O","Other", TRUE(),"Unknown")</f>
        <v>Female</v>
      </c>
    </row>
    <row r="933" spans="1:15" x14ac:dyDescent="0.25">
      <c r="A933" t="s">
        <v>1161</v>
      </c>
      <c r="B933" t="s">
        <v>80</v>
      </c>
      <c r="C933">
        <v>7</v>
      </c>
      <c r="D933">
        <v>103</v>
      </c>
      <c r="E933">
        <v>721</v>
      </c>
      <c r="F933" s="58">
        <v>45695</v>
      </c>
      <c r="G933" s="58">
        <v>45696</v>
      </c>
      <c r="H933" t="s">
        <v>229</v>
      </c>
      <c r="I933" t="s">
        <v>59</v>
      </c>
      <c r="J933">
        <v>5</v>
      </c>
      <c r="K933" t="s">
        <v>103</v>
      </c>
      <c r="L933" t="s">
        <v>139</v>
      </c>
      <c r="M933">
        <f>orders[[#This Row],[Ship Date]]-orders[[#This Row],[Order Date]]</f>
        <v>1</v>
      </c>
      <c r="N933">
        <f>WEEKNUM(orders[[#This Row],[Order Date]],1)</f>
        <v>6</v>
      </c>
      <c r="O933" t="str">
        <f t="array" ref="O933">_xlfn.IFS(orders[[#This Row],[Customer Gender]]="M","Male", orders[[#This Row],[Customer Gender]]="F","Female", orders[[#This Row],[Customer Gender]]="O","Other", TRUE(),"Unknown")</f>
        <v>Male</v>
      </c>
    </row>
    <row r="934" spans="1:15" x14ac:dyDescent="0.25">
      <c r="A934" t="s">
        <v>1162</v>
      </c>
      <c r="B934" t="s">
        <v>85</v>
      </c>
      <c r="C934">
        <v>15</v>
      </c>
      <c r="D934">
        <v>46.6</v>
      </c>
      <c r="E934">
        <v>699</v>
      </c>
      <c r="F934" s="58">
        <v>45695</v>
      </c>
      <c r="G934" s="58">
        <v>45696</v>
      </c>
      <c r="H934" t="s">
        <v>231</v>
      </c>
      <c r="I934" t="s">
        <v>59</v>
      </c>
      <c r="J934">
        <v>3</v>
      </c>
      <c r="K934" t="s">
        <v>103</v>
      </c>
      <c r="L934" t="s">
        <v>139</v>
      </c>
      <c r="M934">
        <f>orders[[#This Row],[Ship Date]]-orders[[#This Row],[Order Date]]</f>
        <v>1</v>
      </c>
      <c r="N934">
        <f>WEEKNUM(orders[[#This Row],[Order Date]],1)</f>
        <v>6</v>
      </c>
      <c r="O934" t="str">
        <f t="array" ref="O934">_xlfn.IFS(orders[[#This Row],[Customer Gender]]="M","Male", orders[[#This Row],[Customer Gender]]="F","Female", orders[[#This Row],[Customer Gender]]="O","Other", TRUE(),"Unknown")</f>
        <v>Female</v>
      </c>
    </row>
    <row r="935" spans="1:15" x14ac:dyDescent="0.25">
      <c r="A935" t="s">
        <v>1163</v>
      </c>
      <c r="B935" t="s">
        <v>86</v>
      </c>
      <c r="C935">
        <v>5</v>
      </c>
      <c r="D935">
        <v>32.200000000000003</v>
      </c>
      <c r="E935">
        <v>161</v>
      </c>
      <c r="F935" s="58">
        <v>45695</v>
      </c>
      <c r="G935" s="58">
        <v>45698</v>
      </c>
      <c r="H935" t="s">
        <v>231</v>
      </c>
      <c r="I935" t="s">
        <v>59</v>
      </c>
      <c r="J935">
        <v>5</v>
      </c>
      <c r="K935" t="s">
        <v>103</v>
      </c>
      <c r="L935" t="s">
        <v>140</v>
      </c>
      <c r="M935">
        <f>orders[[#This Row],[Ship Date]]-orders[[#This Row],[Order Date]]</f>
        <v>3</v>
      </c>
      <c r="N935">
        <f>WEEKNUM(orders[[#This Row],[Order Date]],1)</f>
        <v>6</v>
      </c>
      <c r="O935" t="str">
        <f t="array" ref="O935">_xlfn.IFS(orders[[#This Row],[Customer Gender]]="M","Male", orders[[#This Row],[Customer Gender]]="F","Female", orders[[#This Row],[Customer Gender]]="O","Other", TRUE(),"Unknown")</f>
        <v>Female</v>
      </c>
    </row>
    <row r="936" spans="1:15" x14ac:dyDescent="0.25">
      <c r="A936" t="s">
        <v>1164</v>
      </c>
      <c r="B936" t="s">
        <v>90</v>
      </c>
      <c r="C936">
        <v>3</v>
      </c>
      <c r="D936">
        <v>22</v>
      </c>
      <c r="E936">
        <v>66</v>
      </c>
      <c r="F936" s="58">
        <v>45695</v>
      </c>
      <c r="G936" s="58">
        <v>45702</v>
      </c>
      <c r="H936" t="s">
        <v>229</v>
      </c>
      <c r="I936" t="s">
        <v>63</v>
      </c>
      <c r="J936">
        <v>4</v>
      </c>
      <c r="K936" t="s">
        <v>103</v>
      </c>
      <c r="L936" t="s">
        <v>141</v>
      </c>
      <c r="M936">
        <f>orders[[#This Row],[Ship Date]]-orders[[#This Row],[Order Date]]</f>
        <v>7</v>
      </c>
      <c r="N936">
        <f>WEEKNUM(orders[[#This Row],[Order Date]],1)</f>
        <v>6</v>
      </c>
      <c r="O936" t="str">
        <f t="array" ref="O936">_xlfn.IFS(orders[[#This Row],[Customer Gender]]="M","Male", orders[[#This Row],[Customer Gender]]="F","Female", orders[[#This Row],[Customer Gender]]="O","Other", TRUE(),"Unknown")</f>
        <v>Male</v>
      </c>
    </row>
    <row r="937" spans="1:15" x14ac:dyDescent="0.25">
      <c r="A937" t="s">
        <v>1165</v>
      </c>
      <c r="B937" t="s">
        <v>86</v>
      </c>
      <c r="C937">
        <v>2</v>
      </c>
      <c r="D937">
        <v>25.2</v>
      </c>
      <c r="E937">
        <v>50.4</v>
      </c>
      <c r="F937" s="58">
        <v>45695</v>
      </c>
      <c r="G937" s="58">
        <v>45699</v>
      </c>
      <c r="H937" t="s">
        <v>231</v>
      </c>
      <c r="I937" t="s">
        <v>59</v>
      </c>
      <c r="J937">
        <v>4</v>
      </c>
      <c r="K937" t="s">
        <v>103</v>
      </c>
      <c r="L937" t="s">
        <v>141</v>
      </c>
      <c r="M937">
        <f>orders[[#This Row],[Ship Date]]-orders[[#This Row],[Order Date]]</f>
        <v>4</v>
      </c>
      <c r="N937">
        <f>WEEKNUM(orders[[#This Row],[Order Date]],1)</f>
        <v>6</v>
      </c>
      <c r="O937" t="str">
        <f t="array" ref="O937">_xlfn.IFS(orders[[#This Row],[Customer Gender]]="M","Male", orders[[#This Row],[Customer Gender]]="F","Female", orders[[#This Row],[Customer Gender]]="O","Other", TRUE(),"Unknown")</f>
        <v>Female</v>
      </c>
    </row>
    <row r="938" spans="1:15" x14ac:dyDescent="0.25">
      <c r="A938" t="s">
        <v>1166</v>
      </c>
      <c r="B938" t="s">
        <v>91</v>
      </c>
      <c r="C938">
        <v>6</v>
      </c>
      <c r="D938">
        <v>68.7</v>
      </c>
      <c r="E938">
        <v>412.2</v>
      </c>
      <c r="F938" s="58">
        <v>45695</v>
      </c>
      <c r="G938" s="58">
        <v>45697</v>
      </c>
      <c r="H938" t="s">
        <v>229</v>
      </c>
      <c r="I938" t="s">
        <v>61</v>
      </c>
      <c r="J938">
        <v>4</v>
      </c>
      <c r="K938" t="s">
        <v>103</v>
      </c>
      <c r="L938" t="s">
        <v>142</v>
      </c>
      <c r="M938">
        <f>orders[[#This Row],[Ship Date]]-orders[[#This Row],[Order Date]]</f>
        <v>2</v>
      </c>
      <c r="N938">
        <f>WEEKNUM(orders[[#This Row],[Order Date]],1)</f>
        <v>6</v>
      </c>
      <c r="O938" t="str">
        <f t="array" ref="O938">_xlfn.IFS(orders[[#This Row],[Customer Gender]]="M","Male", orders[[#This Row],[Customer Gender]]="F","Female", orders[[#This Row],[Customer Gender]]="O","Other", TRUE(),"Unknown")</f>
        <v>Male</v>
      </c>
    </row>
    <row r="939" spans="1:15" x14ac:dyDescent="0.25">
      <c r="A939" t="s">
        <v>1167</v>
      </c>
      <c r="B939" t="s">
        <v>86</v>
      </c>
      <c r="C939">
        <v>3</v>
      </c>
      <c r="D939">
        <v>22.2</v>
      </c>
      <c r="E939">
        <v>66.599999999999994</v>
      </c>
      <c r="F939" s="58">
        <v>45695</v>
      </c>
      <c r="G939" s="58">
        <v>45698</v>
      </c>
      <c r="H939" t="s">
        <v>229</v>
      </c>
      <c r="I939" t="s">
        <v>62</v>
      </c>
      <c r="J939">
        <v>5</v>
      </c>
      <c r="K939" t="s">
        <v>103</v>
      </c>
      <c r="L939" t="s">
        <v>142</v>
      </c>
      <c r="M939">
        <f>orders[[#This Row],[Ship Date]]-orders[[#This Row],[Order Date]]</f>
        <v>3</v>
      </c>
      <c r="N939">
        <f>WEEKNUM(orders[[#This Row],[Order Date]],1)</f>
        <v>6</v>
      </c>
      <c r="O939" t="str">
        <f t="array" ref="O939">_xlfn.IFS(orders[[#This Row],[Customer Gender]]="M","Male", orders[[#This Row],[Customer Gender]]="F","Female", orders[[#This Row],[Customer Gender]]="O","Other", TRUE(),"Unknown")</f>
        <v>Male</v>
      </c>
    </row>
    <row r="940" spans="1:15" x14ac:dyDescent="0.25">
      <c r="A940" t="s">
        <v>1168</v>
      </c>
      <c r="B940" t="s">
        <v>91</v>
      </c>
      <c r="C940">
        <v>7</v>
      </c>
      <c r="D940">
        <v>36</v>
      </c>
      <c r="E940">
        <v>252</v>
      </c>
      <c r="F940" s="58">
        <v>45695</v>
      </c>
      <c r="G940" s="58">
        <v>45696</v>
      </c>
      <c r="H940" t="s">
        <v>231</v>
      </c>
      <c r="I940" t="s">
        <v>63</v>
      </c>
      <c r="J940">
        <v>4</v>
      </c>
      <c r="K940" t="s">
        <v>103</v>
      </c>
      <c r="L940" t="s">
        <v>142</v>
      </c>
      <c r="M940">
        <f>orders[[#This Row],[Ship Date]]-orders[[#This Row],[Order Date]]</f>
        <v>1</v>
      </c>
      <c r="N940">
        <f>WEEKNUM(orders[[#This Row],[Order Date]],1)</f>
        <v>6</v>
      </c>
      <c r="O940" t="str">
        <f t="array" ref="O940">_xlfn.IFS(orders[[#This Row],[Customer Gender]]="M","Male", orders[[#This Row],[Customer Gender]]="F","Female", orders[[#This Row],[Customer Gender]]="O","Other", TRUE(),"Unknown")</f>
        <v>Female</v>
      </c>
    </row>
    <row r="941" spans="1:15" x14ac:dyDescent="0.25">
      <c r="A941" t="s">
        <v>1169</v>
      </c>
      <c r="B941" t="s">
        <v>82</v>
      </c>
      <c r="C941">
        <v>1</v>
      </c>
      <c r="D941">
        <v>50.6</v>
      </c>
      <c r="E941">
        <v>50.6</v>
      </c>
      <c r="F941" s="58">
        <v>45695</v>
      </c>
      <c r="G941" s="58">
        <v>45697</v>
      </c>
      <c r="H941" t="s">
        <v>231</v>
      </c>
      <c r="I941" t="s">
        <v>59</v>
      </c>
      <c r="J941">
        <v>3</v>
      </c>
      <c r="K941" t="s">
        <v>103</v>
      </c>
      <c r="L941" t="s">
        <v>142</v>
      </c>
      <c r="M941">
        <f>orders[[#This Row],[Ship Date]]-orders[[#This Row],[Order Date]]</f>
        <v>2</v>
      </c>
      <c r="N941">
        <f>WEEKNUM(orders[[#This Row],[Order Date]],1)</f>
        <v>6</v>
      </c>
      <c r="O941" t="str">
        <f t="array" ref="O941">_xlfn.IFS(orders[[#This Row],[Customer Gender]]="M","Male", orders[[#This Row],[Customer Gender]]="F","Female", orders[[#This Row],[Customer Gender]]="O","Other", TRUE(),"Unknown")</f>
        <v>Female</v>
      </c>
    </row>
    <row r="942" spans="1:15" x14ac:dyDescent="0.25">
      <c r="A942" t="s">
        <v>1170</v>
      </c>
      <c r="B942" t="s">
        <v>77</v>
      </c>
      <c r="C942">
        <v>2</v>
      </c>
      <c r="D942">
        <v>44.9</v>
      </c>
      <c r="E942">
        <v>89.8</v>
      </c>
      <c r="F942" s="58">
        <v>45695</v>
      </c>
      <c r="G942" s="58">
        <v>45697</v>
      </c>
      <c r="H942" t="s">
        <v>229</v>
      </c>
      <c r="I942" t="s">
        <v>59</v>
      </c>
      <c r="J942">
        <v>3</v>
      </c>
      <c r="K942" t="s">
        <v>103</v>
      </c>
      <c r="L942" t="s">
        <v>142</v>
      </c>
      <c r="M942">
        <f>orders[[#This Row],[Ship Date]]-orders[[#This Row],[Order Date]]</f>
        <v>2</v>
      </c>
      <c r="N942">
        <f>WEEKNUM(orders[[#This Row],[Order Date]],1)</f>
        <v>6</v>
      </c>
      <c r="O942" t="str">
        <f t="array" ref="O942">_xlfn.IFS(orders[[#This Row],[Customer Gender]]="M","Male", orders[[#This Row],[Customer Gender]]="F","Female", orders[[#This Row],[Customer Gender]]="O","Other", TRUE(),"Unknown")</f>
        <v>Male</v>
      </c>
    </row>
    <row r="943" spans="1:15" x14ac:dyDescent="0.25">
      <c r="A943" t="s">
        <v>1171</v>
      </c>
      <c r="B943" t="s">
        <v>80</v>
      </c>
      <c r="C943">
        <v>3</v>
      </c>
      <c r="D943">
        <v>71.599999999999994</v>
      </c>
      <c r="E943">
        <v>214.8</v>
      </c>
      <c r="F943" s="58">
        <v>45695</v>
      </c>
      <c r="G943" s="58">
        <v>45699</v>
      </c>
      <c r="H943" t="s">
        <v>229</v>
      </c>
      <c r="I943" t="s">
        <v>63</v>
      </c>
      <c r="J943">
        <v>5</v>
      </c>
      <c r="K943" t="s">
        <v>103</v>
      </c>
      <c r="L943" t="s">
        <v>147</v>
      </c>
      <c r="M943">
        <f>orders[[#This Row],[Ship Date]]-orders[[#This Row],[Order Date]]</f>
        <v>4</v>
      </c>
      <c r="N943">
        <f>WEEKNUM(orders[[#This Row],[Order Date]],1)</f>
        <v>6</v>
      </c>
      <c r="O943" t="str">
        <f t="array" ref="O943">_xlfn.IFS(orders[[#This Row],[Customer Gender]]="M","Male", orders[[#This Row],[Customer Gender]]="F","Female", orders[[#This Row],[Customer Gender]]="O","Other", TRUE(),"Unknown")</f>
        <v>Male</v>
      </c>
    </row>
    <row r="944" spans="1:15" x14ac:dyDescent="0.25">
      <c r="A944" t="s">
        <v>1172</v>
      </c>
      <c r="B944" t="s">
        <v>80</v>
      </c>
      <c r="C944">
        <v>6</v>
      </c>
      <c r="D944">
        <v>51.5</v>
      </c>
      <c r="E944">
        <v>309</v>
      </c>
      <c r="F944" s="58">
        <v>45695</v>
      </c>
      <c r="G944" s="58">
        <v>45697</v>
      </c>
      <c r="I944" t="s">
        <v>61</v>
      </c>
      <c r="J944">
        <v>4</v>
      </c>
      <c r="K944" t="s">
        <v>103</v>
      </c>
      <c r="L944" t="s">
        <v>148</v>
      </c>
      <c r="M944">
        <f>orders[[#This Row],[Ship Date]]-orders[[#This Row],[Order Date]]</f>
        <v>2</v>
      </c>
      <c r="N944">
        <f>WEEKNUM(orders[[#This Row],[Order Date]],1)</f>
        <v>6</v>
      </c>
      <c r="O944" t="str">
        <f t="array" ref="O944">_xlfn.IFS(orders[[#This Row],[Customer Gender]]="M","Male", orders[[#This Row],[Customer Gender]]="F","Female", orders[[#This Row],[Customer Gender]]="O","Other", TRUE(),"Unknown")</f>
        <v>Unknown</v>
      </c>
    </row>
    <row r="945" spans="1:15" x14ac:dyDescent="0.25">
      <c r="A945" t="s">
        <v>1173</v>
      </c>
      <c r="B945" t="s">
        <v>79</v>
      </c>
      <c r="C945">
        <v>5</v>
      </c>
      <c r="D945">
        <v>55.5</v>
      </c>
      <c r="E945">
        <v>277.5</v>
      </c>
      <c r="F945" s="58">
        <v>45695</v>
      </c>
      <c r="G945" s="58">
        <v>45696</v>
      </c>
      <c r="H945" t="s">
        <v>229</v>
      </c>
      <c r="I945" t="s">
        <v>63</v>
      </c>
      <c r="J945">
        <v>3</v>
      </c>
      <c r="K945" t="s">
        <v>103</v>
      </c>
      <c r="L945" t="s">
        <v>148</v>
      </c>
      <c r="M945">
        <f>orders[[#This Row],[Ship Date]]-orders[[#This Row],[Order Date]]</f>
        <v>1</v>
      </c>
      <c r="N945">
        <f>WEEKNUM(orders[[#This Row],[Order Date]],1)</f>
        <v>6</v>
      </c>
      <c r="O945" t="str">
        <f t="array" ref="O945">_xlfn.IFS(orders[[#This Row],[Customer Gender]]="M","Male", orders[[#This Row],[Customer Gender]]="F","Female", orders[[#This Row],[Customer Gender]]="O","Other", TRUE(),"Unknown")</f>
        <v>Male</v>
      </c>
    </row>
    <row r="946" spans="1:15" x14ac:dyDescent="0.25">
      <c r="A946" t="s">
        <v>1174</v>
      </c>
      <c r="B946" t="s">
        <v>80</v>
      </c>
      <c r="C946">
        <v>1</v>
      </c>
      <c r="D946">
        <v>51.7</v>
      </c>
      <c r="E946">
        <v>51.7</v>
      </c>
      <c r="F946" s="58">
        <v>45695</v>
      </c>
      <c r="G946" s="58">
        <v>45709</v>
      </c>
      <c r="H946" t="s">
        <v>229</v>
      </c>
      <c r="I946" t="s">
        <v>62</v>
      </c>
      <c r="J946">
        <v>4</v>
      </c>
      <c r="K946" t="s">
        <v>103</v>
      </c>
      <c r="L946" t="s">
        <v>155</v>
      </c>
      <c r="M946">
        <f>orders[[#This Row],[Ship Date]]-orders[[#This Row],[Order Date]]</f>
        <v>14</v>
      </c>
      <c r="N946">
        <f>WEEKNUM(orders[[#This Row],[Order Date]],1)</f>
        <v>6</v>
      </c>
      <c r="O946" t="str">
        <f t="array" ref="O946">_xlfn.IFS(orders[[#This Row],[Customer Gender]]="M","Male", orders[[#This Row],[Customer Gender]]="F","Female", orders[[#This Row],[Customer Gender]]="O","Other", TRUE(),"Unknown")</f>
        <v>Male</v>
      </c>
    </row>
    <row r="947" spans="1:15" x14ac:dyDescent="0.25">
      <c r="A947" t="s">
        <v>1175</v>
      </c>
      <c r="B947" t="s">
        <v>90</v>
      </c>
      <c r="C947">
        <v>21</v>
      </c>
      <c r="D947">
        <v>45.5</v>
      </c>
      <c r="E947">
        <v>955.5</v>
      </c>
      <c r="F947" s="58">
        <v>45695</v>
      </c>
      <c r="G947" s="58">
        <v>45696</v>
      </c>
      <c r="H947" t="s">
        <v>231</v>
      </c>
      <c r="I947" t="s">
        <v>60</v>
      </c>
      <c r="J947">
        <v>5</v>
      </c>
      <c r="K947" t="s">
        <v>103</v>
      </c>
      <c r="L947" t="s">
        <v>155</v>
      </c>
      <c r="M947">
        <f>orders[[#This Row],[Ship Date]]-orders[[#This Row],[Order Date]]</f>
        <v>1</v>
      </c>
      <c r="N947">
        <f>WEEKNUM(orders[[#This Row],[Order Date]],1)</f>
        <v>6</v>
      </c>
      <c r="O947" t="str">
        <f t="array" ref="O947">_xlfn.IFS(orders[[#This Row],[Customer Gender]]="M","Male", orders[[#This Row],[Customer Gender]]="F","Female", orders[[#This Row],[Customer Gender]]="O","Other", TRUE(),"Unknown")</f>
        <v>Female</v>
      </c>
    </row>
    <row r="948" spans="1:15" x14ac:dyDescent="0.25">
      <c r="A948" t="s">
        <v>1176</v>
      </c>
      <c r="B948" t="s">
        <v>90</v>
      </c>
      <c r="C948">
        <v>2</v>
      </c>
      <c r="D948">
        <v>33.799999999999997</v>
      </c>
      <c r="E948">
        <v>67.599999999999994</v>
      </c>
      <c r="F948" s="58">
        <v>45695</v>
      </c>
      <c r="G948" s="58">
        <v>45701</v>
      </c>
      <c r="H948" t="s">
        <v>231</v>
      </c>
      <c r="I948" t="s">
        <v>60</v>
      </c>
      <c r="J948">
        <v>4</v>
      </c>
      <c r="K948" t="s">
        <v>103</v>
      </c>
      <c r="L948" t="s">
        <v>159</v>
      </c>
      <c r="M948">
        <f>orders[[#This Row],[Ship Date]]-orders[[#This Row],[Order Date]]</f>
        <v>6</v>
      </c>
      <c r="N948">
        <f>WEEKNUM(orders[[#This Row],[Order Date]],1)</f>
        <v>6</v>
      </c>
      <c r="O948" t="str">
        <f t="array" ref="O948">_xlfn.IFS(orders[[#This Row],[Customer Gender]]="M","Male", orders[[#This Row],[Customer Gender]]="F","Female", orders[[#This Row],[Customer Gender]]="O","Other", TRUE(),"Unknown")</f>
        <v>Female</v>
      </c>
    </row>
    <row r="949" spans="1:15" x14ac:dyDescent="0.25">
      <c r="A949" t="s">
        <v>1177</v>
      </c>
      <c r="B949" t="s">
        <v>93</v>
      </c>
      <c r="C949">
        <v>3</v>
      </c>
      <c r="D949">
        <v>76.5</v>
      </c>
      <c r="E949">
        <v>229.5</v>
      </c>
      <c r="F949" s="58">
        <v>45695</v>
      </c>
      <c r="G949" s="58">
        <v>45696</v>
      </c>
      <c r="H949" t="s">
        <v>231</v>
      </c>
      <c r="I949" t="s">
        <v>59</v>
      </c>
      <c r="J949">
        <v>3</v>
      </c>
      <c r="K949" t="s">
        <v>103</v>
      </c>
      <c r="L949" t="s">
        <v>106</v>
      </c>
      <c r="M949">
        <f>orders[[#This Row],[Ship Date]]-orders[[#This Row],[Order Date]]</f>
        <v>1</v>
      </c>
      <c r="N949">
        <f>WEEKNUM(orders[[#This Row],[Order Date]],1)</f>
        <v>6</v>
      </c>
      <c r="O949" t="str">
        <f t="array" ref="O949">_xlfn.IFS(orders[[#This Row],[Customer Gender]]="M","Male", orders[[#This Row],[Customer Gender]]="F","Female", orders[[#This Row],[Customer Gender]]="O","Other", TRUE(),"Unknown")</f>
        <v>Female</v>
      </c>
    </row>
    <row r="950" spans="1:15" x14ac:dyDescent="0.25">
      <c r="A950" t="s">
        <v>1178</v>
      </c>
      <c r="B950" t="s">
        <v>88</v>
      </c>
      <c r="C950">
        <v>3</v>
      </c>
      <c r="D950">
        <v>42.6</v>
      </c>
      <c r="E950">
        <v>127.8</v>
      </c>
      <c r="F950" s="58">
        <v>45695</v>
      </c>
      <c r="G950" s="58">
        <v>45701</v>
      </c>
      <c r="H950" t="s">
        <v>231</v>
      </c>
      <c r="I950" t="s">
        <v>62</v>
      </c>
      <c r="J950">
        <v>5</v>
      </c>
      <c r="K950" t="s">
        <v>103</v>
      </c>
      <c r="L950" t="s">
        <v>115</v>
      </c>
      <c r="M950">
        <f>orders[[#This Row],[Ship Date]]-orders[[#This Row],[Order Date]]</f>
        <v>6</v>
      </c>
      <c r="N950">
        <f>WEEKNUM(orders[[#This Row],[Order Date]],1)</f>
        <v>6</v>
      </c>
      <c r="O950" t="str">
        <f t="array" ref="O950">_xlfn.IFS(orders[[#This Row],[Customer Gender]]="M","Male", orders[[#This Row],[Customer Gender]]="F","Female", orders[[#This Row],[Customer Gender]]="O","Other", TRUE(),"Unknown")</f>
        <v>Female</v>
      </c>
    </row>
    <row r="951" spans="1:15" x14ac:dyDescent="0.25">
      <c r="A951" t="s">
        <v>1179</v>
      </c>
      <c r="B951" t="s">
        <v>80</v>
      </c>
      <c r="C951">
        <v>3</v>
      </c>
      <c r="D951">
        <v>44.1</v>
      </c>
      <c r="E951">
        <v>132.30000000000001</v>
      </c>
      <c r="F951" s="58">
        <v>45695</v>
      </c>
      <c r="G951" s="58">
        <v>45697</v>
      </c>
      <c r="H951" t="s">
        <v>231</v>
      </c>
      <c r="I951" t="s">
        <v>63</v>
      </c>
      <c r="J951">
        <v>3</v>
      </c>
      <c r="K951" t="s">
        <v>103</v>
      </c>
      <c r="L951" t="s">
        <v>120</v>
      </c>
      <c r="M951">
        <f>orders[[#This Row],[Ship Date]]-orders[[#This Row],[Order Date]]</f>
        <v>2</v>
      </c>
      <c r="N951">
        <f>WEEKNUM(orders[[#This Row],[Order Date]],1)</f>
        <v>6</v>
      </c>
      <c r="O951" t="str">
        <f t="array" ref="O951">_xlfn.IFS(orders[[#This Row],[Customer Gender]]="M","Male", orders[[#This Row],[Customer Gender]]="F","Female", orders[[#This Row],[Customer Gender]]="O","Other", TRUE(),"Unknown")</f>
        <v>Female</v>
      </c>
    </row>
    <row r="952" spans="1:15" x14ac:dyDescent="0.25">
      <c r="A952" t="s">
        <v>1180</v>
      </c>
      <c r="B952" t="s">
        <v>90</v>
      </c>
      <c r="C952">
        <v>2</v>
      </c>
      <c r="D952">
        <v>40.9</v>
      </c>
      <c r="E952">
        <v>81.8</v>
      </c>
      <c r="F952" s="58">
        <v>45695</v>
      </c>
      <c r="G952" s="58">
        <v>45699</v>
      </c>
      <c r="H952" t="s">
        <v>229</v>
      </c>
      <c r="I952" t="s">
        <v>59</v>
      </c>
      <c r="J952">
        <v>4</v>
      </c>
      <c r="K952" t="s">
        <v>103</v>
      </c>
      <c r="L952" t="s">
        <v>124</v>
      </c>
      <c r="M952">
        <f>orders[[#This Row],[Ship Date]]-orders[[#This Row],[Order Date]]</f>
        <v>4</v>
      </c>
      <c r="N952">
        <f>WEEKNUM(orders[[#This Row],[Order Date]],1)</f>
        <v>6</v>
      </c>
      <c r="O952" t="str">
        <f t="array" ref="O952">_xlfn.IFS(orders[[#This Row],[Customer Gender]]="M","Male", orders[[#This Row],[Customer Gender]]="F","Female", orders[[#This Row],[Customer Gender]]="O","Other", TRUE(),"Unknown")</f>
        <v>Male</v>
      </c>
    </row>
    <row r="953" spans="1:15" x14ac:dyDescent="0.25">
      <c r="A953" t="s">
        <v>1181</v>
      </c>
      <c r="B953" t="s">
        <v>88</v>
      </c>
      <c r="C953">
        <v>3</v>
      </c>
      <c r="D953">
        <v>49.1</v>
      </c>
      <c r="E953">
        <v>147.30000000000001</v>
      </c>
      <c r="F953" s="58">
        <v>45695</v>
      </c>
      <c r="G953" s="58">
        <v>45699</v>
      </c>
      <c r="H953" t="s">
        <v>231</v>
      </c>
      <c r="I953" t="s">
        <v>60</v>
      </c>
      <c r="J953">
        <v>3</v>
      </c>
      <c r="K953" t="s">
        <v>103</v>
      </c>
      <c r="L953" t="s">
        <v>124</v>
      </c>
      <c r="M953">
        <f>orders[[#This Row],[Ship Date]]-orders[[#This Row],[Order Date]]</f>
        <v>4</v>
      </c>
      <c r="N953">
        <f>WEEKNUM(orders[[#This Row],[Order Date]],1)</f>
        <v>6</v>
      </c>
      <c r="O953" t="str">
        <f t="array" ref="O953">_xlfn.IFS(orders[[#This Row],[Customer Gender]]="M","Male", orders[[#This Row],[Customer Gender]]="F","Female", orders[[#This Row],[Customer Gender]]="O","Other", TRUE(),"Unknown")</f>
        <v>Female</v>
      </c>
    </row>
    <row r="954" spans="1:15" x14ac:dyDescent="0.25">
      <c r="A954" t="s">
        <v>1182</v>
      </c>
      <c r="B954" t="s">
        <v>82</v>
      </c>
      <c r="C954">
        <v>1</v>
      </c>
      <c r="D954">
        <v>85.3</v>
      </c>
      <c r="E954">
        <v>85.3</v>
      </c>
      <c r="F954" s="58">
        <v>45695</v>
      </c>
      <c r="G954" s="58">
        <v>45699</v>
      </c>
      <c r="H954" t="s">
        <v>229</v>
      </c>
      <c r="I954" t="s">
        <v>63</v>
      </c>
      <c r="J954">
        <v>3</v>
      </c>
      <c r="K954" t="s">
        <v>103</v>
      </c>
      <c r="L954" t="s">
        <v>124</v>
      </c>
      <c r="M954">
        <f>orders[[#This Row],[Ship Date]]-orders[[#This Row],[Order Date]]</f>
        <v>4</v>
      </c>
      <c r="N954">
        <f>WEEKNUM(orders[[#This Row],[Order Date]],1)</f>
        <v>6</v>
      </c>
      <c r="O954" t="str">
        <f t="array" ref="O954">_xlfn.IFS(orders[[#This Row],[Customer Gender]]="M","Male", orders[[#This Row],[Customer Gender]]="F","Female", orders[[#This Row],[Customer Gender]]="O","Other", TRUE(),"Unknown")</f>
        <v>Male</v>
      </c>
    </row>
    <row r="955" spans="1:15" x14ac:dyDescent="0.25">
      <c r="A955" t="s">
        <v>1183</v>
      </c>
      <c r="B955" t="s">
        <v>80</v>
      </c>
      <c r="C955">
        <v>4</v>
      </c>
      <c r="D955">
        <v>43.1</v>
      </c>
      <c r="E955">
        <v>172.4</v>
      </c>
      <c r="F955" s="58">
        <v>45696</v>
      </c>
      <c r="G955" s="58">
        <v>45699</v>
      </c>
      <c r="H955" t="s">
        <v>229</v>
      </c>
      <c r="I955" t="s">
        <v>59</v>
      </c>
      <c r="J955">
        <v>4</v>
      </c>
      <c r="K955" t="s">
        <v>103</v>
      </c>
      <c r="L955" t="s">
        <v>124</v>
      </c>
      <c r="M955">
        <f>orders[[#This Row],[Ship Date]]-orders[[#This Row],[Order Date]]</f>
        <v>3</v>
      </c>
      <c r="N955">
        <f>WEEKNUM(orders[[#This Row],[Order Date]],1)</f>
        <v>6</v>
      </c>
      <c r="O955" t="str">
        <f t="array" ref="O955">_xlfn.IFS(orders[[#This Row],[Customer Gender]]="M","Male", orders[[#This Row],[Customer Gender]]="F","Female", orders[[#This Row],[Customer Gender]]="O","Other", TRUE(),"Unknown")</f>
        <v>Male</v>
      </c>
    </row>
    <row r="956" spans="1:15" x14ac:dyDescent="0.25">
      <c r="A956" t="s">
        <v>1184</v>
      </c>
      <c r="B956" t="s">
        <v>78</v>
      </c>
      <c r="C956">
        <v>4</v>
      </c>
      <c r="D956">
        <v>46.2</v>
      </c>
      <c r="E956">
        <v>184.8</v>
      </c>
      <c r="F956" s="58">
        <v>45696</v>
      </c>
      <c r="G956" s="58">
        <v>45697</v>
      </c>
      <c r="H956" t="s">
        <v>229</v>
      </c>
      <c r="I956" t="s">
        <v>62</v>
      </c>
      <c r="J956">
        <v>4</v>
      </c>
      <c r="K956" t="s">
        <v>103</v>
      </c>
      <c r="L956" t="s">
        <v>124</v>
      </c>
      <c r="M956">
        <f>orders[[#This Row],[Ship Date]]-orders[[#This Row],[Order Date]]</f>
        <v>1</v>
      </c>
      <c r="N956">
        <f>WEEKNUM(orders[[#This Row],[Order Date]],1)</f>
        <v>6</v>
      </c>
      <c r="O956" t="str">
        <f t="array" ref="O956">_xlfn.IFS(orders[[#This Row],[Customer Gender]]="M","Male", orders[[#This Row],[Customer Gender]]="F","Female", orders[[#This Row],[Customer Gender]]="O","Other", TRUE(),"Unknown")</f>
        <v>Male</v>
      </c>
    </row>
    <row r="957" spans="1:15" x14ac:dyDescent="0.25">
      <c r="A957" t="s">
        <v>1185</v>
      </c>
      <c r="B957" t="s">
        <v>91</v>
      </c>
      <c r="C957">
        <v>1</v>
      </c>
      <c r="D957">
        <v>74.400000000000006</v>
      </c>
      <c r="E957">
        <v>74.400000000000006</v>
      </c>
      <c r="F957" s="58">
        <v>45696</v>
      </c>
      <c r="G957" s="58">
        <v>45698</v>
      </c>
      <c r="H957" t="s">
        <v>229</v>
      </c>
      <c r="I957" t="s">
        <v>61</v>
      </c>
      <c r="J957">
        <v>5</v>
      </c>
      <c r="K957" t="s">
        <v>103</v>
      </c>
      <c r="L957" t="s">
        <v>124</v>
      </c>
      <c r="M957">
        <f>orders[[#This Row],[Ship Date]]-orders[[#This Row],[Order Date]]</f>
        <v>2</v>
      </c>
      <c r="N957">
        <f>WEEKNUM(orders[[#This Row],[Order Date]],1)</f>
        <v>6</v>
      </c>
      <c r="O957" t="str">
        <f t="array" ref="O957">_xlfn.IFS(orders[[#This Row],[Customer Gender]]="M","Male", orders[[#This Row],[Customer Gender]]="F","Female", orders[[#This Row],[Customer Gender]]="O","Other", TRUE(),"Unknown")</f>
        <v>Male</v>
      </c>
    </row>
    <row r="958" spans="1:15" x14ac:dyDescent="0.25">
      <c r="A958" t="s">
        <v>1186</v>
      </c>
      <c r="B958" t="s">
        <v>84</v>
      </c>
      <c r="C958">
        <v>2</v>
      </c>
      <c r="D958">
        <v>51.2</v>
      </c>
      <c r="E958">
        <v>102.4</v>
      </c>
      <c r="F958" s="58">
        <v>45696</v>
      </c>
      <c r="G958" s="58">
        <v>45697</v>
      </c>
      <c r="H958" t="s">
        <v>229</v>
      </c>
      <c r="I958" t="s">
        <v>63</v>
      </c>
      <c r="J958">
        <v>4</v>
      </c>
      <c r="K958" t="s">
        <v>103</v>
      </c>
      <c r="L958" t="s">
        <v>124</v>
      </c>
      <c r="M958">
        <f>orders[[#This Row],[Ship Date]]-orders[[#This Row],[Order Date]]</f>
        <v>1</v>
      </c>
      <c r="N958">
        <f>WEEKNUM(orders[[#This Row],[Order Date]],1)</f>
        <v>6</v>
      </c>
      <c r="O958" t="str">
        <f t="array" ref="O958">_xlfn.IFS(orders[[#This Row],[Customer Gender]]="M","Male", orders[[#This Row],[Customer Gender]]="F","Female", orders[[#This Row],[Customer Gender]]="O","Other", TRUE(),"Unknown")</f>
        <v>Male</v>
      </c>
    </row>
    <row r="959" spans="1:15" x14ac:dyDescent="0.25">
      <c r="A959" t="s">
        <v>1187</v>
      </c>
      <c r="B959" t="s">
        <v>74</v>
      </c>
      <c r="C959">
        <v>4</v>
      </c>
      <c r="D959">
        <v>11.8</v>
      </c>
      <c r="E959">
        <v>47.2</v>
      </c>
      <c r="F959" s="58">
        <v>45696</v>
      </c>
      <c r="G959" s="58">
        <v>45696</v>
      </c>
      <c r="H959" t="s">
        <v>229</v>
      </c>
      <c r="I959" t="s">
        <v>62</v>
      </c>
      <c r="J959">
        <v>4</v>
      </c>
      <c r="K959" t="s">
        <v>103</v>
      </c>
      <c r="L959" t="s">
        <v>124</v>
      </c>
      <c r="M959">
        <f>orders[[#This Row],[Ship Date]]-orders[[#This Row],[Order Date]]</f>
        <v>0</v>
      </c>
      <c r="N959">
        <f>WEEKNUM(orders[[#This Row],[Order Date]],1)</f>
        <v>6</v>
      </c>
      <c r="O959" t="str">
        <f t="array" ref="O959">_xlfn.IFS(orders[[#This Row],[Customer Gender]]="M","Male", orders[[#This Row],[Customer Gender]]="F","Female", orders[[#This Row],[Customer Gender]]="O","Other", TRUE(),"Unknown")</f>
        <v>Male</v>
      </c>
    </row>
    <row r="960" spans="1:15" x14ac:dyDescent="0.25">
      <c r="A960" t="s">
        <v>1188</v>
      </c>
      <c r="B960" t="s">
        <v>75</v>
      </c>
      <c r="C960">
        <v>27</v>
      </c>
      <c r="D960">
        <v>40.799999999999997</v>
      </c>
      <c r="E960">
        <v>1101.5999999999999</v>
      </c>
      <c r="F960" s="58">
        <v>45696</v>
      </c>
      <c r="G960" s="58">
        <v>45697</v>
      </c>
      <c r="H960" t="s">
        <v>231</v>
      </c>
      <c r="I960" t="s">
        <v>60</v>
      </c>
      <c r="J960">
        <v>5</v>
      </c>
      <c r="K960" t="s">
        <v>103</v>
      </c>
      <c r="L960" t="s">
        <v>124</v>
      </c>
      <c r="M960">
        <f>orders[[#This Row],[Ship Date]]-orders[[#This Row],[Order Date]]</f>
        <v>1</v>
      </c>
      <c r="N960">
        <f>WEEKNUM(orders[[#This Row],[Order Date]],1)</f>
        <v>6</v>
      </c>
      <c r="O960" t="str">
        <f t="array" ref="O960">_xlfn.IFS(orders[[#This Row],[Customer Gender]]="M","Male", orders[[#This Row],[Customer Gender]]="F","Female", orders[[#This Row],[Customer Gender]]="O","Other", TRUE(),"Unknown")</f>
        <v>Female</v>
      </c>
    </row>
    <row r="961" spans="1:15" x14ac:dyDescent="0.25">
      <c r="A961" t="s">
        <v>1189</v>
      </c>
      <c r="B961" t="s">
        <v>90</v>
      </c>
      <c r="C961">
        <v>1</v>
      </c>
      <c r="D961">
        <v>24.7</v>
      </c>
      <c r="E961">
        <v>24.7</v>
      </c>
      <c r="F961" s="58">
        <v>45696</v>
      </c>
      <c r="G961" s="58">
        <v>45698</v>
      </c>
      <c r="H961" t="s">
        <v>231</v>
      </c>
      <c r="I961" t="s">
        <v>62</v>
      </c>
      <c r="J961">
        <v>3</v>
      </c>
      <c r="K961" t="s">
        <v>103</v>
      </c>
      <c r="L961" t="s">
        <v>124</v>
      </c>
      <c r="M961">
        <f>orders[[#This Row],[Ship Date]]-orders[[#This Row],[Order Date]]</f>
        <v>2</v>
      </c>
      <c r="N961">
        <f>WEEKNUM(orders[[#This Row],[Order Date]],1)</f>
        <v>6</v>
      </c>
      <c r="O961" t="str">
        <f t="array" ref="O961">_xlfn.IFS(orders[[#This Row],[Customer Gender]]="M","Male", orders[[#This Row],[Customer Gender]]="F","Female", orders[[#This Row],[Customer Gender]]="O","Other", TRUE(),"Unknown")</f>
        <v>Female</v>
      </c>
    </row>
    <row r="962" spans="1:15" x14ac:dyDescent="0.25">
      <c r="A962" t="s">
        <v>1190</v>
      </c>
      <c r="B962" t="s">
        <v>90</v>
      </c>
      <c r="C962">
        <v>7</v>
      </c>
      <c r="D962">
        <v>22.1</v>
      </c>
      <c r="E962">
        <v>154.69999999999999</v>
      </c>
      <c r="F962" s="58">
        <v>45696</v>
      </c>
      <c r="G962" s="58">
        <v>45696</v>
      </c>
      <c r="H962" t="s">
        <v>231</v>
      </c>
      <c r="I962" t="s">
        <v>62</v>
      </c>
      <c r="J962">
        <v>2</v>
      </c>
      <c r="K962" t="s">
        <v>103</v>
      </c>
      <c r="L962" t="s">
        <v>124</v>
      </c>
      <c r="M962">
        <f>orders[[#This Row],[Ship Date]]-orders[[#This Row],[Order Date]]</f>
        <v>0</v>
      </c>
      <c r="N962">
        <f>WEEKNUM(orders[[#This Row],[Order Date]],1)</f>
        <v>6</v>
      </c>
      <c r="O962" t="str">
        <f t="array" ref="O962">_xlfn.IFS(orders[[#This Row],[Customer Gender]]="M","Male", orders[[#This Row],[Customer Gender]]="F","Female", orders[[#This Row],[Customer Gender]]="O","Other", TRUE(),"Unknown")</f>
        <v>Female</v>
      </c>
    </row>
    <row r="963" spans="1:15" x14ac:dyDescent="0.25">
      <c r="A963" t="s">
        <v>1191</v>
      </c>
      <c r="B963" t="s">
        <v>90</v>
      </c>
      <c r="C963">
        <v>1</v>
      </c>
      <c r="D963">
        <v>18.100000000000001</v>
      </c>
      <c r="E963">
        <v>18.100000000000001</v>
      </c>
      <c r="F963" s="58">
        <v>45696</v>
      </c>
      <c r="G963" s="58">
        <v>45700</v>
      </c>
      <c r="H963" t="s">
        <v>229</v>
      </c>
      <c r="I963" t="s">
        <v>60</v>
      </c>
      <c r="J963">
        <v>5</v>
      </c>
      <c r="K963" t="s">
        <v>103</v>
      </c>
      <c r="L963" t="s">
        <v>124</v>
      </c>
      <c r="M963">
        <f>orders[[#This Row],[Ship Date]]-orders[[#This Row],[Order Date]]</f>
        <v>4</v>
      </c>
      <c r="N963">
        <f>WEEKNUM(orders[[#This Row],[Order Date]],1)</f>
        <v>6</v>
      </c>
      <c r="O963" t="str">
        <f t="array" ref="O963">_xlfn.IFS(orders[[#This Row],[Customer Gender]]="M","Male", orders[[#This Row],[Customer Gender]]="F","Female", orders[[#This Row],[Customer Gender]]="O","Other", TRUE(),"Unknown")</f>
        <v>Male</v>
      </c>
    </row>
    <row r="964" spans="1:15" x14ac:dyDescent="0.25">
      <c r="A964" t="s">
        <v>1192</v>
      </c>
      <c r="B964" t="s">
        <v>84</v>
      </c>
      <c r="C964">
        <v>2</v>
      </c>
      <c r="D964">
        <v>58.8</v>
      </c>
      <c r="E964">
        <v>117.6</v>
      </c>
      <c r="F964" s="58">
        <v>45696</v>
      </c>
      <c r="G964" s="58">
        <v>45699</v>
      </c>
      <c r="H964" t="s">
        <v>231</v>
      </c>
      <c r="I964" t="s">
        <v>59</v>
      </c>
      <c r="J964">
        <v>4</v>
      </c>
      <c r="K964" t="s">
        <v>103</v>
      </c>
      <c r="L964" t="s">
        <v>135</v>
      </c>
      <c r="M964">
        <f>orders[[#This Row],[Ship Date]]-orders[[#This Row],[Order Date]]</f>
        <v>3</v>
      </c>
      <c r="N964">
        <f>WEEKNUM(orders[[#This Row],[Order Date]],1)</f>
        <v>6</v>
      </c>
      <c r="O964" t="str">
        <f t="array" ref="O964">_xlfn.IFS(orders[[#This Row],[Customer Gender]]="M","Male", orders[[#This Row],[Customer Gender]]="F","Female", orders[[#This Row],[Customer Gender]]="O","Other", TRUE(),"Unknown")</f>
        <v>Female</v>
      </c>
    </row>
    <row r="965" spans="1:15" x14ac:dyDescent="0.25">
      <c r="A965" t="s">
        <v>1193</v>
      </c>
      <c r="B965" t="s">
        <v>82</v>
      </c>
      <c r="C965">
        <v>2</v>
      </c>
      <c r="D965">
        <v>30.8</v>
      </c>
      <c r="E965">
        <v>61.6</v>
      </c>
      <c r="F965" s="58">
        <v>45696</v>
      </c>
      <c r="G965" s="58">
        <v>45697</v>
      </c>
      <c r="H965" t="s">
        <v>231</v>
      </c>
      <c r="I965" t="s">
        <v>59</v>
      </c>
      <c r="J965">
        <v>4</v>
      </c>
      <c r="K965" t="s">
        <v>103</v>
      </c>
      <c r="L965" t="s">
        <v>139</v>
      </c>
      <c r="M965">
        <f>orders[[#This Row],[Ship Date]]-orders[[#This Row],[Order Date]]</f>
        <v>1</v>
      </c>
      <c r="N965">
        <f>WEEKNUM(orders[[#This Row],[Order Date]],1)</f>
        <v>6</v>
      </c>
      <c r="O965" t="str">
        <f t="array" ref="O965">_xlfn.IFS(orders[[#This Row],[Customer Gender]]="M","Male", orders[[#This Row],[Customer Gender]]="F","Female", orders[[#This Row],[Customer Gender]]="O","Other", TRUE(),"Unknown")</f>
        <v>Female</v>
      </c>
    </row>
    <row r="966" spans="1:15" x14ac:dyDescent="0.25">
      <c r="A966" t="s">
        <v>1194</v>
      </c>
      <c r="B966" t="s">
        <v>86</v>
      </c>
      <c r="C966">
        <v>2</v>
      </c>
      <c r="D966">
        <v>12</v>
      </c>
      <c r="E966">
        <v>24</v>
      </c>
      <c r="F966" s="58">
        <v>45696</v>
      </c>
      <c r="G966" s="58">
        <v>45700</v>
      </c>
      <c r="H966" t="s">
        <v>231</v>
      </c>
      <c r="I966" t="s">
        <v>59</v>
      </c>
      <c r="J966">
        <v>4</v>
      </c>
      <c r="K966" t="s">
        <v>103</v>
      </c>
      <c r="L966" t="s">
        <v>139</v>
      </c>
      <c r="M966">
        <f>orders[[#This Row],[Ship Date]]-orders[[#This Row],[Order Date]]</f>
        <v>4</v>
      </c>
      <c r="N966">
        <f>WEEKNUM(orders[[#This Row],[Order Date]],1)</f>
        <v>6</v>
      </c>
      <c r="O966" t="str">
        <f t="array" ref="O966">_xlfn.IFS(orders[[#This Row],[Customer Gender]]="M","Male", orders[[#This Row],[Customer Gender]]="F","Female", orders[[#This Row],[Customer Gender]]="O","Other", TRUE(),"Unknown")</f>
        <v>Female</v>
      </c>
    </row>
    <row r="967" spans="1:15" x14ac:dyDescent="0.25">
      <c r="A967" t="s">
        <v>1195</v>
      </c>
      <c r="B967" t="s">
        <v>86</v>
      </c>
      <c r="C967">
        <v>4</v>
      </c>
      <c r="D967">
        <v>13.6</v>
      </c>
      <c r="E967">
        <v>54.4</v>
      </c>
      <c r="F967" s="58">
        <v>45696</v>
      </c>
      <c r="G967" s="58">
        <v>45699</v>
      </c>
      <c r="H967" t="s">
        <v>229</v>
      </c>
      <c r="I967" t="s">
        <v>62</v>
      </c>
      <c r="J967">
        <v>4</v>
      </c>
      <c r="K967" t="s">
        <v>103</v>
      </c>
      <c r="L967" t="s">
        <v>139</v>
      </c>
      <c r="M967">
        <f>orders[[#This Row],[Ship Date]]-orders[[#This Row],[Order Date]]</f>
        <v>3</v>
      </c>
      <c r="N967">
        <f>WEEKNUM(orders[[#This Row],[Order Date]],1)</f>
        <v>6</v>
      </c>
      <c r="O967" t="str">
        <f t="array" ref="O967">_xlfn.IFS(orders[[#This Row],[Customer Gender]]="M","Male", orders[[#This Row],[Customer Gender]]="F","Female", orders[[#This Row],[Customer Gender]]="O","Other", TRUE(),"Unknown")</f>
        <v>Male</v>
      </c>
    </row>
    <row r="968" spans="1:15" x14ac:dyDescent="0.25">
      <c r="A968" t="s">
        <v>1196</v>
      </c>
      <c r="B968" t="s">
        <v>86</v>
      </c>
      <c r="C968">
        <v>1</v>
      </c>
      <c r="D968">
        <v>17.899999999999999</v>
      </c>
      <c r="E968">
        <v>17.899999999999999</v>
      </c>
      <c r="F968" s="58">
        <v>45696</v>
      </c>
      <c r="G968" s="58">
        <v>45697</v>
      </c>
      <c r="H968" t="s">
        <v>229</v>
      </c>
      <c r="I968" t="s">
        <v>60</v>
      </c>
      <c r="J968">
        <v>4</v>
      </c>
      <c r="K968" t="s">
        <v>103</v>
      </c>
      <c r="L968" t="s">
        <v>139</v>
      </c>
      <c r="M968">
        <f>orders[[#This Row],[Ship Date]]-orders[[#This Row],[Order Date]]</f>
        <v>1</v>
      </c>
      <c r="N968">
        <f>WEEKNUM(orders[[#This Row],[Order Date]],1)</f>
        <v>6</v>
      </c>
      <c r="O968" t="str">
        <f t="array" ref="O968">_xlfn.IFS(orders[[#This Row],[Customer Gender]]="M","Male", orders[[#This Row],[Customer Gender]]="F","Female", orders[[#This Row],[Customer Gender]]="O","Other", TRUE(),"Unknown")</f>
        <v>Male</v>
      </c>
    </row>
    <row r="969" spans="1:15" x14ac:dyDescent="0.25">
      <c r="A969" t="s">
        <v>1197</v>
      </c>
      <c r="B969" t="s">
        <v>88</v>
      </c>
      <c r="C969">
        <v>2</v>
      </c>
      <c r="D969">
        <v>38.6</v>
      </c>
      <c r="E969">
        <v>77.2</v>
      </c>
      <c r="F969" s="58">
        <v>45696</v>
      </c>
      <c r="G969" s="58">
        <v>45700</v>
      </c>
      <c r="H969" t="s">
        <v>231</v>
      </c>
      <c r="I969" t="s">
        <v>61</v>
      </c>
      <c r="J969">
        <v>4</v>
      </c>
      <c r="K969" t="s">
        <v>103</v>
      </c>
      <c r="L969" t="s">
        <v>141</v>
      </c>
      <c r="M969">
        <f>orders[[#This Row],[Ship Date]]-orders[[#This Row],[Order Date]]</f>
        <v>4</v>
      </c>
      <c r="N969">
        <f>WEEKNUM(orders[[#This Row],[Order Date]],1)</f>
        <v>6</v>
      </c>
      <c r="O969" t="str">
        <f t="array" ref="O969">_xlfn.IFS(orders[[#This Row],[Customer Gender]]="M","Male", orders[[#This Row],[Customer Gender]]="F","Female", orders[[#This Row],[Customer Gender]]="O","Other", TRUE(),"Unknown")</f>
        <v>Female</v>
      </c>
    </row>
    <row r="970" spans="1:15" x14ac:dyDescent="0.25">
      <c r="A970" t="s">
        <v>1198</v>
      </c>
      <c r="B970" t="s">
        <v>85</v>
      </c>
      <c r="C970">
        <v>5</v>
      </c>
      <c r="D970">
        <v>32.700000000000003</v>
      </c>
      <c r="E970">
        <v>163.5</v>
      </c>
      <c r="F970" s="58">
        <v>45696</v>
      </c>
      <c r="G970" s="58">
        <v>45697</v>
      </c>
      <c r="H970" t="s">
        <v>229</v>
      </c>
      <c r="I970" t="s">
        <v>62</v>
      </c>
      <c r="J970">
        <v>5</v>
      </c>
      <c r="K970" t="s">
        <v>103</v>
      </c>
      <c r="L970" t="s">
        <v>142</v>
      </c>
      <c r="M970">
        <f>orders[[#This Row],[Ship Date]]-orders[[#This Row],[Order Date]]</f>
        <v>1</v>
      </c>
      <c r="N970">
        <f>WEEKNUM(orders[[#This Row],[Order Date]],1)</f>
        <v>6</v>
      </c>
      <c r="O970" t="str">
        <f t="array" ref="O970">_xlfn.IFS(orders[[#This Row],[Customer Gender]]="M","Male", orders[[#This Row],[Customer Gender]]="F","Female", orders[[#This Row],[Customer Gender]]="O","Other", TRUE(),"Unknown")</f>
        <v>Male</v>
      </c>
    </row>
    <row r="971" spans="1:15" x14ac:dyDescent="0.25">
      <c r="A971" t="s">
        <v>1199</v>
      </c>
      <c r="B971" t="s">
        <v>93</v>
      </c>
      <c r="C971">
        <v>2</v>
      </c>
      <c r="D971">
        <v>111.4</v>
      </c>
      <c r="E971">
        <v>222.8</v>
      </c>
      <c r="F971" s="58">
        <v>45696</v>
      </c>
      <c r="G971" s="58">
        <v>45697</v>
      </c>
      <c r="H971" t="s">
        <v>231</v>
      </c>
      <c r="I971" t="s">
        <v>63</v>
      </c>
      <c r="J971">
        <v>4</v>
      </c>
      <c r="K971" t="s">
        <v>103</v>
      </c>
      <c r="L971" t="s">
        <v>142</v>
      </c>
      <c r="M971">
        <f>orders[[#This Row],[Ship Date]]-orders[[#This Row],[Order Date]]</f>
        <v>1</v>
      </c>
      <c r="N971">
        <f>WEEKNUM(orders[[#This Row],[Order Date]],1)</f>
        <v>6</v>
      </c>
      <c r="O971" t="str">
        <f t="array" ref="O971">_xlfn.IFS(orders[[#This Row],[Customer Gender]]="M","Male", orders[[#This Row],[Customer Gender]]="F","Female", orders[[#This Row],[Customer Gender]]="O","Other", TRUE(),"Unknown")</f>
        <v>Female</v>
      </c>
    </row>
    <row r="972" spans="1:15" x14ac:dyDescent="0.25">
      <c r="A972" t="s">
        <v>1200</v>
      </c>
      <c r="B972" t="s">
        <v>87</v>
      </c>
      <c r="C972">
        <v>6</v>
      </c>
      <c r="D972">
        <v>80.3</v>
      </c>
      <c r="E972">
        <v>481.8</v>
      </c>
      <c r="F972" s="58">
        <v>45696</v>
      </c>
      <c r="G972" s="58">
        <v>45698</v>
      </c>
      <c r="H972" t="s">
        <v>231</v>
      </c>
      <c r="I972" t="s">
        <v>63</v>
      </c>
      <c r="J972">
        <v>4</v>
      </c>
      <c r="K972" t="s">
        <v>103</v>
      </c>
      <c r="L972" t="s">
        <v>142</v>
      </c>
      <c r="M972">
        <f>orders[[#This Row],[Ship Date]]-orders[[#This Row],[Order Date]]</f>
        <v>2</v>
      </c>
      <c r="N972">
        <f>WEEKNUM(orders[[#This Row],[Order Date]],1)</f>
        <v>6</v>
      </c>
      <c r="O972" t="str">
        <f t="array" ref="O972">_xlfn.IFS(orders[[#This Row],[Customer Gender]]="M","Male", orders[[#This Row],[Customer Gender]]="F","Female", orders[[#This Row],[Customer Gender]]="O","Other", TRUE(),"Unknown")</f>
        <v>Female</v>
      </c>
    </row>
    <row r="973" spans="1:15" x14ac:dyDescent="0.25">
      <c r="A973" t="s">
        <v>1201</v>
      </c>
      <c r="B973" t="s">
        <v>80</v>
      </c>
      <c r="C973">
        <v>2</v>
      </c>
      <c r="D973">
        <v>58.9</v>
      </c>
      <c r="E973">
        <v>117.8</v>
      </c>
      <c r="F973" s="58">
        <v>45696</v>
      </c>
      <c r="G973" s="58">
        <v>45697</v>
      </c>
      <c r="H973" t="s">
        <v>229</v>
      </c>
      <c r="I973" t="s">
        <v>63</v>
      </c>
      <c r="J973">
        <v>4</v>
      </c>
      <c r="K973" t="s">
        <v>103</v>
      </c>
      <c r="L973" t="s">
        <v>142</v>
      </c>
      <c r="M973">
        <f>orders[[#This Row],[Ship Date]]-orders[[#This Row],[Order Date]]</f>
        <v>1</v>
      </c>
      <c r="N973">
        <f>WEEKNUM(orders[[#This Row],[Order Date]],1)</f>
        <v>6</v>
      </c>
      <c r="O973" t="str">
        <f t="array" ref="O973">_xlfn.IFS(orders[[#This Row],[Customer Gender]]="M","Male", orders[[#This Row],[Customer Gender]]="F","Female", orders[[#This Row],[Customer Gender]]="O","Other", TRUE(),"Unknown")</f>
        <v>Male</v>
      </c>
    </row>
    <row r="974" spans="1:15" x14ac:dyDescent="0.25">
      <c r="A974" t="s">
        <v>1202</v>
      </c>
      <c r="B974" t="s">
        <v>80</v>
      </c>
      <c r="C974">
        <v>3</v>
      </c>
      <c r="D974">
        <v>51.9</v>
      </c>
      <c r="E974">
        <v>155.69999999999999</v>
      </c>
      <c r="F974" s="58">
        <v>45696</v>
      </c>
      <c r="G974" s="58">
        <v>45698</v>
      </c>
      <c r="H974" t="s">
        <v>231</v>
      </c>
      <c r="I974" t="s">
        <v>63</v>
      </c>
      <c r="J974">
        <v>2</v>
      </c>
      <c r="K974" t="s">
        <v>103</v>
      </c>
      <c r="L974" t="s">
        <v>142</v>
      </c>
      <c r="M974">
        <f>orders[[#This Row],[Ship Date]]-orders[[#This Row],[Order Date]]</f>
        <v>2</v>
      </c>
      <c r="N974">
        <f>WEEKNUM(orders[[#This Row],[Order Date]],1)</f>
        <v>6</v>
      </c>
      <c r="O974" t="str">
        <f t="array" ref="O974">_xlfn.IFS(orders[[#This Row],[Customer Gender]]="M","Male", orders[[#This Row],[Customer Gender]]="F","Female", orders[[#This Row],[Customer Gender]]="O","Other", TRUE(),"Unknown")</f>
        <v>Female</v>
      </c>
    </row>
    <row r="975" spans="1:15" x14ac:dyDescent="0.25">
      <c r="A975" t="s">
        <v>1203</v>
      </c>
      <c r="B975" t="s">
        <v>87</v>
      </c>
      <c r="C975">
        <v>3</v>
      </c>
      <c r="D975">
        <v>50.3</v>
      </c>
      <c r="E975">
        <v>150.9</v>
      </c>
      <c r="F975" s="58">
        <v>45696</v>
      </c>
      <c r="G975" s="58">
        <v>45697</v>
      </c>
      <c r="H975" t="s">
        <v>229</v>
      </c>
      <c r="I975" t="s">
        <v>62</v>
      </c>
      <c r="J975">
        <v>4</v>
      </c>
      <c r="K975" t="s">
        <v>103</v>
      </c>
      <c r="L975" t="s">
        <v>143</v>
      </c>
      <c r="M975">
        <f>orders[[#This Row],[Ship Date]]-orders[[#This Row],[Order Date]]</f>
        <v>1</v>
      </c>
      <c r="N975">
        <f>WEEKNUM(orders[[#This Row],[Order Date]],1)</f>
        <v>6</v>
      </c>
      <c r="O975" t="str">
        <f t="array" ref="O975">_xlfn.IFS(orders[[#This Row],[Customer Gender]]="M","Male", orders[[#This Row],[Customer Gender]]="F","Female", orders[[#This Row],[Customer Gender]]="O","Other", TRUE(),"Unknown")</f>
        <v>Male</v>
      </c>
    </row>
    <row r="976" spans="1:15" x14ac:dyDescent="0.25">
      <c r="A976" t="s">
        <v>1204</v>
      </c>
      <c r="B976" t="s">
        <v>83</v>
      </c>
      <c r="C976">
        <v>6</v>
      </c>
      <c r="D976">
        <v>45</v>
      </c>
      <c r="E976">
        <v>270</v>
      </c>
      <c r="F976" s="58">
        <v>45696</v>
      </c>
      <c r="G976" s="58">
        <v>45702</v>
      </c>
      <c r="H976" t="s">
        <v>231</v>
      </c>
      <c r="I976" t="s">
        <v>60</v>
      </c>
      <c r="J976">
        <v>4</v>
      </c>
      <c r="K976" t="s">
        <v>103</v>
      </c>
      <c r="L976" t="s">
        <v>146</v>
      </c>
      <c r="M976">
        <f>orders[[#This Row],[Ship Date]]-orders[[#This Row],[Order Date]]</f>
        <v>6</v>
      </c>
      <c r="N976">
        <f>WEEKNUM(orders[[#This Row],[Order Date]],1)</f>
        <v>6</v>
      </c>
      <c r="O976" t="str">
        <f t="array" ref="O976">_xlfn.IFS(orders[[#This Row],[Customer Gender]]="M","Male", orders[[#This Row],[Customer Gender]]="F","Female", orders[[#This Row],[Customer Gender]]="O","Other", TRUE(),"Unknown")</f>
        <v>Female</v>
      </c>
    </row>
    <row r="977" spans="1:15" x14ac:dyDescent="0.25">
      <c r="A977" t="s">
        <v>1205</v>
      </c>
      <c r="B977" t="s">
        <v>75</v>
      </c>
      <c r="C977">
        <v>6</v>
      </c>
      <c r="D977">
        <v>44.7</v>
      </c>
      <c r="E977">
        <v>268.2</v>
      </c>
      <c r="F977" s="58">
        <v>45696</v>
      </c>
      <c r="G977" s="58">
        <v>45698</v>
      </c>
      <c r="H977" t="s">
        <v>231</v>
      </c>
      <c r="I977" t="s">
        <v>62</v>
      </c>
      <c r="J977">
        <v>4</v>
      </c>
      <c r="K977" t="s">
        <v>103</v>
      </c>
      <c r="L977" t="s">
        <v>148</v>
      </c>
      <c r="M977">
        <f>orders[[#This Row],[Ship Date]]-orders[[#This Row],[Order Date]]</f>
        <v>2</v>
      </c>
      <c r="N977">
        <f>WEEKNUM(orders[[#This Row],[Order Date]],1)</f>
        <v>6</v>
      </c>
      <c r="O977" t="str">
        <f t="array" ref="O977">_xlfn.IFS(orders[[#This Row],[Customer Gender]]="M","Male", orders[[#This Row],[Customer Gender]]="F","Female", orders[[#This Row],[Customer Gender]]="O","Other", TRUE(),"Unknown")</f>
        <v>Female</v>
      </c>
    </row>
    <row r="978" spans="1:15" x14ac:dyDescent="0.25">
      <c r="A978" t="s">
        <v>1206</v>
      </c>
      <c r="B978" t="s">
        <v>82</v>
      </c>
      <c r="C978">
        <v>15</v>
      </c>
      <c r="D978">
        <v>33</v>
      </c>
      <c r="E978">
        <v>495</v>
      </c>
      <c r="F978" s="58">
        <v>45696</v>
      </c>
      <c r="G978" s="58">
        <v>45697</v>
      </c>
      <c r="H978" t="s">
        <v>231</v>
      </c>
      <c r="I978" t="s">
        <v>62</v>
      </c>
      <c r="J978">
        <v>4</v>
      </c>
      <c r="K978" t="s">
        <v>103</v>
      </c>
      <c r="L978" t="s">
        <v>148</v>
      </c>
      <c r="M978">
        <f>orders[[#This Row],[Ship Date]]-orders[[#This Row],[Order Date]]</f>
        <v>1</v>
      </c>
      <c r="N978">
        <f>WEEKNUM(orders[[#This Row],[Order Date]],1)</f>
        <v>6</v>
      </c>
      <c r="O978" t="str">
        <f t="array" ref="O978">_xlfn.IFS(orders[[#This Row],[Customer Gender]]="M","Male", orders[[#This Row],[Customer Gender]]="F","Female", orders[[#This Row],[Customer Gender]]="O","Other", TRUE(),"Unknown")</f>
        <v>Female</v>
      </c>
    </row>
    <row r="979" spans="1:15" x14ac:dyDescent="0.25">
      <c r="A979" t="s">
        <v>1207</v>
      </c>
      <c r="B979" t="s">
        <v>91</v>
      </c>
      <c r="C979">
        <v>5</v>
      </c>
      <c r="D979">
        <v>44.9</v>
      </c>
      <c r="E979">
        <v>224.5</v>
      </c>
      <c r="F979" s="58">
        <v>45696</v>
      </c>
      <c r="G979" s="58">
        <v>45699</v>
      </c>
      <c r="H979" t="s">
        <v>231</v>
      </c>
      <c r="I979" t="s">
        <v>62</v>
      </c>
      <c r="J979">
        <v>5</v>
      </c>
      <c r="K979" t="s">
        <v>103</v>
      </c>
      <c r="L979" t="s">
        <v>154</v>
      </c>
      <c r="M979">
        <f>orders[[#This Row],[Ship Date]]-orders[[#This Row],[Order Date]]</f>
        <v>3</v>
      </c>
      <c r="N979">
        <f>WEEKNUM(orders[[#This Row],[Order Date]],1)</f>
        <v>6</v>
      </c>
      <c r="O979" t="str">
        <f t="array" ref="O979">_xlfn.IFS(orders[[#This Row],[Customer Gender]]="M","Male", orders[[#This Row],[Customer Gender]]="F","Female", orders[[#This Row],[Customer Gender]]="O","Other", TRUE(),"Unknown")</f>
        <v>Female</v>
      </c>
    </row>
    <row r="980" spans="1:15" x14ac:dyDescent="0.25">
      <c r="A980" t="s">
        <v>1208</v>
      </c>
      <c r="B980" t="s">
        <v>75</v>
      </c>
      <c r="C980">
        <v>2</v>
      </c>
      <c r="D980">
        <v>34.6</v>
      </c>
      <c r="E980">
        <v>69.2</v>
      </c>
      <c r="F980" s="58">
        <v>45696</v>
      </c>
      <c r="G980" s="58">
        <v>45700</v>
      </c>
      <c r="H980" t="s">
        <v>231</v>
      </c>
      <c r="I980" t="s">
        <v>59</v>
      </c>
      <c r="J980">
        <v>3</v>
      </c>
      <c r="K980" t="s">
        <v>103</v>
      </c>
      <c r="L980" t="s">
        <v>155</v>
      </c>
      <c r="M980">
        <f>orders[[#This Row],[Ship Date]]-orders[[#This Row],[Order Date]]</f>
        <v>4</v>
      </c>
      <c r="N980">
        <f>WEEKNUM(orders[[#This Row],[Order Date]],1)</f>
        <v>6</v>
      </c>
      <c r="O980" t="str">
        <f t="array" ref="O980">_xlfn.IFS(orders[[#This Row],[Customer Gender]]="M","Male", orders[[#This Row],[Customer Gender]]="F","Female", orders[[#This Row],[Customer Gender]]="O","Other", TRUE(),"Unknown")</f>
        <v>Female</v>
      </c>
    </row>
    <row r="981" spans="1:15" x14ac:dyDescent="0.25">
      <c r="A981" t="s">
        <v>1209</v>
      </c>
      <c r="B981" t="s">
        <v>79</v>
      </c>
      <c r="C981">
        <v>7</v>
      </c>
      <c r="D981">
        <v>47.1</v>
      </c>
      <c r="E981">
        <v>329.7</v>
      </c>
      <c r="F981" s="58">
        <v>45696</v>
      </c>
      <c r="G981" s="58">
        <v>45701</v>
      </c>
      <c r="H981" t="s">
        <v>231</v>
      </c>
      <c r="I981" t="s">
        <v>59</v>
      </c>
      <c r="J981">
        <v>4</v>
      </c>
      <c r="K981" t="s">
        <v>103</v>
      </c>
      <c r="L981" t="s">
        <v>161</v>
      </c>
      <c r="M981">
        <f>orders[[#This Row],[Ship Date]]-orders[[#This Row],[Order Date]]</f>
        <v>5</v>
      </c>
      <c r="N981">
        <f>WEEKNUM(orders[[#This Row],[Order Date]],1)</f>
        <v>6</v>
      </c>
      <c r="O981" t="str">
        <f t="array" ref="O981">_xlfn.IFS(orders[[#This Row],[Customer Gender]]="M","Male", orders[[#This Row],[Customer Gender]]="F","Female", orders[[#This Row],[Customer Gender]]="O","Other", TRUE(),"Unknown")</f>
        <v>Female</v>
      </c>
    </row>
    <row r="982" spans="1:15" x14ac:dyDescent="0.25">
      <c r="A982" t="s">
        <v>1210</v>
      </c>
      <c r="B982" t="s">
        <v>78</v>
      </c>
      <c r="C982">
        <v>5</v>
      </c>
      <c r="D982">
        <v>26.1</v>
      </c>
      <c r="E982">
        <v>130.5</v>
      </c>
      <c r="F982" s="58">
        <v>45696</v>
      </c>
      <c r="G982" s="58">
        <v>45701</v>
      </c>
      <c r="H982" t="s">
        <v>229</v>
      </c>
      <c r="I982" t="s">
        <v>59</v>
      </c>
      <c r="J982">
        <v>5</v>
      </c>
      <c r="K982" t="s">
        <v>103</v>
      </c>
      <c r="L982" t="s">
        <v>106</v>
      </c>
      <c r="M982">
        <f>orders[[#This Row],[Ship Date]]-orders[[#This Row],[Order Date]]</f>
        <v>5</v>
      </c>
      <c r="N982">
        <f>WEEKNUM(orders[[#This Row],[Order Date]],1)</f>
        <v>6</v>
      </c>
      <c r="O982" t="str">
        <f t="array" ref="O982">_xlfn.IFS(orders[[#This Row],[Customer Gender]]="M","Male", orders[[#This Row],[Customer Gender]]="F","Female", orders[[#This Row],[Customer Gender]]="O","Other", TRUE(),"Unknown")</f>
        <v>Male</v>
      </c>
    </row>
    <row r="983" spans="1:15" x14ac:dyDescent="0.25">
      <c r="A983" t="s">
        <v>1211</v>
      </c>
      <c r="B983" t="s">
        <v>76</v>
      </c>
      <c r="C983">
        <v>5</v>
      </c>
      <c r="D983">
        <v>66.8</v>
      </c>
      <c r="E983">
        <v>334</v>
      </c>
      <c r="F983" s="58">
        <v>45696</v>
      </c>
      <c r="G983" s="58">
        <v>45699</v>
      </c>
      <c r="H983" t="s">
        <v>231</v>
      </c>
      <c r="I983" t="s">
        <v>59</v>
      </c>
      <c r="J983">
        <v>4</v>
      </c>
      <c r="K983" t="s">
        <v>103</v>
      </c>
      <c r="L983" t="s">
        <v>106</v>
      </c>
      <c r="M983">
        <f>orders[[#This Row],[Ship Date]]-orders[[#This Row],[Order Date]]</f>
        <v>3</v>
      </c>
      <c r="N983">
        <f>WEEKNUM(orders[[#This Row],[Order Date]],1)</f>
        <v>6</v>
      </c>
      <c r="O983" t="str">
        <f t="array" ref="O983">_xlfn.IFS(orders[[#This Row],[Customer Gender]]="M","Male", orders[[#This Row],[Customer Gender]]="F","Female", orders[[#This Row],[Customer Gender]]="O","Other", TRUE(),"Unknown")</f>
        <v>Female</v>
      </c>
    </row>
    <row r="984" spans="1:15" x14ac:dyDescent="0.25">
      <c r="A984" t="s">
        <v>1212</v>
      </c>
      <c r="B984" t="s">
        <v>87</v>
      </c>
      <c r="C984">
        <v>2</v>
      </c>
      <c r="D984">
        <v>167.9</v>
      </c>
      <c r="E984">
        <v>335.8</v>
      </c>
      <c r="F984" s="58">
        <v>45696</v>
      </c>
      <c r="G984" s="58">
        <v>45697</v>
      </c>
      <c r="H984" t="s">
        <v>231</v>
      </c>
      <c r="I984" t="s">
        <v>60</v>
      </c>
      <c r="J984">
        <v>5</v>
      </c>
      <c r="K984" t="s">
        <v>103</v>
      </c>
      <c r="L984" t="s">
        <v>106</v>
      </c>
      <c r="M984">
        <f>orders[[#This Row],[Ship Date]]-orders[[#This Row],[Order Date]]</f>
        <v>1</v>
      </c>
      <c r="N984">
        <f>WEEKNUM(orders[[#This Row],[Order Date]],1)</f>
        <v>6</v>
      </c>
      <c r="O984" t="str">
        <f t="array" ref="O984">_xlfn.IFS(orders[[#This Row],[Customer Gender]]="M","Male", orders[[#This Row],[Customer Gender]]="F","Female", orders[[#This Row],[Customer Gender]]="O","Other", TRUE(),"Unknown")</f>
        <v>Female</v>
      </c>
    </row>
    <row r="985" spans="1:15" x14ac:dyDescent="0.25">
      <c r="A985" t="s">
        <v>1213</v>
      </c>
      <c r="B985" t="s">
        <v>75</v>
      </c>
      <c r="C985">
        <v>9</v>
      </c>
      <c r="D985">
        <v>34.6</v>
      </c>
      <c r="E985">
        <v>311.39999999999998</v>
      </c>
      <c r="F985" s="58">
        <v>45696</v>
      </c>
      <c r="G985" s="58">
        <v>45697</v>
      </c>
      <c r="H985" t="s">
        <v>231</v>
      </c>
      <c r="I985" t="s">
        <v>62</v>
      </c>
      <c r="J985">
        <v>3</v>
      </c>
      <c r="K985" t="s">
        <v>103</v>
      </c>
      <c r="L985" t="s">
        <v>106</v>
      </c>
      <c r="M985">
        <f>orders[[#This Row],[Ship Date]]-orders[[#This Row],[Order Date]]</f>
        <v>1</v>
      </c>
      <c r="N985">
        <f>WEEKNUM(orders[[#This Row],[Order Date]],1)</f>
        <v>6</v>
      </c>
      <c r="O985" t="str">
        <f t="array" ref="O985">_xlfn.IFS(orders[[#This Row],[Customer Gender]]="M","Male", orders[[#This Row],[Customer Gender]]="F","Female", orders[[#This Row],[Customer Gender]]="O","Other", TRUE(),"Unknown")</f>
        <v>Female</v>
      </c>
    </row>
    <row r="986" spans="1:15" x14ac:dyDescent="0.25">
      <c r="A986" t="s">
        <v>1214</v>
      </c>
      <c r="B986" t="s">
        <v>90</v>
      </c>
      <c r="C986">
        <v>3</v>
      </c>
      <c r="D986">
        <v>35.1</v>
      </c>
      <c r="E986">
        <v>105.3</v>
      </c>
      <c r="F986" s="58">
        <v>45697</v>
      </c>
      <c r="G986" s="58">
        <v>45701</v>
      </c>
      <c r="H986" t="s">
        <v>229</v>
      </c>
      <c r="I986" t="s">
        <v>61</v>
      </c>
      <c r="J986">
        <v>5</v>
      </c>
      <c r="K986" t="s">
        <v>103</v>
      </c>
      <c r="L986" t="s">
        <v>112</v>
      </c>
      <c r="M986">
        <f>orders[[#This Row],[Ship Date]]-orders[[#This Row],[Order Date]]</f>
        <v>4</v>
      </c>
      <c r="N986">
        <f>WEEKNUM(orders[[#This Row],[Order Date]],1)</f>
        <v>7</v>
      </c>
      <c r="O986" t="str">
        <f t="array" ref="O986">_xlfn.IFS(orders[[#This Row],[Customer Gender]]="M","Male", orders[[#This Row],[Customer Gender]]="F","Female", orders[[#This Row],[Customer Gender]]="O","Other", TRUE(),"Unknown")</f>
        <v>Male</v>
      </c>
    </row>
    <row r="987" spans="1:15" x14ac:dyDescent="0.25">
      <c r="A987" t="s">
        <v>1215</v>
      </c>
      <c r="B987" t="s">
        <v>80</v>
      </c>
      <c r="C987">
        <v>4</v>
      </c>
      <c r="D987">
        <v>104.5</v>
      </c>
      <c r="E987">
        <v>418</v>
      </c>
      <c r="F987" s="58">
        <v>45697</v>
      </c>
      <c r="G987" s="58">
        <v>45698</v>
      </c>
      <c r="H987" t="s">
        <v>229</v>
      </c>
      <c r="I987" t="s">
        <v>63</v>
      </c>
      <c r="J987">
        <v>3</v>
      </c>
      <c r="K987" t="s">
        <v>103</v>
      </c>
      <c r="L987" t="s">
        <v>112</v>
      </c>
      <c r="M987">
        <f>orders[[#This Row],[Ship Date]]-orders[[#This Row],[Order Date]]</f>
        <v>1</v>
      </c>
      <c r="N987">
        <f>WEEKNUM(orders[[#This Row],[Order Date]],1)</f>
        <v>7</v>
      </c>
      <c r="O987" t="str">
        <f t="array" ref="O987">_xlfn.IFS(orders[[#This Row],[Customer Gender]]="M","Male", orders[[#This Row],[Customer Gender]]="F","Female", orders[[#This Row],[Customer Gender]]="O","Other", TRUE(),"Unknown")</f>
        <v>Male</v>
      </c>
    </row>
    <row r="988" spans="1:15" x14ac:dyDescent="0.25">
      <c r="A988" t="s">
        <v>1216</v>
      </c>
      <c r="B988" t="s">
        <v>90</v>
      </c>
      <c r="C988">
        <v>1</v>
      </c>
      <c r="D988">
        <v>37.9</v>
      </c>
      <c r="E988">
        <v>37.9</v>
      </c>
      <c r="F988" s="58">
        <v>45697</v>
      </c>
      <c r="G988" s="58">
        <v>45699</v>
      </c>
      <c r="I988" t="s">
        <v>63</v>
      </c>
      <c r="J988">
        <v>5</v>
      </c>
      <c r="K988" t="s">
        <v>103</v>
      </c>
      <c r="L988" t="s">
        <v>115</v>
      </c>
      <c r="M988">
        <f>orders[[#This Row],[Ship Date]]-orders[[#This Row],[Order Date]]</f>
        <v>2</v>
      </c>
      <c r="N988">
        <f>WEEKNUM(orders[[#This Row],[Order Date]],1)</f>
        <v>7</v>
      </c>
      <c r="O988" t="str">
        <f t="array" ref="O988">_xlfn.IFS(orders[[#This Row],[Customer Gender]]="M","Male", orders[[#This Row],[Customer Gender]]="F","Female", orders[[#This Row],[Customer Gender]]="O","Other", TRUE(),"Unknown")</f>
        <v>Unknown</v>
      </c>
    </row>
    <row r="989" spans="1:15" x14ac:dyDescent="0.25">
      <c r="A989" t="s">
        <v>1217</v>
      </c>
      <c r="B989" t="s">
        <v>78</v>
      </c>
      <c r="C989">
        <v>3</v>
      </c>
      <c r="D989">
        <v>25.5</v>
      </c>
      <c r="E989">
        <v>76.5</v>
      </c>
      <c r="F989" s="58">
        <v>45697</v>
      </c>
      <c r="G989" s="58">
        <v>45700</v>
      </c>
      <c r="H989" t="s">
        <v>229</v>
      </c>
      <c r="I989" t="s">
        <v>60</v>
      </c>
      <c r="J989">
        <v>4</v>
      </c>
      <c r="K989" t="s">
        <v>103</v>
      </c>
      <c r="L989" t="s">
        <v>115</v>
      </c>
      <c r="M989">
        <f>orders[[#This Row],[Ship Date]]-orders[[#This Row],[Order Date]]</f>
        <v>3</v>
      </c>
      <c r="N989">
        <f>WEEKNUM(orders[[#This Row],[Order Date]],1)</f>
        <v>7</v>
      </c>
      <c r="O989" t="str">
        <f t="array" ref="O989">_xlfn.IFS(orders[[#This Row],[Customer Gender]]="M","Male", orders[[#This Row],[Customer Gender]]="F","Female", orders[[#This Row],[Customer Gender]]="O","Other", TRUE(),"Unknown")</f>
        <v>Male</v>
      </c>
    </row>
    <row r="990" spans="1:15" x14ac:dyDescent="0.25">
      <c r="A990" t="s">
        <v>1218</v>
      </c>
      <c r="B990" t="s">
        <v>86</v>
      </c>
      <c r="C990">
        <v>3</v>
      </c>
      <c r="D990">
        <v>32</v>
      </c>
      <c r="E990">
        <v>96</v>
      </c>
      <c r="F990" s="58">
        <v>45697</v>
      </c>
      <c r="G990" s="58">
        <v>45701</v>
      </c>
      <c r="H990" t="s">
        <v>231</v>
      </c>
      <c r="I990" t="s">
        <v>63</v>
      </c>
      <c r="J990">
        <v>4</v>
      </c>
      <c r="K990" t="s">
        <v>103</v>
      </c>
      <c r="L990" t="s">
        <v>120</v>
      </c>
      <c r="M990">
        <f>orders[[#This Row],[Ship Date]]-orders[[#This Row],[Order Date]]</f>
        <v>4</v>
      </c>
      <c r="N990">
        <f>WEEKNUM(orders[[#This Row],[Order Date]],1)</f>
        <v>7</v>
      </c>
      <c r="O990" t="str">
        <f t="array" ref="O990">_xlfn.IFS(orders[[#This Row],[Customer Gender]]="M","Male", orders[[#This Row],[Customer Gender]]="F","Female", orders[[#This Row],[Customer Gender]]="O","Other", TRUE(),"Unknown")</f>
        <v>Female</v>
      </c>
    </row>
    <row r="991" spans="1:15" x14ac:dyDescent="0.25">
      <c r="A991" t="s">
        <v>1219</v>
      </c>
      <c r="B991" t="s">
        <v>91</v>
      </c>
      <c r="C991">
        <v>1</v>
      </c>
      <c r="D991">
        <v>47.1</v>
      </c>
      <c r="E991">
        <v>47.1</v>
      </c>
      <c r="F991" s="58">
        <v>45697</v>
      </c>
      <c r="G991" s="58">
        <v>45698</v>
      </c>
      <c r="H991" t="s">
        <v>231</v>
      </c>
      <c r="I991" t="s">
        <v>59</v>
      </c>
      <c r="J991">
        <v>4</v>
      </c>
      <c r="K991" t="s">
        <v>103</v>
      </c>
      <c r="L991" t="s">
        <v>121</v>
      </c>
      <c r="M991">
        <f>orders[[#This Row],[Ship Date]]-orders[[#This Row],[Order Date]]</f>
        <v>1</v>
      </c>
      <c r="N991">
        <f>WEEKNUM(orders[[#This Row],[Order Date]],1)</f>
        <v>7</v>
      </c>
      <c r="O991" t="str">
        <f t="array" ref="O991">_xlfn.IFS(orders[[#This Row],[Customer Gender]]="M","Male", orders[[#This Row],[Customer Gender]]="F","Female", orders[[#This Row],[Customer Gender]]="O","Other", TRUE(),"Unknown")</f>
        <v>Female</v>
      </c>
    </row>
    <row r="992" spans="1:15" x14ac:dyDescent="0.25">
      <c r="A992" t="s">
        <v>1220</v>
      </c>
      <c r="B992" t="s">
        <v>80</v>
      </c>
      <c r="C992">
        <v>2</v>
      </c>
      <c r="D992">
        <v>50.6</v>
      </c>
      <c r="E992">
        <v>101.2</v>
      </c>
      <c r="F992" s="58">
        <v>45697</v>
      </c>
      <c r="G992" s="58">
        <v>45703</v>
      </c>
      <c r="I992" t="s">
        <v>59</v>
      </c>
      <c r="J992">
        <v>4</v>
      </c>
      <c r="K992" t="s">
        <v>103</v>
      </c>
      <c r="L992" t="s">
        <v>124</v>
      </c>
      <c r="M992">
        <f>orders[[#This Row],[Ship Date]]-orders[[#This Row],[Order Date]]</f>
        <v>6</v>
      </c>
      <c r="N992">
        <f>WEEKNUM(orders[[#This Row],[Order Date]],1)</f>
        <v>7</v>
      </c>
      <c r="O992" t="str">
        <f t="array" ref="O992">_xlfn.IFS(orders[[#This Row],[Customer Gender]]="M","Male", orders[[#This Row],[Customer Gender]]="F","Female", orders[[#This Row],[Customer Gender]]="O","Other", TRUE(),"Unknown")</f>
        <v>Unknown</v>
      </c>
    </row>
    <row r="993" spans="1:15" x14ac:dyDescent="0.25">
      <c r="A993" t="s">
        <v>1221</v>
      </c>
      <c r="B993" t="s">
        <v>80</v>
      </c>
      <c r="C993">
        <v>5</v>
      </c>
      <c r="D993">
        <v>81.7</v>
      </c>
      <c r="E993">
        <v>408.5</v>
      </c>
      <c r="F993" s="58">
        <v>45697</v>
      </c>
      <c r="G993" s="58">
        <v>45698</v>
      </c>
      <c r="H993" t="s">
        <v>231</v>
      </c>
      <c r="I993" t="s">
        <v>63</v>
      </c>
      <c r="J993">
        <v>5</v>
      </c>
      <c r="K993" t="s">
        <v>103</v>
      </c>
      <c r="L993" t="s">
        <v>124</v>
      </c>
      <c r="M993">
        <f>orders[[#This Row],[Ship Date]]-orders[[#This Row],[Order Date]]</f>
        <v>1</v>
      </c>
      <c r="N993">
        <f>WEEKNUM(orders[[#This Row],[Order Date]],1)</f>
        <v>7</v>
      </c>
      <c r="O993" t="str">
        <f t="array" ref="O993">_xlfn.IFS(orders[[#This Row],[Customer Gender]]="M","Male", orders[[#This Row],[Customer Gender]]="F","Female", orders[[#This Row],[Customer Gender]]="O","Other", TRUE(),"Unknown")</f>
        <v>Female</v>
      </c>
    </row>
    <row r="994" spans="1:15" x14ac:dyDescent="0.25">
      <c r="A994" t="s">
        <v>1222</v>
      </c>
      <c r="B994" t="s">
        <v>85</v>
      </c>
      <c r="C994">
        <v>2</v>
      </c>
      <c r="D994">
        <v>50.7</v>
      </c>
      <c r="E994">
        <v>101.4</v>
      </c>
      <c r="F994" s="58">
        <v>45697</v>
      </c>
      <c r="G994" s="58">
        <v>45698</v>
      </c>
      <c r="H994" t="s">
        <v>263</v>
      </c>
      <c r="I994" t="s">
        <v>62</v>
      </c>
      <c r="J994">
        <v>5</v>
      </c>
      <c r="K994" t="s">
        <v>103</v>
      </c>
      <c r="L994" t="s">
        <v>124</v>
      </c>
      <c r="M994">
        <f>orders[[#This Row],[Ship Date]]-orders[[#This Row],[Order Date]]</f>
        <v>1</v>
      </c>
      <c r="N994">
        <f>WEEKNUM(orders[[#This Row],[Order Date]],1)</f>
        <v>7</v>
      </c>
      <c r="O994" t="str">
        <f t="array" ref="O994">_xlfn.IFS(orders[[#This Row],[Customer Gender]]="M","Male", orders[[#This Row],[Customer Gender]]="F","Female", orders[[#This Row],[Customer Gender]]="O","Other", TRUE(),"Unknown")</f>
        <v>Other</v>
      </c>
    </row>
    <row r="995" spans="1:15" x14ac:dyDescent="0.25">
      <c r="A995" t="s">
        <v>1223</v>
      </c>
      <c r="B995" t="s">
        <v>87</v>
      </c>
      <c r="C995">
        <v>19</v>
      </c>
      <c r="D995">
        <v>67.3</v>
      </c>
      <c r="E995">
        <v>1278.7</v>
      </c>
      <c r="F995" s="58">
        <v>45697</v>
      </c>
      <c r="G995" s="58">
        <v>45701</v>
      </c>
      <c r="H995" t="s">
        <v>231</v>
      </c>
      <c r="I995" t="s">
        <v>62</v>
      </c>
      <c r="J995">
        <v>4</v>
      </c>
      <c r="K995" t="s">
        <v>103</v>
      </c>
      <c r="L995" t="s">
        <v>124</v>
      </c>
      <c r="M995">
        <f>orders[[#This Row],[Ship Date]]-orders[[#This Row],[Order Date]]</f>
        <v>4</v>
      </c>
      <c r="N995">
        <f>WEEKNUM(orders[[#This Row],[Order Date]],1)</f>
        <v>7</v>
      </c>
      <c r="O995" t="str">
        <f t="array" ref="O995">_xlfn.IFS(orders[[#This Row],[Customer Gender]]="M","Male", orders[[#This Row],[Customer Gender]]="F","Female", orders[[#This Row],[Customer Gender]]="O","Other", TRUE(),"Unknown")</f>
        <v>Female</v>
      </c>
    </row>
    <row r="996" spans="1:15" x14ac:dyDescent="0.25">
      <c r="A996" t="s">
        <v>1224</v>
      </c>
      <c r="B996" t="s">
        <v>87</v>
      </c>
      <c r="C996">
        <v>4</v>
      </c>
      <c r="D996">
        <v>64.8</v>
      </c>
      <c r="E996">
        <v>259.2</v>
      </c>
      <c r="F996" s="58">
        <v>45697</v>
      </c>
      <c r="G996" s="58">
        <v>45700</v>
      </c>
      <c r="H996" t="s">
        <v>231</v>
      </c>
      <c r="I996" t="s">
        <v>60</v>
      </c>
      <c r="J996">
        <v>4</v>
      </c>
      <c r="K996" t="s">
        <v>103</v>
      </c>
      <c r="L996" t="s">
        <v>124</v>
      </c>
      <c r="M996">
        <f>orders[[#This Row],[Ship Date]]-orders[[#This Row],[Order Date]]</f>
        <v>3</v>
      </c>
      <c r="N996">
        <f>WEEKNUM(orders[[#This Row],[Order Date]],1)</f>
        <v>7</v>
      </c>
      <c r="O996" t="str">
        <f t="array" ref="O996">_xlfn.IFS(orders[[#This Row],[Customer Gender]]="M","Male", orders[[#This Row],[Customer Gender]]="F","Female", orders[[#This Row],[Customer Gender]]="O","Other", TRUE(),"Unknown")</f>
        <v>Female</v>
      </c>
    </row>
    <row r="997" spans="1:15" x14ac:dyDescent="0.25">
      <c r="A997" t="s">
        <v>1225</v>
      </c>
      <c r="B997" t="s">
        <v>85</v>
      </c>
      <c r="C997">
        <v>22</v>
      </c>
      <c r="D997">
        <v>61.3</v>
      </c>
      <c r="E997">
        <v>1348.6</v>
      </c>
      <c r="F997" s="58">
        <v>45697</v>
      </c>
      <c r="G997" s="58">
        <v>45698</v>
      </c>
      <c r="H997" t="s">
        <v>231</v>
      </c>
      <c r="I997" t="s">
        <v>59</v>
      </c>
      <c r="J997">
        <v>5</v>
      </c>
      <c r="K997" t="s">
        <v>103</v>
      </c>
      <c r="L997" t="s">
        <v>124</v>
      </c>
      <c r="M997">
        <f>orders[[#This Row],[Ship Date]]-orders[[#This Row],[Order Date]]</f>
        <v>1</v>
      </c>
      <c r="N997">
        <f>WEEKNUM(orders[[#This Row],[Order Date]],1)</f>
        <v>7</v>
      </c>
      <c r="O997" t="str">
        <f t="array" ref="O997">_xlfn.IFS(orders[[#This Row],[Customer Gender]]="M","Male", orders[[#This Row],[Customer Gender]]="F","Female", orders[[#This Row],[Customer Gender]]="O","Other", TRUE(),"Unknown")</f>
        <v>Female</v>
      </c>
    </row>
    <row r="998" spans="1:15" x14ac:dyDescent="0.25">
      <c r="A998" t="s">
        <v>1226</v>
      </c>
      <c r="B998" t="s">
        <v>74</v>
      </c>
      <c r="C998">
        <v>1</v>
      </c>
      <c r="D998">
        <v>32.9</v>
      </c>
      <c r="E998">
        <v>32.9</v>
      </c>
      <c r="F998" s="58">
        <v>45697</v>
      </c>
      <c r="G998" s="58">
        <v>45700</v>
      </c>
      <c r="H998" t="s">
        <v>231</v>
      </c>
      <c r="I998" t="s">
        <v>61</v>
      </c>
      <c r="J998">
        <v>4</v>
      </c>
      <c r="K998" t="s">
        <v>103</v>
      </c>
      <c r="L998" t="s">
        <v>124</v>
      </c>
      <c r="M998">
        <f>orders[[#This Row],[Ship Date]]-orders[[#This Row],[Order Date]]</f>
        <v>3</v>
      </c>
      <c r="N998">
        <f>WEEKNUM(orders[[#This Row],[Order Date]],1)</f>
        <v>7</v>
      </c>
      <c r="O998" t="str">
        <f t="array" ref="O998">_xlfn.IFS(orders[[#This Row],[Customer Gender]]="M","Male", orders[[#This Row],[Customer Gender]]="F","Female", orders[[#This Row],[Customer Gender]]="O","Other", TRUE(),"Unknown")</f>
        <v>Female</v>
      </c>
    </row>
    <row r="999" spans="1:15" x14ac:dyDescent="0.25">
      <c r="A999" t="s">
        <v>1227</v>
      </c>
      <c r="B999" t="s">
        <v>80</v>
      </c>
      <c r="C999">
        <v>2</v>
      </c>
      <c r="D999">
        <v>100.8</v>
      </c>
      <c r="E999">
        <v>201.6</v>
      </c>
      <c r="F999" s="58">
        <v>45697</v>
      </c>
      <c r="G999" s="58">
        <v>45700</v>
      </c>
      <c r="H999" t="s">
        <v>231</v>
      </c>
      <c r="I999" t="s">
        <v>59</v>
      </c>
      <c r="J999">
        <v>4</v>
      </c>
      <c r="K999" t="s">
        <v>103</v>
      </c>
      <c r="L999" t="s">
        <v>124</v>
      </c>
      <c r="M999">
        <f>orders[[#This Row],[Ship Date]]-orders[[#This Row],[Order Date]]</f>
        <v>3</v>
      </c>
      <c r="N999">
        <f>WEEKNUM(orders[[#This Row],[Order Date]],1)</f>
        <v>7</v>
      </c>
      <c r="O999" t="str">
        <f t="array" ref="O999">_xlfn.IFS(orders[[#This Row],[Customer Gender]]="M","Male", orders[[#This Row],[Customer Gender]]="F","Female", orders[[#This Row],[Customer Gender]]="O","Other", TRUE(),"Unknown")</f>
        <v>Female</v>
      </c>
    </row>
    <row r="1000" spans="1:15" x14ac:dyDescent="0.25">
      <c r="A1000" t="s">
        <v>1228</v>
      </c>
      <c r="B1000" t="s">
        <v>90</v>
      </c>
      <c r="C1000">
        <v>4</v>
      </c>
      <c r="D1000">
        <v>25.1</v>
      </c>
      <c r="E1000">
        <v>100.4</v>
      </c>
      <c r="F1000" s="58">
        <v>45697</v>
      </c>
      <c r="G1000" s="58">
        <v>45699</v>
      </c>
      <c r="H1000" t="s">
        <v>231</v>
      </c>
      <c r="I1000" t="s">
        <v>63</v>
      </c>
      <c r="J1000">
        <v>4</v>
      </c>
      <c r="K1000" t="s">
        <v>103</v>
      </c>
      <c r="L1000" t="s">
        <v>124</v>
      </c>
      <c r="M1000">
        <f>orders[[#This Row],[Ship Date]]-orders[[#This Row],[Order Date]]</f>
        <v>2</v>
      </c>
      <c r="N1000">
        <f>WEEKNUM(orders[[#This Row],[Order Date]],1)</f>
        <v>7</v>
      </c>
      <c r="O1000" t="str">
        <f t="array" ref="O1000">_xlfn.IFS(orders[[#This Row],[Customer Gender]]="M","Male", orders[[#This Row],[Customer Gender]]="F","Female", orders[[#This Row],[Customer Gender]]="O","Other", TRUE(),"Unknown")</f>
        <v>Female</v>
      </c>
    </row>
    <row r="1001" spans="1:15" x14ac:dyDescent="0.25">
      <c r="A1001" t="s">
        <v>1229</v>
      </c>
      <c r="B1001" t="s">
        <v>84</v>
      </c>
      <c r="C1001">
        <v>1</v>
      </c>
      <c r="D1001">
        <v>48.5</v>
      </c>
      <c r="E1001">
        <v>48.5</v>
      </c>
      <c r="F1001" s="58">
        <v>45697</v>
      </c>
      <c r="G1001" s="58">
        <v>45698</v>
      </c>
      <c r="H1001" t="s">
        <v>231</v>
      </c>
      <c r="I1001" t="s">
        <v>59</v>
      </c>
      <c r="J1001">
        <v>3</v>
      </c>
      <c r="K1001" t="s">
        <v>103</v>
      </c>
      <c r="L1001" t="s">
        <v>124</v>
      </c>
      <c r="M1001">
        <f>orders[[#This Row],[Ship Date]]-orders[[#This Row],[Order Date]]</f>
        <v>1</v>
      </c>
      <c r="N1001">
        <f>WEEKNUM(orders[[#This Row],[Order Date]],1)</f>
        <v>7</v>
      </c>
      <c r="O1001" t="str">
        <f t="array" ref="O1001">_xlfn.IFS(orders[[#This Row],[Customer Gender]]="M","Male", orders[[#This Row],[Customer Gender]]="F","Female", orders[[#This Row],[Customer Gender]]="O","Other", TRUE(),"Unknown")</f>
        <v>Female</v>
      </c>
    </row>
    <row r="1002" spans="1:15" x14ac:dyDescent="0.25">
      <c r="A1002" t="s">
        <v>1230</v>
      </c>
      <c r="B1002" t="s">
        <v>79</v>
      </c>
      <c r="C1002">
        <v>2</v>
      </c>
      <c r="D1002">
        <v>33.6</v>
      </c>
      <c r="E1002">
        <v>67.2</v>
      </c>
      <c r="F1002" s="58">
        <v>45697</v>
      </c>
      <c r="G1002" s="58">
        <v>45701</v>
      </c>
      <c r="H1002" t="s">
        <v>231</v>
      </c>
      <c r="I1002" t="s">
        <v>62</v>
      </c>
      <c r="J1002">
        <v>5</v>
      </c>
      <c r="K1002" t="s">
        <v>103</v>
      </c>
      <c r="L1002" t="s">
        <v>124</v>
      </c>
      <c r="M1002">
        <f>orders[[#This Row],[Ship Date]]-orders[[#This Row],[Order Date]]</f>
        <v>4</v>
      </c>
      <c r="N1002">
        <f>WEEKNUM(orders[[#This Row],[Order Date]],1)</f>
        <v>7</v>
      </c>
      <c r="O1002" t="str">
        <f t="array" ref="O1002">_xlfn.IFS(orders[[#This Row],[Customer Gender]]="M","Male", orders[[#This Row],[Customer Gender]]="F","Female", orders[[#This Row],[Customer Gender]]="O","Other", TRUE(),"Unknown")</f>
        <v>Female</v>
      </c>
    </row>
    <row r="1003" spans="1:15" x14ac:dyDescent="0.25">
      <c r="A1003" t="s">
        <v>1231</v>
      </c>
      <c r="B1003" t="s">
        <v>90</v>
      </c>
      <c r="C1003">
        <v>1</v>
      </c>
      <c r="D1003">
        <v>39.299999999999997</v>
      </c>
      <c r="E1003">
        <v>39.299999999999997</v>
      </c>
      <c r="F1003" s="58">
        <v>45697</v>
      </c>
      <c r="G1003" s="58">
        <v>45708</v>
      </c>
      <c r="H1003" t="s">
        <v>231</v>
      </c>
      <c r="I1003" t="s">
        <v>63</v>
      </c>
      <c r="J1003">
        <v>3</v>
      </c>
      <c r="K1003" t="s">
        <v>103</v>
      </c>
      <c r="L1003" t="s">
        <v>132</v>
      </c>
      <c r="M1003">
        <f>orders[[#This Row],[Ship Date]]-orders[[#This Row],[Order Date]]</f>
        <v>11</v>
      </c>
      <c r="N1003">
        <f>WEEKNUM(orders[[#This Row],[Order Date]],1)</f>
        <v>7</v>
      </c>
      <c r="O1003" t="str">
        <f t="array" ref="O1003">_xlfn.IFS(orders[[#This Row],[Customer Gender]]="M","Male", orders[[#This Row],[Customer Gender]]="F","Female", orders[[#This Row],[Customer Gender]]="O","Other", TRUE(),"Unknown")</f>
        <v>Female</v>
      </c>
    </row>
    <row r="1004" spans="1:15" x14ac:dyDescent="0.25">
      <c r="A1004" t="s">
        <v>1232</v>
      </c>
      <c r="B1004" t="s">
        <v>78</v>
      </c>
      <c r="C1004">
        <v>10</v>
      </c>
      <c r="D1004">
        <v>48.8</v>
      </c>
      <c r="E1004">
        <v>488</v>
      </c>
      <c r="F1004" s="58">
        <v>45697</v>
      </c>
      <c r="G1004" s="58">
        <v>45699</v>
      </c>
      <c r="H1004" t="s">
        <v>231</v>
      </c>
      <c r="I1004" t="s">
        <v>60</v>
      </c>
      <c r="J1004">
        <v>3</v>
      </c>
      <c r="K1004" t="s">
        <v>103</v>
      </c>
      <c r="L1004" t="s">
        <v>135</v>
      </c>
      <c r="M1004">
        <f>orders[[#This Row],[Ship Date]]-orders[[#This Row],[Order Date]]</f>
        <v>2</v>
      </c>
      <c r="N1004">
        <f>WEEKNUM(orders[[#This Row],[Order Date]],1)</f>
        <v>7</v>
      </c>
      <c r="O1004" t="str">
        <f t="array" ref="O1004">_xlfn.IFS(orders[[#This Row],[Customer Gender]]="M","Male", orders[[#This Row],[Customer Gender]]="F","Female", orders[[#This Row],[Customer Gender]]="O","Other", TRUE(),"Unknown")</f>
        <v>Female</v>
      </c>
    </row>
    <row r="1005" spans="1:15" x14ac:dyDescent="0.25">
      <c r="A1005" t="s">
        <v>1233</v>
      </c>
      <c r="B1005" t="s">
        <v>80</v>
      </c>
      <c r="C1005">
        <v>8</v>
      </c>
      <c r="D1005">
        <v>72.8</v>
      </c>
      <c r="E1005">
        <v>582.4</v>
      </c>
      <c r="F1005" s="58">
        <v>45697</v>
      </c>
      <c r="G1005" s="58">
        <v>45699</v>
      </c>
      <c r="H1005" t="s">
        <v>229</v>
      </c>
      <c r="I1005" t="s">
        <v>63</v>
      </c>
      <c r="J1005">
        <v>5</v>
      </c>
      <c r="K1005" t="s">
        <v>103</v>
      </c>
      <c r="L1005" t="s">
        <v>136</v>
      </c>
      <c r="M1005">
        <f>orders[[#This Row],[Ship Date]]-orders[[#This Row],[Order Date]]</f>
        <v>2</v>
      </c>
      <c r="N1005">
        <f>WEEKNUM(orders[[#This Row],[Order Date]],1)</f>
        <v>7</v>
      </c>
      <c r="O1005" t="str">
        <f t="array" ref="O1005">_xlfn.IFS(orders[[#This Row],[Customer Gender]]="M","Male", orders[[#This Row],[Customer Gender]]="F","Female", orders[[#This Row],[Customer Gender]]="O","Other", TRUE(),"Unknown")</f>
        <v>Male</v>
      </c>
    </row>
    <row r="1006" spans="1:15" x14ac:dyDescent="0.25">
      <c r="A1006" t="s">
        <v>1234</v>
      </c>
      <c r="B1006" t="s">
        <v>75</v>
      </c>
      <c r="C1006">
        <v>8</v>
      </c>
      <c r="D1006">
        <v>46.2</v>
      </c>
      <c r="E1006">
        <v>369.6</v>
      </c>
      <c r="F1006" s="58">
        <v>45697</v>
      </c>
      <c r="G1006" s="58">
        <v>45698</v>
      </c>
      <c r="H1006" t="s">
        <v>229</v>
      </c>
      <c r="I1006" t="s">
        <v>60</v>
      </c>
      <c r="J1006">
        <v>2</v>
      </c>
      <c r="K1006" t="s">
        <v>103</v>
      </c>
      <c r="L1006" t="s">
        <v>136</v>
      </c>
      <c r="M1006">
        <f>orders[[#This Row],[Ship Date]]-orders[[#This Row],[Order Date]]</f>
        <v>1</v>
      </c>
      <c r="N1006">
        <f>WEEKNUM(orders[[#This Row],[Order Date]],1)</f>
        <v>7</v>
      </c>
      <c r="O1006" t="str">
        <f t="array" ref="O1006">_xlfn.IFS(orders[[#This Row],[Customer Gender]]="M","Male", orders[[#This Row],[Customer Gender]]="F","Female", orders[[#This Row],[Customer Gender]]="O","Other", TRUE(),"Unknown")</f>
        <v>Male</v>
      </c>
    </row>
    <row r="1007" spans="1:15" x14ac:dyDescent="0.25">
      <c r="A1007" t="s">
        <v>1235</v>
      </c>
      <c r="B1007" t="s">
        <v>78</v>
      </c>
      <c r="C1007">
        <v>2</v>
      </c>
      <c r="D1007">
        <v>20.7</v>
      </c>
      <c r="E1007">
        <v>41.4</v>
      </c>
      <c r="F1007" s="58">
        <v>45697</v>
      </c>
      <c r="G1007" s="58">
        <v>45698</v>
      </c>
      <c r="H1007" t="s">
        <v>231</v>
      </c>
      <c r="I1007" t="s">
        <v>62</v>
      </c>
      <c r="J1007">
        <v>1</v>
      </c>
      <c r="K1007" t="s">
        <v>103</v>
      </c>
      <c r="L1007" t="s">
        <v>139</v>
      </c>
      <c r="M1007">
        <f>orders[[#This Row],[Ship Date]]-orders[[#This Row],[Order Date]]</f>
        <v>1</v>
      </c>
      <c r="N1007">
        <f>WEEKNUM(orders[[#This Row],[Order Date]],1)</f>
        <v>7</v>
      </c>
      <c r="O1007" t="str">
        <f t="array" ref="O1007">_xlfn.IFS(orders[[#This Row],[Customer Gender]]="M","Male", orders[[#This Row],[Customer Gender]]="F","Female", orders[[#This Row],[Customer Gender]]="O","Other", TRUE(),"Unknown")</f>
        <v>Female</v>
      </c>
    </row>
    <row r="1008" spans="1:15" x14ac:dyDescent="0.25">
      <c r="A1008" t="s">
        <v>1236</v>
      </c>
      <c r="B1008" t="s">
        <v>86</v>
      </c>
      <c r="C1008">
        <v>1</v>
      </c>
      <c r="D1008">
        <v>35.700000000000003</v>
      </c>
      <c r="E1008">
        <v>35.700000000000003</v>
      </c>
      <c r="F1008" s="58">
        <v>45697</v>
      </c>
      <c r="G1008" s="58">
        <v>45699</v>
      </c>
      <c r="H1008" t="s">
        <v>231</v>
      </c>
      <c r="I1008" t="s">
        <v>60</v>
      </c>
      <c r="J1008">
        <v>4</v>
      </c>
      <c r="K1008" t="s">
        <v>103</v>
      </c>
      <c r="L1008" t="s">
        <v>139</v>
      </c>
      <c r="M1008">
        <f>orders[[#This Row],[Ship Date]]-orders[[#This Row],[Order Date]]</f>
        <v>2</v>
      </c>
      <c r="N1008">
        <f>WEEKNUM(orders[[#This Row],[Order Date]],1)</f>
        <v>7</v>
      </c>
      <c r="O1008" t="str">
        <f t="array" ref="O1008">_xlfn.IFS(orders[[#This Row],[Customer Gender]]="M","Male", orders[[#This Row],[Customer Gender]]="F","Female", orders[[#This Row],[Customer Gender]]="O","Other", TRUE(),"Unknown")</f>
        <v>Female</v>
      </c>
    </row>
    <row r="1009" spans="1:15" x14ac:dyDescent="0.25">
      <c r="A1009" t="s">
        <v>1237</v>
      </c>
      <c r="B1009" t="s">
        <v>87</v>
      </c>
      <c r="C1009">
        <v>16</v>
      </c>
      <c r="D1009">
        <v>166.2</v>
      </c>
      <c r="E1009">
        <v>2659.2</v>
      </c>
      <c r="F1009" s="58">
        <v>45697</v>
      </c>
      <c r="G1009" s="58">
        <v>45699</v>
      </c>
      <c r="I1009" t="s">
        <v>62</v>
      </c>
      <c r="J1009">
        <v>4</v>
      </c>
      <c r="K1009" t="s">
        <v>103</v>
      </c>
      <c r="L1009" t="s">
        <v>141</v>
      </c>
      <c r="M1009">
        <f>orders[[#This Row],[Ship Date]]-orders[[#This Row],[Order Date]]</f>
        <v>2</v>
      </c>
      <c r="N1009">
        <f>WEEKNUM(orders[[#This Row],[Order Date]],1)</f>
        <v>7</v>
      </c>
      <c r="O1009" t="str">
        <f t="array" ref="O1009">_xlfn.IFS(orders[[#This Row],[Customer Gender]]="M","Male", orders[[#This Row],[Customer Gender]]="F","Female", orders[[#This Row],[Customer Gender]]="O","Other", TRUE(),"Unknown")</f>
        <v>Unknown</v>
      </c>
    </row>
    <row r="1010" spans="1:15" x14ac:dyDescent="0.25">
      <c r="A1010" t="s">
        <v>1238</v>
      </c>
      <c r="B1010" t="s">
        <v>80</v>
      </c>
      <c r="C1010">
        <v>4</v>
      </c>
      <c r="D1010">
        <v>85.8</v>
      </c>
      <c r="E1010">
        <v>343.2</v>
      </c>
      <c r="F1010" s="58">
        <v>45697</v>
      </c>
      <c r="G1010" s="58">
        <v>45698</v>
      </c>
      <c r="H1010" t="s">
        <v>231</v>
      </c>
      <c r="I1010" t="s">
        <v>63</v>
      </c>
      <c r="J1010">
        <v>3</v>
      </c>
      <c r="K1010" t="s">
        <v>103</v>
      </c>
      <c r="L1010" t="s">
        <v>141</v>
      </c>
      <c r="M1010">
        <f>orders[[#This Row],[Ship Date]]-orders[[#This Row],[Order Date]]</f>
        <v>1</v>
      </c>
      <c r="N1010">
        <f>WEEKNUM(orders[[#This Row],[Order Date]],1)</f>
        <v>7</v>
      </c>
      <c r="O1010" t="str">
        <f t="array" ref="O1010">_xlfn.IFS(orders[[#This Row],[Customer Gender]]="M","Male", orders[[#This Row],[Customer Gender]]="F","Female", orders[[#This Row],[Customer Gender]]="O","Other", TRUE(),"Unknown")</f>
        <v>Female</v>
      </c>
    </row>
    <row r="1011" spans="1:15" x14ac:dyDescent="0.25">
      <c r="A1011" t="s">
        <v>1239</v>
      </c>
      <c r="B1011" t="s">
        <v>90</v>
      </c>
      <c r="C1011">
        <v>3</v>
      </c>
      <c r="D1011">
        <v>26</v>
      </c>
      <c r="E1011">
        <v>78</v>
      </c>
      <c r="F1011" s="58">
        <v>45697</v>
      </c>
      <c r="G1011" s="58">
        <v>45699</v>
      </c>
      <c r="H1011" t="s">
        <v>263</v>
      </c>
      <c r="I1011" t="s">
        <v>63</v>
      </c>
      <c r="J1011">
        <v>4</v>
      </c>
      <c r="K1011" t="s">
        <v>103</v>
      </c>
      <c r="L1011" t="s">
        <v>141</v>
      </c>
      <c r="M1011">
        <f>orders[[#This Row],[Ship Date]]-orders[[#This Row],[Order Date]]</f>
        <v>2</v>
      </c>
      <c r="N1011">
        <f>WEEKNUM(orders[[#This Row],[Order Date]],1)</f>
        <v>7</v>
      </c>
      <c r="O1011" t="str">
        <f t="array" ref="O1011">_xlfn.IFS(orders[[#This Row],[Customer Gender]]="M","Male", orders[[#This Row],[Customer Gender]]="F","Female", orders[[#This Row],[Customer Gender]]="O","Other", TRUE(),"Unknown")</f>
        <v>Other</v>
      </c>
    </row>
    <row r="1012" spans="1:15" x14ac:dyDescent="0.25">
      <c r="A1012" t="s">
        <v>1240</v>
      </c>
      <c r="B1012" t="s">
        <v>87</v>
      </c>
      <c r="C1012">
        <v>13</v>
      </c>
      <c r="D1012">
        <v>116.6</v>
      </c>
      <c r="E1012">
        <v>1515.8</v>
      </c>
      <c r="F1012" s="58">
        <v>45697</v>
      </c>
      <c r="G1012" s="58">
        <v>45700</v>
      </c>
      <c r="H1012" t="s">
        <v>231</v>
      </c>
      <c r="I1012" t="s">
        <v>59</v>
      </c>
      <c r="J1012">
        <v>4</v>
      </c>
      <c r="K1012" t="s">
        <v>103</v>
      </c>
      <c r="L1012" t="s">
        <v>142</v>
      </c>
      <c r="M1012">
        <f>orders[[#This Row],[Ship Date]]-orders[[#This Row],[Order Date]]</f>
        <v>3</v>
      </c>
      <c r="N1012">
        <f>WEEKNUM(orders[[#This Row],[Order Date]],1)</f>
        <v>7</v>
      </c>
      <c r="O1012" t="str">
        <f t="array" ref="O1012">_xlfn.IFS(orders[[#This Row],[Customer Gender]]="M","Male", orders[[#This Row],[Customer Gender]]="F","Female", orders[[#This Row],[Customer Gender]]="O","Other", TRUE(),"Unknown")</f>
        <v>Female</v>
      </c>
    </row>
    <row r="1013" spans="1:15" x14ac:dyDescent="0.25">
      <c r="A1013" t="s">
        <v>1241</v>
      </c>
      <c r="B1013" t="s">
        <v>88</v>
      </c>
      <c r="C1013">
        <v>7</v>
      </c>
      <c r="D1013">
        <v>53.9</v>
      </c>
      <c r="E1013">
        <v>377.3</v>
      </c>
      <c r="F1013" s="58">
        <v>45697</v>
      </c>
      <c r="G1013" s="58">
        <v>45700</v>
      </c>
      <c r="H1013" t="s">
        <v>263</v>
      </c>
      <c r="I1013" t="s">
        <v>59</v>
      </c>
      <c r="J1013">
        <v>5</v>
      </c>
      <c r="K1013" t="s">
        <v>103</v>
      </c>
      <c r="L1013" t="s">
        <v>142</v>
      </c>
      <c r="M1013">
        <f>orders[[#This Row],[Ship Date]]-orders[[#This Row],[Order Date]]</f>
        <v>3</v>
      </c>
      <c r="N1013">
        <f>WEEKNUM(orders[[#This Row],[Order Date]],1)</f>
        <v>7</v>
      </c>
      <c r="O1013" t="str">
        <f t="array" ref="O1013">_xlfn.IFS(orders[[#This Row],[Customer Gender]]="M","Male", orders[[#This Row],[Customer Gender]]="F","Female", orders[[#This Row],[Customer Gender]]="O","Other", TRUE(),"Unknown")</f>
        <v>Other</v>
      </c>
    </row>
    <row r="1014" spans="1:15" x14ac:dyDescent="0.25">
      <c r="A1014" t="s">
        <v>1242</v>
      </c>
      <c r="B1014" t="s">
        <v>76</v>
      </c>
      <c r="C1014">
        <v>5</v>
      </c>
      <c r="D1014">
        <v>72.3</v>
      </c>
      <c r="E1014">
        <v>361.5</v>
      </c>
      <c r="F1014" s="58">
        <v>45697</v>
      </c>
      <c r="G1014" s="58">
        <v>45699</v>
      </c>
      <c r="I1014" t="s">
        <v>62</v>
      </c>
      <c r="J1014">
        <v>5</v>
      </c>
      <c r="K1014" t="s">
        <v>103</v>
      </c>
      <c r="L1014" t="s">
        <v>142</v>
      </c>
      <c r="M1014">
        <f>orders[[#This Row],[Ship Date]]-orders[[#This Row],[Order Date]]</f>
        <v>2</v>
      </c>
      <c r="N1014">
        <f>WEEKNUM(orders[[#This Row],[Order Date]],1)</f>
        <v>7</v>
      </c>
      <c r="O1014" t="str">
        <f t="array" ref="O1014">_xlfn.IFS(orders[[#This Row],[Customer Gender]]="M","Male", orders[[#This Row],[Customer Gender]]="F","Female", orders[[#This Row],[Customer Gender]]="O","Other", TRUE(),"Unknown")</f>
        <v>Unknown</v>
      </c>
    </row>
    <row r="1015" spans="1:15" x14ac:dyDescent="0.25">
      <c r="A1015" t="s">
        <v>1243</v>
      </c>
      <c r="B1015" t="s">
        <v>85</v>
      </c>
      <c r="C1015">
        <v>2</v>
      </c>
      <c r="D1015">
        <v>31.4</v>
      </c>
      <c r="E1015">
        <v>62.8</v>
      </c>
      <c r="F1015" s="58">
        <v>45697</v>
      </c>
      <c r="G1015" s="58">
        <v>45699</v>
      </c>
      <c r="H1015" t="s">
        <v>231</v>
      </c>
      <c r="I1015" t="s">
        <v>59</v>
      </c>
      <c r="J1015">
        <v>4</v>
      </c>
      <c r="K1015" t="s">
        <v>103</v>
      </c>
      <c r="L1015" t="s">
        <v>142</v>
      </c>
      <c r="M1015">
        <f>orders[[#This Row],[Ship Date]]-orders[[#This Row],[Order Date]]</f>
        <v>2</v>
      </c>
      <c r="N1015">
        <f>WEEKNUM(orders[[#This Row],[Order Date]],1)</f>
        <v>7</v>
      </c>
      <c r="O1015" t="str">
        <f t="array" ref="O1015">_xlfn.IFS(orders[[#This Row],[Customer Gender]]="M","Male", orders[[#This Row],[Customer Gender]]="F","Female", orders[[#This Row],[Customer Gender]]="O","Other", TRUE(),"Unknown")</f>
        <v>Female</v>
      </c>
    </row>
    <row r="1016" spans="1:15" x14ac:dyDescent="0.25">
      <c r="A1016" t="s">
        <v>1244</v>
      </c>
      <c r="B1016" t="s">
        <v>92</v>
      </c>
      <c r="C1016">
        <v>2</v>
      </c>
      <c r="D1016">
        <v>53.1</v>
      </c>
      <c r="E1016">
        <v>106.2</v>
      </c>
      <c r="F1016" s="58">
        <v>45697</v>
      </c>
      <c r="G1016" s="58">
        <v>45700</v>
      </c>
      <c r="H1016" t="s">
        <v>229</v>
      </c>
      <c r="I1016" t="s">
        <v>63</v>
      </c>
      <c r="J1016">
        <v>4</v>
      </c>
      <c r="K1016" t="s">
        <v>103</v>
      </c>
      <c r="L1016" t="s">
        <v>142</v>
      </c>
      <c r="M1016">
        <f>orders[[#This Row],[Ship Date]]-orders[[#This Row],[Order Date]]</f>
        <v>3</v>
      </c>
      <c r="N1016">
        <f>WEEKNUM(orders[[#This Row],[Order Date]],1)</f>
        <v>7</v>
      </c>
      <c r="O1016" t="str">
        <f t="array" ref="O1016">_xlfn.IFS(orders[[#This Row],[Customer Gender]]="M","Male", orders[[#This Row],[Customer Gender]]="F","Female", orders[[#This Row],[Customer Gender]]="O","Other", TRUE(),"Unknown")</f>
        <v>Male</v>
      </c>
    </row>
    <row r="1017" spans="1:15" x14ac:dyDescent="0.25">
      <c r="A1017" t="s">
        <v>1245</v>
      </c>
      <c r="B1017" t="s">
        <v>87</v>
      </c>
      <c r="C1017">
        <v>4</v>
      </c>
      <c r="D1017">
        <v>56.2</v>
      </c>
      <c r="E1017">
        <v>224.8</v>
      </c>
      <c r="F1017" s="58">
        <v>45697</v>
      </c>
      <c r="G1017" s="58">
        <v>45698</v>
      </c>
      <c r="H1017" t="s">
        <v>231</v>
      </c>
      <c r="I1017" t="s">
        <v>59</v>
      </c>
      <c r="J1017">
        <v>4</v>
      </c>
      <c r="K1017" t="s">
        <v>103</v>
      </c>
      <c r="L1017" t="s">
        <v>142</v>
      </c>
      <c r="M1017">
        <f>orders[[#This Row],[Ship Date]]-orders[[#This Row],[Order Date]]</f>
        <v>1</v>
      </c>
      <c r="N1017">
        <f>WEEKNUM(orders[[#This Row],[Order Date]],1)</f>
        <v>7</v>
      </c>
      <c r="O1017" t="str">
        <f t="array" ref="O1017">_xlfn.IFS(orders[[#This Row],[Customer Gender]]="M","Male", orders[[#This Row],[Customer Gender]]="F","Female", orders[[#This Row],[Customer Gender]]="O","Other", TRUE(),"Unknown")</f>
        <v>Female</v>
      </c>
    </row>
    <row r="1018" spans="1:15" x14ac:dyDescent="0.25">
      <c r="A1018" t="s">
        <v>1246</v>
      </c>
      <c r="B1018" t="s">
        <v>91</v>
      </c>
      <c r="C1018">
        <v>10</v>
      </c>
      <c r="D1018">
        <v>77.3</v>
      </c>
      <c r="E1018">
        <v>773</v>
      </c>
      <c r="F1018" s="58">
        <v>45697</v>
      </c>
      <c r="G1018" s="58">
        <v>45698</v>
      </c>
      <c r="H1018" t="s">
        <v>231</v>
      </c>
      <c r="I1018" t="s">
        <v>62</v>
      </c>
      <c r="J1018">
        <v>4</v>
      </c>
      <c r="K1018" t="s">
        <v>103</v>
      </c>
      <c r="L1018" t="s">
        <v>148</v>
      </c>
      <c r="M1018">
        <f>orders[[#This Row],[Ship Date]]-orders[[#This Row],[Order Date]]</f>
        <v>1</v>
      </c>
      <c r="N1018">
        <f>WEEKNUM(orders[[#This Row],[Order Date]],1)</f>
        <v>7</v>
      </c>
      <c r="O1018" t="str">
        <f t="array" ref="O1018">_xlfn.IFS(orders[[#This Row],[Customer Gender]]="M","Male", orders[[#This Row],[Customer Gender]]="F","Female", orders[[#This Row],[Customer Gender]]="O","Other", TRUE(),"Unknown")</f>
        <v>Female</v>
      </c>
    </row>
    <row r="1019" spans="1:15" x14ac:dyDescent="0.25">
      <c r="A1019" t="s">
        <v>1247</v>
      </c>
      <c r="B1019" t="s">
        <v>80</v>
      </c>
      <c r="C1019">
        <v>13</v>
      </c>
      <c r="D1019">
        <v>57.8</v>
      </c>
      <c r="E1019">
        <v>751.4</v>
      </c>
      <c r="F1019" s="58">
        <v>45697</v>
      </c>
      <c r="G1019" s="58">
        <v>45698</v>
      </c>
      <c r="I1019" t="s">
        <v>59</v>
      </c>
      <c r="J1019">
        <v>4</v>
      </c>
      <c r="K1019" t="s">
        <v>103</v>
      </c>
      <c r="L1019" t="s">
        <v>150</v>
      </c>
      <c r="M1019">
        <f>orders[[#This Row],[Ship Date]]-orders[[#This Row],[Order Date]]</f>
        <v>1</v>
      </c>
      <c r="N1019">
        <f>WEEKNUM(orders[[#This Row],[Order Date]],1)</f>
        <v>7</v>
      </c>
      <c r="O1019" t="str">
        <f t="array" ref="O1019">_xlfn.IFS(orders[[#This Row],[Customer Gender]]="M","Male", orders[[#This Row],[Customer Gender]]="F","Female", orders[[#This Row],[Customer Gender]]="O","Other", TRUE(),"Unknown")</f>
        <v>Unknown</v>
      </c>
    </row>
    <row r="1020" spans="1:15" x14ac:dyDescent="0.25">
      <c r="A1020" t="s">
        <v>1248</v>
      </c>
      <c r="B1020" t="s">
        <v>76</v>
      </c>
      <c r="C1020">
        <v>15</v>
      </c>
      <c r="D1020">
        <v>42.1</v>
      </c>
      <c r="E1020">
        <v>631.5</v>
      </c>
      <c r="F1020" s="58">
        <v>45697</v>
      </c>
      <c r="G1020" s="58">
        <v>45699</v>
      </c>
      <c r="H1020" t="s">
        <v>231</v>
      </c>
      <c r="I1020" t="s">
        <v>63</v>
      </c>
      <c r="J1020">
        <v>3</v>
      </c>
      <c r="K1020" t="s">
        <v>103</v>
      </c>
      <c r="L1020" t="s">
        <v>150</v>
      </c>
      <c r="M1020">
        <f>orders[[#This Row],[Ship Date]]-orders[[#This Row],[Order Date]]</f>
        <v>2</v>
      </c>
      <c r="N1020">
        <f>WEEKNUM(orders[[#This Row],[Order Date]],1)</f>
        <v>7</v>
      </c>
      <c r="O1020" t="str">
        <f t="array" ref="O1020">_xlfn.IFS(orders[[#This Row],[Customer Gender]]="M","Male", orders[[#This Row],[Customer Gender]]="F","Female", orders[[#This Row],[Customer Gender]]="O","Other", TRUE(),"Unknown")</f>
        <v>Female</v>
      </c>
    </row>
    <row r="1021" spans="1:15" x14ac:dyDescent="0.25">
      <c r="A1021" t="s">
        <v>1249</v>
      </c>
      <c r="B1021" t="s">
        <v>90</v>
      </c>
      <c r="C1021">
        <v>9</v>
      </c>
      <c r="D1021">
        <v>22.8</v>
      </c>
      <c r="E1021">
        <v>205.2</v>
      </c>
      <c r="F1021" s="58">
        <v>45697</v>
      </c>
      <c r="G1021" s="58">
        <v>45701</v>
      </c>
      <c r="H1021" t="s">
        <v>229</v>
      </c>
      <c r="I1021" t="s">
        <v>62</v>
      </c>
      <c r="J1021">
        <v>5</v>
      </c>
      <c r="K1021" t="s">
        <v>103</v>
      </c>
      <c r="L1021" t="s">
        <v>155</v>
      </c>
      <c r="M1021">
        <f>orders[[#This Row],[Ship Date]]-orders[[#This Row],[Order Date]]</f>
        <v>4</v>
      </c>
      <c r="N1021">
        <f>WEEKNUM(orders[[#This Row],[Order Date]],1)</f>
        <v>7</v>
      </c>
      <c r="O1021" t="str">
        <f t="array" ref="O1021">_xlfn.IFS(orders[[#This Row],[Customer Gender]]="M","Male", orders[[#This Row],[Customer Gender]]="F","Female", orders[[#This Row],[Customer Gender]]="O","Other", TRUE(),"Unknown")</f>
        <v>Male</v>
      </c>
    </row>
    <row r="1022" spans="1:15" x14ac:dyDescent="0.25">
      <c r="A1022" t="s">
        <v>1250</v>
      </c>
      <c r="B1022" t="s">
        <v>87</v>
      </c>
      <c r="C1022">
        <v>3</v>
      </c>
      <c r="D1022">
        <v>171.1</v>
      </c>
      <c r="E1022">
        <v>513.29999999999995</v>
      </c>
      <c r="F1022" s="58">
        <v>45698</v>
      </c>
      <c r="G1022" s="58">
        <v>45705</v>
      </c>
      <c r="H1022" t="s">
        <v>231</v>
      </c>
      <c r="I1022" t="s">
        <v>62</v>
      </c>
      <c r="J1022">
        <v>3</v>
      </c>
      <c r="K1022" t="s">
        <v>103</v>
      </c>
      <c r="L1022" t="s">
        <v>155</v>
      </c>
      <c r="M1022">
        <f>orders[[#This Row],[Ship Date]]-orders[[#This Row],[Order Date]]</f>
        <v>7</v>
      </c>
      <c r="N1022">
        <f>WEEKNUM(orders[[#This Row],[Order Date]],1)</f>
        <v>7</v>
      </c>
      <c r="O1022" t="str">
        <f t="array" ref="O1022">_xlfn.IFS(orders[[#This Row],[Customer Gender]]="M","Male", orders[[#This Row],[Customer Gender]]="F","Female", orders[[#This Row],[Customer Gender]]="O","Other", TRUE(),"Unknown")</f>
        <v>Female</v>
      </c>
    </row>
    <row r="1023" spans="1:15" x14ac:dyDescent="0.25">
      <c r="A1023" t="s">
        <v>1251</v>
      </c>
      <c r="B1023" t="s">
        <v>90</v>
      </c>
      <c r="C1023">
        <v>1</v>
      </c>
      <c r="D1023">
        <v>28</v>
      </c>
      <c r="E1023">
        <v>28</v>
      </c>
      <c r="F1023" s="58">
        <v>45698</v>
      </c>
      <c r="G1023" s="58">
        <v>45700</v>
      </c>
      <c r="H1023" t="s">
        <v>229</v>
      </c>
      <c r="I1023" t="s">
        <v>62</v>
      </c>
      <c r="J1023">
        <v>5</v>
      </c>
      <c r="K1023" t="s">
        <v>103</v>
      </c>
      <c r="L1023" t="s">
        <v>106</v>
      </c>
      <c r="M1023">
        <f>orders[[#This Row],[Ship Date]]-orders[[#This Row],[Order Date]]</f>
        <v>2</v>
      </c>
      <c r="N1023">
        <f>WEEKNUM(orders[[#This Row],[Order Date]],1)</f>
        <v>7</v>
      </c>
      <c r="O1023" t="str">
        <f t="array" ref="O1023">_xlfn.IFS(orders[[#This Row],[Customer Gender]]="M","Male", orders[[#This Row],[Customer Gender]]="F","Female", orders[[#This Row],[Customer Gender]]="O","Other", TRUE(),"Unknown")</f>
        <v>Male</v>
      </c>
    </row>
    <row r="1024" spans="1:15" x14ac:dyDescent="0.25">
      <c r="A1024" t="s">
        <v>1252</v>
      </c>
      <c r="B1024" t="s">
        <v>80</v>
      </c>
      <c r="C1024">
        <v>7</v>
      </c>
      <c r="D1024">
        <v>50.2</v>
      </c>
      <c r="E1024">
        <v>351.4</v>
      </c>
      <c r="F1024" s="58">
        <v>45698</v>
      </c>
      <c r="G1024" s="58">
        <v>45700</v>
      </c>
      <c r="H1024" t="s">
        <v>229</v>
      </c>
      <c r="I1024" t="s">
        <v>62</v>
      </c>
      <c r="J1024">
        <v>4</v>
      </c>
      <c r="K1024" t="s">
        <v>103</v>
      </c>
      <c r="L1024" t="s">
        <v>106</v>
      </c>
      <c r="M1024">
        <f>orders[[#This Row],[Ship Date]]-orders[[#This Row],[Order Date]]</f>
        <v>2</v>
      </c>
      <c r="N1024">
        <f>WEEKNUM(orders[[#This Row],[Order Date]],1)</f>
        <v>7</v>
      </c>
      <c r="O1024" t="str">
        <f t="array" ref="O1024">_xlfn.IFS(orders[[#This Row],[Customer Gender]]="M","Male", orders[[#This Row],[Customer Gender]]="F","Female", orders[[#This Row],[Customer Gender]]="O","Other", TRUE(),"Unknown")</f>
        <v>Male</v>
      </c>
    </row>
    <row r="1025" spans="1:15" x14ac:dyDescent="0.25">
      <c r="A1025" t="s">
        <v>1253</v>
      </c>
      <c r="B1025" t="s">
        <v>80</v>
      </c>
      <c r="C1025">
        <v>2</v>
      </c>
      <c r="D1025">
        <v>56</v>
      </c>
      <c r="E1025">
        <v>112</v>
      </c>
      <c r="F1025" s="58">
        <v>45698</v>
      </c>
      <c r="G1025" s="58">
        <v>45698</v>
      </c>
      <c r="H1025" t="s">
        <v>229</v>
      </c>
      <c r="I1025" t="s">
        <v>59</v>
      </c>
      <c r="J1025">
        <v>5</v>
      </c>
      <c r="K1025" t="s">
        <v>103</v>
      </c>
      <c r="L1025" t="s">
        <v>120</v>
      </c>
      <c r="M1025">
        <f>orders[[#This Row],[Ship Date]]-orders[[#This Row],[Order Date]]</f>
        <v>0</v>
      </c>
      <c r="N1025">
        <f>WEEKNUM(orders[[#This Row],[Order Date]],1)</f>
        <v>7</v>
      </c>
      <c r="O1025" t="str">
        <f t="array" ref="O1025">_xlfn.IFS(orders[[#This Row],[Customer Gender]]="M","Male", orders[[#This Row],[Customer Gender]]="F","Female", orders[[#This Row],[Customer Gender]]="O","Other", TRUE(),"Unknown")</f>
        <v>Male</v>
      </c>
    </row>
    <row r="1026" spans="1:15" x14ac:dyDescent="0.25">
      <c r="A1026" t="s">
        <v>1254</v>
      </c>
      <c r="B1026" t="s">
        <v>91</v>
      </c>
      <c r="C1026">
        <v>2</v>
      </c>
      <c r="D1026">
        <v>38.299999999999997</v>
      </c>
      <c r="E1026">
        <v>76.599999999999994</v>
      </c>
      <c r="F1026" s="58">
        <v>45698</v>
      </c>
      <c r="G1026" s="58">
        <v>45699</v>
      </c>
      <c r="H1026" t="s">
        <v>231</v>
      </c>
      <c r="I1026" t="s">
        <v>63</v>
      </c>
      <c r="J1026">
        <v>4</v>
      </c>
      <c r="K1026" t="s">
        <v>103</v>
      </c>
      <c r="L1026" t="s">
        <v>124</v>
      </c>
      <c r="M1026">
        <f>orders[[#This Row],[Ship Date]]-orders[[#This Row],[Order Date]]</f>
        <v>1</v>
      </c>
      <c r="N1026">
        <f>WEEKNUM(orders[[#This Row],[Order Date]],1)</f>
        <v>7</v>
      </c>
      <c r="O1026" t="str">
        <f t="array" ref="O1026">_xlfn.IFS(orders[[#This Row],[Customer Gender]]="M","Male", orders[[#This Row],[Customer Gender]]="F","Female", orders[[#This Row],[Customer Gender]]="O","Other", TRUE(),"Unknown")</f>
        <v>Female</v>
      </c>
    </row>
    <row r="1027" spans="1:15" x14ac:dyDescent="0.25">
      <c r="A1027" t="s">
        <v>1255</v>
      </c>
      <c r="B1027" t="s">
        <v>86</v>
      </c>
      <c r="C1027">
        <v>5</v>
      </c>
      <c r="D1027">
        <v>22.3</v>
      </c>
      <c r="E1027">
        <v>111.5</v>
      </c>
      <c r="F1027" s="58">
        <v>45698</v>
      </c>
      <c r="G1027" s="58">
        <v>45702</v>
      </c>
      <c r="H1027" t="s">
        <v>231</v>
      </c>
      <c r="I1027" t="s">
        <v>62</v>
      </c>
      <c r="J1027">
        <v>3</v>
      </c>
      <c r="K1027" t="s">
        <v>103</v>
      </c>
      <c r="L1027" t="s">
        <v>124</v>
      </c>
      <c r="M1027">
        <f>orders[[#This Row],[Ship Date]]-orders[[#This Row],[Order Date]]</f>
        <v>4</v>
      </c>
      <c r="N1027">
        <f>WEEKNUM(orders[[#This Row],[Order Date]],1)</f>
        <v>7</v>
      </c>
      <c r="O1027" t="str">
        <f t="array" ref="O1027">_xlfn.IFS(orders[[#This Row],[Customer Gender]]="M","Male", orders[[#This Row],[Customer Gender]]="F","Female", orders[[#This Row],[Customer Gender]]="O","Other", TRUE(),"Unknown")</f>
        <v>Female</v>
      </c>
    </row>
    <row r="1028" spans="1:15" x14ac:dyDescent="0.25">
      <c r="A1028" t="s">
        <v>1256</v>
      </c>
      <c r="B1028" t="s">
        <v>86</v>
      </c>
      <c r="C1028">
        <v>3</v>
      </c>
      <c r="D1028">
        <v>22.3</v>
      </c>
      <c r="E1028">
        <v>66.900000000000006</v>
      </c>
      <c r="F1028" s="58">
        <v>45698</v>
      </c>
      <c r="G1028" s="58">
        <v>45701</v>
      </c>
      <c r="H1028" t="s">
        <v>231</v>
      </c>
      <c r="I1028" t="s">
        <v>62</v>
      </c>
      <c r="J1028">
        <v>4</v>
      </c>
      <c r="K1028" t="s">
        <v>103</v>
      </c>
      <c r="L1028" t="s">
        <v>124</v>
      </c>
      <c r="M1028">
        <f>orders[[#This Row],[Ship Date]]-orders[[#This Row],[Order Date]]</f>
        <v>3</v>
      </c>
      <c r="N1028">
        <f>WEEKNUM(orders[[#This Row],[Order Date]],1)</f>
        <v>7</v>
      </c>
      <c r="O1028" t="str">
        <f t="array" ref="O1028">_xlfn.IFS(orders[[#This Row],[Customer Gender]]="M","Male", orders[[#This Row],[Customer Gender]]="F","Female", orders[[#This Row],[Customer Gender]]="O","Other", TRUE(),"Unknown")</f>
        <v>Female</v>
      </c>
    </row>
    <row r="1029" spans="1:15" x14ac:dyDescent="0.25">
      <c r="A1029" t="s">
        <v>1257</v>
      </c>
      <c r="B1029" t="s">
        <v>91</v>
      </c>
      <c r="C1029">
        <v>1</v>
      </c>
      <c r="D1029">
        <v>32.9</v>
      </c>
      <c r="E1029">
        <v>32.9</v>
      </c>
      <c r="F1029" s="58">
        <v>45698</v>
      </c>
      <c r="G1029" s="58">
        <v>45703</v>
      </c>
      <c r="H1029" t="s">
        <v>231</v>
      </c>
      <c r="I1029" t="s">
        <v>59</v>
      </c>
      <c r="J1029">
        <v>4</v>
      </c>
      <c r="K1029" t="s">
        <v>103</v>
      </c>
      <c r="L1029" t="s">
        <v>124</v>
      </c>
      <c r="M1029">
        <f>orders[[#This Row],[Ship Date]]-orders[[#This Row],[Order Date]]</f>
        <v>5</v>
      </c>
      <c r="N1029">
        <f>WEEKNUM(orders[[#This Row],[Order Date]],1)</f>
        <v>7</v>
      </c>
      <c r="O1029" t="str">
        <f t="array" ref="O1029">_xlfn.IFS(orders[[#This Row],[Customer Gender]]="M","Male", orders[[#This Row],[Customer Gender]]="F","Female", orders[[#This Row],[Customer Gender]]="O","Other", TRUE(),"Unknown")</f>
        <v>Female</v>
      </c>
    </row>
    <row r="1030" spans="1:15" x14ac:dyDescent="0.25">
      <c r="A1030" t="s">
        <v>1258</v>
      </c>
      <c r="B1030" t="s">
        <v>75</v>
      </c>
      <c r="C1030">
        <v>3</v>
      </c>
      <c r="D1030">
        <v>31.9</v>
      </c>
      <c r="E1030">
        <v>95.7</v>
      </c>
      <c r="F1030" s="58">
        <v>45698</v>
      </c>
      <c r="G1030" s="58">
        <v>45703</v>
      </c>
      <c r="H1030" t="s">
        <v>231</v>
      </c>
      <c r="I1030" t="s">
        <v>59</v>
      </c>
      <c r="J1030">
        <v>4</v>
      </c>
      <c r="K1030" t="s">
        <v>103</v>
      </c>
      <c r="L1030" t="s">
        <v>124</v>
      </c>
      <c r="M1030">
        <f>orders[[#This Row],[Ship Date]]-orders[[#This Row],[Order Date]]</f>
        <v>5</v>
      </c>
      <c r="N1030">
        <f>WEEKNUM(orders[[#This Row],[Order Date]],1)</f>
        <v>7</v>
      </c>
      <c r="O1030" t="str">
        <f t="array" ref="O1030">_xlfn.IFS(orders[[#This Row],[Customer Gender]]="M","Male", orders[[#This Row],[Customer Gender]]="F","Female", orders[[#This Row],[Customer Gender]]="O","Other", TRUE(),"Unknown")</f>
        <v>Female</v>
      </c>
    </row>
    <row r="1031" spans="1:15" x14ac:dyDescent="0.25">
      <c r="A1031" t="s">
        <v>1259</v>
      </c>
      <c r="B1031" t="s">
        <v>80</v>
      </c>
      <c r="C1031">
        <v>2</v>
      </c>
      <c r="D1031">
        <v>94</v>
      </c>
      <c r="E1031">
        <v>188</v>
      </c>
      <c r="F1031" s="58">
        <v>45698</v>
      </c>
      <c r="G1031" s="58">
        <v>45699</v>
      </c>
      <c r="H1031" t="s">
        <v>229</v>
      </c>
      <c r="I1031" t="s">
        <v>62</v>
      </c>
      <c r="J1031">
        <v>5</v>
      </c>
      <c r="K1031" t="s">
        <v>103</v>
      </c>
      <c r="L1031" t="s">
        <v>124</v>
      </c>
      <c r="M1031">
        <f>orders[[#This Row],[Ship Date]]-orders[[#This Row],[Order Date]]</f>
        <v>1</v>
      </c>
      <c r="N1031">
        <f>WEEKNUM(orders[[#This Row],[Order Date]],1)</f>
        <v>7</v>
      </c>
      <c r="O1031" t="str">
        <f t="array" ref="O1031">_xlfn.IFS(orders[[#This Row],[Customer Gender]]="M","Male", orders[[#This Row],[Customer Gender]]="F","Female", orders[[#This Row],[Customer Gender]]="O","Other", TRUE(),"Unknown")</f>
        <v>Male</v>
      </c>
    </row>
    <row r="1032" spans="1:15" x14ac:dyDescent="0.25">
      <c r="A1032" t="s">
        <v>1260</v>
      </c>
      <c r="B1032" t="s">
        <v>75</v>
      </c>
      <c r="C1032">
        <v>2</v>
      </c>
      <c r="D1032">
        <v>30.7</v>
      </c>
      <c r="E1032">
        <v>61.4</v>
      </c>
      <c r="F1032" s="58">
        <v>45698</v>
      </c>
      <c r="G1032" s="58">
        <v>45699</v>
      </c>
      <c r="H1032" t="s">
        <v>231</v>
      </c>
      <c r="I1032" t="s">
        <v>59</v>
      </c>
      <c r="J1032">
        <v>3</v>
      </c>
      <c r="K1032" t="s">
        <v>103</v>
      </c>
      <c r="L1032" t="s">
        <v>124</v>
      </c>
      <c r="M1032">
        <f>orders[[#This Row],[Ship Date]]-orders[[#This Row],[Order Date]]</f>
        <v>1</v>
      </c>
      <c r="N1032">
        <f>WEEKNUM(orders[[#This Row],[Order Date]],1)</f>
        <v>7</v>
      </c>
      <c r="O1032" t="str">
        <f t="array" ref="O1032">_xlfn.IFS(orders[[#This Row],[Customer Gender]]="M","Male", orders[[#This Row],[Customer Gender]]="F","Female", orders[[#This Row],[Customer Gender]]="O","Other", TRUE(),"Unknown")</f>
        <v>Female</v>
      </c>
    </row>
    <row r="1033" spans="1:15" x14ac:dyDescent="0.25">
      <c r="A1033" t="s">
        <v>1261</v>
      </c>
      <c r="B1033" t="s">
        <v>85</v>
      </c>
      <c r="C1033">
        <v>5</v>
      </c>
      <c r="D1033">
        <v>90.5</v>
      </c>
      <c r="E1033">
        <v>452.5</v>
      </c>
      <c r="F1033" s="58">
        <v>45698</v>
      </c>
      <c r="G1033" s="58">
        <v>45705</v>
      </c>
      <c r="H1033" t="s">
        <v>229</v>
      </c>
      <c r="I1033" t="s">
        <v>59</v>
      </c>
      <c r="J1033">
        <v>5</v>
      </c>
      <c r="K1033" t="s">
        <v>103</v>
      </c>
      <c r="L1033" t="s">
        <v>124</v>
      </c>
      <c r="M1033">
        <f>orders[[#This Row],[Ship Date]]-orders[[#This Row],[Order Date]]</f>
        <v>7</v>
      </c>
      <c r="N1033">
        <f>WEEKNUM(orders[[#This Row],[Order Date]],1)</f>
        <v>7</v>
      </c>
      <c r="O1033" t="str">
        <f t="array" ref="O1033">_xlfn.IFS(orders[[#This Row],[Customer Gender]]="M","Male", orders[[#This Row],[Customer Gender]]="F","Female", orders[[#This Row],[Customer Gender]]="O","Other", TRUE(),"Unknown")</f>
        <v>Male</v>
      </c>
    </row>
    <row r="1034" spans="1:15" x14ac:dyDescent="0.25">
      <c r="A1034" t="s">
        <v>1262</v>
      </c>
      <c r="B1034" t="s">
        <v>90</v>
      </c>
      <c r="C1034">
        <v>5</v>
      </c>
      <c r="D1034">
        <v>25.3</v>
      </c>
      <c r="E1034">
        <v>126.5</v>
      </c>
      <c r="F1034" s="58">
        <v>45698</v>
      </c>
      <c r="G1034" s="58">
        <v>45702</v>
      </c>
      <c r="H1034" t="s">
        <v>231</v>
      </c>
      <c r="I1034" t="s">
        <v>59</v>
      </c>
      <c r="J1034">
        <v>5</v>
      </c>
      <c r="K1034" t="s">
        <v>103</v>
      </c>
      <c r="L1034" t="s">
        <v>124</v>
      </c>
      <c r="M1034">
        <f>orders[[#This Row],[Ship Date]]-orders[[#This Row],[Order Date]]</f>
        <v>4</v>
      </c>
      <c r="N1034">
        <f>WEEKNUM(orders[[#This Row],[Order Date]],1)</f>
        <v>7</v>
      </c>
      <c r="O1034" t="str">
        <f t="array" ref="O1034">_xlfn.IFS(orders[[#This Row],[Customer Gender]]="M","Male", orders[[#This Row],[Customer Gender]]="F","Female", orders[[#This Row],[Customer Gender]]="O","Other", TRUE(),"Unknown")</f>
        <v>Female</v>
      </c>
    </row>
    <row r="1035" spans="1:15" x14ac:dyDescent="0.25">
      <c r="A1035" t="s">
        <v>1263</v>
      </c>
      <c r="B1035" t="s">
        <v>80</v>
      </c>
      <c r="C1035">
        <v>3</v>
      </c>
      <c r="D1035">
        <v>58.1</v>
      </c>
      <c r="E1035">
        <v>174.3</v>
      </c>
      <c r="F1035" s="58">
        <v>45698</v>
      </c>
      <c r="G1035" s="58">
        <v>45702</v>
      </c>
      <c r="I1035" t="s">
        <v>59</v>
      </c>
      <c r="J1035">
        <v>5</v>
      </c>
      <c r="K1035" t="s">
        <v>103</v>
      </c>
      <c r="L1035" t="s">
        <v>124</v>
      </c>
      <c r="M1035">
        <f>orders[[#This Row],[Ship Date]]-orders[[#This Row],[Order Date]]</f>
        <v>4</v>
      </c>
      <c r="N1035">
        <f>WEEKNUM(orders[[#This Row],[Order Date]],1)</f>
        <v>7</v>
      </c>
      <c r="O1035" t="str">
        <f t="array" ref="O1035">_xlfn.IFS(orders[[#This Row],[Customer Gender]]="M","Male", orders[[#This Row],[Customer Gender]]="F","Female", orders[[#This Row],[Customer Gender]]="O","Other", TRUE(),"Unknown")</f>
        <v>Unknown</v>
      </c>
    </row>
    <row r="1036" spans="1:15" x14ac:dyDescent="0.25">
      <c r="A1036" t="s">
        <v>1264</v>
      </c>
      <c r="B1036" t="s">
        <v>87</v>
      </c>
      <c r="C1036">
        <v>3</v>
      </c>
      <c r="D1036">
        <v>74.900000000000006</v>
      </c>
      <c r="E1036">
        <v>224.7</v>
      </c>
      <c r="F1036" s="58">
        <v>45698</v>
      </c>
      <c r="G1036" s="58">
        <v>45699</v>
      </c>
      <c r="H1036" t="s">
        <v>231</v>
      </c>
      <c r="I1036" t="s">
        <v>61</v>
      </c>
      <c r="J1036">
        <v>4</v>
      </c>
      <c r="K1036" t="s">
        <v>103</v>
      </c>
      <c r="L1036" t="s">
        <v>124</v>
      </c>
      <c r="M1036">
        <f>orders[[#This Row],[Ship Date]]-orders[[#This Row],[Order Date]]</f>
        <v>1</v>
      </c>
      <c r="N1036">
        <f>WEEKNUM(orders[[#This Row],[Order Date]],1)</f>
        <v>7</v>
      </c>
      <c r="O1036" t="str">
        <f t="array" ref="O1036">_xlfn.IFS(orders[[#This Row],[Customer Gender]]="M","Male", orders[[#This Row],[Customer Gender]]="F","Female", orders[[#This Row],[Customer Gender]]="O","Other", TRUE(),"Unknown")</f>
        <v>Female</v>
      </c>
    </row>
    <row r="1037" spans="1:15" x14ac:dyDescent="0.25">
      <c r="A1037" t="s">
        <v>1265</v>
      </c>
      <c r="B1037" t="s">
        <v>78</v>
      </c>
      <c r="C1037">
        <v>2</v>
      </c>
      <c r="D1037">
        <v>32.5</v>
      </c>
      <c r="E1037">
        <v>65</v>
      </c>
      <c r="F1037" s="58">
        <v>45698</v>
      </c>
      <c r="G1037" s="58">
        <v>45699</v>
      </c>
      <c r="H1037" t="s">
        <v>229</v>
      </c>
      <c r="I1037" t="s">
        <v>62</v>
      </c>
      <c r="J1037">
        <v>5</v>
      </c>
      <c r="K1037" t="s">
        <v>103</v>
      </c>
      <c r="L1037" t="s">
        <v>126</v>
      </c>
      <c r="M1037">
        <f>orders[[#This Row],[Ship Date]]-orders[[#This Row],[Order Date]]</f>
        <v>1</v>
      </c>
      <c r="N1037">
        <f>WEEKNUM(orders[[#This Row],[Order Date]],1)</f>
        <v>7</v>
      </c>
      <c r="O1037" t="str">
        <f t="array" ref="O1037">_xlfn.IFS(orders[[#This Row],[Customer Gender]]="M","Male", orders[[#This Row],[Customer Gender]]="F","Female", orders[[#This Row],[Customer Gender]]="O","Other", TRUE(),"Unknown")</f>
        <v>Male</v>
      </c>
    </row>
    <row r="1038" spans="1:15" x14ac:dyDescent="0.25">
      <c r="A1038" t="s">
        <v>1266</v>
      </c>
      <c r="B1038" t="s">
        <v>78</v>
      </c>
      <c r="C1038">
        <v>5</v>
      </c>
      <c r="D1038">
        <v>62</v>
      </c>
      <c r="E1038">
        <v>310</v>
      </c>
      <c r="F1038" s="58">
        <v>45698</v>
      </c>
      <c r="G1038" s="58">
        <v>45699</v>
      </c>
      <c r="H1038" t="s">
        <v>229</v>
      </c>
      <c r="I1038" t="s">
        <v>61</v>
      </c>
      <c r="J1038">
        <v>5</v>
      </c>
      <c r="K1038" t="s">
        <v>103</v>
      </c>
      <c r="L1038" t="s">
        <v>135</v>
      </c>
      <c r="M1038">
        <f>orders[[#This Row],[Ship Date]]-orders[[#This Row],[Order Date]]</f>
        <v>1</v>
      </c>
      <c r="N1038">
        <f>WEEKNUM(orders[[#This Row],[Order Date]],1)</f>
        <v>7</v>
      </c>
      <c r="O1038" t="str">
        <f t="array" ref="O1038">_xlfn.IFS(orders[[#This Row],[Customer Gender]]="M","Male", orders[[#This Row],[Customer Gender]]="F","Female", orders[[#This Row],[Customer Gender]]="O","Other", TRUE(),"Unknown")</f>
        <v>Male</v>
      </c>
    </row>
    <row r="1039" spans="1:15" x14ac:dyDescent="0.25">
      <c r="A1039" t="s">
        <v>1267</v>
      </c>
      <c r="B1039" t="s">
        <v>92</v>
      </c>
      <c r="C1039">
        <v>6</v>
      </c>
      <c r="D1039">
        <v>28.9</v>
      </c>
      <c r="E1039">
        <v>173.4</v>
      </c>
      <c r="F1039" s="58">
        <v>45698</v>
      </c>
      <c r="G1039" s="58">
        <v>45701</v>
      </c>
      <c r="H1039" t="s">
        <v>231</v>
      </c>
      <c r="I1039" t="s">
        <v>59</v>
      </c>
      <c r="J1039">
        <v>3</v>
      </c>
      <c r="K1039" t="s">
        <v>103</v>
      </c>
      <c r="L1039" t="s">
        <v>139</v>
      </c>
      <c r="M1039">
        <f>orders[[#This Row],[Ship Date]]-orders[[#This Row],[Order Date]]</f>
        <v>3</v>
      </c>
      <c r="N1039">
        <f>WEEKNUM(orders[[#This Row],[Order Date]],1)</f>
        <v>7</v>
      </c>
      <c r="O1039" t="str">
        <f t="array" ref="O1039">_xlfn.IFS(orders[[#This Row],[Customer Gender]]="M","Male", orders[[#This Row],[Customer Gender]]="F","Female", orders[[#This Row],[Customer Gender]]="O","Other", TRUE(),"Unknown")</f>
        <v>Female</v>
      </c>
    </row>
    <row r="1040" spans="1:15" x14ac:dyDescent="0.25">
      <c r="A1040" t="s">
        <v>1268</v>
      </c>
      <c r="B1040" t="s">
        <v>80</v>
      </c>
      <c r="C1040">
        <v>8</v>
      </c>
      <c r="D1040">
        <v>42.8</v>
      </c>
      <c r="E1040">
        <v>342.4</v>
      </c>
      <c r="F1040" s="58">
        <v>45698</v>
      </c>
      <c r="G1040" s="58">
        <v>45700</v>
      </c>
      <c r="H1040" t="s">
        <v>231</v>
      </c>
      <c r="I1040" t="s">
        <v>59</v>
      </c>
      <c r="J1040">
        <v>5</v>
      </c>
      <c r="K1040" t="s">
        <v>103</v>
      </c>
      <c r="L1040" t="s">
        <v>139</v>
      </c>
      <c r="M1040">
        <f>orders[[#This Row],[Ship Date]]-orders[[#This Row],[Order Date]]</f>
        <v>2</v>
      </c>
      <c r="N1040">
        <f>WEEKNUM(orders[[#This Row],[Order Date]],1)</f>
        <v>7</v>
      </c>
      <c r="O1040" t="str">
        <f t="array" ref="O1040">_xlfn.IFS(orders[[#This Row],[Customer Gender]]="M","Male", orders[[#This Row],[Customer Gender]]="F","Female", orders[[#This Row],[Customer Gender]]="O","Other", TRUE(),"Unknown")</f>
        <v>Female</v>
      </c>
    </row>
    <row r="1041" spans="1:15" x14ac:dyDescent="0.25">
      <c r="A1041" t="s">
        <v>1269</v>
      </c>
      <c r="B1041" t="s">
        <v>90</v>
      </c>
      <c r="C1041">
        <v>8</v>
      </c>
      <c r="D1041">
        <v>39.4</v>
      </c>
      <c r="E1041">
        <v>315.2</v>
      </c>
      <c r="F1041" s="58">
        <v>45698</v>
      </c>
      <c r="G1041" s="58">
        <v>45700</v>
      </c>
      <c r="H1041" t="s">
        <v>229</v>
      </c>
      <c r="I1041" t="s">
        <v>59</v>
      </c>
      <c r="J1041">
        <v>4</v>
      </c>
      <c r="K1041" t="s">
        <v>103</v>
      </c>
      <c r="L1041" t="s">
        <v>140</v>
      </c>
      <c r="M1041">
        <f>orders[[#This Row],[Ship Date]]-orders[[#This Row],[Order Date]]</f>
        <v>2</v>
      </c>
      <c r="N1041">
        <f>WEEKNUM(orders[[#This Row],[Order Date]],1)</f>
        <v>7</v>
      </c>
      <c r="O1041" t="str">
        <f t="array" ref="O1041">_xlfn.IFS(orders[[#This Row],[Customer Gender]]="M","Male", orders[[#This Row],[Customer Gender]]="F","Female", orders[[#This Row],[Customer Gender]]="O","Other", TRUE(),"Unknown")</f>
        <v>Male</v>
      </c>
    </row>
    <row r="1042" spans="1:15" x14ac:dyDescent="0.25">
      <c r="A1042" t="s">
        <v>1270</v>
      </c>
      <c r="B1042" t="s">
        <v>82</v>
      </c>
      <c r="C1042">
        <v>3</v>
      </c>
      <c r="D1042">
        <v>66.400000000000006</v>
      </c>
      <c r="E1042">
        <v>199.2</v>
      </c>
      <c r="F1042" s="58">
        <v>45698</v>
      </c>
      <c r="G1042" s="58">
        <v>45699</v>
      </c>
      <c r="I1042" t="s">
        <v>62</v>
      </c>
      <c r="J1042">
        <v>3</v>
      </c>
      <c r="K1042" t="s">
        <v>103</v>
      </c>
      <c r="L1042" t="s">
        <v>141</v>
      </c>
      <c r="M1042">
        <f>orders[[#This Row],[Ship Date]]-orders[[#This Row],[Order Date]]</f>
        <v>1</v>
      </c>
      <c r="N1042">
        <f>WEEKNUM(orders[[#This Row],[Order Date]],1)</f>
        <v>7</v>
      </c>
      <c r="O1042" t="str">
        <f t="array" ref="O1042">_xlfn.IFS(orders[[#This Row],[Customer Gender]]="M","Male", orders[[#This Row],[Customer Gender]]="F","Female", orders[[#This Row],[Customer Gender]]="O","Other", TRUE(),"Unknown")</f>
        <v>Unknown</v>
      </c>
    </row>
    <row r="1043" spans="1:15" x14ac:dyDescent="0.25">
      <c r="A1043" t="s">
        <v>1271</v>
      </c>
      <c r="B1043" t="s">
        <v>84</v>
      </c>
      <c r="C1043">
        <v>4</v>
      </c>
      <c r="D1043">
        <v>35.9</v>
      </c>
      <c r="E1043">
        <v>143.6</v>
      </c>
      <c r="F1043" s="58">
        <v>45698</v>
      </c>
      <c r="G1043" s="58">
        <v>45705</v>
      </c>
      <c r="H1043" t="s">
        <v>231</v>
      </c>
      <c r="I1043" t="s">
        <v>63</v>
      </c>
      <c r="J1043">
        <v>4</v>
      </c>
      <c r="K1043" t="s">
        <v>103</v>
      </c>
      <c r="L1043" t="s">
        <v>141</v>
      </c>
      <c r="M1043">
        <f>orders[[#This Row],[Ship Date]]-orders[[#This Row],[Order Date]]</f>
        <v>7</v>
      </c>
      <c r="N1043">
        <f>WEEKNUM(orders[[#This Row],[Order Date]],1)</f>
        <v>7</v>
      </c>
      <c r="O1043" t="str">
        <f t="array" ref="O1043">_xlfn.IFS(orders[[#This Row],[Customer Gender]]="M","Male", orders[[#This Row],[Customer Gender]]="F","Female", orders[[#This Row],[Customer Gender]]="O","Other", TRUE(),"Unknown")</f>
        <v>Female</v>
      </c>
    </row>
    <row r="1044" spans="1:15" x14ac:dyDescent="0.25">
      <c r="A1044" t="s">
        <v>1272</v>
      </c>
      <c r="B1044" t="s">
        <v>86</v>
      </c>
      <c r="C1044">
        <v>4</v>
      </c>
      <c r="D1044">
        <v>26.9</v>
      </c>
      <c r="E1044">
        <v>107.6</v>
      </c>
      <c r="F1044" s="58">
        <v>45698</v>
      </c>
      <c r="G1044" s="58">
        <v>45699</v>
      </c>
      <c r="H1044" t="s">
        <v>229</v>
      </c>
      <c r="I1044" t="s">
        <v>63</v>
      </c>
      <c r="J1044">
        <v>4</v>
      </c>
      <c r="K1044" t="s">
        <v>103</v>
      </c>
      <c r="L1044" t="s">
        <v>141</v>
      </c>
      <c r="M1044">
        <f>orders[[#This Row],[Ship Date]]-orders[[#This Row],[Order Date]]</f>
        <v>1</v>
      </c>
      <c r="N1044">
        <f>WEEKNUM(orders[[#This Row],[Order Date]],1)</f>
        <v>7</v>
      </c>
      <c r="O1044" t="str">
        <f t="array" ref="O1044">_xlfn.IFS(orders[[#This Row],[Customer Gender]]="M","Male", orders[[#This Row],[Customer Gender]]="F","Female", orders[[#This Row],[Customer Gender]]="O","Other", TRUE(),"Unknown")</f>
        <v>Male</v>
      </c>
    </row>
    <row r="1045" spans="1:15" x14ac:dyDescent="0.25">
      <c r="A1045" t="s">
        <v>1273</v>
      </c>
      <c r="B1045" t="s">
        <v>87</v>
      </c>
      <c r="C1045">
        <v>1</v>
      </c>
      <c r="D1045">
        <v>55.1</v>
      </c>
      <c r="E1045">
        <v>55.1</v>
      </c>
      <c r="F1045" s="58">
        <v>45698</v>
      </c>
      <c r="G1045" s="58">
        <v>45699</v>
      </c>
      <c r="H1045" t="s">
        <v>231</v>
      </c>
      <c r="I1045" t="s">
        <v>59</v>
      </c>
      <c r="J1045">
        <v>4</v>
      </c>
      <c r="K1045" t="s">
        <v>103</v>
      </c>
      <c r="L1045" t="s">
        <v>141</v>
      </c>
      <c r="M1045">
        <f>orders[[#This Row],[Ship Date]]-orders[[#This Row],[Order Date]]</f>
        <v>1</v>
      </c>
      <c r="N1045">
        <f>WEEKNUM(orders[[#This Row],[Order Date]],1)</f>
        <v>7</v>
      </c>
      <c r="O1045" t="str">
        <f t="array" ref="O1045">_xlfn.IFS(orders[[#This Row],[Customer Gender]]="M","Male", orders[[#This Row],[Customer Gender]]="F","Female", orders[[#This Row],[Customer Gender]]="O","Other", TRUE(),"Unknown")</f>
        <v>Female</v>
      </c>
    </row>
    <row r="1046" spans="1:15" x14ac:dyDescent="0.25">
      <c r="A1046" t="s">
        <v>1274</v>
      </c>
      <c r="B1046" t="s">
        <v>78</v>
      </c>
      <c r="C1046">
        <v>2</v>
      </c>
      <c r="D1046">
        <v>23.9</v>
      </c>
      <c r="E1046">
        <v>47.8</v>
      </c>
      <c r="F1046" s="58">
        <v>45698</v>
      </c>
      <c r="G1046" s="58">
        <v>45699</v>
      </c>
      <c r="H1046" t="s">
        <v>229</v>
      </c>
      <c r="I1046" t="s">
        <v>59</v>
      </c>
      <c r="J1046">
        <v>5</v>
      </c>
      <c r="K1046" t="s">
        <v>103</v>
      </c>
      <c r="L1046" t="s">
        <v>142</v>
      </c>
      <c r="M1046">
        <f>orders[[#This Row],[Ship Date]]-orders[[#This Row],[Order Date]]</f>
        <v>1</v>
      </c>
      <c r="N1046">
        <f>WEEKNUM(orders[[#This Row],[Order Date]],1)</f>
        <v>7</v>
      </c>
      <c r="O1046" t="str">
        <f t="array" ref="O1046">_xlfn.IFS(orders[[#This Row],[Customer Gender]]="M","Male", orders[[#This Row],[Customer Gender]]="F","Female", orders[[#This Row],[Customer Gender]]="O","Other", TRUE(),"Unknown")</f>
        <v>Male</v>
      </c>
    </row>
    <row r="1047" spans="1:15" x14ac:dyDescent="0.25">
      <c r="A1047" t="s">
        <v>1275</v>
      </c>
      <c r="B1047" t="s">
        <v>88</v>
      </c>
      <c r="C1047">
        <v>13</v>
      </c>
      <c r="D1047">
        <v>21.1</v>
      </c>
      <c r="E1047">
        <v>274.3</v>
      </c>
      <c r="F1047" s="58">
        <v>45698</v>
      </c>
      <c r="G1047" s="58">
        <v>45706</v>
      </c>
      <c r="H1047" t="s">
        <v>231</v>
      </c>
      <c r="I1047" t="s">
        <v>59</v>
      </c>
      <c r="J1047">
        <v>3</v>
      </c>
      <c r="K1047" t="s">
        <v>103</v>
      </c>
      <c r="L1047" t="s">
        <v>142</v>
      </c>
      <c r="M1047">
        <f>orders[[#This Row],[Ship Date]]-orders[[#This Row],[Order Date]]</f>
        <v>8</v>
      </c>
      <c r="N1047">
        <f>WEEKNUM(orders[[#This Row],[Order Date]],1)</f>
        <v>7</v>
      </c>
      <c r="O1047" t="str">
        <f t="array" ref="O1047">_xlfn.IFS(orders[[#This Row],[Customer Gender]]="M","Male", orders[[#This Row],[Customer Gender]]="F","Female", orders[[#This Row],[Customer Gender]]="O","Other", TRUE(),"Unknown")</f>
        <v>Female</v>
      </c>
    </row>
    <row r="1048" spans="1:15" x14ac:dyDescent="0.25">
      <c r="A1048" t="s">
        <v>1276</v>
      </c>
      <c r="B1048" t="s">
        <v>90</v>
      </c>
      <c r="C1048">
        <v>5</v>
      </c>
      <c r="D1048">
        <v>33.799999999999997</v>
      </c>
      <c r="E1048">
        <v>169</v>
      </c>
      <c r="F1048" s="58">
        <v>45698</v>
      </c>
      <c r="G1048" s="58">
        <v>45700</v>
      </c>
      <c r="H1048" t="s">
        <v>231</v>
      </c>
      <c r="I1048" t="s">
        <v>59</v>
      </c>
      <c r="J1048">
        <v>4</v>
      </c>
      <c r="K1048" t="s">
        <v>103</v>
      </c>
      <c r="L1048" t="s">
        <v>142</v>
      </c>
      <c r="M1048">
        <f>orders[[#This Row],[Ship Date]]-orders[[#This Row],[Order Date]]</f>
        <v>2</v>
      </c>
      <c r="N1048">
        <f>WEEKNUM(orders[[#This Row],[Order Date]],1)</f>
        <v>7</v>
      </c>
      <c r="O1048" t="str">
        <f t="array" ref="O1048">_xlfn.IFS(orders[[#This Row],[Customer Gender]]="M","Male", orders[[#This Row],[Customer Gender]]="F","Female", orders[[#This Row],[Customer Gender]]="O","Other", TRUE(),"Unknown")</f>
        <v>Female</v>
      </c>
    </row>
    <row r="1049" spans="1:15" x14ac:dyDescent="0.25">
      <c r="A1049" t="s">
        <v>1277</v>
      </c>
      <c r="B1049" t="s">
        <v>87</v>
      </c>
      <c r="C1049">
        <v>4</v>
      </c>
      <c r="D1049">
        <v>56.1</v>
      </c>
      <c r="E1049">
        <v>224.4</v>
      </c>
      <c r="F1049" s="58">
        <v>45698</v>
      </c>
      <c r="G1049" s="58">
        <v>45698</v>
      </c>
      <c r="H1049" t="s">
        <v>231</v>
      </c>
      <c r="I1049" t="s">
        <v>60</v>
      </c>
      <c r="J1049">
        <v>5</v>
      </c>
      <c r="K1049" t="s">
        <v>103</v>
      </c>
      <c r="L1049" t="s">
        <v>146</v>
      </c>
      <c r="M1049">
        <f>orders[[#This Row],[Ship Date]]-orders[[#This Row],[Order Date]]</f>
        <v>0</v>
      </c>
      <c r="N1049">
        <f>WEEKNUM(orders[[#This Row],[Order Date]],1)</f>
        <v>7</v>
      </c>
      <c r="O1049" t="str">
        <f t="array" ref="O1049">_xlfn.IFS(orders[[#This Row],[Customer Gender]]="M","Male", orders[[#This Row],[Customer Gender]]="F","Female", orders[[#This Row],[Customer Gender]]="O","Other", TRUE(),"Unknown")</f>
        <v>Female</v>
      </c>
    </row>
    <row r="1050" spans="1:15" x14ac:dyDescent="0.25">
      <c r="A1050" t="s">
        <v>1278</v>
      </c>
      <c r="B1050" t="s">
        <v>93</v>
      </c>
      <c r="C1050">
        <v>1</v>
      </c>
      <c r="D1050">
        <v>58.5</v>
      </c>
      <c r="E1050">
        <v>58.5</v>
      </c>
      <c r="F1050" s="58">
        <v>45699</v>
      </c>
      <c r="G1050" s="58">
        <v>45703</v>
      </c>
      <c r="H1050" t="s">
        <v>231</v>
      </c>
      <c r="I1050" t="s">
        <v>63</v>
      </c>
      <c r="J1050">
        <v>5</v>
      </c>
      <c r="K1050" t="s">
        <v>103</v>
      </c>
      <c r="L1050" t="s">
        <v>146</v>
      </c>
      <c r="M1050">
        <f>orders[[#This Row],[Ship Date]]-orders[[#This Row],[Order Date]]</f>
        <v>4</v>
      </c>
      <c r="N1050">
        <f>WEEKNUM(orders[[#This Row],[Order Date]],1)</f>
        <v>7</v>
      </c>
      <c r="O1050" t="str">
        <f t="array" ref="O1050">_xlfn.IFS(orders[[#This Row],[Customer Gender]]="M","Male", orders[[#This Row],[Customer Gender]]="F","Female", orders[[#This Row],[Customer Gender]]="O","Other", TRUE(),"Unknown")</f>
        <v>Female</v>
      </c>
    </row>
    <row r="1051" spans="1:15" x14ac:dyDescent="0.25">
      <c r="A1051" t="s">
        <v>1279</v>
      </c>
      <c r="B1051" t="s">
        <v>80</v>
      </c>
      <c r="C1051">
        <v>1</v>
      </c>
      <c r="D1051">
        <v>84.2</v>
      </c>
      <c r="E1051">
        <v>84.2</v>
      </c>
      <c r="F1051" s="58">
        <v>45699</v>
      </c>
      <c r="G1051" s="58">
        <v>45701</v>
      </c>
      <c r="H1051" t="s">
        <v>229</v>
      </c>
      <c r="I1051" t="s">
        <v>60</v>
      </c>
      <c r="J1051">
        <v>4</v>
      </c>
      <c r="K1051" t="s">
        <v>103</v>
      </c>
      <c r="L1051" t="s">
        <v>148</v>
      </c>
      <c r="M1051">
        <f>orders[[#This Row],[Ship Date]]-orders[[#This Row],[Order Date]]</f>
        <v>2</v>
      </c>
      <c r="N1051">
        <f>WEEKNUM(orders[[#This Row],[Order Date]],1)</f>
        <v>7</v>
      </c>
      <c r="O1051" t="str">
        <f t="array" ref="O1051">_xlfn.IFS(orders[[#This Row],[Customer Gender]]="M","Male", orders[[#This Row],[Customer Gender]]="F","Female", orders[[#This Row],[Customer Gender]]="O","Other", TRUE(),"Unknown")</f>
        <v>Male</v>
      </c>
    </row>
    <row r="1052" spans="1:15" x14ac:dyDescent="0.25">
      <c r="A1052" t="s">
        <v>1280</v>
      </c>
      <c r="B1052" t="s">
        <v>83</v>
      </c>
      <c r="C1052">
        <v>4</v>
      </c>
      <c r="D1052">
        <v>52</v>
      </c>
      <c r="E1052">
        <v>208</v>
      </c>
      <c r="F1052" s="58">
        <v>45699</v>
      </c>
      <c r="G1052" s="58">
        <v>45702</v>
      </c>
      <c r="H1052" t="s">
        <v>229</v>
      </c>
      <c r="I1052" t="s">
        <v>59</v>
      </c>
      <c r="J1052">
        <v>4</v>
      </c>
      <c r="K1052" t="s">
        <v>103</v>
      </c>
      <c r="L1052" t="s">
        <v>148</v>
      </c>
      <c r="M1052">
        <f>orders[[#This Row],[Ship Date]]-orders[[#This Row],[Order Date]]</f>
        <v>3</v>
      </c>
      <c r="N1052">
        <f>WEEKNUM(orders[[#This Row],[Order Date]],1)</f>
        <v>7</v>
      </c>
      <c r="O1052" t="str">
        <f t="array" ref="O1052">_xlfn.IFS(orders[[#This Row],[Customer Gender]]="M","Male", orders[[#This Row],[Customer Gender]]="F","Female", orders[[#This Row],[Customer Gender]]="O","Other", TRUE(),"Unknown")</f>
        <v>Male</v>
      </c>
    </row>
    <row r="1053" spans="1:15" x14ac:dyDescent="0.25">
      <c r="A1053" t="s">
        <v>1281</v>
      </c>
      <c r="B1053" t="s">
        <v>78</v>
      </c>
      <c r="C1053">
        <v>5</v>
      </c>
      <c r="D1053">
        <v>31.5</v>
      </c>
      <c r="E1053">
        <v>157.5</v>
      </c>
      <c r="F1053" s="58">
        <v>45699</v>
      </c>
      <c r="G1053" s="58">
        <v>45700</v>
      </c>
      <c r="H1053" t="s">
        <v>231</v>
      </c>
      <c r="I1053" t="s">
        <v>59</v>
      </c>
      <c r="J1053">
        <v>5</v>
      </c>
      <c r="K1053" t="s">
        <v>103</v>
      </c>
      <c r="L1053" t="s">
        <v>148</v>
      </c>
      <c r="M1053">
        <f>orders[[#This Row],[Ship Date]]-orders[[#This Row],[Order Date]]</f>
        <v>1</v>
      </c>
      <c r="N1053">
        <f>WEEKNUM(orders[[#This Row],[Order Date]],1)</f>
        <v>7</v>
      </c>
      <c r="O1053" t="str">
        <f t="array" ref="O1053">_xlfn.IFS(orders[[#This Row],[Customer Gender]]="M","Male", orders[[#This Row],[Customer Gender]]="F","Female", orders[[#This Row],[Customer Gender]]="O","Other", TRUE(),"Unknown")</f>
        <v>Female</v>
      </c>
    </row>
    <row r="1054" spans="1:15" x14ac:dyDescent="0.25">
      <c r="A1054" t="s">
        <v>1282</v>
      </c>
      <c r="B1054" t="s">
        <v>89</v>
      </c>
      <c r="C1054">
        <v>3</v>
      </c>
      <c r="D1054">
        <v>46.2</v>
      </c>
      <c r="E1054">
        <v>138.6</v>
      </c>
      <c r="F1054" s="58">
        <v>45699</v>
      </c>
      <c r="G1054" s="58">
        <v>45700</v>
      </c>
      <c r="H1054" t="s">
        <v>229</v>
      </c>
      <c r="I1054" t="s">
        <v>59</v>
      </c>
      <c r="J1054">
        <v>4</v>
      </c>
      <c r="K1054" t="s">
        <v>103</v>
      </c>
      <c r="L1054" t="s">
        <v>150</v>
      </c>
      <c r="M1054">
        <f>orders[[#This Row],[Ship Date]]-orders[[#This Row],[Order Date]]</f>
        <v>1</v>
      </c>
      <c r="N1054">
        <f>WEEKNUM(orders[[#This Row],[Order Date]],1)</f>
        <v>7</v>
      </c>
      <c r="O1054" t="str">
        <f t="array" ref="O1054">_xlfn.IFS(orders[[#This Row],[Customer Gender]]="M","Male", orders[[#This Row],[Customer Gender]]="F","Female", orders[[#This Row],[Customer Gender]]="O","Other", TRUE(),"Unknown")</f>
        <v>Male</v>
      </c>
    </row>
    <row r="1055" spans="1:15" x14ac:dyDescent="0.25">
      <c r="A1055" t="s">
        <v>1283</v>
      </c>
      <c r="B1055" t="s">
        <v>87</v>
      </c>
      <c r="C1055">
        <v>6</v>
      </c>
      <c r="D1055">
        <v>135</v>
      </c>
      <c r="E1055">
        <v>810</v>
      </c>
      <c r="F1055" s="58">
        <v>45699</v>
      </c>
      <c r="G1055" s="58">
        <v>45700</v>
      </c>
      <c r="H1055" t="s">
        <v>231</v>
      </c>
      <c r="I1055" t="s">
        <v>63</v>
      </c>
      <c r="J1055">
        <v>5</v>
      </c>
      <c r="K1055" t="s">
        <v>103</v>
      </c>
      <c r="L1055" t="s">
        <v>154</v>
      </c>
      <c r="M1055">
        <f>orders[[#This Row],[Ship Date]]-orders[[#This Row],[Order Date]]</f>
        <v>1</v>
      </c>
      <c r="N1055">
        <f>WEEKNUM(orders[[#This Row],[Order Date]],1)</f>
        <v>7</v>
      </c>
      <c r="O1055" t="str">
        <f t="array" ref="O1055">_xlfn.IFS(orders[[#This Row],[Customer Gender]]="M","Male", orders[[#This Row],[Customer Gender]]="F","Female", orders[[#This Row],[Customer Gender]]="O","Other", TRUE(),"Unknown")</f>
        <v>Female</v>
      </c>
    </row>
    <row r="1056" spans="1:15" x14ac:dyDescent="0.25">
      <c r="A1056" t="s">
        <v>1284</v>
      </c>
      <c r="B1056" t="s">
        <v>76</v>
      </c>
      <c r="C1056">
        <v>3</v>
      </c>
      <c r="D1056">
        <v>92.2</v>
      </c>
      <c r="E1056">
        <v>276.60000000000002</v>
      </c>
      <c r="F1056" s="58">
        <v>45699</v>
      </c>
      <c r="G1056" s="58">
        <v>45703</v>
      </c>
      <c r="H1056" t="s">
        <v>229</v>
      </c>
      <c r="I1056" t="s">
        <v>59</v>
      </c>
      <c r="J1056">
        <v>4</v>
      </c>
      <c r="K1056" t="s">
        <v>103</v>
      </c>
      <c r="L1056" t="s">
        <v>106</v>
      </c>
      <c r="M1056">
        <f>orders[[#This Row],[Ship Date]]-orders[[#This Row],[Order Date]]</f>
        <v>4</v>
      </c>
      <c r="N1056">
        <f>WEEKNUM(orders[[#This Row],[Order Date]],1)</f>
        <v>7</v>
      </c>
      <c r="O1056" t="str">
        <f t="array" ref="O1056">_xlfn.IFS(orders[[#This Row],[Customer Gender]]="M","Male", orders[[#This Row],[Customer Gender]]="F","Female", orders[[#This Row],[Customer Gender]]="O","Other", TRUE(),"Unknown")</f>
        <v>Male</v>
      </c>
    </row>
    <row r="1057" spans="1:15" x14ac:dyDescent="0.25">
      <c r="A1057" t="s">
        <v>1285</v>
      </c>
      <c r="B1057" t="s">
        <v>90</v>
      </c>
      <c r="C1057">
        <v>1</v>
      </c>
      <c r="D1057">
        <v>36.6</v>
      </c>
      <c r="E1057">
        <v>36.6</v>
      </c>
      <c r="F1057" s="58">
        <v>45699</v>
      </c>
      <c r="G1057" s="58">
        <v>45701</v>
      </c>
      <c r="H1057" t="s">
        <v>229</v>
      </c>
      <c r="I1057" t="s">
        <v>62</v>
      </c>
      <c r="J1057">
        <v>5</v>
      </c>
      <c r="K1057" t="s">
        <v>103</v>
      </c>
      <c r="L1057" t="s">
        <v>106</v>
      </c>
      <c r="M1057">
        <f>orders[[#This Row],[Ship Date]]-orders[[#This Row],[Order Date]]</f>
        <v>2</v>
      </c>
      <c r="N1057">
        <f>WEEKNUM(orders[[#This Row],[Order Date]],1)</f>
        <v>7</v>
      </c>
      <c r="O1057" t="str">
        <f t="array" ref="O1057">_xlfn.IFS(orders[[#This Row],[Customer Gender]]="M","Male", orders[[#This Row],[Customer Gender]]="F","Female", orders[[#This Row],[Customer Gender]]="O","Other", TRUE(),"Unknown")</f>
        <v>Male</v>
      </c>
    </row>
    <row r="1058" spans="1:15" x14ac:dyDescent="0.25">
      <c r="A1058" t="s">
        <v>1286</v>
      </c>
      <c r="B1058" t="s">
        <v>88</v>
      </c>
      <c r="C1058">
        <v>2</v>
      </c>
      <c r="D1058">
        <v>50.6</v>
      </c>
      <c r="E1058">
        <v>101.2</v>
      </c>
      <c r="F1058" s="58">
        <v>45699</v>
      </c>
      <c r="G1058" s="58">
        <v>45702</v>
      </c>
      <c r="H1058" t="s">
        <v>231</v>
      </c>
      <c r="I1058" t="s">
        <v>59</v>
      </c>
      <c r="J1058">
        <v>4</v>
      </c>
      <c r="K1058" t="s">
        <v>103</v>
      </c>
      <c r="L1058" t="s">
        <v>115</v>
      </c>
      <c r="M1058">
        <f>orders[[#This Row],[Ship Date]]-orders[[#This Row],[Order Date]]</f>
        <v>3</v>
      </c>
      <c r="N1058">
        <f>WEEKNUM(orders[[#This Row],[Order Date]],1)</f>
        <v>7</v>
      </c>
      <c r="O1058" t="str">
        <f t="array" ref="O1058">_xlfn.IFS(orders[[#This Row],[Customer Gender]]="M","Male", orders[[#This Row],[Customer Gender]]="F","Female", orders[[#This Row],[Customer Gender]]="O","Other", TRUE(),"Unknown")</f>
        <v>Female</v>
      </c>
    </row>
    <row r="1059" spans="1:15" x14ac:dyDescent="0.25">
      <c r="A1059" t="s">
        <v>1287</v>
      </c>
      <c r="B1059" t="s">
        <v>82</v>
      </c>
      <c r="C1059">
        <v>7</v>
      </c>
      <c r="D1059">
        <v>56.7</v>
      </c>
      <c r="E1059">
        <v>396.9</v>
      </c>
      <c r="F1059" s="58">
        <v>45699</v>
      </c>
      <c r="G1059" s="58">
        <v>45702</v>
      </c>
      <c r="H1059" t="s">
        <v>231</v>
      </c>
      <c r="I1059" t="s">
        <v>59</v>
      </c>
      <c r="J1059">
        <v>4</v>
      </c>
      <c r="K1059" t="s">
        <v>103</v>
      </c>
      <c r="L1059" t="s">
        <v>115</v>
      </c>
      <c r="M1059">
        <f>orders[[#This Row],[Ship Date]]-orders[[#This Row],[Order Date]]</f>
        <v>3</v>
      </c>
      <c r="N1059">
        <f>WEEKNUM(orders[[#This Row],[Order Date]],1)</f>
        <v>7</v>
      </c>
      <c r="O1059" t="str">
        <f t="array" ref="O1059">_xlfn.IFS(orders[[#This Row],[Customer Gender]]="M","Male", orders[[#This Row],[Customer Gender]]="F","Female", orders[[#This Row],[Customer Gender]]="O","Other", TRUE(),"Unknown")</f>
        <v>Female</v>
      </c>
    </row>
    <row r="1060" spans="1:15" x14ac:dyDescent="0.25">
      <c r="A1060" t="s">
        <v>1288</v>
      </c>
      <c r="B1060" t="s">
        <v>88</v>
      </c>
      <c r="C1060">
        <v>13</v>
      </c>
      <c r="D1060">
        <v>22.9</v>
      </c>
      <c r="E1060">
        <v>297.7</v>
      </c>
      <c r="F1060" s="58">
        <v>45699</v>
      </c>
      <c r="G1060" s="58">
        <v>45700</v>
      </c>
      <c r="H1060" t="s">
        <v>231</v>
      </c>
      <c r="I1060" t="s">
        <v>59</v>
      </c>
      <c r="J1060">
        <v>3</v>
      </c>
      <c r="K1060" t="s">
        <v>103</v>
      </c>
      <c r="L1060" t="s">
        <v>117</v>
      </c>
      <c r="M1060">
        <f>orders[[#This Row],[Ship Date]]-orders[[#This Row],[Order Date]]</f>
        <v>1</v>
      </c>
      <c r="N1060">
        <f>WEEKNUM(orders[[#This Row],[Order Date]],1)</f>
        <v>7</v>
      </c>
      <c r="O1060" t="str">
        <f t="array" ref="O1060">_xlfn.IFS(orders[[#This Row],[Customer Gender]]="M","Male", orders[[#This Row],[Customer Gender]]="F","Female", orders[[#This Row],[Customer Gender]]="O","Other", TRUE(),"Unknown")</f>
        <v>Female</v>
      </c>
    </row>
    <row r="1061" spans="1:15" x14ac:dyDescent="0.25">
      <c r="A1061" t="s">
        <v>1289</v>
      </c>
      <c r="B1061" t="s">
        <v>77</v>
      </c>
      <c r="C1061">
        <v>19</v>
      </c>
      <c r="D1061">
        <v>53.6</v>
      </c>
      <c r="E1061">
        <v>1018.4</v>
      </c>
      <c r="F1061" s="58">
        <v>45699</v>
      </c>
      <c r="G1061" s="58">
        <v>45700</v>
      </c>
      <c r="H1061" t="s">
        <v>229</v>
      </c>
      <c r="I1061" t="s">
        <v>59</v>
      </c>
      <c r="J1061">
        <v>4</v>
      </c>
      <c r="K1061" t="s">
        <v>103</v>
      </c>
      <c r="L1061" t="s">
        <v>120</v>
      </c>
      <c r="M1061">
        <f>orders[[#This Row],[Ship Date]]-orders[[#This Row],[Order Date]]</f>
        <v>1</v>
      </c>
      <c r="N1061">
        <f>WEEKNUM(orders[[#This Row],[Order Date]],1)</f>
        <v>7</v>
      </c>
      <c r="O1061" t="str">
        <f t="array" ref="O1061">_xlfn.IFS(orders[[#This Row],[Customer Gender]]="M","Male", orders[[#This Row],[Customer Gender]]="F","Female", orders[[#This Row],[Customer Gender]]="O","Other", TRUE(),"Unknown")</f>
        <v>Male</v>
      </c>
    </row>
    <row r="1062" spans="1:15" x14ac:dyDescent="0.25">
      <c r="A1062" t="s">
        <v>1290</v>
      </c>
      <c r="B1062" t="s">
        <v>82</v>
      </c>
      <c r="C1062">
        <v>2</v>
      </c>
      <c r="D1062">
        <v>30.2</v>
      </c>
      <c r="E1062">
        <v>60.4</v>
      </c>
      <c r="F1062" s="58">
        <v>45699</v>
      </c>
      <c r="G1062" s="58">
        <v>45701</v>
      </c>
      <c r="I1062" t="s">
        <v>62</v>
      </c>
      <c r="J1062">
        <v>5</v>
      </c>
      <c r="K1062" t="s">
        <v>103</v>
      </c>
      <c r="L1062" t="s">
        <v>124</v>
      </c>
      <c r="M1062">
        <f>orders[[#This Row],[Ship Date]]-orders[[#This Row],[Order Date]]</f>
        <v>2</v>
      </c>
      <c r="N1062">
        <f>WEEKNUM(orders[[#This Row],[Order Date]],1)</f>
        <v>7</v>
      </c>
      <c r="O1062" t="str">
        <f t="array" ref="O1062">_xlfn.IFS(orders[[#This Row],[Customer Gender]]="M","Male", orders[[#This Row],[Customer Gender]]="F","Female", orders[[#This Row],[Customer Gender]]="O","Other", TRUE(),"Unknown")</f>
        <v>Unknown</v>
      </c>
    </row>
    <row r="1063" spans="1:15" x14ac:dyDescent="0.25">
      <c r="A1063" t="s">
        <v>1291</v>
      </c>
      <c r="B1063" t="s">
        <v>77</v>
      </c>
      <c r="C1063">
        <v>6</v>
      </c>
      <c r="D1063">
        <v>83.4</v>
      </c>
      <c r="E1063">
        <v>500.4</v>
      </c>
      <c r="F1063" s="58">
        <v>45699</v>
      </c>
      <c r="G1063" s="58">
        <v>45700</v>
      </c>
      <c r="H1063" t="s">
        <v>229</v>
      </c>
      <c r="I1063" t="s">
        <v>63</v>
      </c>
      <c r="J1063">
        <v>5</v>
      </c>
      <c r="K1063" t="s">
        <v>103</v>
      </c>
      <c r="L1063" t="s">
        <v>124</v>
      </c>
      <c r="M1063">
        <f>orders[[#This Row],[Ship Date]]-orders[[#This Row],[Order Date]]</f>
        <v>1</v>
      </c>
      <c r="N1063">
        <f>WEEKNUM(orders[[#This Row],[Order Date]],1)</f>
        <v>7</v>
      </c>
      <c r="O1063" t="str">
        <f t="array" ref="O1063">_xlfn.IFS(orders[[#This Row],[Customer Gender]]="M","Male", orders[[#This Row],[Customer Gender]]="F","Female", orders[[#This Row],[Customer Gender]]="O","Other", TRUE(),"Unknown")</f>
        <v>Male</v>
      </c>
    </row>
    <row r="1064" spans="1:15" x14ac:dyDescent="0.25">
      <c r="A1064" t="s">
        <v>1292</v>
      </c>
      <c r="B1064" t="s">
        <v>92</v>
      </c>
      <c r="C1064">
        <v>12</v>
      </c>
      <c r="D1064">
        <v>16.600000000000001</v>
      </c>
      <c r="E1064">
        <v>199.2</v>
      </c>
      <c r="F1064" s="58">
        <v>45699</v>
      </c>
      <c r="G1064" s="58">
        <v>45701</v>
      </c>
      <c r="H1064" t="s">
        <v>229</v>
      </c>
      <c r="I1064" t="s">
        <v>63</v>
      </c>
      <c r="J1064">
        <v>4</v>
      </c>
      <c r="K1064" t="s">
        <v>103</v>
      </c>
      <c r="L1064" t="s">
        <v>124</v>
      </c>
      <c r="M1064">
        <f>orders[[#This Row],[Ship Date]]-orders[[#This Row],[Order Date]]</f>
        <v>2</v>
      </c>
      <c r="N1064">
        <f>WEEKNUM(orders[[#This Row],[Order Date]],1)</f>
        <v>7</v>
      </c>
      <c r="O1064" t="str">
        <f t="array" ref="O1064">_xlfn.IFS(orders[[#This Row],[Customer Gender]]="M","Male", orders[[#This Row],[Customer Gender]]="F","Female", orders[[#This Row],[Customer Gender]]="O","Other", TRUE(),"Unknown")</f>
        <v>Male</v>
      </c>
    </row>
    <row r="1065" spans="1:15" x14ac:dyDescent="0.25">
      <c r="A1065" t="s">
        <v>1293</v>
      </c>
      <c r="B1065" t="s">
        <v>90</v>
      </c>
      <c r="C1065">
        <v>17</v>
      </c>
      <c r="D1065">
        <v>21.9</v>
      </c>
      <c r="E1065">
        <v>372.3</v>
      </c>
      <c r="F1065" s="58">
        <v>45699</v>
      </c>
      <c r="G1065" s="58">
        <v>45701</v>
      </c>
      <c r="H1065" t="s">
        <v>231</v>
      </c>
      <c r="I1065" t="s">
        <v>61</v>
      </c>
      <c r="J1065">
        <v>3</v>
      </c>
      <c r="K1065" t="s">
        <v>103</v>
      </c>
      <c r="L1065" t="s">
        <v>124</v>
      </c>
      <c r="M1065">
        <f>orders[[#This Row],[Ship Date]]-orders[[#This Row],[Order Date]]</f>
        <v>2</v>
      </c>
      <c r="N1065">
        <f>WEEKNUM(orders[[#This Row],[Order Date]],1)</f>
        <v>7</v>
      </c>
      <c r="O1065" t="str">
        <f t="array" ref="O1065">_xlfn.IFS(orders[[#This Row],[Customer Gender]]="M","Male", orders[[#This Row],[Customer Gender]]="F","Female", orders[[#This Row],[Customer Gender]]="O","Other", TRUE(),"Unknown")</f>
        <v>Female</v>
      </c>
    </row>
    <row r="1066" spans="1:15" x14ac:dyDescent="0.25">
      <c r="A1066" t="s">
        <v>1294</v>
      </c>
      <c r="B1066" t="s">
        <v>90</v>
      </c>
      <c r="C1066">
        <v>28</v>
      </c>
      <c r="D1066">
        <v>33.799999999999997</v>
      </c>
      <c r="E1066">
        <v>946.4</v>
      </c>
      <c r="F1066" s="58">
        <v>45699</v>
      </c>
      <c r="G1066" s="58">
        <v>45701</v>
      </c>
      <c r="H1066" t="s">
        <v>229</v>
      </c>
      <c r="I1066" t="s">
        <v>62</v>
      </c>
      <c r="J1066">
        <v>2</v>
      </c>
      <c r="K1066" t="s">
        <v>103</v>
      </c>
      <c r="L1066" t="s">
        <v>124</v>
      </c>
      <c r="M1066">
        <f>orders[[#This Row],[Ship Date]]-orders[[#This Row],[Order Date]]</f>
        <v>2</v>
      </c>
      <c r="N1066">
        <f>WEEKNUM(orders[[#This Row],[Order Date]],1)</f>
        <v>7</v>
      </c>
      <c r="O1066" t="str">
        <f t="array" ref="O1066">_xlfn.IFS(orders[[#This Row],[Customer Gender]]="M","Male", orders[[#This Row],[Customer Gender]]="F","Female", orders[[#This Row],[Customer Gender]]="O","Other", TRUE(),"Unknown")</f>
        <v>Male</v>
      </c>
    </row>
    <row r="1067" spans="1:15" x14ac:dyDescent="0.25">
      <c r="A1067" t="s">
        <v>1295</v>
      </c>
      <c r="B1067" t="s">
        <v>82</v>
      </c>
      <c r="C1067">
        <v>2</v>
      </c>
      <c r="D1067">
        <v>53.2</v>
      </c>
      <c r="E1067">
        <v>106.4</v>
      </c>
      <c r="F1067" s="58">
        <v>45699</v>
      </c>
      <c r="G1067" s="58">
        <v>45699</v>
      </c>
      <c r="H1067" t="s">
        <v>229</v>
      </c>
      <c r="I1067" t="s">
        <v>63</v>
      </c>
      <c r="J1067">
        <v>4</v>
      </c>
      <c r="K1067" t="s">
        <v>103</v>
      </c>
      <c r="L1067" t="s">
        <v>124</v>
      </c>
      <c r="M1067">
        <f>orders[[#This Row],[Ship Date]]-orders[[#This Row],[Order Date]]</f>
        <v>0</v>
      </c>
      <c r="N1067">
        <f>WEEKNUM(orders[[#This Row],[Order Date]],1)</f>
        <v>7</v>
      </c>
      <c r="O1067" t="str">
        <f t="array" ref="O1067">_xlfn.IFS(orders[[#This Row],[Customer Gender]]="M","Male", orders[[#This Row],[Customer Gender]]="F","Female", orders[[#This Row],[Customer Gender]]="O","Other", TRUE(),"Unknown")</f>
        <v>Male</v>
      </c>
    </row>
    <row r="1068" spans="1:15" x14ac:dyDescent="0.25">
      <c r="A1068" t="s">
        <v>1296</v>
      </c>
      <c r="B1068" t="s">
        <v>87</v>
      </c>
      <c r="C1068">
        <v>2</v>
      </c>
      <c r="D1068">
        <v>176.7</v>
      </c>
      <c r="E1068">
        <v>353.4</v>
      </c>
      <c r="F1068" s="58">
        <v>45699</v>
      </c>
      <c r="G1068" s="58">
        <v>45702</v>
      </c>
      <c r="H1068" t="s">
        <v>231</v>
      </c>
      <c r="I1068" t="s">
        <v>62</v>
      </c>
      <c r="J1068">
        <v>4</v>
      </c>
      <c r="K1068" t="s">
        <v>103</v>
      </c>
      <c r="L1068" t="s">
        <v>124</v>
      </c>
      <c r="M1068">
        <f>orders[[#This Row],[Ship Date]]-orders[[#This Row],[Order Date]]</f>
        <v>3</v>
      </c>
      <c r="N1068">
        <f>WEEKNUM(orders[[#This Row],[Order Date]],1)</f>
        <v>7</v>
      </c>
      <c r="O1068" t="str">
        <f t="array" ref="O1068">_xlfn.IFS(orders[[#This Row],[Customer Gender]]="M","Male", orders[[#This Row],[Customer Gender]]="F","Female", orders[[#This Row],[Customer Gender]]="O","Other", TRUE(),"Unknown")</f>
        <v>Female</v>
      </c>
    </row>
    <row r="1069" spans="1:15" x14ac:dyDescent="0.25">
      <c r="A1069" t="s">
        <v>1297</v>
      </c>
      <c r="B1069" t="s">
        <v>76</v>
      </c>
      <c r="C1069">
        <v>3</v>
      </c>
      <c r="D1069">
        <v>54</v>
      </c>
      <c r="E1069">
        <v>162</v>
      </c>
      <c r="F1069" s="58">
        <v>45699</v>
      </c>
      <c r="G1069" s="58">
        <v>45702</v>
      </c>
      <c r="H1069" t="s">
        <v>229</v>
      </c>
      <c r="I1069" t="s">
        <v>59</v>
      </c>
      <c r="J1069">
        <v>3</v>
      </c>
      <c r="K1069" t="s">
        <v>103</v>
      </c>
      <c r="L1069" t="s">
        <v>124</v>
      </c>
      <c r="M1069">
        <f>orders[[#This Row],[Ship Date]]-orders[[#This Row],[Order Date]]</f>
        <v>3</v>
      </c>
      <c r="N1069">
        <f>WEEKNUM(orders[[#This Row],[Order Date]],1)</f>
        <v>7</v>
      </c>
      <c r="O1069" t="str">
        <f t="array" ref="O1069">_xlfn.IFS(orders[[#This Row],[Customer Gender]]="M","Male", orders[[#This Row],[Customer Gender]]="F","Female", orders[[#This Row],[Customer Gender]]="O","Other", TRUE(),"Unknown")</f>
        <v>Male</v>
      </c>
    </row>
    <row r="1070" spans="1:15" x14ac:dyDescent="0.25">
      <c r="A1070" t="s">
        <v>1298</v>
      </c>
      <c r="B1070" t="s">
        <v>88</v>
      </c>
      <c r="C1070">
        <v>2</v>
      </c>
      <c r="D1070">
        <v>70.099999999999994</v>
      </c>
      <c r="E1070">
        <v>140.19999999999999</v>
      </c>
      <c r="F1070" s="58">
        <v>45699</v>
      </c>
      <c r="G1070" s="58">
        <v>45707</v>
      </c>
      <c r="H1070" t="s">
        <v>231</v>
      </c>
      <c r="I1070" t="s">
        <v>60</v>
      </c>
      <c r="J1070">
        <v>5</v>
      </c>
      <c r="K1070" t="s">
        <v>103</v>
      </c>
      <c r="L1070" t="s">
        <v>124</v>
      </c>
      <c r="M1070">
        <f>orders[[#This Row],[Ship Date]]-orders[[#This Row],[Order Date]]</f>
        <v>8</v>
      </c>
      <c r="N1070">
        <f>WEEKNUM(orders[[#This Row],[Order Date]],1)</f>
        <v>7</v>
      </c>
      <c r="O1070" t="str">
        <f t="array" ref="O1070">_xlfn.IFS(orders[[#This Row],[Customer Gender]]="M","Male", orders[[#This Row],[Customer Gender]]="F","Female", orders[[#This Row],[Customer Gender]]="O","Other", TRUE(),"Unknown")</f>
        <v>Female</v>
      </c>
    </row>
    <row r="1071" spans="1:15" x14ac:dyDescent="0.25">
      <c r="A1071" t="s">
        <v>1299</v>
      </c>
      <c r="B1071" t="s">
        <v>90</v>
      </c>
      <c r="C1071">
        <v>1</v>
      </c>
      <c r="D1071">
        <v>26.5</v>
      </c>
      <c r="E1071">
        <v>26.5</v>
      </c>
      <c r="F1071" s="58">
        <v>45699</v>
      </c>
      <c r="G1071" s="58">
        <v>45701</v>
      </c>
      <c r="H1071" t="s">
        <v>231</v>
      </c>
      <c r="I1071" t="s">
        <v>63</v>
      </c>
      <c r="J1071">
        <v>4</v>
      </c>
      <c r="K1071" t="s">
        <v>103</v>
      </c>
      <c r="L1071" t="s">
        <v>124</v>
      </c>
      <c r="M1071">
        <f>orders[[#This Row],[Ship Date]]-orders[[#This Row],[Order Date]]</f>
        <v>2</v>
      </c>
      <c r="N1071">
        <f>WEEKNUM(orders[[#This Row],[Order Date]],1)</f>
        <v>7</v>
      </c>
      <c r="O1071" t="str">
        <f t="array" ref="O1071">_xlfn.IFS(orders[[#This Row],[Customer Gender]]="M","Male", orders[[#This Row],[Customer Gender]]="F","Female", orders[[#This Row],[Customer Gender]]="O","Other", TRUE(),"Unknown")</f>
        <v>Female</v>
      </c>
    </row>
    <row r="1072" spans="1:15" x14ac:dyDescent="0.25">
      <c r="A1072" t="s">
        <v>1300</v>
      </c>
      <c r="B1072" t="s">
        <v>79</v>
      </c>
      <c r="C1072">
        <v>5</v>
      </c>
      <c r="D1072">
        <v>89</v>
      </c>
      <c r="E1072">
        <v>445</v>
      </c>
      <c r="F1072" s="58">
        <v>45699</v>
      </c>
      <c r="G1072" s="58">
        <v>45701</v>
      </c>
      <c r="H1072" t="s">
        <v>229</v>
      </c>
      <c r="I1072" t="s">
        <v>62</v>
      </c>
      <c r="J1072">
        <v>2</v>
      </c>
      <c r="K1072" t="s">
        <v>103</v>
      </c>
      <c r="L1072" t="s">
        <v>124</v>
      </c>
      <c r="M1072">
        <f>orders[[#This Row],[Ship Date]]-orders[[#This Row],[Order Date]]</f>
        <v>2</v>
      </c>
      <c r="N1072">
        <f>WEEKNUM(orders[[#This Row],[Order Date]],1)</f>
        <v>7</v>
      </c>
      <c r="O1072" t="str">
        <f t="array" ref="O1072">_xlfn.IFS(orders[[#This Row],[Customer Gender]]="M","Male", orders[[#This Row],[Customer Gender]]="F","Female", orders[[#This Row],[Customer Gender]]="O","Other", TRUE(),"Unknown")</f>
        <v>Male</v>
      </c>
    </row>
    <row r="1073" spans="1:15" x14ac:dyDescent="0.25">
      <c r="A1073" t="s">
        <v>1301</v>
      </c>
      <c r="B1073" t="s">
        <v>91</v>
      </c>
      <c r="C1073">
        <v>6</v>
      </c>
      <c r="D1073">
        <v>47</v>
      </c>
      <c r="E1073">
        <v>282</v>
      </c>
      <c r="F1073" s="58">
        <v>45699</v>
      </c>
      <c r="G1073" s="58">
        <v>45702</v>
      </c>
      <c r="H1073" t="s">
        <v>231</v>
      </c>
      <c r="I1073" t="s">
        <v>60</v>
      </c>
      <c r="J1073">
        <v>4</v>
      </c>
      <c r="K1073" t="s">
        <v>103</v>
      </c>
      <c r="L1073" t="s">
        <v>129</v>
      </c>
      <c r="M1073">
        <f>orders[[#This Row],[Ship Date]]-orders[[#This Row],[Order Date]]</f>
        <v>3</v>
      </c>
      <c r="N1073">
        <f>WEEKNUM(orders[[#This Row],[Order Date]],1)</f>
        <v>7</v>
      </c>
      <c r="O1073" t="str">
        <f t="array" ref="O1073">_xlfn.IFS(orders[[#This Row],[Customer Gender]]="M","Male", orders[[#This Row],[Customer Gender]]="F","Female", orders[[#This Row],[Customer Gender]]="O","Other", TRUE(),"Unknown")</f>
        <v>Female</v>
      </c>
    </row>
    <row r="1074" spans="1:15" x14ac:dyDescent="0.25">
      <c r="A1074" t="s">
        <v>1302</v>
      </c>
      <c r="B1074" t="s">
        <v>93</v>
      </c>
      <c r="C1074">
        <v>2</v>
      </c>
      <c r="D1074">
        <v>55.2</v>
      </c>
      <c r="E1074">
        <v>110.4</v>
      </c>
      <c r="F1074" s="58">
        <v>45699</v>
      </c>
      <c r="G1074" s="58">
        <v>45702</v>
      </c>
      <c r="H1074" t="s">
        <v>229</v>
      </c>
      <c r="I1074" t="s">
        <v>63</v>
      </c>
      <c r="J1074">
        <v>3</v>
      </c>
      <c r="K1074" t="s">
        <v>103</v>
      </c>
      <c r="L1074" t="s">
        <v>139</v>
      </c>
      <c r="M1074">
        <f>orders[[#This Row],[Ship Date]]-orders[[#This Row],[Order Date]]</f>
        <v>3</v>
      </c>
      <c r="N1074">
        <f>WEEKNUM(orders[[#This Row],[Order Date]],1)</f>
        <v>7</v>
      </c>
      <c r="O1074" t="str">
        <f t="array" ref="O1074">_xlfn.IFS(orders[[#This Row],[Customer Gender]]="M","Male", orders[[#This Row],[Customer Gender]]="F","Female", orders[[#This Row],[Customer Gender]]="O","Other", TRUE(),"Unknown")</f>
        <v>Male</v>
      </c>
    </row>
    <row r="1075" spans="1:15" x14ac:dyDescent="0.25">
      <c r="A1075" t="s">
        <v>1303</v>
      </c>
      <c r="B1075" t="s">
        <v>90</v>
      </c>
      <c r="C1075">
        <v>42</v>
      </c>
      <c r="D1075">
        <v>33.299999999999997</v>
      </c>
      <c r="E1075">
        <v>1398.6</v>
      </c>
      <c r="F1075" s="58">
        <v>45699</v>
      </c>
      <c r="G1075" s="58">
        <v>45713</v>
      </c>
      <c r="H1075" t="s">
        <v>229</v>
      </c>
      <c r="I1075" t="s">
        <v>63</v>
      </c>
      <c r="J1075">
        <v>5</v>
      </c>
      <c r="K1075" t="s">
        <v>103</v>
      </c>
      <c r="L1075" t="s">
        <v>139</v>
      </c>
      <c r="M1075">
        <f>orders[[#This Row],[Ship Date]]-orders[[#This Row],[Order Date]]</f>
        <v>14</v>
      </c>
      <c r="N1075">
        <f>WEEKNUM(orders[[#This Row],[Order Date]],1)</f>
        <v>7</v>
      </c>
      <c r="O1075" t="str">
        <f t="array" ref="O1075">_xlfn.IFS(orders[[#This Row],[Customer Gender]]="M","Male", orders[[#This Row],[Customer Gender]]="F","Female", orders[[#This Row],[Customer Gender]]="O","Other", TRUE(),"Unknown")</f>
        <v>Male</v>
      </c>
    </row>
    <row r="1076" spans="1:15" x14ac:dyDescent="0.25">
      <c r="A1076" t="s">
        <v>1304</v>
      </c>
      <c r="B1076" t="s">
        <v>87</v>
      </c>
      <c r="C1076">
        <v>4</v>
      </c>
      <c r="D1076">
        <v>110.9</v>
      </c>
      <c r="E1076">
        <v>443.6</v>
      </c>
      <c r="F1076" s="58">
        <v>45700</v>
      </c>
      <c r="G1076" s="58">
        <v>45700</v>
      </c>
      <c r="H1076" t="s">
        <v>229</v>
      </c>
      <c r="I1076" t="s">
        <v>62</v>
      </c>
      <c r="J1076">
        <v>2</v>
      </c>
      <c r="K1076" t="s">
        <v>103</v>
      </c>
      <c r="L1076" t="s">
        <v>139</v>
      </c>
      <c r="M1076">
        <f>orders[[#This Row],[Ship Date]]-orders[[#This Row],[Order Date]]</f>
        <v>0</v>
      </c>
      <c r="N1076">
        <f>WEEKNUM(orders[[#This Row],[Order Date]],1)</f>
        <v>7</v>
      </c>
      <c r="O1076" t="str">
        <f t="array" ref="O1076">_xlfn.IFS(orders[[#This Row],[Customer Gender]]="M","Male", orders[[#This Row],[Customer Gender]]="F","Female", orders[[#This Row],[Customer Gender]]="O","Other", TRUE(),"Unknown")</f>
        <v>Male</v>
      </c>
    </row>
    <row r="1077" spans="1:15" x14ac:dyDescent="0.25">
      <c r="A1077" t="s">
        <v>1305</v>
      </c>
      <c r="B1077" t="s">
        <v>87</v>
      </c>
      <c r="C1077">
        <v>6</v>
      </c>
      <c r="D1077">
        <v>67.3</v>
      </c>
      <c r="E1077">
        <v>403.8</v>
      </c>
      <c r="F1077" s="58">
        <v>45700</v>
      </c>
      <c r="G1077" s="58">
        <v>45701</v>
      </c>
      <c r="H1077" t="s">
        <v>229</v>
      </c>
      <c r="I1077" t="s">
        <v>59</v>
      </c>
      <c r="J1077">
        <v>4</v>
      </c>
      <c r="K1077" t="s">
        <v>103</v>
      </c>
      <c r="L1077" t="s">
        <v>142</v>
      </c>
      <c r="M1077">
        <f>orders[[#This Row],[Ship Date]]-orders[[#This Row],[Order Date]]</f>
        <v>1</v>
      </c>
      <c r="N1077">
        <f>WEEKNUM(orders[[#This Row],[Order Date]],1)</f>
        <v>7</v>
      </c>
      <c r="O1077" t="str">
        <f t="array" ref="O1077">_xlfn.IFS(orders[[#This Row],[Customer Gender]]="M","Male", orders[[#This Row],[Customer Gender]]="F","Female", orders[[#This Row],[Customer Gender]]="O","Other", TRUE(),"Unknown")</f>
        <v>Male</v>
      </c>
    </row>
    <row r="1078" spans="1:15" x14ac:dyDescent="0.25">
      <c r="A1078" t="s">
        <v>1306</v>
      </c>
      <c r="B1078" t="s">
        <v>80</v>
      </c>
      <c r="C1078">
        <v>3</v>
      </c>
      <c r="D1078">
        <v>69.7</v>
      </c>
      <c r="E1078">
        <v>209.1</v>
      </c>
      <c r="F1078" s="58">
        <v>45700</v>
      </c>
      <c r="G1078" s="58">
        <v>45701</v>
      </c>
      <c r="H1078" t="s">
        <v>229</v>
      </c>
      <c r="I1078" t="s">
        <v>62</v>
      </c>
      <c r="J1078">
        <v>3</v>
      </c>
      <c r="K1078" t="s">
        <v>103</v>
      </c>
      <c r="L1078" t="s">
        <v>142</v>
      </c>
      <c r="M1078">
        <f>orders[[#This Row],[Ship Date]]-orders[[#This Row],[Order Date]]</f>
        <v>1</v>
      </c>
      <c r="N1078">
        <f>WEEKNUM(orders[[#This Row],[Order Date]],1)</f>
        <v>7</v>
      </c>
      <c r="O1078" t="str">
        <f t="array" ref="O1078">_xlfn.IFS(orders[[#This Row],[Customer Gender]]="M","Male", orders[[#This Row],[Customer Gender]]="F","Female", orders[[#This Row],[Customer Gender]]="O","Other", TRUE(),"Unknown")</f>
        <v>Male</v>
      </c>
    </row>
    <row r="1079" spans="1:15" x14ac:dyDescent="0.25">
      <c r="A1079" t="s">
        <v>1307</v>
      </c>
      <c r="B1079" t="s">
        <v>85</v>
      </c>
      <c r="C1079">
        <v>1</v>
      </c>
      <c r="D1079">
        <v>39.1</v>
      </c>
      <c r="E1079">
        <v>39.1</v>
      </c>
      <c r="F1079" s="58">
        <v>45700</v>
      </c>
      <c r="G1079" s="58">
        <v>45705</v>
      </c>
      <c r="H1079" t="s">
        <v>229</v>
      </c>
      <c r="I1079" t="s">
        <v>59</v>
      </c>
      <c r="J1079">
        <v>3</v>
      </c>
      <c r="K1079" t="s">
        <v>103</v>
      </c>
      <c r="L1079" t="s">
        <v>143</v>
      </c>
      <c r="M1079">
        <f>orders[[#This Row],[Ship Date]]-orders[[#This Row],[Order Date]]</f>
        <v>5</v>
      </c>
      <c r="N1079">
        <f>WEEKNUM(orders[[#This Row],[Order Date]],1)</f>
        <v>7</v>
      </c>
      <c r="O1079" t="str">
        <f t="array" ref="O1079">_xlfn.IFS(orders[[#This Row],[Customer Gender]]="M","Male", orders[[#This Row],[Customer Gender]]="F","Female", orders[[#This Row],[Customer Gender]]="O","Other", TRUE(),"Unknown")</f>
        <v>Male</v>
      </c>
    </row>
    <row r="1080" spans="1:15" x14ac:dyDescent="0.25">
      <c r="A1080" t="s">
        <v>1308</v>
      </c>
      <c r="B1080" t="s">
        <v>87</v>
      </c>
      <c r="C1080">
        <v>3</v>
      </c>
      <c r="D1080">
        <v>208.6</v>
      </c>
      <c r="E1080">
        <v>625.79999999999995</v>
      </c>
      <c r="F1080" s="58">
        <v>45700</v>
      </c>
      <c r="G1080" s="58">
        <v>45700</v>
      </c>
      <c r="H1080" t="s">
        <v>229</v>
      </c>
      <c r="I1080" t="s">
        <v>61</v>
      </c>
      <c r="J1080">
        <v>5</v>
      </c>
      <c r="K1080" t="s">
        <v>103</v>
      </c>
      <c r="L1080" t="s">
        <v>143</v>
      </c>
      <c r="M1080">
        <f>orders[[#This Row],[Ship Date]]-orders[[#This Row],[Order Date]]</f>
        <v>0</v>
      </c>
      <c r="N1080">
        <f>WEEKNUM(orders[[#This Row],[Order Date]],1)</f>
        <v>7</v>
      </c>
      <c r="O1080" t="str">
        <f t="array" ref="O1080">_xlfn.IFS(orders[[#This Row],[Customer Gender]]="M","Male", orders[[#This Row],[Customer Gender]]="F","Female", orders[[#This Row],[Customer Gender]]="O","Other", TRUE(),"Unknown")</f>
        <v>Male</v>
      </c>
    </row>
    <row r="1081" spans="1:15" x14ac:dyDescent="0.25">
      <c r="A1081" t="s">
        <v>1309</v>
      </c>
      <c r="B1081" t="s">
        <v>77</v>
      </c>
      <c r="C1081">
        <v>3</v>
      </c>
      <c r="D1081">
        <v>27.8</v>
      </c>
      <c r="E1081">
        <v>83.4</v>
      </c>
      <c r="F1081" s="58">
        <v>45700</v>
      </c>
      <c r="G1081" s="58">
        <v>45701</v>
      </c>
      <c r="H1081" t="s">
        <v>229</v>
      </c>
      <c r="I1081" t="s">
        <v>60</v>
      </c>
      <c r="J1081">
        <v>3</v>
      </c>
      <c r="K1081" t="s">
        <v>103</v>
      </c>
      <c r="L1081" t="s">
        <v>148</v>
      </c>
      <c r="M1081">
        <f>orders[[#This Row],[Ship Date]]-orders[[#This Row],[Order Date]]</f>
        <v>1</v>
      </c>
      <c r="N1081">
        <f>WEEKNUM(orders[[#This Row],[Order Date]],1)</f>
        <v>7</v>
      </c>
      <c r="O1081" t="str">
        <f t="array" ref="O1081">_xlfn.IFS(orders[[#This Row],[Customer Gender]]="M","Male", orders[[#This Row],[Customer Gender]]="F","Female", orders[[#This Row],[Customer Gender]]="O","Other", TRUE(),"Unknown")</f>
        <v>Male</v>
      </c>
    </row>
    <row r="1082" spans="1:15" x14ac:dyDescent="0.25">
      <c r="A1082" t="s">
        <v>1310</v>
      </c>
      <c r="B1082" t="s">
        <v>75</v>
      </c>
      <c r="C1082">
        <v>5</v>
      </c>
      <c r="D1082">
        <v>29.4</v>
      </c>
      <c r="E1082">
        <v>147</v>
      </c>
      <c r="F1082" s="58">
        <v>45700</v>
      </c>
      <c r="G1082" s="58">
        <v>45702</v>
      </c>
      <c r="H1082" t="s">
        <v>231</v>
      </c>
      <c r="I1082" t="s">
        <v>59</v>
      </c>
      <c r="J1082">
        <v>4</v>
      </c>
      <c r="K1082" t="s">
        <v>103</v>
      </c>
      <c r="L1082" t="s">
        <v>148</v>
      </c>
      <c r="M1082">
        <f>orders[[#This Row],[Ship Date]]-orders[[#This Row],[Order Date]]</f>
        <v>2</v>
      </c>
      <c r="N1082">
        <f>WEEKNUM(orders[[#This Row],[Order Date]],1)</f>
        <v>7</v>
      </c>
      <c r="O1082" t="str">
        <f t="array" ref="O1082">_xlfn.IFS(orders[[#This Row],[Customer Gender]]="M","Male", orders[[#This Row],[Customer Gender]]="F","Female", orders[[#This Row],[Customer Gender]]="O","Other", TRUE(),"Unknown")</f>
        <v>Female</v>
      </c>
    </row>
    <row r="1083" spans="1:15" x14ac:dyDescent="0.25">
      <c r="A1083" t="s">
        <v>1311</v>
      </c>
      <c r="B1083" t="s">
        <v>88</v>
      </c>
      <c r="C1083">
        <v>2</v>
      </c>
      <c r="D1083">
        <v>29.2</v>
      </c>
      <c r="E1083">
        <v>58.4</v>
      </c>
      <c r="F1083" s="58">
        <v>45700</v>
      </c>
      <c r="G1083" s="58">
        <v>45702</v>
      </c>
      <c r="H1083" t="s">
        <v>231</v>
      </c>
      <c r="I1083" t="s">
        <v>63</v>
      </c>
      <c r="J1083">
        <v>5</v>
      </c>
      <c r="K1083" t="s">
        <v>103</v>
      </c>
      <c r="L1083" t="s">
        <v>159</v>
      </c>
      <c r="M1083">
        <f>orders[[#This Row],[Ship Date]]-orders[[#This Row],[Order Date]]</f>
        <v>2</v>
      </c>
      <c r="N1083">
        <f>WEEKNUM(orders[[#This Row],[Order Date]],1)</f>
        <v>7</v>
      </c>
      <c r="O1083" t="str">
        <f t="array" ref="O1083">_xlfn.IFS(orders[[#This Row],[Customer Gender]]="M","Male", orders[[#This Row],[Customer Gender]]="F","Female", orders[[#This Row],[Customer Gender]]="O","Other", TRUE(),"Unknown")</f>
        <v>Female</v>
      </c>
    </row>
    <row r="1084" spans="1:15" x14ac:dyDescent="0.25">
      <c r="A1084" t="s">
        <v>1312</v>
      </c>
      <c r="B1084" t="s">
        <v>75</v>
      </c>
      <c r="C1084">
        <v>5</v>
      </c>
      <c r="D1084">
        <v>26.5</v>
      </c>
      <c r="E1084">
        <v>132.5</v>
      </c>
      <c r="F1084" s="58">
        <v>45700</v>
      </c>
      <c r="G1084" s="58">
        <v>45702</v>
      </c>
      <c r="H1084" t="s">
        <v>231</v>
      </c>
      <c r="I1084" t="s">
        <v>59</v>
      </c>
      <c r="J1084">
        <v>4</v>
      </c>
      <c r="K1084" t="s">
        <v>103</v>
      </c>
      <c r="L1084" t="s">
        <v>160</v>
      </c>
      <c r="M1084">
        <f>orders[[#This Row],[Ship Date]]-orders[[#This Row],[Order Date]]</f>
        <v>2</v>
      </c>
      <c r="N1084">
        <f>WEEKNUM(orders[[#This Row],[Order Date]],1)</f>
        <v>7</v>
      </c>
      <c r="O1084" t="str">
        <f t="array" ref="O1084">_xlfn.IFS(orders[[#This Row],[Customer Gender]]="M","Male", orders[[#This Row],[Customer Gender]]="F","Female", orders[[#This Row],[Customer Gender]]="O","Other", TRUE(),"Unknown")</f>
        <v>Female</v>
      </c>
    </row>
    <row r="1085" spans="1:15" x14ac:dyDescent="0.25">
      <c r="A1085" t="s">
        <v>1313</v>
      </c>
      <c r="B1085" t="s">
        <v>85</v>
      </c>
      <c r="C1085">
        <v>1</v>
      </c>
      <c r="D1085">
        <v>30.3</v>
      </c>
      <c r="E1085">
        <v>30.3</v>
      </c>
      <c r="F1085" s="58">
        <v>45700</v>
      </c>
      <c r="G1085" s="58">
        <v>45701</v>
      </c>
      <c r="H1085" t="s">
        <v>231</v>
      </c>
      <c r="I1085" t="s">
        <v>61</v>
      </c>
      <c r="J1085">
        <v>3</v>
      </c>
      <c r="K1085" t="s">
        <v>103</v>
      </c>
      <c r="L1085" t="s">
        <v>161</v>
      </c>
      <c r="M1085">
        <f>orders[[#This Row],[Ship Date]]-orders[[#This Row],[Order Date]]</f>
        <v>1</v>
      </c>
      <c r="N1085">
        <f>WEEKNUM(orders[[#This Row],[Order Date]],1)</f>
        <v>7</v>
      </c>
      <c r="O1085" t="str">
        <f t="array" ref="O1085">_xlfn.IFS(orders[[#This Row],[Customer Gender]]="M","Male", orders[[#This Row],[Customer Gender]]="F","Female", orders[[#This Row],[Customer Gender]]="O","Other", TRUE(),"Unknown")</f>
        <v>Female</v>
      </c>
    </row>
    <row r="1086" spans="1:15" x14ac:dyDescent="0.25">
      <c r="A1086" t="s">
        <v>1314</v>
      </c>
      <c r="B1086" t="s">
        <v>89</v>
      </c>
      <c r="C1086">
        <v>12</v>
      </c>
      <c r="D1086">
        <v>39.700000000000003</v>
      </c>
      <c r="E1086">
        <v>476.4</v>
      </c>
      <c r="F1086" s="58">
        <v>45700</v>
      </c>
      <c r="G1086" s="58">
        <v>45701</v>
      </c>
      <c r="H1086" t="s">
        <v>231</v>
      </c>
      <c r="I1086" t="s">
        <v>59</v>
      </c>
      <c r="J1086">
        <v>4</v>
      </c>
      <c r="K1086" t="s">
        <v>103</v>
      </c>
      <c r="L1086" t="s">
        <v>106</v>
      </c>
      <c r="M1086">
        <f>orders[[#This Row],[Ship Date]]-orders[[#This Row],[Order Date]]</f>
        <v>1</v>
      </c>
      <c r="N1086">
        <f>WEEKNUM(orders[[#This Row],[Order Date]],1)</f>
        <v>7</v>
      </c>
      <c r="O1086" t="str">
        <f t="array" ref="O1086">_xlfn.IFS(orders[[#This Row],[Customer Gender]]="M","Male", orders[[#This Row],[Customer Gender]]="F","Female", orders[[#This Row],[Customer Gender]]="O","Other", TRUE(),"Unknown")</f>
        <v>Female</v>
      </c>
    </row>
    <row r="1087" spans="1:15" x14ac:dyDescent="0.25">
      <c r="A1087" t="s">
        <v>1315</v>
      </c>
      <c r="B1087" t="s">
        <v>79</v>
      </c>
      <c r="C1087">
        <v>10</v>
      </c>
      <c r="D1087">
        <v>58.9</v>
      </c>
      <c r="E1087">
        <v>589</v>
      </c>
      <c r="F1087" s="58">
        <v>45700</v>
      </c>
      <c r="G1087" s="58">
        <v>45702</v>
      </c>
      <c r="H1087" t="s">
        <v>231</v>
      </c>
      <c r="I1087" t="s">
        <v>63</v>
      </c>
      <c r="J1087">
        <v>2</v>
      </c>
      <c r="K1087" t="s">
        <v>103</v>
      </c>
      <c r="L1087" t="s">
        <v>106</v>
      </c>
      <c r="M1087">
        <f>orders[[#This Row],[Ship Date]]-orders[[#This Row],[Order Date]]</f>
        <v>2</v>
      </c>
      <c r="N1087">
        <f>WEEKNUM(orders[[#This Row],[Order Date]],1)</f>
        <v>7</v>
      </c>
      <c r="O1087" t="str">
        <f t="array" ref="O1087">_xlfn.IFS(orders[[#This Row],[Customer Gender]]="M","Male", orders[[#This Row],[Customer Gender]]="F","Female", orders[[#This Row],[Customer Gender]]="O","Other", TRUE(),"Unknown")</f>
        <v>Female</v>
      </c>
    </row>
    <row r="1088" spans="1:15" x14ac:dyDescent="0.25">
      <c r="A1088" t="s">
        <v>1316</v>
      </c>
      <c r="B1088" t="s">
        <v>87</v>
      </c>
      <c r="C1088">
        <v>2</v>
      </c>
      <c r="D1088">
        <v>174.1</v>
      </c>
      <c r="E1088">
        <v>348.2</v>
      </c>
      <c r="F1088" s="58">
        <v>45700</v>
      </c>
      <c r="G1088" s="58">
        <v>45702</v>
      </c>
      <c r="H1088" t="s">
        <v>231</v>
      </c>
      <c r="I1088" t="s">
        <v>59</v>
      </c>
      <c r="J1088">
        <v>3</v>
      </c>
      <c r="K1088" t="s">
        <v>103</v>
      </c>
      <c r="L1088" t="s">
        <v>108</v>
      </c>
      <c r="M1088">
        <f>orders[[#This Row],[Ship Date]]-orders[[#This Row],[Order Date]]</f>
        <v>2</v>
      </c>
      <c r="N1088">
        <f>WEEKNUM(orders[[#This Row],[Order Date]],1)</f>
        <v>7</v>
      </c>
      <c r="O1088" t="str">
        <f t="array" ref="O1088">_xlfn.IFS(orders[[#This Row],[Customer Gender]]="M","Male", orders[[#This Row],[Customer Gender]]="F","Female", orders[[#This Row],[Customer Gender]]="O","Other", TRUE(),"Unknown")</f>
        <v>Female</v>
      </c>
    </row>
    <row r="1089" spans="1:15" x14ac:dyDescent="0.25">
      <c r="A1089" t="s">
        <v>1317</v>
      </c>
      <c r="B1089" t="s">
        <v>80</v>
      </c>
      <c r="C1089">
        <v>2</v>
      </c>
      <c r="D1089">
        <v>70.8</v>
      </c>
      <c r="E1089">
        <v>141.6</v>
      </c>
      <c r="F1089" s="58">
        <v>45700</v>
      </c>
      <c r="G1089" s="58">
        <v>45703</v>
      </c>
      <c r="H1089" t="s">
        <v>229</v>
      </c>
      <c r="I1089" t="s">
        <v>62</v>
      </c>
      <c r="J1089">
        <v>4</v>
      </c>
      <c r="K1089" t="s">
        <v>103</v>
      </c>
      <c r="L1089" t="s">
        <v>120</v>
      </c>
      <c r="M1089">
        <f>orders[[#This Row],[Ship Date]]-orders[[#This Row],[Order Date]]</f>
        <v>3</v>
      </c>
      <c r="N1089">
        <f>WEEKNUM(orders[[#This Row],[Order Date]],1)</f>
        <v>7</v>
      </c>
      <c r="O1089" t="str">
        <f t="array" ref="O1089">_xlfn.IFS(orders[[#This Row],[Customer Gender]]="M","Male", orders[[#This Row],[Customer Gender]]="F","Female", orders[[#This Row],[Customer Gender]]="O","Other", TRUE(),"Unknown")</f>
        <v>Male</v>
      </c>
    </row>
    <row r="1090" spans="1:15" x14ac:dyDescent="0.25">
      <c r="A1090" t="s">
        <v>1318</v>
      </c>
      <c r="B1090" t="s">
        <v>79</v>
      </c>
      <c r="C1090">
        <v>2</v>
      </c>
      <c r="D1090">
        <v>57.4</v>
      </c>
      <c r="E1090">
        <v>114.8</v>
      </c>
      <c r="F1090" s="58">
        <v>45700</v>
      </c>
      <c r="G1090" s="58">
        <v>45702</v>
      </c>
      <c r="H1090" t="s">
        <v>231</v>
      </c>
      <c r="I1090" t="s">
        <v>63</v>
      </c>
      <c r="J1090">
        <v>3</v>
      </c>
      <c r="K1090" t="s">
        <v>103</v>
      </c>
      <c r="L1090" t="s">
        <v>121</v>
      </c>
      <c r="M1090">
        <f>orders[[#This Row],[Ship Date]]-orders[[#This Row],[Order Date]]</f>
        <v>2</v>
      </c>
      <c r="N1090">
        <f>WEEKNUM(orders[[#This Row],[Order Date]],1)</f>
        <v>7</v>
      </c>
      <c r="O1090" t="str">
        <f t="array" ref="O1090">_xlfn.IFS(orders[[#This Row],[Customer Gender]]="M","Male", orders[[#This Row],[Customer Gender]]="F","Female", orders[[#This Row],[Customer Gender]]="O","Other", TRUE(),"Unknown")</f>
        <v>Female</v>
      </c>
    </row>
    <row r="1091" spans="1:15" x14ac:dyDescent="0.25">
      <c r="A1091" t="s">
        <v>1319</v>
      </c>
      <c r="B1091" t="s">
        <v>86</v>
      </c>
      <c r="C1091">
        <v>2</v>
      </c>
      <c r="D1091">
        <v>28.5</v>
      </c>
      <c r="E1091">
        <v>57</v>
      </c>
      <c r="F1091" s="58">
        <v>45700</v>
      </c>
      <c r="G1091" s="58">
        <v>45702</v>
      </c>
      <c r="H1091" t="s">
        <v>229</v>
      </c>
      <c r="I1091" t="s">
        <v>60</v>
      </c>
      <c r="J1091">
        <v>3</v>
      </c>
      <c r="K1091" t="s">
        <v>103</v>
      </c>
      <c r="L1091" t="s">
        <v>124</v>
      </c>
      <c r="M1091">
        <f>orders[[#This Row],[Ship Date]]-orders[[#This Row],[Order Date]]</f>
        <v>2</v>
      </c>
      <c r="N1091">
        <f>WEEKNUM(orders[[#This Row],[Order Date]],1)</f>
        <v>7</v>
      </c>
      <c r="O1091" t="str">
        <f t="array" ref="O1091">_xlfn.IFS(orders[[#This Row],[Customer Gender]]="M","Male", orders[[#This Row],[Customer Gender]]="F","Female", orders[[#This Row],[Customer Gender]]="O","Other", TRUE(),"Unknown")</f>
        <v>Male</v>
      </c>
    </row>
    <row r="1092" spans="1:15" x14ac:dyDescent="0.25">
      <c r="A1092" t="s">
        <v>1320</v>
      </c>
      <c r="B1092" t="s">
        <v>87</v>
      </c>
      <c r="C1092">
        <v>20</v>
      </c>
      <c r="D1092">
        <v>106.6</v>
      </c>
      <c r="E1092">
        <v>2132</v>
      </c>
      <c r="F1092" s="58">
        <v>45700</v>
      </c>
      <c r="G1092" s="58">
        <v>45701</v>
      </c>
      <c r="I1092" t="s">
        <v>63</v>
      </c>
      <c r="J1092">
        <v>2</v>
      </c>
      <c r="K1092" t="s">
        <v>103</v>
      </c>
      <c r="L1092" t="s">
        <v>124</v>
      </c>
      <c r="M1092">
        <f>orders[[#This Row],[Ship Date]]-orders[[#This Row],[Order Date]]</f>
        <v>1</v>
      </c>
      <c r="N1092">
        <f>WEEKNUM(orders[[#This Row],[Order Date]],1)</f>
        <v>7</v>
      </c>
      <c r="O1092" t="str">
        <f t="array" ref="O1092">_xlfn.IFS(orders[[#This Row],[Customer Gender]]="M","Male", orders[[#This Row],[Customer Gender]]="F","Female", orders[[#This Row],[Customer Gender]]="O","Other", TRUE(),"Unknown")</f>
        <v>Unknown</v>
      </c>
    </row>
    <row r="1093" spans="1:15" x14ac:dyDescent="0.25">
      <c r="A1093" t="s">
        <v>1321</v>
      </c>
      <c r="B1093" t="s">
        <v>87</v>
      </c>
      <c r="C1093">
        <v>3</v>
      </c>
      <c r="D1093">
        <v>119.7</v>
      </c>
      <c r="E1093">
        <v>359.1</v>
      </c>
      <c r="F1093" s="58">
        <v>45700</v>
      </c>
      <c r="G1093" s="58">
        <v>45701</v>
      </c>
      <c r="H1093" t="s">
        <v>231</v>
      </c>
      <c r="I1093" t="s">
        <v>63</v>
      </c>
      <c r="J1093">
        <v>2</v>
      </c>
      <c r="K1093" t="s">
        <v>103</v>
      </c>
      <c r="L1093" t="s">
        <v>124</v>
      </c>
      <c r="M1093">
        <f>orders[[#This Row],[Ship Date]]-orders[[#This Row],[Order Date]]</f>
        <v>1</v>
      </c>
      <c r="N1093">
        <f>WEEKNUM(orders[[#This Row],[Order Date]],1)</f>
        <v>7</v>
      </c>
      <c r="O1093" t="str">
        <f t="array" ref="O1093">_xlfn.IFS(orders[[#This Row],[Customer Gender]]="M","Male", orders[[#This Row],[Customer Gender]]="F","Female", orders[[#This Row],[Customer Gender]]="O","Other", TRUE(),"Unknown")</f>
        <v>Female</v>
      </c>
    </row>
    <row r="1094" spans="1:15" x14ac:dyDescent="0.25">
      <c r="A1094" t="s">
        <v>1322</v>
      </c>
      <c r="B1094" t="s">
        <v>82</v>
      </c>
      <c r="C1094">
        <v>1</v>
      </c>
      <c r="D1094">
        <v>73.3</v>
      </c>
      <c r="E1094">
        <v>73.3</v>
      </c>
      <c r="F1094" s="58">
        <v>45700</v>
      </c>
      <c r="G1094" s="58">
        <v>45705</v>
      </c>
      <c r="H1094" t="s">
        <v>231</v>
      </c>
      <c r="I1094" t="s">
        <v>59</v>
      </c>
      <c r="J1094">
        <v>5</v>
      </c>
      <c r="K1094" t="s">
        <v>103</v>
      </c>
      <c r="L1094" t="s">
        <v>124</v>
      </c>
      <c r="M1094">
        <f>orders[[#This Row],[Ship Date]]-orders[[#This Row],[Order Date]]</f>
        <v>5</v>
      </c>
      <c r="N1094">
        <f>WEEKNUM(orders[[#This Row],[Order Date]],1)</f>
        <v>7</v>
      </c>
      <c r="O1094" t="str">
        <f t="array" ref="O1094">_xlfn.IFS(orders[[#This Row],[Customer Gender]]="M","Male", orders[[#This Row],[Customer Gender]]="F","Female", orders[[#This Row],[Customer Gender]]="O","Other", TRUE(),"Unknown")</f>
        <v>Female</v>
      </c>
    </row>
    <row r="1095" spans="1:15" x14ac:dyDescent="0.25">
      <c r="A1095" t="s">
        <v>1323</v>
      </c>
      <c r="B1095" t="s">
        <v>86</v>
      </c>
      <c r="C1095">
        <v>2</v>
      </c>
      <c r="D1095">
        <v>25.8</v>
      </c>
      <c r="E1095">
        <v>51.6</v>
      </c>
      <c r="F1095" s="58">
        <v>45700</v>
      </c>
      <c r="G1095" s="58">
        <v>45714</v>
      </c>
      <c r="H1095" t="s">
        <v>229</v>
      </c>
      <c r="I1095" t="s">
        <v>62</v>
      </c>
      <c r="J1095">
        <v>4</v>
      </c>
      <c r="K1095" t="s">
        <v>103</v>
      </c>
      <c r="L1095" t="s">
        <v>124</v>
      </c>
      <c r="M1095">
        <f>orders[[#This Row],[Ship Date]]-orders[[#This Row],[Order Date]]</f>
        <v>14</v>
      </c>
      <c r="N1095">
        <f>WEEKNUM(orders[[#This Row],[Order Date]],1)</f>
        <v>7</v>
      </c>
      <c r="O1095" t="str">
        <f t="array" ref="O1095">_xlfn.IFS(orders[[#This Row],[Customer Gender]]="M","Male", orders[[#This Row],[Customer Gender]]="F","Female", orders[[#This Row],[Customer Gender]]="O","Other", TRUE(),"Unknown")</f>
        <v>Male</v>
      </c>
    </row>
    <row r="1096" spans="1:15" x14ac:dyDescent="0.25">
      <c r="A1096" t="s">
        <v>1324</v>
      </c>
      <c r="B1096" t="s">
        <v>84</v>
      </c>
      <c r="C1096">
        <v>3</v>
      </c>
      <c r="D1096">
        <v>49.1</v>
      </c>
      <c r="E1096">
        <v>147.30000000000001</v>
      </c>
      <c r="F1096" s="58">
        <v>45700</v>
      </c>
      <c r="G1096" s="58">
        <v>45702</v>
      </c>
      <c r="H1096" t="s">
        <v>231</v>
      </c>
      <c r="I1096" t="s">
        <v>59</v>
      </c>
      <c r="J1096">
        <v>4</v>
      </c>
      <c r="K1096" t="s">
        <v>103</v>
      </c>
      <c r="L1096" t="s">
        <v>129</v>
      </c>
      <c r="M1096">
        <f>orders[[#This Row],[Ship Date]]-orders[[#This Row],[Order Date]]</f>
        <v>2</v>
      </c>
      <c r="N1096">
        <f>WEEKNUM(orders[[#This Row],[Order Date]],1)</f>
        <v>7</v>
      </c>
      <c r="O1096" t="str">
        <f t="array" ref="O1096">_xlfn.IFS(orders[[#This Row],[Customer Gender]]="M","Male", orders[[#This Row],[Customer Gender]]="F","Female", orders[[#This Row],[Customer Gender]]="O","Other", TRUE(),"Unknown")</f>
        <v>Female</v>
      </c>
    </row>
    <row r="1097" spans="1:15" x14ac:dyDescent="0.25">
      <c r="A1097" t="s">
        <v>1325</v>
      </c>
      <c r="B1097" t="s">
        <v>91</v>
      </c>
      <c r="C1097">
        <v>1</v>
      </c>
      <c r="D1097">
        <v>44.9</v>
      </c>
      <c r="E1097">
        <v>44.9</v>
      </c>
      <c r="F1097" s="58">
        <v>45700</v>
      </c>
      <c r="G1097" s="58">
        <v>45703</v>
      </c>
      <c r="H1097" t="s">
        <v>231</v>
      </c>
      <c r="I1097" t="s">
        <v>60</v>
      </c>
      <c r="J1097">
        <v>5</v>
      </c>
      <c r="K1097" t="s">
        <v>103</v>
      </c>
      <c r="L1097" t="s">
        <v>139</v>
      </c>
      <c r="M1097">
        <f>orders[[#This Row],[Ship Date]]-orders[[#This Row],[Order Date]]</f>
        <v>3</v>
      </c>
      <c r="N1097">
        <f>WEEKNUM(orders[[#This Row],[Order Date]],1)</f>
        <v>7</v>
      </c>
      <c r="O1097" t="str">
        <f t="array" ref="O1097">_xlfn.IFS(orders[[#This Row],[Customer Gender]]="M","Male", orders[[#This Row],[Customer Gender]]="F","Female", orders[[#This Row],[Customer Gender]]="O","Other", TRUE(),"Unknown")</f>
        <v>Female</v>
      </c>
    </row>
    <row r="1098" spans="1:15" x14ac:dyDescent="0.25">
      <c r="A1098" t="s">
        <v>1326</v>
      </c>
      <c r="B1098" t="s">
        <v>77</v>
      </c>
      <c r="C1098">
        <v>7</v>
      </c>
      <c r="D1098">
        <v>29.9</v>
      </c>
      <c r="E1098">
        <v>209.3</v>
      </c>
      <c r="F1098" s="58">
        <v>45700</v>
      </c>
      <c r="G1098" s="58">
        <v>45701</v>
      </c>
      <c r="H1098" t="s">
        <v>231</v>
      </c>
      <c r="I1098" t="s">
        <v>59</v>
      </c>
      <c r="J1098">
        <v>4</v>
      </c>
      <c r="K1098" t="s">
        <v>103</v>
      </c>
      <c r="L1098" t="s">
        <v>139</v>
      </c>
      <c r="M1098">
        <f>orders[[#This Row],[Ship Date]]-orders[[#This Row],[Order Date]]</f>
        <v>1</v>
      </c>
      <c r="N1098">
        <f>WEEKNUM(orders[[#This Row],[Order Date]],1)</f>
        <v>7</v>
      </c>
      <c r="O1098" t="str">
        <f t="array" ref="O1098">_xlfn.IFS(orders[[#This Row],[Customer Gender]]="M","Male", orders[[#This Row],[Customer Gender]]="F","Female", orders[[#This Row],[Customer Gender]]="O","Other", TRUE(),"Unknown")</f>
        <v>Female</v>
      </c>
    </row>
    <row r="1099" spans="1:15" x14ac:dyDescent="0.25">
      <c r="A1099" t="s">
        <v>1327</v>
      </c>
      <c r="B1099" t="s">
        <v>79</v>
      </c>
      <c r="C1099">
        <v>2</v>
      </c>
      <c r="D1099">
        <v>54.3</v>
      </c>
      <c r="E1099">
        <v>108.6</v>
      </c>
      <c r="F1099" s="58">
        <v>45701</v>
      </c>
      <c r="G1099" s="58">
        <v>45702</v>
      </c>
      <c r="H1099" t="s">
        <v>229</v>
      </c>
      <c r="I1099" t="s">
        <v>60</v>
      </c>
      <c r="J1099">
        <v>4</v>
      </c>
      <c r="K1099" t="s">
        <v>103</v>
      </c>
      <c r="L1099" t="s">
        <v>140</v>
      </c>
      <c r="M1099">
        <f>orders[[#This Row],[Ship Date]]-orders[[#This Row],[Order Date]]</f>
        <v>1</v>
      </c>
      <c r="N1099">
        <f>WEEKNUM(orders[[#This Row],[Order Date]],1)</f>
        <v>7</v>
      </c>
      <c r="O1099" t="str">
        <f t="array" ref="O1099">_xlfn.IFS(orders[[#This Row],[Customer Gender]]="M","Male", orders[[#This Row],[Customer Gender]]="F","Female", orders[[#This Row],[Customer Gender]]="O","Other", TRUE(),"Unknown")</f>
        <v>Male</v>
      </c>
    </row>
    <row r="1100" spans="1:15" x14ac:dyDescent="0.25">
      <c r="A1100" t="s">
        <v>1328</v>
      </c>
      <c r="B1100" t="s">
        <v>88</v>
      </c>
      <c r="C1100">
        <v>4</v>
      </c>
      <c r="D1100">
        <v>57</v>
      </c>
      <c r="E1100">
        <v>228</v>
      </c>
      <c r="F1100" s="58">
        <v>45701</v>
      </c>
      <c r="G1100" s="58">
        <v>45703</v>
      </c>
      <c r="H1100" t="s">
        <v>231</v>
      </c>
      <c r="I1100" t="s">
        <v>59</v>
      </c>
      <c r="J1100">
        <v>4</v>
      </c>
      <c r="K1100" t="s">
        <v>103</v>
      </c>
      <c r="L1100" t="s">
        <v>142</v>
      </c>
      <c r="M1100">
        <f>orders[[#This Row],[Ship Date]]-orders[[#This Row],[Order Date]]</f>
        <v>2</v>
      </c>
      <c r="N1100">
        <f>WEEKNUM(orders[[#This Row],[Order Date]],1)</f>
        <v>7</v>
      </c>
      <c r="O1100" t="str">
        <f t="array" ref="O1100">_xlfn.IFS(orders[[#This Row],[Customer Gender]]="M","Male", orders[[#This Row],[Customer Gender]]="F","Female", orders[[#This Row],[Customer Gender]]="O","Other", TRUE(),"Unknown")</f>
        <v>Female</v>
      </c>
    </row>
    <row r="1101" spans="1:15" x14ac:dyDescent="0.25">
      <c r="A1101" t="s">
        <v>1329</v>
      </c>
      <c r="B1101" t="s">
        <v>87</v>
      </c>
      <c r="C1101">
        <v>1</v>
      </c>
      <c r="D1101">
        <v>139.19999999999999</v>
      </c>
      <c r="E1101">
        <v>139.19999999999999</v>
      </c>
      <c r="F1101" s="58">
        <v>45701</v>
      </c>
      <c r="G1101" s="58">
        <v>45702</v>
      </c>
      <c r="H1101" t="s">
        <v>231</v>
      </c>
      <c r="I1101" t="s">
        <v>60</v>
      </c>
      <c r="J1101">
        <v>5</v>
      </c>
      <c r="K1101" t="s">
        <v>103</v>
      </c>
      <c r="L1101" t="s">
        <v>142</v>
      </c>
      <c r="M1101">
        <f>orders[[#This Row],[Ship Date]]-orders[[#This Row],[Order Date]]</f>
        <v>1</v>
      </c>
      <c r="N1101">
        <f>WEEKNUM(orders[[#This Row],[Order Date]],1)</f>
        <v>7</v>
      </c>
      <c r="O1101" t="str">
        <f t="array" ref="O1101">_xlfn.IFS(orders[[#This Row],[Customer Gender]]="M","Male", orders[[#This Row],[Customer Gender]]="F","Female", orders[[#This Row],[Customer Gender]]="O","Other", TRUE(),"Unknown")</f>
        <v>Female</v>
      </c>
    </row>
    <row r="1102" spans="1:15" x14ac:dyDescent="0.25">
      <c r="A1102" t="s">
        <v>1330</v>
      </c>
      <c r="B1102" t="s">
        <v>75</v>
      </c>
      <c r="C1102">
        <v>1</v>
      </c>
      <c r="D1102">
        <v>33</v>
      </c>
      <c r="E1102">
        <v>33</v>
      </c>
      <c r="F1102" s="58">
        <v>45701</v>
      </c>
      <c r="G1102" s="58">
        <v>45704</v>
      </c>
      <c r="H1102" t="s">
        <v>231</v>
      </c>
      <c r="I1102" t="s">
        <v>59</v>
      </c>
      <c r="J1102">
        <v>5</v>
      </c>
      <c r="K1102" t="s">
        <v>103</v>
      </c>
      <c r="L1102" t="s">
        <v>142</v>
      </c>
      <c r="M1102">
        <f>orders[[#This Row],[Ship Date]]-orders[[#This Row],[Order Date]]</f>
        <v>3</v>
      </c>
      <c r="N1102">
        <f>WEEKNUM(orders[[#This Row],[Order Date]],1)</f>
        <v>7</v>
      </c>
      <c r="O1102" t="str">
        <f t="array" ref="O1102">_xlfn.IFS(orders[[#This Row],[Customer Gender]]="M","Male", orders[[#This Row],[Customer Gender]]="F","Female", orders[[#This Row],[Customer Gender]]="O","Other", TRUE(),"Unknown")</f>
        <v>Female</v>
      </c>
    </row>
    <row r="1103" spans="1:15" x14ac:dyDescent="0.25">
      <c r="A1103" t="s">
        <v>1331</v>
      </c>
      <c r="B1103" t="s">
        <v>83</v>
      </c>
      <c r="C1103">
        <v>6</v>
      </c>
      <c r="D1103">
        <v>80.2</v>
      </c>
      <c r="E1103">
        <v>481.2</v>
      </c>
      <c r="F1103" s="58">
        <v>45701</v>
      </c>
      <c r="G1103" s="58">
        <v>45703</v>
      </c>
      <c r="H1103" t="s">
        <v>229</v>
      </c>
      <c r="I1103" t="s">
        <v>63</v>
      </c>
      <c r="J1103">
        <v>2</v>
      </c>
      <c r="K1103" t="s">
        <v>103</v>
      </c>
      <c r="L1103" t="s">
        <v>142</v>
      </c>
      <c r="M1103">
        <f>orders[[#This Row],[Ship Date]]-orders[[#This Row],[Order Date]]</f>
        <v>2</v>
      </c>
      <c r="N1103">
        <f>WEEKNUM(orders[[#This Row],[Order Date]],1)</f>
        <v>7</v>
      </c>
      <c r="O1103" t="str">
        <f t="array" ref="O1103">_xlfn.IFS(orders[[#This Row],[Customer Gender]]="M","Male", orders[[#This Row],[Customer Gender]]="F","Female", orders[[#This Row],[Customer Gender]]="O","Other", TRUE(),"Unknown")</f>
        <v>Male</v>
      </c>
    </row>
    <row r="1104" spans="1:15" x14ac:dyDescent="0.25">
      <c r="A1104" t="s">
        <v>1332</v>
      </c>
      <c r="B1104" t="s">
        <v>82</v>
      </c>
      <c r="C1104">
        <v>8</v>
      </c>
      <c r="D1104">
        <v>49</v>
      </c>
      <c r="E1104">
        <v>392</v>
      </c>
      <c r="F1104" s="58">
        <v>45701</v>
      </c>
      <c r="G1104" s="58">
        <v>45702</v>
      </c>
      <c r="I1104" t="s">
        <v>62</v>
      </c>
      <c r="J1104">
        <v>3</v>
      </c>
      <c r="K1104" t="s">
        <v>103</v>
      </c>
      <c r="L1104" t="s">
        <v>146</v>
      </c>
      <c r="M1104">
        <f>orders[[#This Row],[Ship Date]]-orders[[#This Row],[Order Date]]</f>
        <v>1</v>
      </c>
      <c r="N1104">
        <f>WEEKNUM(orders[[#This Row],[Order Date]],1)</f>
        <v>7</v>
      </c>
      <c r="O1104" t="str">
        <f t="array" ref="O1104">_xlfn.IFS(orders[[#This Row],[Customer Gender]]="M","Male", orders[[#This Row],[Customer Gender]]="F","Female", orders[[#This Row],[Customer Gender]]="O","Other", TRUE(),"Unknown")</f>
        <v>Unknown</v>
      </c>
    </row>
    <row r="1105" spans="1:15" x14ac:dyDescent="0.25">
      <c r="A1105" t="s">
        <v>1333</v>
      </c>
      <c r="B1105" t="s">
        <v>91</v>
      </c>
      <c r="C1105">
        <v>4</v>
      </c>
      <c r="D1105">
        <v>104.4</v>
      </c>
      <c r="E1105">
        <v>417.6</v>
      </c>
      <c r="F1105" s="58">
        <v>45701</v>
      </c>
      <c r="G1105" s="58">
        <v>45701</v>
      </c>
      <c r="H1105" t="s">
        <v>231</v>
      </c>
      <c r="I1105" t="s">
        <v>59</v>
      </c>
      <c r="J1105">
        <v>4</v>
      </c>
      <c r="K1105" t="s">
        <v>103</v>
      </c>
      <c r="L1105" t="s">
        <v>146</v>
      </c>
      <c r="M1105">
        <f>orders[[#This Row],[Ship Date]]-orders[[#This Row],[Order Date]]</f>
        <v>0</v>
      </c>
      <c r="N1105">
        <f>WEEKNUM(orders[[#This Row],[Order Date]],1)</f>
        <v>7</v>
      </c>
      <c r="O1105" t="str">
        <f t="array" ref="O1105">_xlfn.IFS(orders[[#This Row],[Customer Gender]]="M","Male", orders[[#This Row],[Customer Gender]]="F","Female", orders[[#This Row],[Customer Gender]]="O","Other", TRUE(),"Unknown")</f>
        <v>Female</v>
      </c>
    </row>
    <row r="1106" spans="1:15" x14ac:dyDescent="0.25">
      <c r="A1106" t="s">
        <v>1334</v>
      </c>
      <c r="B1106" t="s">
        <v>93</v>
      </c>
      <c r="C1106">
        <v>1</v>
      </c>
      <c r="D1106">
        <v>41.6</v>
      </c>
      <c r="E1106">
        <v>41.6</v>
      </c>
      <c r="F1106" s="58">
        <v>45701</v>
      </c>
      <c r="G1106" s="58">
        <v>45704</v>
      </c>
      <c r="H1106" t="s">
        <v>229</v>
      </c>
      <c r="I1106" t="s">
        <v>60</v>
      </c>
      <c r="J1106">
        <v>4</v>
      </c>
      <c r="K1106" t="s">
        <v>103</v>
      </c>
      <c r="L1106" t="s">
        <v>148</v>
      </c>
      <c r="M1106">
        <f>orders[[#This Row],[Ship Date]]-orders[[#This Row],[Order Date]]</f>
        <v>3</v>
      </c>
      <c r="N1106">
        <f>WEEKNUM(orders[[#This Row],[Order Date]],1)</f>
        <v>7</v>
      </c>
      <c r="O1106" t="str">
        <f t="array" ref="O1106">_xlfn.IFS(orders[[#This Row],[Customer Gender]]="M","Male", orders[[#This Row],[Customer Gender]]="F","Female", orders[[#This Row],[Customer Gender]]="O","Other", TRUE(),"Unknown")</f>
        <v>Male</v>
      </c>
    </row>
    <row r="1107" spans="1:15" x14ac:dyDescent="0.25">
      <c r="A1107" t="s">
        <v>1335</v>
      </c>
      <c r="B1107" t="s">
        <v>81</v>
      </c>
      <c r="C1107">
        <v>2</v>
      </c>
      <c r="D1107">
        <v>16.399999999999999</v>
      </c>
      <c r="E1107">
        <v>32.799999999999997</v>
      </c>
      <c r="F1107" s="58">
        <v>45701</v>
      </c>
      <c r="G1107" s="58">
        <v>45702</v>
      </c>
      <c r="H1107" t="s">
        <v>263</v>
      </c>
      <c r="I1107" t="s">
        <v>59</v>
      </c>
      <c r="J1107">
        <v>5</v>
      </c>
      <c r="K1107" t="s">
        <v>103</v>
      </c>
      <c r="L1107" t="s">
        <v>148</v>
      </c>
      <c r="M1107">
        <f>orders[[#This Row],[Ship Date]]-orders[[#This Row],[Order Date]]</f>
        <v>1</v>
      </c>
      <c r="N1107">
        <f>WEEKNUM(orders[[#This Row],[Order Date]],1)</f>
        <v>7</v>
      </c>
      <c r="O1107" t="str">
        <f t="array" ref="O1107">_xlfn.IFS(orders[[#This Row],[Customer Gender]]="M","Male", orders[[#This Row],[Customer Gender]]="F","Female", orders[[#This Row],[Customer Gender]]="O","Other", TRUE(),"Unknown")</f>
        <v>Other</v>
      </c>
    </row>
    <row r="1108" spans="1:15" x14ac:dyDescent="0.25">
      <c r="A1108" t="s">
        <v>1336</v>
      </c>
      <c r="B1108" t="s">
        <v>90</v>
      </c>
      <c r="C1108">
        <v>2</v>
      </c>
      <c r="D1108">
        <v>22</v>
      </c>
      <c r="E1108">
        <v>44</v>
      </c>
      <c r="F1108" s="58">
        <v>45701</v>
      </c>
      <c r="G1108" s="58">
        <v>45702</v>
      </c>
      <c r="H1108" t="s">
        <v>229</v>
      </c>
      <c r="I1108" t="s">
        <v>62</v>
      </c>
      <c r="J1108">
        <v>5</v>
      </c>
      <c r="K1108" t="s">
        <v>103</v>
      </c>
      <c r="L1108" t="s">
        <v>150</v>
      </c>
      <c r="M1108">
        <f>orders[[#This Row],[Ship Date]]-orders[[#This Row],[Order Date]]</f>
        <v>1</v>
      </c>
      <c r="N1108">
        <f>WEEKNUM(orders[[#This Row],[Order Date]],1)</f>
        <v>7</v>
      </c>
      <c r="O1108" t="str">
        <f t="array" ref="O1108">_xlfn.IFS(orders[[#This Row],[Customer Gender]]="M","Male", orders[[#This Row],[Customer Gender]]="F","Female", orders[[#This Row],[Customer Gender]]="O","Other", TRUE(),"Unknown")</f>
        <v>Male</v>
      </c>
    </row>
    <row r="1109" spans="1:15" x14ac:dyDescent="0.25">
      <c r="A1109" t="s">
        <v>1337</v>
      </c>
      <c r="B1109" t="s">
        <v>77</v>
      </c>
      <c r="C1109">
        <v>2</v>
      </c>
      <c r="D1109">
        <v>33.6</v>
      </c>
      <c r="E1109">
        <v>67.2</v>
      </c>
      <c r="F1109" s="58">
        <v>45701</v>
      </c>
      <c r="G1109" s="58">
        <v>45706</v>
      </c>
      <c r="H1109" t="s">
        <v>231</v>
      </c>
      <c r="I1109" t="s">
        <v>59</v>
      </c>
      <c r="J1109">
        <v>4</v>
      </c>
      <c r="K1109" t="s">
        <v>103</v>
      </c>
      <c r="L1109" t="s">
        <v>106</v>
      </c>
      <c r="M1109">
        <f>orders[[#This Row],[Ship Date]]-orders[[#This Row],[Order Date]]</f>
        <v>5</v>
      </c>
      <c r="N1109">
        <f>WEEKNUM(orders[[#This Row],[Order Date]],1)</f>
        <v>7</v>
      </c>
      <c r="O1109" t="str">
        <f t="array" ref="O1109">_xlfn.IFS(orders[[#This Row],[Customer Gender]]="M","Male", orders[[#This Row],[Customer Gender]]="F","Female", orders[[#This Row],[Customer Gender]]="O","Other", TRUE(),"Unknown")</f>
        <v>Female</v>
      </c>
    </row>
    <row r="1110" spans="1:15" x14ac:dyDescent="0.25">
      <c r="A1110" t="s">
        <v>1338</v>
      </c>
      <c r="B1110" t="s">
        <v>83</v>
      </c>
      <c r="C1110">
        <v>6</v>
      </c>
      <c r="D1110">
        <v>43</v>
      </c>
      <c r="E1110">
        <v>258</v>
      </c>
      <c r="F1110" s="58">
        <v>45701</v>
      </c>
      <c r="G1110" s="58">
        <v>45702</v>
      </c>
      <c r="H1110" t="s">
        <v>231</v>
      </c>
      <c r="I1110" t="s">
        <v>62</v>
      </c>
      <c r="J1110">
        <v>4</v>
      </c>
      <c r="K1110" t="s">
        <v>103</v>
      </c>
      <c r="L1110" t="s">
        <v>106</v>
      </c>
      <c r="M1110">
        <f>orders[[#This Row],[Ship Date]]-orders[[#This Row],[Order Date]]</f>
        <v>1</v>
      </c>
      <c r="N1110">
        <f>WEEKNUM(orders[[#This Row],[Order Date]],1)</f>
        <v>7</v>
      </c>
      <c r="O1110" t="str">
        <f t="array" ref="O1110">_xlfn.IFS(orders[[#This Row],[Customer Gender]]="M","Male", orders[[#This Row],[Customer Gender]]="F","Female", orders[[#This Row],[Customer Gender]]="O","Other", TRUE(),"Unknown")</f>
        <v>Female</v>
      </c>
    </row>
    <row r="1111" spans="1:15" x14ac:dyDescent="0.25">
      <c r="A1111" t="s">
        <v>1339</v>
      </c>
      <c r="B1111" t="s">
        <v>80</v>
      </c>
      <c r="C1111">
        <v>5</v>
      </c>
      <c r="D1111">
        <v>108.8</v>
      </c>
      <c r="E1111">
        <v>544</v>
      </c>
      <c r="F1111" s="58">
        <v>45701</v>
      </c>
      <c r="G1111" s="58">
        <v>45704</v>
      </c>
      <c r="H1111" t="s">
        <v>231</v>
      </c>
      <c r="I1111" t="s">
        <v>61</v>
      </c>
      <c r="J1111">
        <v>5</v>
      </c>
      <c r="K1111" t="s">
        <v>103</v>
      </c>
      <c r="L1111" t="s">
        <v>106</v>
      </c>
      <c r="M1111">
        <f>orders[[#This Row],[Ship Date]]-orders[[#This Row],[Order Date]]</f>
        <v>3</v>
      </c>
      <c r="N1111">
        <f>WEEKNUM(orders[[#This Row],[Order Date]],1)</f>
        <v>7</v>
      </c>
      <c r="O1111" t="str">
        <f t="array" ref="O1111">_xlfn.IFS(orders[[#This Row],[Customer Gender]]="M","Male", orders[[#This Row],[Customer Gender]]="F","Female", orders[[#This Row],[Customer Gender]]="O","Other", TRUE(),"Unknown")</f>
        <v>Female</v>
      </c>
    </row>
    <row r="1112" spans="1:15" x14ac:dyDescent="0.25">
      <c r="A1112" t="s">
        <v>1340</v>
      </c>
      <c r="B1112" t="s">
        <v>86</v>
      </c>
      <c r="C1112">
        <v>9</v>
      </c>
      <c r="D1112">
        <v>29.3</v>
      </c>
      <c r="E1112">
        <v>263.7</v>
      </c>
      <c r="F1112" s="58">
        <v>45701</v>
      </c>
      <c r="G1112" s="58">
        <v>45703</v>
      </c>
      <c r="H1112" t="s">
        <v>229</v>
      </c>
      <c r="I1112" t="s">
        <v>61</v>
      </c>
      <c r="J1112">
        <v>5</v>
      </c>
      <c r="K1112" t="s">
        <v>103</v>
      </c>
      <c r="L1112" t="s">
        <v>106</v>
      </c>
      <c r="M1112">
        <f>orders[[#This Row],[Ship Date]]-orders[[#This Row],[Order Date]]</f>
        <v>2</v>
      </c>
      <c r="N1112">
        <f>WEEKNUM(orders[[#This Row],[Order Date]],1)</f>
        <v>7</v>
      </c>
      <c r="O1112" t="str">
        <f t="array" ref="O1112">_xlfn.IFS(orders[[#This Row],[Customer Gender]]="M","Male", orders[[#This Row],[Customer Gender]]="F","Female", orders[[#This Row],[Customer Gender]]="O","Other", TRUE(),"Unknown")</f>
        <v>Male</v>
      </c>
    </row>
    <row r="1113" spans="1:15" x14ac:dyDescent="0.25">
      <c r="A1113" t="s">
        <v>1341</v>
      </c>
      <c r="B1113" t="s">
        <v>87</v>
      </c>
      <c r="C1113">
        <v>1</v>
      </c>
      <c r="D1113">
        <v>122.7</v>
      </c>
      <c r="E1113">
        <v>122.7</v>
      </c>
      <c r="F1113" s="58">
        <v>45701</v>
      </c>
      <c r="G1113" s="58">
        <v>45704</v>
      </c>
      <c r="H1113" t="s">
        <v>263</v>
      </c>
      <c r="I1113" t="s">
        <v>59</v>
      </c>
      <c r="J1113">
        <v>5</v>
      </c>
      <c r="K1113" t="s">
        <v>103</v>
      </c>
      <c r="L1113" t="s">
        <v>112</v>
      </c>
      <c r="M1113">
        <f>orders[[#This Row],[Ship Date]]-orders[[#This Row],[Order Date]]</f>
        <v>3</v>
      </c>
      <c r="N1113">
        <f>WEEKNUM(orders[[#This Row],[Order Date]],1)</f>
        <v>7</v>
      </c>
      <c r="O1113" t="str">
        <f t="array" ref="O1113">_xlfn.IFS(orders[[#This Row],[Customer Gender]]="M","Male", orders[[#This Row],[Customer Gender]]="F","Female", orders[[#This Row],[Customer Gender]]="O","Other", TRUE(),"Unknown")</f>
        <v>Other</v>
      </c>
    </row>
    <row r="1114" spans="1:15" x14ac:dyDescent="0.25">
      <c r="A1114" t="s">
        <v>1342</v>
      </c>
      <c r="B1114" t="s">
        <v>78</v>
      </c>
      <c r="C1114">
        <v>7</v>
      </c>
      <c r="D1114">
        <v>22.9</v>
      </c>
      <c r="E1114">
        <v>160.30000000000001</v>
      </c>
      <c r="F1114" s="58">
        <v>45701</v>
      </c>
      <c r="G1114" s="58">
        <v>45702</v>
      </c>
      <c r="H1114" t="s">
        <v>231</v>
      </c>
      <c r="I1114" t="s">
        <v>59</v>
      </c>
      <c r="J1114">
        <v>4</v>
      </c>
      <c r="K1114" t="s">
        <v>103</v>
      </c>
      <c r="L1114" t="s">
        <v>114</v>
      </c>
      <c r="M1114">
        <f>orders[[#This Row],[Ship Date]]-orders[[#This Row],[Order Date]]</f>
        <v>1</v>
      </c>
      <c r="N1114">
        <f>WEEKNUM(orders[[#This Row],[Order Date]],1)</f>
        <v>7</v>
      </c>
      <c r="O1114" t="str">
        <f t="array" ref="O1114">_xlfn.IFS(orders[[#This Row],[Customer Gender]]="M","Male", orders[[#This Row],[Customer Gender]]="F","Female", orders[[#This Row],[Customer Gender]]="O","Other", TRUE(),"Unknown")</f>
        <v>Female</v>
      </c>
    </row>
    <row r="1115" spans="1:15" x14ac:dyDescent="0.25">
      <c r="A1115" t="s">
        <v>1343</v>
      </c>
      <c r="B1115" t="s">
        <v>90</v>
      </c>
      <c r="C1115">
        <v>10</v>
      </c>
      <c r="D1115">
        <v>25.5</v>
      </c>
      <c r="E1115">
        <v>255</v>
      </c>
      <c r="F1115" s="58">
        <v>45701</v>
      </c>
      <c r="G1115" s="58">
        <v>45708</v>
      </c>
      <c r="H1115" t="s">
        <v>231</v>
      </c>
      <c r="I1115" t="s">
        <v>59</v>
      </c>
      <c r="J1115">
        <v>4</v>
      </c>
      <c r="K1115" t="s">
        <v>103</v>
      </c>
      <c r="L1115" t="s">
        <v>118</v>
      </c>
      <c r="M1115">
        <f>orders[[#This Row],[Ship Date]]-orders[[#This Row],[Order Date]]</f>
        <v>7</v>
      </c>
      <c r="N1115">
        <f>WEEKNUM(orders[[#This Row],[Order Date]],1)</f>
        <v>7</v>
      </c>
      <c r="O1115" t="str">
        <f t="array" ref="O1115">_xlfn.IFS(orders[[#This Row],[Customer Gender]]="M","Male", orders[[#This Row],[Customer Gender]]="F","Female", orders[[#This Row],[Customer Gender]]="O","Other", TRUE(),"Unknown")</f>
        <v>Female</v>
      </c>
    </row>
    <row r="1116" spans="1:15" x14ac:dyDescent="0.25">
      <c r="A1116" t="s">
        <v>1344</v>
      </c>
      <c r="B1116" t="s">
        <v>84</v>
      </c>
      <c r="C1116">
        <v>3</v>
      </c>
      <c r="D1116">
        <v>23.4</v>
      </c>
      <c r="E1116">
        <v>70.2</v>
      </c>
      <c r="F1116" s="58">
        <v>45701</v>
      </c>
      <c r="G1116" s="58">
        <v>45705</v>
      </c>
      <c r="H1116" t="s">
        <v>231</v>
      </c>
      <c r="I1116" t="s">
        <v>59</v>
      </c>
      <c r="J1116">
        <v>5</v>
      </c>
      <c r="K1116" t="s">
        <v>103</v>
      </c>
      <c r="L1116" t="s">
        <v>124</v>
      </c>
      <c r="M1116">
        <f>orders[[#This Row],[Ship Date]]-orders[[#This Row],[Order Date]]</f>
        <v>4</v>
      </c>
      <c r="N1116">
        <f>WEEKNUM(orders[[#This Row],[Order Date]],1)</f>
        <v>7</v>
      </c>
      <c r="O1116" t="str">
        <f t="array" ref="O1116">_xlfn.IFS(orders[[#This Row],[Customer Gender]]="M","Male", orders[[#This Row],[Customer Gender]]="F","Female", orders[[#This Row],[Customer Gender]]="O","Other", TRUE(),"Unknown")</f>
        <v>Female</v>
      </c>
    </row>
    <row r="1117" spans="1:15" x14ac:dyDescent="0.25">
      <c r="A1117" t="s">
        <v>1345</v>
      </c>
      <c r="B1117" t="s">
        <v>85</v>
      </c>
      <c r="C1117">
        <v>8</v>
      </c>
      <c r="D1117">
        <v>27.4</v>
      </c>
      <c r="E1117">
        <v>219.2</v>
      </c>
      <c r="F1117" s="58">
        <v>45701</v>
      </c>
      <c r="G1117" s="58">
        <v>45704</v>
      </c>
      <c r="H1117" t="s">
        <v>231</v>
      </c>
      <c r="I1117" t="s">
        <v>62</v>
      </c>
      <c r="J1117">
        <v>4</v>
      </c>
      <c r="K1117" t="s">
        <v>103</v>
      </c>
      <c r="L1117" t="s">
        <v>124</v>
      </c>
      <c r="M1117">
        <f>orders[[#This Row],[Ship Date]]-orders[[#This Row],[Order Date]]</f>
        <v>3</v>
      </c>
      <c r="N1117">
        <f>WEEKNUM(orders[[#This Row],[Order Date]],1)</f>
        <v>7</v>
      </c>
      <c r="O1117" t="str">
        <f t="array" ref="O1117">_xlfn.IFS(orders[[#This Row],[Customer Gender]]="M","Male", orders[[#This Row],[Customer Gender]]="F","Female", orders[[#This Row],[Customer Gender]]="O","Other", TRUE(),"Unknown")</f>
        <v>Female</v>
      </c>
    </row>
    <row r="1118" spans="1:15" x14ac:dyDescent="0.25">
      <c r="A1118" t="s">
        <v>1346</v>
      </c>
      <c r="B1118" t="s">
        <v>85</v>
      </c>
      <c r="C1118">
        <v>5</v>
      </c>
      <c r="D1118">
        <v>68.400000000000006</v>
      </c>
      <c r="E1118">
        <v>342</v>
      </c>
      <c r="F1118" s="58">
        <v>45701</v>
      </c>
      <c r="G1118" s="58">
        <v>45702</v>
      </c>
      <c r="H1118" t="s">
        <v>231</v>
      </c>
      <c r="I1118" t="s">
        <v>59</v>
      </c>
      <c r="J1118">
        <v>4</v>
      </c>
      <c r="K1118" t="s">
        <v>103</v>
      </c>
      <c r="L1118" t="s">
        <v>124</v>
      </c>
      <c r="M1118">
        <f>orders[[#This Row],[Ship Date]]-orders[[#This Row],[Order Date]]</f>
        <v>1</v>
      </c>
      <c r="N1118">
        <f>WEEKNUM(orders[[#This Row],[Order Date]],1)</f>
        <v>7</v>
      </c>
      <c r="O1118" t="str">
        <f t="array" ref="O1118">_xlfn.IFS(orders[[#This Row],[Customer Gender]]="M","Male", orders[[#This Row],[Customer Gender]]="F","Female", orders[[#This Row],[Customer Gender]]="O","Other", TRUE(),"Unknown")</f>
        <v>Female</v>
      </c>
    </row>
    <row r="1119" spans="1:15" x14ac:dyDescent="0.25">
      <c r="A1119" t="s">
        <v>1347</v>
      </c>
      <c r="B1119" t="s">
        <v>80</v>
      </c>
      <c r="C1119">
        <v>1</v>
      </c>
      <c r="D1119">
        <v>51.9</v>
      </c>
      <c r="E1119">
        <v>51.9</v>
      </c>
      <c r="F1119" s="58">
        <v>45701</v>
      </c>
      <c r="G1119" s="58">
        <v>45701</v>
      </c>
      <c r="H1119" t="s">
        <v>231</v>
      </c>
      <c r="I1119" t="s">
        <v>59</v>
      </c>
      <c r="J1119">
        <v>4</v>
      </c>
      <c r="K1119" t="s">
        <v>103</v>
      </c>
      <c r="L1119" t="s">
        <v>124</v>
      </c>
      <c r="M1119">
        <f>orders[[#This Row],[Ship Date]]-orders[[#This Row],[Order Date]]</f>
        <v>0</v>
      </c>
      <c r="N1119">
        <f>WEEKNUM(orders[[#This Row],[Order Date]],1)</f>
        <v>7</v>
      </c>
      <c r="O1119" t="str">
        <f t="array" ref="O1119">_xlfn.IFS(orders[[#This Row],[Customer Gender]]="M","Male", orders[[#This Row],[Customer Gender]]="F","Female", orders[[#This Row],[Customer Gender]]="O","Other", TRUE(),"Unknown")</f>
        <v>Female</v>
      </c>
    </row>
    <row r="1120" spans="1:15" x14ac:dyDescent="0.25">
      <c r="A1120" t="s">
        <v>1348</v>
      </c>
      <c r="B1120" t="s">
        <v>86</v>
      </c>
      <c r="C1120">
        <v>5</v>
      </c>
      <c r="D1120">
        <v>26.4</v>
      </c>
      <c r="E1120">
        <v>132</v>
      </c>
      <c r="F1120" s="58">
        <v>45701</v>
      </c>
      <c r="G1120" s="58">
        <v>45704</v>
      </c>
      <c r="H1120" t="s">
        <v>231</v>
      </c>
      <c r="I1120" t="s">
        <v>59</v>
      </c>
      <c r="J1120">
        <v>5</v>
      </c>
      <c r="K1120" t="s">
        <v>103</v>
      </c>
      <c r="L1120" t="s">
        <v>124</v>
      </c>
      <c r="M1120">
        <f>orders[[#This Row],[Ship Date]]-orders[[#This Row],[Order Date]]</f>
        <v>3</v>
      </c>
      <c r="N1120">
        <f>WEEKNUM(orders[[#This Row],[Order Date]],1)</f>
        <v>7</v>
      </c>
      <c r="O1120" t="str">
        <f t="array" ref="O1120">_xlfn.IFS(orders[[#This Row],[Customer Gender]]="M","Male", orders[[#This Row],[Customer Gender]]="F","Female", orders[[#This Row],[Customer Gender]]="O","Other", TRUE(),"Unknown")</f>
        <v>Female</v>
      </c>
    </row>
    <row r="1121" spans="1:15" x14ac:dyDescent="0.25">
      <c r="A1121" t="s">
        <v>1349</v>
      </c>
      <c r="B1121" t="s">
        <v>76</v>
      </c>
      <c r="C1121">
        <v>2</v>
      </c>
      <c r="D1121">
        <v>117</v>
      </c>
      <c r="E1121">
        <v>234</v>
      </c>
      <c r="F1121" s="58">
        <v>45701</v>
      </c>
      <c r="G1121" s="58">
        <v>45702</v>
      </c>
      <c r="H1121" t="s">
        <v>231</v>
      </c>
      <c r="I1121" t="s">
        <v>63</v>
      </c>
      <c r="J1121">
        <v>3</v>
      </c>
      <c r="K1121" t="s">
        <v>103</v>
      </c>
      <c r="L1121" t="s">
        <v>124</v>
      </c>
      <c r="M1121">
        <f>orders[[#This Row],[Ship Date]]-orders[[#This Row],[Order Date]]</f>
        <v>1</v>
      </c>
      <c r="N1121">
        <f>WEEKNUM(orders[[#This Row],[Order Date]],1)</f>
        <v>7</v>
      </c>
      <c r="O1121" t="str">
        <f t="array" ref="O1121">_xlfn.IFS(orders[[#This Row],[Customer Gender]]="M","Male", orders[[#This Row],[Customer Gender]]="F","Female", orders[[#This Row],[Customer Gender]]="O","Other", TRUE(),"Unknown")</f>
        <v>Female</v>
      </c>
    </row>
    <row r="1122" spans="1:15" x14ac:dyDescent="0.25">
      <c r="A1122" t="s">
        <v>1350</v>
      </c>
      <c r="B1122" t="s">
        <v>79</v>
      </c>
      <c r="C1122">
        <v>3</v>
      </c>
      <c r="D1122">
        <v>49.6</v>
      </c>
      <c r="E1122">
        <v>148.80000000000001</v>
      </c>
      <c r="F1122" s="58">
        <v>45702</v>
      </c>
      <c r="G1122" s="58">
        <v>45704</v>
      </c>
      <c r="H1122" t="s">
        <v>231</v>
      </c>
      <c r="I1122" t="s">
        <v>59</v>
      </c>
      <c r="J1122">
        <v>4</v>
      </c>
      <c r="K1122" t="s">
        <v>103</v>
      </c>
      <c r="L1122" t="s">
        <v>124</v>
      </c>
      <c r="M1122">
        <f>orders[[#This Row],[Ship Date]]-orders[[#This Row],[Order Date]]</f>
        <v>2</v>
      </c>
      <c r="N1122">
        <f>WEEKNUM(orders[[#This Row],[Order Date]],1)</f>
        <v>7</v>
      </c>
      <c r="O1122" t="str">
        <f t="array" ref="O1122">_xlfn.IFS(orders[[#This Row],[Customer Gender]]="M","Male", orders[[#This Row],[Customer Gender]]="F","Female", orders[[#This Row],[Customer Gender]]="O","Other", TRUE(),"Unknown")</f>
        <v>Female</v>
      </c>
    </row>
    <row r="1123" spans="1:15" x14ac:dyDescent="0.25">
      <c r="A1123" t="s">
        <v>1351</v>
      </c>
      <c r="B1123" t="s">
        <v>78</v>
      </c>
      <c r="C1123">
        <v>3</v>
      </c>
      <c r="D1123">
        <v>38</v>
      </c>
      <c r="E1123">
        <v>114</v>
      </c>
      <c r="F1123" s="58">
        <v>45702</v>
      </c>
      <c r="G1123" s="58">
        <v>45705</v>
      </c>
      <c r="H1123" t="s">
        <v>229</v>
      </c>
      <c r="I1123" t="s">
        <v>62</v>
      </c>
      <c r="J1123">
        <v>2</v>
      </c>
      <c r="K1123" t="s">
        <v>103</v>
      </c>
      <c r="L1123" t="s">
        <v>124</v>
      </c>
      <c r="M1123">
        <f>orders[[#This Row],[Ship Date]]-orders[[#This Row],[Order Date]]</f>
        <v>3</v>
      </c>
      <c r="N1123">
        <f>WEEKNUM(orders[[#This Row],[Order Date]],1)</f>
        <v>7</v>
      </c>
      <c r="O1123" t="str">
        <f t="array" ref="O1123">_xlfn.IFS(orders[[#This Row],[Customer Gender]]="M","Male", orders[[#This Row],[Customer Gender]]="F","Female", orders[[#This Row],[Customer Gender]]="O","Other", TRUE(),"Unknown")</f>
        <v>Male</v>
      </c>
    </row>
    <row r="1124" spans="1:15" x14ac:dyDescent="0.25">
      <c r="A1124" t="s">
        <v>1352</v>
      </c>
      <c r="B1124" t="s">
        <v>86</v>
      </c>
      <c r="C1124">
        <v>3</v>
      </c>
      <c r="D1124">
        <v>20.6</v>
      </c>
      <c r="E1124">
        <v>61.8</v>
      </c>
      <c r="F1124" s="58">
        <v>45702</v>
      </c>
      <c r="G1124" s="58">
        <v>45704</v>
      </c>
      <c r="H1124" t="s">
        <v>231</v>
      </c>
      <c r="I1124" t="s">
        <v>61</v>
      </c>
      <c r="J1124">
        <v>5</v>
      </c>
      <c r="K1124" t="s">
        <v>103</v>
      </c>
      <c r="L1124" t="s">
        <v>124</v>
      </c>
      <c r="M1124">
        <f>orders[[#This Row],[Ship Date]]-orders[[#This Row],[Order Date]]</f>
        <v>2</v>
      </c>
      <c r="N1124">
        <f>WEEKNUM(orders[[#This Row],[Order Date]],1)</f>
        <v>7</v>
      </c>
      <c r="O1124" t="str">
        <f t="array" ref="O1124">_xlfn.IFS(orders[[#This Row],[Customer Gender]]="M","Male", orders[[#This Row],[Customer Gender]]="F","Female", orders[[#This Row],[Customer Gender]]="O","Other", TRUE(),"Unknown")</f>
        <v>Female</v>
      </c>
    </row>
    <row r="1125" spans="1:15" x14ac:dyDescent="0.25">
      <c r="A1125" t="s">
        <v>1353</v>
      </c>
      <c r="B1125" t="s">
        <v>86</v>
      </c>
      <c r="C1125">
        <v>2</v>
      </c>
      <c r="D1125">
        <v>16</v>
      </c>
      <c r="E1125">
        <v>32</v>
      </c>
      <c r="F1125" s="58">
        <v>45702</v>
      </c>
      <c r="G1125" s="58">
        <v>45703</v>
      </c>
      <c r="H1125" t="s">
        <v>229</v>
      </c>
      <c r="I1125" t="s">
        <v>63</v>
      </c>
      <c r="J1125">
        <v>3</v>
      </c>
      <c r="K1125" t="s">
        <v>103</v>
      </c>
      <c r="L1125" t="s">
        <v>132</v>
      </c>
      <c r="M1125">
        <f>orders[[#This Row],[Ship Date]]-orders[[#This Row],[Order Date]]</f>
        <v>1</v>
      </c>
      <c r="N1125">
        <f>WEEKNUM(orders[[#This Row],[Order Date]],1)</f>
        <v>7</v>
      </c>
      <c r="O1125" t="str">
        <f t="array" ref="O1125">_xlfn.IFS(orders[[#This Row],[Customer Gender]]="M","Male", orders[[#This Row],[Customer Gender]]="F","Female", orders[[#This Row],[Customer Gender]]="O","Other", TRUE(),"Unknown")</f>
        <v>Male</v>
      </c>
    </row>
    <row r="1126" spans="1:15" x14ac:dyDescent="0.25">
      <c r="A1126" t="s">
        <v>1354</v>
      </c>
      <c r="B1126" t="s">
        <v>77</v>
      </c>
      <c r="C1126">
        <v>4</v>
      </c>
      <c r="D1126">
        <v>49.3</v>
      </c>
      <c r="E1126">
        <v>197.2</v>
      </c>
      <c r="F1126" s="58">
        <v>45702</v>
      </c>
      <c r="G1126" s="58">
        <v>45703</v>
      </c>
      <c r="H1126" t="s">
        <v>231</v>
      </c>
      <c r="I1126" t="s">
        <v>62</v>
      </c>
      <c r="J1126">
        <v>4</v>
      </c>
      <c r="K1126" t="s">
        <v>103</v>
      </c>
      <c r="L1126" t="s">
        <v>138</v>
      </c>
      <c r="M1126">
        <f>orders[[#This Row],[Ship Date]]-orders[[#This Row],[Order Date]]</f>
        <v>1</v>
      </c>
      <c r="N1126">
        <f>WEEKNUM(orders[[#This Row],[Order Date]],1)</f>
        <v>7</v>
      </c>
      <c r="O1126" t="str">
        <f t="array" ref="O1126">_xlfn.IFS(orders[[#This Row],[Customer Gender]]="M","Male", orders[[#This Row],[Customer Gender]]="F","Female", orders[[#This Row],[Customer Gender]]="O","Other", TRUE(),"Unknown")</f>
        <v>Female</v>
      </c>
    </row>
    <row r="1127" spans="1:15" x14ac:dyDescent="0.25">
      <c r="A1127" t="s">
        <v>1355</v>
      </c>
      <c r="B1127" t="s">
        <v>88</v>
      </c>
      <c r="C1127">
        <v>2</v>
      </c>
      <c r="D1127">
        <v>24.1</v>
      </c>
      <c r="E1127">
        <v>48.2</v>
      </c>
      <c r="F1127" s="58">
        <v>45702</v>
      </c>
      <c r="G1127" s="58">
        <v>45706</v>
      </c>
      <c r="H1127" t="s">
        <v>231</v>
      </c>
      <c r="I1127" t="s">
        <v>59</v>
      </c>
      <c r="J1127">
        <v>4</v>
      </c>
      <c r="K1127" t="s">
        <v>103</v>
      </c>
      <c r="L1127" t="s">
        <v>139</v>
      </c>
      <c r="M1127">
        <f>orders[[#This Row],[Ship Date]]-orders[[#This Row],[Order Date]]</f>
        <v>4</v>
      </c>
      <c r="N1127">
        <f>WEEKNUM(orders[[#This Row],[Order Date]],1)</f>
        <v>7</v>
      </c>
      <c r="O1127" t="str">
        <f t="array" ref="O1127">_xlfn.IFS(orders[[#This Row],[Customer Gender]]="M","Male", orders[[#This Row],[Customer Gender]]="F","Female", orders[[#This Row],[Customer Gender]]="O","Other", TRUE(),"Unknown")</f>
        <v>Female</v>
      </c>
    </row>
    <row r="1128" spans="1:15" x14ac:dyDescent="0.25">
      <c r="A1128" t="s">
        <v>1356</v>
      </c>
      <c r="B1128" t="s">
        <v>77</v>
      </c>
      <c r="C1128">
        <v>8</v>
      </c>
      <c r="D1128">
        <v>32.700000000000003</v>
      </c>
      <c r="E1128">
        <v>261.60000000000002</v>
      </c>
      <c r="F1128" s="58">
        <v>45702</v>
      </c>
      <c r="G1128" s="58">
        <v>45703</v>
      </c>
      <c r="H1128" t="s">
        <v>231</v>
      </c>
      <c r="I1128" t="s">
        <v>63</v>
      </c>
      <c r="J1128">
        <v>4</v>
      </c>
      <c r="K1128" t="s">
        <v>103</v>
      </c>
      <c r="L1128" t="s">
        <v>139</v>
      </c>
      <c r="M1128">
        <f>orders[[#This Row],[Ship Date]]-orders[[#This Row],[Order Date]]</f>
        <v>1</v>
      </c>
      <c r="N1128">
        <f>WEEKNUM(orders[[#This Row],[Order Date]],1)</f>
        <v>7</v>
      </c>
      <c r="O1128" t="str">
        <f t="array" ref="O1128">_xlfn.IFS(orders[[#This Row],[Customer Gender]]="M","Male", orders[[#This Row],[Customer Gender]]="F","Female", orders[[#This Row],[Customer Gender]]="O","Other", TRUE(),"Unknown")</f>
        <v>Female</v>
      </c>
    </row>
    <row r="1129" spans="1:15" x14ac:dyDescent="0.25">
      <c r="A1129" t="s">
        <v>1357</v>
      </c>
      <c r="B1129" t="s">
        <v>80</v>
      </c>
      <c r="C1129">
        <v>3</v>
      </c>
      <c r="D1129">
        <v>74.400000000000006</v>
      </c>
      <c r="E1129">
        <v>223.2</v>
      </c>
      <c r="F1129" s="58">
        <v>45702</v>
      </c>
      <c r="G1129" s="58">
        <v>45703</v>
      </c>
      <c r="H1129" t="s">
        <v>231</v>
      </c>
      <c r="I1129" t="s">
        <v>60</v>
      </c>
      <c r="J1129">
        <v>5</v>
      </c>
      <c r="K1129" t="s">
        <v>103</v>
      </c>
      <c r="L1129" t="s">
        <v>142</v>
      </c>
      <c r="M1129">
        <f>orders[[#This Row],[Ship Date]]-orders[[#This Row],[Order Date]]</f>
        <v>1</v>
      </c>
      <c r="N1129">
        <f>WEEKNUM(orders[[#This Row],[Order Date]],1)</f>
        <v>7</v>
      </c>
      <c r="O1129" t="str">
        <f t="array" ref="O1129">_xlfn.IFS(orders[[#This Row],[Customer Gender]]="M","Male", orders[[#This Row],[Customer Gender]]="F","Female", orders[[#This Row],[Customer Gender]]="O","Other", TRUE(),"Unknown")</f>
        <v>Female</v>
      </c>
    </row>
    <row r="1130" spans="1:15" x14ac:dyDescent="0.25">
      <c r="A1130" t="s">
        <v>1358</v>
      </c>
      <c r="B1130" t="s">
        <v>76</v>
      </c>
      <c r="C1130">
        <v>1</v>
      </c>
      <c r="D1130">
        <v>45.6</v>
      </c>
      <c r="E1130">
        <v>45.6</v>
      </c>
      <c r="F1130" s="58">
        <v>45702</v>
      </c>
      <c r="G1130" s="58">
        <v>45706</v>
      </c>
      <c r="H1130" t="s">
        <v>231</v>
      </c>
      <c r="I1130" t="s">
        <v>61</v>
      </c>
      <c r="J1130">
        <v>4</v>
      </c>
      <c r="K1130" t="s">
        <v>103</v>
      </c>
      <c r="L1130" t="s">
        <v>142</v>
      </c>
      <c r="M1130">
        <f>orders[[#This Row],[Ship Date]]-orders[[#This Row],[Order Date]]</f>
        <v>4</v>
      </c>
      <c r="N1130">
        <f>WEEKNUM(orders[[#This Row],[Order Date]],1)</f>
        <v>7</v>
      </c>
      <c r="O1130" t="str">
        <f t="array" ref="O1130">_xlfn.IFS(orders[[#This Row],[Customer Gender]]="M","Male", orders[[#This Row],[Customer Gender]]="F","Female", orders[[#This Row],[Customer Gender]]="O","Other", TRUE(),"Unknown")</f>
        <v>Female</v>
      </c>
    </row>
    <row r="1131" spans="1:15" x14ac:dyDescent="0.25">
      <c r="A1131" t="s">
        <v>1359</v>
      </c>
      <c r="B1131" t="s">
        <v>90</v>
      </c>
      <c r="C1131">
        <v>8</v>
      </c>
      <c r="D1131">
        <v>19.600000000000001</v>
      </c>
      <c r="E1131">
        <v>156.80000000000001</v>
      </c>
      <c r="F1131" s="58">
        <v>45702</v>
      </c>
      <c r="G1131" s="58">
        <v>45715</v>
      </c>
      <c r="H1131" t="s">
        <v>231</v>
      </c>
      <c r="I1131" t="s">
        <v>59</v>
      </c>
      <c r="J1131">
        <v>4</v>
      </c>
      <c r="K1131" t="s">
        <v>103</v>
      </c>
      <c r="L1131" t="s">
        <v>142</v>
      </c>
      <c r="M1131">
        <f>orders[[#This Row],[Ship Date]]-orders[[#This Row],[Order Date]]</f>
        <v>13</v>
      </c>
      <c r="N1131">
        <f>WEEKNUM(orders[[#This Row],[Order Date]],1)</f>
        <v>7</v>
      </c>
      <c r="O1131" t="str">
        <f t="array" ref="O1131">_xlfn.IFS(orders[[#This Row],[Customer Gender]]="M","Male", orders[[#This Row],[Customer Gender]]="F","Female", orders[[#This Row],[Customer Gender]]="O","Other", TRUE(),"Unknown")</f>
        <v>Female</v>
      </c>
    </row>
    <row r="1132" spans="1:15" x14ac:dyDescent="0.25">
      <c r="A1132" t="s">
        <v>1360</v>
      </c>
      <c r="B1132" t="s">
        <v>88</v>
      </c>
      <c r="C1132">
        <v>1</v>
      </c>
      <c r="D1132">
        <v>51.8</v>
      </c>
      <c r="E1132">
        <v>51.8</v>
      </c>
      <c r="F1132" s="58">
        <v>45702</v>
      </c>
      <c r="G1132" s="58">
        <v>45703</v>
      </c>
      <c r="H1132" t="s">
        <v>231</v>
      </c>
      <c r="I1132" t="s">
        <v>63</v>
      </c>
      <c r="J1132">
        <v>4</v>
      </c>
      <c r="K1132" t="s">
        <v>103</v>
      </c>
      <c r="L1132" t="s">
        <v>142</v>
      </c>
      <c r="M1132">
        <f>orders[[#This Row],[Ship Date]]-orders[[#This Row],[Order Date]]</f>
        <v>1</v>
      </c>
      <c r="N1132">
        <f>WEEKNUM(orders[[#This Row],[Order Date]],1)</f>
        <v>7</v>
      </c>
      <c r="O1132" t="str">
        <f t="array" ref="O1132">_xlfn.IFS(orders[[#This Row],[Customer Gender]]="M","Male", orders[[#This Row],[Customer Gender]]="F","Female", orders[[#This Row],[Customer Gender]]="O","Other", TRUE(),"Unknown")</f>
        <v>Female</v>
      </c>
    </row>
    <row r="1133" spans="1:15" x14ac:dyDescent="0.25">
      <c r="A1133" t="s">
        <v>1361</v>
      </c>
      <c r="B1133" t="s">
        <v>80</v>
      </c>
      <c r="C1133">
        <v>1</v>
      </c>
      <c r="D1133">
        <v>74.7</v>
      </c>
      <c r="E1133">
        <v>74.7</v>
      </c>
      <c r="F1133" s="58">
        <v>45702</v>
      </c>
      <c r="G1133" s="58">
        <v>45703</v>
      </c>
      <c r="H1133" t="s">
        <v>229</v>
      </c>
      <c r="I1133" t="s">
        <v>59</v>
      </c>
      <c r="J1133">
        <v>3</v>
      </c>
      <c r="K1133" t="s">
        <v>103</v>
      </c>
      <c r="L1133" t="s">
        <v>142</v>
      </c>
      <c r="M1133">
        <f>orders[[#This Row],[Ship Date]]-orders[[#This Row],[Order Date]]</f>
        <v>1</v>
      </c>
      <c r="N1133">
        <f>WEEKNUM(orders[[#This Row],[Order Date]],1)</f>
        <v>7</v>
      </c>
      <c r="O1133" t="str">
        <f t="array" ref="O1133">_xlfn.IFS(orders[[#This Row],[Customer Gender]]="M","Male", orders[[#This Row],[Customer Gender]]="F","Female", orders[[#This Row],[Customer Gender]]="O","Other", TRUE(),"Unknown")</f>
        <v>Male</v>
      </c>
    </row>
    <row r="1134" spans="1:15" x14ac:dyDescent="0.25">
      <c r="A1134" t="s">
        <v>1362</v>
      </c>
      <c r="B1134" t="s">
        <v>81</v>
      </c>
      <c r="C1134">
        <v>3</v>
      </c>
      <c r="D1134">
        <v>22.4</v>
      </c>
      <c r="E1134">
        <v>67.2</v>
      </c>
      <c r="F1134" s="58">
        <v>45702</v>
      </c>
      <c r="G1134" s="58">
        <v>45703</v>
      </c>
      <c r="H1134" t="s">
        <v>231</v>
      </c>
      <c r="I1134" t="s">
        <v>63</v>
      </c>
      <c r="J1134">
        <v>5</v>
      </c>
      <c r="K1134" t="s">
        <v>103</v>
      </c>
      <c r="L1134" t="s">
        <v>146</v>
      </c>
      <c r="M1134">
        <f>orders[[#This Row],[Ship Date]]-orders[[#This Row],[Order Date]]</f>
        <v>1</v>
      </c>
      <c r="N1134">
        <f>WEEKNUM(orders[[#This Row],[Order Date]],1)</f>
        <v>7</v>
      </c>
      <c r="O1134" t="str">
        <f t="array" ref="O1134">_xlfn.IFS(orders[[#This Row],[Customer Gender]]="M","Male", orders[[#This Row],[Customer Gender]]="F","Female", orders[[#This Row],[Customer Gender]]="O","Other", TRUE(),"Unknown")</f>
        <v>Female</v>
      </c>
    </row>
    <row r="1135" spans="1:15" x14ac:dyDescent="0.25">
      <c r="A1135" t="s">
        <v>1363</v>
      </c>
      <c r="B1135" t="s">
        <v>91</v>
      </c>
      <c r="C1135">
        <v>4</v>
      </c>
      <c r="D1135">
        <v>31.4</v>
      </c>
      <c r="E1135">
        <v>125.6</v>
      </c>
      <c r="F1135" s="58">
        <v>45702</v>
      </c>
      <c r="G1135" s="58">
        <v>45703</v>
      </c>
      <c r="H1135" t="s">
        <v>231</v>
      </c>
      <c r="I1135" t="s">
        <v>63</v>
      </c>
      <c r="J1135">
        <v>4</v>
      </c>
      <c r="K1135" t="s">
        <v>103</v>
      </c>
      <c r="L1135" t="s">
        <v>146</v>
      </c>
      <c r="M1135">
        <f>orders[[#This Row],[Ship Date]]-orders[[#This Row],[Order Date]]</f>
        <v>1</v>
      </c>
      <c r="N1135">
        <f>WEEKNUM(orders[[#This Row],[Order Date]],1)</f>
        <v>7</v>
      </c>
      <c r="O1135" t="str">
        <f t="array" ref="O1135">_xlfn.IFS(orders[[#This Row],[Customer Gender]]="M","Male", orders[[#This Row],[Customer Gender]]="F","Female", orders[[#This Row],[Customer Gender]]="O","Other", TRUE(),"Unknown")</f>
        <v>Female</v>
      </c>
    </row>
    <row r="1136" spans="1:15" x14ac:dyDescent="0.25">
      <c r="A1136" t="s">
        <v>1364</v>
      </c>
      <c r="B1136" t="s">
        <v>80</v>
      </c>
      <c r="C1136">
        <v>1</v>
      </c>
      <c r="D1136">
        <v>94</v>
      </c>
      <c r="E1136">
        <v>94</v>
      </c>
      <c r="F1136" s="58">
        <v>45702</v>
      </c>
      <c r="G1136" s="58">
        <v>45702</v>
      </c>
      <c r="H1136" t="s">
        <v>231</v>
      </c>
      <c r="I1136" t="s">
        <v>63</v>
      </c>
      <c r="J1136">
        <v>5</v>
      </c>
      <c r="K1136" t="s">
        <v>103</v>
      </c>
      <c r="L1136" t="s">
        <v>147</v>
      </c>
      <c r="M1136">
        <f>orders[[#This Row],[Ship Date]]-orders[[#This Row],[Order Date]]</f>
        <v>0</v>
      </c>
      <c r="N1136">
        <f>WEEKNUM(orders[[#This Row],[Order Date]],1)</f>
        <v>7</v>
      </c>
      <c r="O1136" t="str">
        <f t="array" ref="O1136">_xlfn.IFS(orders[[#This Row],[Customer Gender]]="M","Male", orders[[#This Row],[Customer Gender]]="F","Female", orders[[#This Row],[Customer Gender]]="O","Other", TRUE(),"Unknown")</f>
        <v>Female</v>
      </c>
    </row>
    <row r="1137" spans="1:15" x14ac:dyDescent="0.25">
      <c r="A1137" t="s">
        <v>1365</v>
      </c>
      <c r="B1137" t="s">
        <v>75</v>
      </c>
      <c r="C1137">
        <v>1</v>
      </c>
      <c r="D1137">
        <v>22.3</v>
      </c>
      <c r="E1137">
        <v>22.3</v>
      </c>
      <c r="F1137" s="58">
        <v>45702</v>
      </c>
      <c r="G1137" s="58">
        <v>45703</v>
      </c>
      <c r="H1137" t="s">
        <v>229</v>
      </c>
      <c r="I1137" t="s">
        <v>61</v>
      </c>
      <c r="J1137">
        <v>4</v>
      </c>
      <c r="K1137" t="s">
        <v>103</v>
      </c>
      <c r="L1137" t="s">
        <v>159</v>
      </c>
      <c r="M1137">
        <f>orders[[#This Row],[Ship Date]]-orders[[#This Row],[Order Date]]</f>
        <v>1</v>
      </c>
      <c r="N1137">
        <f>WEEKNUM(orders[[#This Row],[Order Date]],1)</f>
        <v>7</v>
      </c>
      <c r="O1137" t="str">
        <f t="array" ref="O1137">_xlfn.IFS(orders[[#This Row],[Customer Gender]]="M","Male", orders[[#This Row],[Customer Gender]]="F","Female", orders[[#This Row],[Customer Gender]]="O","Other", TRUE(),"Unknown")</f>
        <v>Male</v>
      </c>
    </row>
    <row r="1138" spans="1:15" x14ac:dyDescent="0.25">
      <c r="A1138" t="s">
        <v>1366</v>
      </c>
      <c r="B1138" t="s">
        <v>86</v>
      </c>
      <c r="C1138">
        <v>1</v>
      </c>
      <c r="D1138">
        <v>21.9</v>
      </c>
      <c r="E1138">
        <v>21.9</v>
      </c>
      <c r="F1138" s="58">
        <v>45702</v>
      </c>
      <c r="G1138" s="58">
        <v>45705</v>
      </c>
      <c r="H1138" t="s">
        <v>231</v>
      </c>
      <c r="I1138" t="s">
        <v>62</v>
      </c>
      <c r="J1138">
        <v>4</v>
      </c>
      <c r="K1138" t="s">
        <v>103</v>
      </c>
      <c r="L1138" t="s">
        <v>106</v>
      </c>
      <c r="M1138">
        <f>orders[[#This Row],[Ship Date]]-orders[[#This Row],[Order Date]]</f>
        <v>3</v>
      </c>
      <c r="N1138">
        <f>WEEKNUM(orders[[#This Row],[Order Date]],1)</f>
        <v>7</v>
      </c>
      <c r="O1138" t="str">
        <f t="array" ref="O1138">_xlfn.IFS(orders[[#This Row],[Customer Gender]]="M","Male", orders[[#This Row],[Customer Gender]]="F","Female", orders[[#This Row],[Customer Gender]]="O","Other", TRUE(),"Unknown")</f>
        <v>Female</v>
      </c>
    </row>
    <row r="1139" spans="1:15" x14ac:dyDescent="0.25">
      <c r="A1139" t="s">
        <v>1367</v>
      </c>
      <c r="B1139" t="s">
        <v>84</v>
      </c>
      <c r="C1139">
        <v>3</v>
      </c>
      <c r="D1139">
        <v>27</v>
      </c>
      <c r="E1139">
        <v>81</v>
      </c>
      <c r="F1139" s="58">
        <v>45702</v>
      </c>
      <c r="G1139" s="58">
        <v>45704</v>
      </c>
      <c r="H1139" t="s">
        <v>231</v>
      </c>
      <c r="I1139" t="s">
        <v>61</v>
      </c>
      <c r="J1139">
        <v>5</v>
      </c>
      <c r="K1139" t="s">
        <v>103</v>
      </c>
      <c r="L1139" t="s">
        <v>115</v>
      </c>
      <c r="M1139">
        <f>orders[[#This Row],[Ship Date]]-orders[[#This Row],[Order Date]]</f>
        <v>2</v>
      </c>
      <c r="N1139">
        <f>WEEKNUM(orders[[#This Row],[Order Date]],1)</f>
        <v>7</v>
      </c>
      <c r="O1139" t="str">
        <f t="array" ref="O1139">_xlfn.IFS(orders[[#This Row],[Customer Gender]]="M","Male", orders[[#This Row],[Customer Gender]]="F","Female", orders[[#This Row],[Customer Gender]]="O","Other", TRUE(),"Unknown")</f>
        <v>Female</v>
      </c>
    </row>
    <row r="1140" spans="1:15" x14ac:dyDescent="0.25">
      <c r="A1140" t="s">
        <v>1368</v>
      </c>
      <c r="B1140" t="s">
        <v>87</v>
      </c>
      <c r="C1140">
        <v>4</v>
      </c>
      <c r="D1140">
        <v>149.6</v>
      </c>
      <c r="E1140">
        <v>598.4</v>
      </c>
      <c r="F1140" s="58">
        <v>45702</v>
      </c>
      <c r="G1140" s="58">
        <v>45702</v>
      </c>
      <c r="H1140" t="s">
        <v>231</v>
      </c>
      <c r="I1140" t="s">
        <v>61</v>
      </c>
      <c r="J1140">
        <v>4</v>
      </c>
      <c r="K1140" t="s">
        <v>103</v>
      </c>
      <c r="L1140" t="s">
        <v>120</v>
      </c>
      <c r="M1140">
        <f>orders[[#This Row],[Ship Date]]-orders[[#This Row],[Order Date]]</f>
        <v>0</v>
      </c>
      <c r="N1140">
        <f>WEEKNUM(orders[[#This Row],[Order Date]],1)</f>
        <v>7</v>
      </c>
      <c r="O1140" t="str">
        <f t="array" ref="O1140">_xlfn.IFS(orders[[#This Row],[Customer Gender]]="M","Male", orders[[#This Row],[Customer Gender]]="F","Female", orders[[#This Row],[Customer Gender]]="O","Other", TRUE(),"Unknown")</f>
        <v>Female</v>
      </c>
    </row>
    <row r="1141" spans="1:15" x14ac:dyDescent="0.25">
      <c r="A1141" t="s">
        <v>1369</v>
      </c>
      <c r="B1141" t="s">
        <v>87</v>
      </c>
      <c r="C1141">
        <v>4</v>
      </c>
      <c r="D1141">
        <v>129.1</v>
      </c>
      <c r="E1141">
        <v>516.4</v>
      </c>
      <c r="F1141" s="58">
        <v>45702</v>
      </c>
      <c r="G1141" s="58">
        <v>45712</v>
      </c>
      <c r="H1141" t="s">
        <v>229</v>
      </c>
      <c r="I1141" t="s">
        <v>59</v>
      </c>
      <c r="J1141">
        <v>3</v>
      </c>
      <c r="K1141" t="s">
        <v>103</v>
      </c>
      <c r="L1141" t="s">
        <v>124</v>
      </c>
      <c r="M1141">
        <f>orders[[#This Row],[Ship Date]]-orders[[#This Row],[Order Date]]</f>
        <v>10</v>
      </c>
      <c r="N1141">
        <f>WEEKNUM(orders[[#This Row],[Order Date]],1)</f>
        <v>7</v>
      </c>
      <c r="O1141" t="str">
        <f t="array" ref="O1141">_xlfn.IFS(orders[[#This Row],[Customer Gender]]="M","Male", orders[[#This Row],[Customer Gender]]="F","Female", orders[[#This Row],[Customer Gender]]="O","Other", TRUE(),"Unknown")</f>
        <v>Male</v>
      </c>
    </row>
    <row r="1142" spans="1:15" x14ac:dyDescent="0.25">
      <c r="A1142" t="s">
        <v>1370</v>
      </c>
      <c r="B1142" t="s">
        <v>91</v>
      </c>
      <c r="C1142">
        <v>12</v>
      </c>
      <c r="D1142">
        <v>40.4</v>
      </c>
      <c r="E1142">
        <v>484.8</v>
      </c>
      <c r="F1142" s="58">
        <v>45702</v>
      </c>
      <c r="G1142" s="58">
        <v>45703</v>
      </c>
      <c r="H1142" t="s">
        <v>229</v>
      </c>
      <c r="I1142" t="s">
        <v>63</v>
      </c>
      <c r="J1142">
        <v>3</v>
      </c>
      <c r="K1142" t="s">
        <v>103</v>
      </c>
      <c r="L1142" t="s">
        <v>124</v>
      </c>
      <c r="M1142">
        <f>orders[[#This Row],[Ship Date]]-orders[[#This Row],[Order Date]]</f>
        <v>1</v>
      </c>
      <c r="N1142">
        <f>WEEKNUM(orders[[#This Row],[Order Date]],1)</f>
        <v>7</v>
      </c>
      <c r="O1142" t="str">
        <f t="array" ref="O1142">_xlfn.IFS(orders[[#This Row],[Customer Gender]]="M","Male", orders[[#This Row],[Customer Gender]]="F","Female", orders[[#This Row],[Customer Gender]]="O","Other", TRUE(),"Unknown")</f>
        <v>Male</v>
      </c>
    </row>
    <row r="1143" spans="1:15" x14ac:dyDescent="0.25">
      <c r="A1143" t="s">
        <v>1371</v>
      </c>
      <c r="B1143" t="s">
        <v>78</v>
      </c>
      <c r="C1143">
        <v>3</v>
      </c>
      <c r="D1143">
        <v>48.5</v>
      </c>
      <c r="E1143">
        <v>145.5</v>
      </c>
      <c r="F1143" s="58">
        <v>45702</v>
      </c>
      <c r="G1143" s="58">
        <v>45704</v>
      </c>
      <c r="H1143" t="s">
        <v>231</v>
      </c>
      <c r="I1143" t="s">
        <v>59</v>
      </c>
      <c r="J1143">
        <v>2</v>
      </c>
      <c r="K1143" t="s">
        <v>103</v>
      </c>
      <c r="L1143" t="s">
        <v>124</v>
      </c>
      <c r="M1143">
        <f>orders[[#This Row],[Ship Date]]-orders[[#This Row],[Order Date]]</f>
        <v>2</v>
      </c>
      <c r="N1143">
        <f>WEEKNUM(orders[[#This Row],[Order Date]],1)</f>
        <v>7</v>
      </c>
      <c r="O1143" t="str">
        <f t="array" ref="O1143">_xlfn.IFS(orders[[#This Row],[Customer Gender]]="M","Male", orders[[#This Row],[Customer Gender]]="F","Female", orders[[#This Row],[Customer Gender]]="O","Other", TRUE(),"Unknown")</f>
        <v>Female</v>
      </c>
    </row>
    <row r="1144" spans="1:15" x14ac:dyDescent="0.25">
      <c r="A1144" t="s">
        <v>1372</v>
      </c>
      <c r="B1144" t="s">
        <v>88</v>
      </c>
      <c r="C1144">
        <v>2</v>
      </c>
      <c r="D1144">
        <v>37.6</v>
      </c>
      <c r="E1144">
        <v>75.2</v>
      </c>
      <c r="F1144" s="58">
        <v>45702</v>
      </c>
      <c r="G1144" s="58">
        <v>45704</v>
      </c>
      <c r="H1144" t="s">
        <v>231</v>
      </c>
      <c r="I1144" t="s">
        <v>63</v>
      </c>
      <c r="J1144">
        <v>5</v>
      </c>
      <c r="K1144" t="s">
        <v>103</v>
      </c>
      <c r="L1144" t="s">
        <v>124</v>
      </c>
      <c r="M1144">
        <f>orders[[#This Row],[Ship Date]]-orders[[#This Row],[Order Date]]</f>
        <v>2</v>
      </c>
      <c r="N1144">
        <f>WEEKNUM(orders[[#This Row],[Order Date]],1)</f>
        <v>7</v>
      </c>
      <c r="O1144" t="str">
        <f t="array" ref="O1144">_xlfn.IFS(orders[[#This Row],[Customer Gender]]="M","Male", orders[[#This Row],[Customer Gender]]="F","Female", orders[[#This Row],[Customer Gender]]="O","Other", TRUE(),"Unknown")</f>
        <v>Female</v>
      </c>
    </row>
    <row r="1145" spans="1:15" x14ac:dyDescent="0.25">
      <c r="A1145" t="s">
        <v>1373</v>
      </c>
      <c r="B1145" t="s">
        <v>90</v>
      </c>
      <c r="C1145">
        <v>2</v>
      </c>
      <c r="D1145">
        <v>19.600000000000001</v>
      </c>
      <c r="E1145">
        <v>39.200000000000003</v>
      </c>
      <c r="F1145" s="58">
        <v>45702</v>
      </c>
      <c r="G1145" s="58">
        <v>45703</v>
      </c>
      <c r="H1145" t="s">
        <v>229</v>
      </c>
      <c r="I1145" t="s">
        <v>60</v>
      </c>
      <c r="J1145">
        <v>2</v>
      </c>
      <c r="K1145" t="s">
        <v>103</v>
      </c>
      <c r="L1145" t="s">
        <v>126</v>
      </c>
      <c r="M1145">
        <f>orders[[#This Row],[Ship Date]]-orders[[#This Row],[Order Date]]</f>
        <v>1</v>
      </c>
      <c r="N1145">
        <f>WEEKNUM(orders[[#This Row],[Order Date]],1)</f>
        <v>7</v>
      </c>
      <c r="O1145" t="str">
        <f t="array" ref="O1145">_xlfn.IFS(orders[[#This Row],[Customer Gender]]="M","Male", orders[[#This Row],[Customer Gender]]="F","Female", orders[[#This Row],[Customer Gender]]="O","Other", TRUE(),"Unknown")</f>
        <v>Male</v>
      </c>
    </row>
    <row r="1146" spans="1:15" x14ac:dyDescent="0.25">
      <c r="A1146" t="s">
        <v>1374</v>
      </c>
      <c r="B1146" t="s">
        <v>90</v>
      </c>
      <c r="C1146">
        <v>5</v>
      </c>
      <c r="D1146">
        <v>18.5</v>
      </c>
      <c r="E1146">
        <v>92.5</v>
      </c>
      <c r="F1146" s="58">
        <v>45702</v>
      </c>
      <c r="G1146" s="58">
        <v>45703</v>
      </c>
      <c r="H1146" t="s">
        <v>231</v>
      </c>
      <c r="I1146" t="s">
        <v>62</v>
      </c>
      <c r="J1146">
        <v>3</v>
      </c>
      <c r="K1146" t="s">
        <v>103</v>
      </c>
      <c r="L1146" t="s">
        <v>139</v>
      </c>
      <c r="M1146">
        <f>orders[[#This Row],[Ship Date]]-orders[[#This Row],[Order Date]]</f>
        <v>1</v>
      </c>
      <c r="N1146">
        <f>WEEKNUM(orders[[#This Row],[Order Date]],1)</f>
        <v>7</v>
      </c>
      <c r="O1146" t="str">
        <f t="array" ref="O1146">_xlfn.IFS(orders[[#This Row],[Customer Gender]]="M","Male", orders[[#This Row],[Customer Gender]]="F","Female", orders[[#This Row],[Customer Gender]]="O","Other", TRUE(),"Unknown")</f>
        <v>Female</v>
      </c>
    </row>
    <row r="1147" spans="1:15" x14ac:dyDescent="0.25">
      <c r="A1147" t="s">
        <v>1375</v>
      </c>
      <c r="B1147" t="s">
        <v>85</v>
      </c>
      <c r="C1147">
        <v>3</v>
      </c>
      <c r="D1147">
        <v>25.5</v>
      </c>
      <c r="E1147">
        <v>76.5</v>
      </c>
      <c r="F1147" s="58">
        <v>45702</v>
      </c>
      <c r="G1147" s="58">
        <v>45704</v>
      </c>
      <c r="H1147" t="s">
        <v>231</v>
      </c>
      <c r="I1147" t="s">
        <v>61</v>
      </c>
      <c r="J1147">
        <v>3</v>
      </c>
      <c r="K1147" t="s">
        <v>103</v>
      </c>
      <c r="L1147" t="s">
        <v>139</v>
      </c>
      <c r="M1147">
        <f>orders[[#This Row],[Ship Date]]-orders[[#This Row],[Order Date]]</f>
        <v>2</v>
      </c>
      <c r="N1147">
        <f>WEEKNUM(orders[[#This Row],[Order Date]],1)</f>
        <v>7</v>
      </c>
      <c r="O1147" t="str">
        <f t="array" ref="O1147">_xlfn.IFS(orders[[#This Row],[Customer Gender]]="M","Male", orders[[#This Row],[Customer Gender]]="F","Female", orders[[#This Row],[Customer Gender]]="O","Other", TRUE(),"Unknown")</f>
        <v>Female</v>
      </c>
    </row>
    <row r="1148" spans="1:15" x14ac:dyDescent="0.25">
      <c r="A1148" t="s">
        <v>1376</v>
      </c>
      <c r="B1148" t="s">
        <v>87</v>
      </c>
      <c r="C1148">
        <v>2</v>
      </c>
      <c r="D1148">
        <v>94.7</v>
      </c>
      <c r="E1148">
        <v>189.4</v>
      </c>
      <c r="F1148" s="58">
        <v>45702</v>
      </c>
      <c r="G1148" s="58">
        <v>45703</v>
      </c>
      <c r="H1148" t="s">
        <v>231</v>
      </c>
      <c r="I1148" t="s">
        <v>62</v>
      </c>
      <c r="J1148">
        <v>4</v>
      </c>
      <c r="K1148" t="s">
        <v>103</v>
      </c>
      <c r="L1148" t="s">
        <v>140</v>
      </c>
      <c r="M1148">
        <f>orders[[#This Row],[Ship Date]]-orders[[#This Row],[Order Date]]</f>
        <v>1</v>
      </c>
      <c r="N1148">
        <f>WEEKNUM(orders[[#This Row],[Order Date]],1)</f>
        <v>7</v>
      </c>
      <c r="O1148" t="str">
        <f t="array" ref="O1148">_xlfn.IFS(orders[[#This Row],[Customer Gender]]="M","Male", orders[[#This Row],[Customer Gender]]="F","Female", orders[[#This Row],[Customer Gender]]="O","Other", TRUE(),"Unknown")</f>
        <v>Female</v>
      </c>
    </row>
    <row r="1149" spans="1:15" x14ac:dyDescent="0.25">
      <c r="A1149" t="s">
        <v>1377</v>
      </c>
      <c r="B1149" t="s">
        <v>91</v>
      </c>
      <c r="C1149">
        <v>6</v>
      </c>
      <c r="D1149">
        <v>38.799999999999997</v>
      </c>
      <c r="E1149">
        <v>232.8</v>
      </c>
      <c r="F1149" s="58">
        <v>45702</v>
      </c>
      <c r="G1149" s="58">
        <v>45707</v>
      </c>
      <c r="H1149" t="s">
        <v>231</v>
      </c>
      <c r="I1149" t="s">
        <v>62</v>
      </c>
      <c r="J1149">
        <v>5</v>
      </c>
      <c r="K1149" t="s">
        <v>103</v>
      </c>
      <c r="L1149" t="s">
        <v>142</v>
      </c>
      <c r="M1149">
        <f>orders[[#This Row],[Ship Date]]-orders[[#This Row],[Order Date]]</f>
        <v>5</v>
      </c>
      <c r="N1149">
        <f>WEEKNUM(orders[[#This Row],[Order Date]],1)</f>
        <v>7</v>
      </c>
      <c r="O1149" t="str">
        <f t="array" ref="O1149">_xlfn.IFS(orders[[#This Row],[Customer Gender]]="M","Male", orders[[#This Row],[Customer Gender]]="F","Female", orders[[#This Row],[Customer Gender]]="O","Other", TRUE(),"Unknown")</f>
        <v>Female</v>
      </c>
    </row>
    <row r="1150" spans="1:15" x14ac:dyDescent="0.25">
      <c r="A1150" t="s">
        <v>1378</v>
      </c>
      <c r="B1150" t="s">
        <v>88</v>
      </c>
      <c r="C1150">
        <v>2</v>
      </c>
      <c r="D1150">
        <v>49.4</v>
      </c>
      <c r="E1150">
        <v>98.8</v>
      </c>
      <c r="F1150" s="58">
        <v>45703</v>
      </c>
      <c r="G1150" s="58">
        <v>45711</v>
      </c>
      <c r="H1150" t="s">
        <v>229</v>
      </c>
      <c r="I1150" t="s">
        <v>61</v>
      </c>
      <c r="J1150">
        <v>3</v>
      </c>
      <c r="K1150" t="s">
        <v>103</v>
      </c>
      <c r="L1150" t="s">
        <v>142</v>
      </c>
      <c r="M1150">
        <f>orders[[#This Row],[Ship Date]]-orders[[#This Row],[Order Date]]</f>
        <v>8</v>
      </c>
      <c r="N1150">
        <f>WEEKNUM(orders[[#This Row],[Order Date]],1)</f>
        <v>7</v>
      </c>
      <c r="O1150" t="str">
        <f t="array" ref="O1150">_xlfn.IFS(orders[[#This Row],[Customer Gender]]="M","Male", orders[[#This Row],[Customer Gender]]="F","Female", orders[[#This Row],[Customer Gender]]="O","Other", TRUE(),"Unknown")</f>
        <v>Male</v>
      </c>
    </row>
    <row r="1151" spans="1:15" x14ac:dyDescent="0.25">
      <c r="A1151" t="s">
        <v>1379</v>
      </c>
      <c r="B1151" t="s">
        <v>79</v>
      </c>
      <c r="C1151">
        <v>3</v>
      </c>
      <c r="D1151">
        <v>68</v>
      </c>
      <c r="E1151">
        <v>204</v>
      </c>
      <c r="F1151" s="58">
        <v>45703</v>
      </c>
      <c r="G1151" s="58">
        <v>45706</v>
      </c>
      <c r="H1151" t="s">
        <v>229</v>
      </c>
      <c r="I1151" t="s">
        <v>59</v>
      </c>
      <c r="J1151">
        <v>5</v>
      </c>
      <c r="K1151" t="s">
        <v>103</v>
      </c>
      <c r="L1151" t="s">
        <v>142</v>
      </c>
      <c r="M1151">
        <f>orders[[#This Row],[Ship Date]]-orders[[#This Row],[Order Date]]</f>
        <v>3</v>
      </c>
      <c r="N1151">
        <f>WEEKNUM(orders[[#This Row],[Order Date]],1)</f>
        <v>7</v>
      </c>
      <c r="O1151" t="str">
        <f t="array" ref="O1151">_xlfn.IFS(orders[[#This Row],[Customer Gender]]="M","Male", orders[[#This Row],[Customer Gender]]="F","Female", orders[[#This Row],[Customer Gender]]="O","Other", TRUE(),"Unknown")</f>
        <v>Male</v>
      </c>
    </row>
    <row r="1152" spans="1:15" x14ac:dyDescent="0.25">
      <c r="A1152" t="s">
        <v>1380</v>
      </c>
      <c r="B1152" t="s">
        <v>77</v>
      </c>
      <c r="C1152">
        <v>7</v>
      </c>
      <c r="D1152">
        <v>63.7</v>
      </c>
      <c r="E1152">
        <v>445.9</v>
      </c>
      <c r="F1152" s="58">
        <v>45703</v>
      </c>
      <c r="G1152" s="58">
        <v>45704</v>
      </c>
      <c r="H1152" t="s">
        <v>231</v>
      </c>
      <c r="I1152" t="s">
        <v>62</v>
      </c>
      <c r="J1152">
        <v>5</v>
      </c>
      <c r="K1152" t="s">
        <v>103</v>
      </c>
      <c r="L1152" t="s">
        <v>142</v>
      </c>
      <c r="M1152">
        <f>orders[[#This Row],[Ship Date]]-orders[[#This Row],[Order Date]]</f>
        <v>1</v>
      </c>
      <c r="N1152">
        <f>WEEKNUM(orders[[#This Row],[Order Date]],1)</f>
        <v>7</v>
      </c>
      <c r="O1152" t="str">
        <f t="array" ref="O1152">_xlfn.IFS(orders[[#This Row],[Customer Gender]]="M","Male", orders[[#This Row],[Customer Gender]]="F","Female", orders[[#This Row],[Customer Gender]]="O","Other", TRUE(),"Unknown")</f>
        <v>Female</v>
      </c>
    </row>
    <row r="1153" spans="1:15" x14ac:dyDescent="0.25">
      <c r="A1153" t="s">
        <v>1381</v>
      </c>
      <c r="B1153" t="s">
        <v>75</v>
      </c>
      <c r="C1153">
        <v>2</v>
      </c>
      <c r="D1153">
        <v>66.2</v>
      </c>
      <c r="E1153">
        <v>132.4</v>
      </c>
      <c r="F1153" s="58">
        <v>45703</v>
      </c>
      <c r="G1153" s="58">
        <v>45704</v>
      </c>
      <c r="H1153" t="s">
        <v>231</v>
      </c>
      <c r="I1153" t="s">
        <v>61</v>
      </c>
      <c r="J1153">
        <v>5</v>
      </c>
      <c r="K1153" t="s">
        <v>103</v>
      </c>
      <c r="L1153" t="s">
        <v>143</v>
      </c>
      <c r="M1153">
        <f>orders[[#This Row],[Ship Date]]-orders[[#This Row],[Order Date]]</f>
        <v>1</v>
      </c>
      <c r="N1153">
        <f>WEEKNUM(orders[[#This Row],[Order Date]],1)</f>
        <v>7</v>
      </c>
      <c r="O1153" t="str">
        <f t="array" ref="O1153">_xlfn.IFS(orders[[#This Row],[Customer Gender]]="M","Male", orders[[#This Row],[Customer Gender]]="F","Female", orders[[#This Row],[Customer Gender]]="O","Other", TRUE(),"Unknown")</f>
        <v>Female</v>
      </c>
    </row>
    <row r="1154" spans="1:15" x14ac:dyDescent="0.25">
      <c r="A1154" t="s">
        <v>1382</v>
      </c>
      <c r="B1154" t="s">
        <v>76</v>
      </c>
      <c r="C1154">
        <v>3</v>
      </c>
      <c r="D1154">
        <v>32.299999999999997</v>
      </c>
      <c r="E1154">
        <v>96.9</v>
      </c>
      <c r="F1154" s="58">
        <v>45703</v>
      </c>
      <c r="G1154" s="58">
        <v>45704</v>
      </c>
      <c r="H1154" t="s">
        <v>263</v>
      </c>
      <c r="I1154" t="s">
        <v>62</v>
      </c>
      <c r="J1154">
        <v>3</v>
      </c>
      <c r="K1154" t="s">
        <v>103</v>
      </c>
      <c r="L1154" t="s">
        <v>146</v>
      </c>
      <c r="M1154">
        <f>orders[[#This Row],[Ship Date]]-orders[[#This Row],[Order Date]]</f>
        <v>1</v>
      </c>
      <c r="N1154">
        <f>WEEKNUM(orders[[#This Row],[Order Date]],1)</f>
        <v>7</v>
      </c>
      <c r="O1154" t="str">
        <f t="array" ref="O1154">_xlfn.IFS(orders[[#This Row],[Customer Gender]]="M","Male", orders[[#This Row],[Customer Gender]]="F","Female", orders[[#This Row],[Customer Gender]]="O","Other", TRUE(),"Unknown")</f>
        <v>Other</v>
      </c>
    </row>
    <row r="1155" spans="1:15" x14ac:dyDescent="0.25">
      <c r="A1155" t="s">
        <v>1383</v>
      </c>
      <c r="B1155" t="s">
        <v>78</v>
      </c>
      <c r="C1155">
        <v>2</v>
      </c>
      <c r="D1155">
        <v>66.900000000000006</v>
      </c>
      <c r="E1155">
        <v>133.80000000000001</v>
      </c>
      <c r="F1155" s="58">
        <v>45703</v>
      </c>
      <c r="G1155" s="58">
        <v>45706</v>
      </c>
      <c r="H1155" t="s">
        <v>229</v>
      </c>
      <c r="I1155" t="s">
        <v>63</v>
      </c>
      <c r="J1155">
        <v>4</v>
      </c>
      <c r="K1155" t="s">
        <v>103</v>
      </c>
      <c r="L1155" t="s">
        <v>148</v>
      </c>
      <c r="M1155">
        <f>orders[[#This Row],[Ship Date]]-orders[[#This Row],[Order Date]]</f>
        <v>3</v>
      </c>
      <c r="N1155">
        <f>WEEKNUM(orders[[#This Row],[Order Date]],1)</f>
        <v>7</v>
      </c>
      <c r="O1155" t="str">
        <f t="array" ref="O1155">_xlfn.IFS(orders[[#This Row],[Customer Gender]]="M","Male", orders[[#This Row],[Customer Gender]]="F","Female", orders[[#This Row],[Customer Gender]]="O","Other", TRUE(),"Unknown")</f>
        <v>Male</v>
      </c>
    </row>
    <row r="1156" spans="1:15" x14ac:dyDescent="0.25">
      <c r="A1156" t="s">
        <v>1384</v>
      </c>
      <c r="B1156" t="s">
        <v>78</v>
      </c>
      <c r="C1156">
        <v>12</v>
      </c>
      <c r="D1156">
        <v>25.2</v>
      </c>
      <c r="E1156">
        <v>302.39999999999998</v>
      </c>
      <c r="F1156" s="58">
        <v>45703</v>
      </c>
      <c r="G1156" s="58">
        <v>45707</v>
      </c>
      <c r="H1156" t="s">
        <v>231</v>
      </c>
      <c r="I1156" t="s">
        <v>59</v>
      </c>
      <c r="J1156">
        <v>3</v>
      </c>
      <c r="K1156" t="s">
        <v>103</v>
      </c>
      <c r="L1156" t="s">
        <v>148</v>
      </c>
      <c r="M1156">
        <f>orders[[#This Row],[Ship Date]]-orders[[#This Row],[Order Date]]</f>
        <v>4</v>
      </c>
      <c r="N1156">
        <f>WEEKNUM(orders[[#This Row],[Order Date]],1)</f>
        <v>7</v>
      </c>
      <c r="O1156" t="str">
        <f t="array" ref="O1156">_xlfn.IFS(orders[[#This Row],[Customer Gender]]="M","Male", orders[[#This Row],[Customer Gender]]="F","Female", orders[[#This Row],[Customer Gender]]="O","Other", TRUE(),"Unknown")</f>
        <v>Female</v>
      </c>
    </row>
    <row r="1157" spans="1:15" x14ac:dyDescent="0.25">
      <c r="A1157" t="s">
        <v>1385</v>
      </c>
      <c r="B1157" t="s">
        <v>75</v>
      </c>
      <c r="C1157">
        <v>6</v>
      </c>
      <c r="D1157">
        <v>29.5</v>
      </c>
      <c r="E1157">
        <v>177</v>
      </c>
      <c r="F1157" s="58">
        <v>45703</v>
      </c>
      <c r="G1157" s="58">
        <v>45704</v>
      </c>
      <c r="H1157" t="s">
        <v>229</v>
      </c>
      <c r="I1157" t="s">
        <v>62</v>
      </c>
      <c r="J1157">
        <v>4</v>
      </c>
      <c r="K1157" t="s">
        <v>103</v>
      </c>
      <c r="L1157" t="s">
        <v>148</v>
      </c>
      <c r="M1157">
        <f>orders[[#This Row],[Ship Date]]-orders[[#This Row],[Order Date]]</f>
        <v>1</v>
      </c>
      <c r="N1157">
        <f>WEEKNUM(orders[[#This Row],[Order Date]],1)</f>
        <v>7</v>
      </c>
      <c r="O1157" t="str">
        <f t="array" ref="O1157">_xlfn.IFS(orders[[#This Row],[Customer Gender]]="M","Male", orders[[#This Row],[Customer Gender]]="F","Female", orders[[#This Row],[Customer Gender]]="O","Other", TRUE(),"Unknown")</f>
        <v>Male</v>
      </c>
    </row>
    <row r="1158" spans="1:15" x14ac:dyDescent="0.25">
      <c r="A1158" t="s">
        <v>1386</v>
      </c>
      <c r="B1158" t="s">
        <v>90</v>
      </c>
      <c r="C1158">
        <v>5</v>
      </c>
      <c r="D1158">
        <v>21.6</v>
      </c>
      <c r="E1158">
        <v>108</v>
      </c>
      <c r="F1158" s="58">
        <v>45703</v>
      </c>
      <c r="G1158" s="58">
        <v>45705</v>
      </c>
      <c r="H1158" t="s">
        <v>231</v>
      </c>
      <c r="I1158" t="s">
        <v>59</v>
      </c>
      <c r="J1158">
        <v>5</v>
      </c>
      <c r="K1158" t="s">
        <v>103</v>
      </c>
      <c r="L1158" t="s">
        <v>149</v>
      </c>
      <c r="M1158">
        <f>orders[[#This Row],[Ship Date]]-orders[[#This Row],[Order Date]]</f>
        <v>2</v>
      </c>
      <c r="N1158">
        <f>WEEKNUM(orders[[#This Row],[Order Date]],1)</f>
        <v>7</v>
      </c>
      <c r="O1158" t="str">
        <f t="array" ref="O1158">_xlfn.IFS(orders[[#This Row],[Customer Gender]]="M","Male", orders[[#This Row],[Customer Gender]]="F","Female", orders[[#This Row],[Customer Gender]]="O","Other", TRUE(),"Unknown")</f>
        <v>Female</v>
      </c>
    </row>
    <row r="1159" spans="1:15" x14ac:dyDescent="0.25">
      <c r="A1159" t="s">
        <v>1387</v>
      </c>
      <c r="B1159" t="s">
        <v>76</v>
      </c>
      <c r="C1159">
        <v>3</v>
      </c>
      <c r="D1159">
        <v>69</v>
      </c>
      <c r="E1159">
        <v>207</v>
      </c>
      <c r="F1159" s="58">
        <v>45703</v>
      </c>
      <c r="G1159" s="58">
        <v>45704</v>
      </c>
      <c r="H1159" t="s">
        <v>231</v>
      </c>
      <c r="I1159" t="s">
        <v>59</v>
      </c>
      <c r="J1159">
        <v>4</v>
      </c>
      <c r="K1159" t="s">
        <v>103</v>
      </c>
      <c r="L1159" t="s">
        <v>154</v>
      </c>
      <c r="M1159">
        <f>orders[[#This Row],[Ship Date]]-orders[[#This Row],[Order Date]]</f>
        <v>1</v>
      </c>
      <c r="N1159">
        <f>WEEKNUM(orders[[#This Row],[Order Date]],1)</f>
        <v>7</v>
      </c>
      <c r="O1159" t="str">
        <f t="array" ref="O1159">_xlfn.IFS(orders[[#This Row],[Customer Gender]]="M","Male", orders[[#This Row],[Customer Gender]]="F","Female", orders[[#This Row],[Customer Gender]]="O","Other", TRUE(),"Unknown")</f>
        <v>Female</v>
      </c>
    </row>
    <row r="1160" spans="1:15" x14ac:dyDescent="0.25">
      <c r="A1160" t="s">
        <v>1388</v>
      </c>
      <c r="B1160" t="s">
        <v>79</v>
      </c>
      <c r="C1160">
        <v>2</v>
      </c>
      <c r="D1160">
        <v>115</v>
      </c>
      <c r="E1160">
        <v>230</v>
      </c>
      <c r="F1160" s="58">
        <v>45703</v>
      </c>
      <c r="G1160" s="58">
        <v>45707</v>
      </c>
      <c r="H1160" t="s">
        <v>229</v>
      </c>
      <c r="I1160" t="s">
        <v>59</v>
      </c>
      <c r="J1160">
        <v>5</v>
      </c>
      <c r="K1160" t="s">
        <v>103</v>
      </c>
      <c r="L1160" t="s">
        <v>154</v>
      </c>
      <c r="M1160">
        <f>orders[[#This Row],[Ship Date]]-orders[[#This Row],[Order Date]]</f>
        <v>4</v>
      </c>
      <c r="N1160">
        <f>WEEKNUM(orders[[#This Row],[Order Date]],1)</f>
        <v>7</v>
      </c>
      <c r="O1160" t="str">
        <f t="array" ref="O1160">_xlfn.IFS(orders[[#This Row],[Customer Gender]]="M","Male", orders[[#This Row],[Customer Gender]]="F","Female", orders[[#This Row],[Customer Gender]]="O","Other", TRUE(),"Unknown")</f>
        <v>Male</v>
      </c>
    </row>
    <row r="1161" spans="1:15" x14ac:dyDescent="0.25">
      <c r="A1161" t="s">
        <v>1389</v>
      </c>
      <c r="B1161" t="s">
        <v>87</v>
      </c>
      <c r="C1161">
        <v>2</v>
      </c>
      <c r="D1161">
        <v>109.3</v>
      </c>
      <c r="E1161">
        <v>218.6</v>
      </c>
      <c r="F1161" s="58">
        <v>45703</v>
      </c>
      <c r="G1161" s="58">
        <v>45705</v>
      </c>
      <c r="I1161" t="s">
        <v>60</v>
      </c>
      <c r="J1161">
        <v>3</v>
      </c>
      <c r="K1161" t="s">
        <v>103</v>
      </c>
      <c r="L1161" t="s">
        <v>155</v>
      </c>
      <c r="M1161">
        <f>orders[[#This Row],[Ship Date]]-orders[[#This Row],[Order Date]]</f>
        <v>2</v>
      </c>
      <c r="N1161">
        <f>WEEKNUM(orders[[#This Row],[Order Date]],1)</f>
        <v>7</v>
      </c>
      <c r="O1161" t="str">
        <f t="array" ref="O1161">_xlfn.IFS(orders[[#This Row],[Customer Gender]]="M","Male", orders[[#This Row],[Customer Gender]]="F","Female", orders[[#This Row],[Customer Gender]]="O","Other", TRUE(),"Unknown")</f>
        <v>Unknown</v>
      </c>
    </row>
    <row r="1162" spans="1:15" x14ac:dyDescent="0.25">
      <c r="A1162" t="s">
        <v>1390</v>
      </c>
      <c r="B1162" t="s">
        <v>88</v>
      </c>
      <c r="C1162">
        <v>2</v>
      </c>
      <c r="D1162">
        <v>66.599999999999994</v>
      </c>
      <c r="E1162">
        <v>133.19999999999999</v>
      </c>
      <c r="F1162" s="58">
        <v>45703</v>
      </c>
      <c r="G1162" s="58">
        <v>45706</v>
      </c>
      <c r="I1162" t="s">
        <v>61</v>
      </c>
      <c r="J1162">
        <v>3</v>
      </c>
      <c r="K1162" t="s">
        <v>103</v>
      </c>
      <c r="L1162" t="s">
        <v>155</v>
      </c>
      <c r="M1162">
        <f>orders[[#This Row],[Ship Date]]-orders[[#This Row],[Order Date]]</f>
        <v>3</v>
      </c>
      <c r="N1162">
        <f>WEEKNUM(orders[[#This Row],[Order Date]],1)</f>
        <v>7</v>
      </c>
      <c r="O1162" t="str">
        <f t="array" ref="O1162">_xlfn.IFS(orders[[#This Row],[Customer Gender]]="M","Male", orders[[#This Row],[Customer Gender]]="F","Female", orders[[#This Row],[Customer Gender]]="O","Other", TRUE(),"Unknown")</f>
        <v>Unknown</v>
      </c>
    </row>
    <row r="1163" spans="1:15" x14ac:dyDescent="0.25">
      <c r="A1163" t="s">
        <v>1391</v>
      </c>
      <c r="B1163" t="s">
        <v>76</v>
      </c>
      <c r="C1163">
        <v>5</v>
      </c>
      <c r="D1163">
        <v>47.7</v>
      </c>
      <c r="E1163">
        <v>238.5</v>
      </c>
      <c r="F1163" s="58">
        <v>45703</v>
      </c>
      <c r="G1163" s="58">
        <v>45704</v>
      </c>
      <c r="H1163" t="s">
        <v>229</v>
      </c>
      <c r="I1163" t="s">
        <v>60</v>
      </c>
      <c r="J1163">
        <v>5</v>
      </c>
      <c r="K1163" t="s">
        <v>103</v>
      </c>
      <c r="L1163" t="s">
        <v>106</v>
      </c>
      <c r="M1163">
        <f>orders[[#This Row],[Ship Date]]-orders[[#This Row],[Order Date]]</f>
        <v>1</v>
      </c>
      <c r="N1163">
        <f>WEEKNUM(orders[[#This Row],[Order Date]],1)</f>
        <v>7</v>
      </c>
      <c r="O1163" t="str">
        <f t="array" ref="O1163">_xlfn.IFS(orders[[#This Row],[Customer Gender]]="M","Male", orders[[#This Row],[Customer Gender]]="F","Female", orders[[#This Row],[Customer Gender]]="O","Other", TRUE(),"Unknown")</f>
        <v>Male</v>
      </c>
    </row>
    <row r="1164" spans="1:15" x14ac:dyDescent="0.25">
      <c r="A1164" t="s">
        <v>1392</v>
      </c>
      <c r="B1164" t="s">
        <v>90</v>
      </c>
      <c r="C1164">
        <v>2</v>
      </c>
      <c r="D1164">
        <v>46</v>
      </c>
      <c r="E1164">
        <v>92</v>
      </c>
      <c r="F1164" s="58">
        <v>45703</v>
      </c>
      <c r="G1164" s="58">
        <v>45704</v>
      </c>
      <c r="H1164" t="s">
        <v>231</v>
      </c>
      <c r="I1164" t="s">
        <v>61</v>
      </c>
      <c r="J1164">
        <v>2</v>
      </c>
      <c r="K1164" t="s">
        <v>103</v>
      </c>
      <c r="L1164" t="s">
        <v>120</v>
      </c>
      <c r="M1164">
        <f>orders[[#This Row],[Ship Date]]-orders[[#This Row],[Order Date]]</f>
        <v>1</v>
      </c>
      <c r="N1164">
        <f>WEEKNUM(orders[[#This Row],[Order Date]],1)</f>
        <v>7</v>
      </c>
      <c r="O1164" t="str">
        <f t="array" ref="O1164">_xlfn.IFS(orders[[#This Row],[Customer Gender]]="M","Male", orders[[#This Row],[Customer Gender]]="F","Female", orders[[#This Row],[Customer Gender]]="O","Other", TRUE(),"Unknown")</f>
        <v>Female</v>
      </c>
    </row>
    <row r="1165" spans="1:15" x14ac:dyDescent="0.25">
      <c r="A1165" t="s">
        <v>1393</v>
      </c>
      <c r="B1165" t="s">
        <v>91</v>
      </c>
      <c r="C1165">
        <v>6</v>
      </c>
      <c r="D1165">
        <v>39.299999999999997</v>
      </c>
      <c r="E1165">
        <v>235.8</v>
      </c>
      <c r="F1165" s="58">
        <v>45703</v>
      </c>
      <c r="G1165" s="58">
        <v>45705</v>
      </c>
      <c r="H1165" t="s">
        <v>229</v>
      </c>
      <c r="I1165" t="s">
        <v>60</v>
      </c>
      <c r="J1165">
        <v>5</v>
      </c>
      <c r="K1165" t="s">
        <v>103</v>
      </c>
      <c r="L1165" t="s">
        <v>124</v>
      </c>
      <c r="M1165">
        <f>orders[[#This Row],[Ship Date]]-orders[[#This Row],[Order Date]]</f>
        <v>2</v>
      </c>
      <c r="N1165">
        <f>WEEKNUM(orders[[#This Row],[Order Date]],1)</f>
        <v>7</v>
      </c>
      <c r="O1165" t="str">
        <f t="array" ref="O1165">_xlfn.IFS(orders[[#This Row],[Customer Gender]]="M","Male", orders[[#This Row],[Customer Gender]]="F","Female", orders[[#This Row],[Customer Gender]]="O","Other", TRUE(),"Unknown")</f>
        <v>Male</v>
      </c>
    </row>
    <row r="1166" spans="1:15" x14ac:dyDescent="0.25">
      <c r="A1166" t="s">
        <v>1394</v>
      </c>
      <c r="B1166" t="s">
        <v>88</v>
      </c>
      <c r="C1166">
        <v>1</v>
      </c>
      <c r="D1166">
        <v>70.2</v>
      </c>
      <c r="E1166">
        <v>70.2</v>
      </c>
      <c r="F1166" s="58">
        <v>45703</v>
      </c>
      <c r="G1166" s="58">
        <v>45704</v>
      </c>
      <c r="H1166" t="s">
        <v>231</v>
      </c>
      <c r="I1166" t="s">
        <v>59</v>
      </c>
      <c r="J1166">
        <v>2</v>
      </c>
      <c r="K1166" t="s">
        <v>103</v>
      </c>
      <c r="L1166" t="s">
        <v>124</v>
      </c>
      <c r="M1166">
        <f>orders[[#This Row],[Ship Date]]-orders[[#This Row],[Order Date]]</f>
        <v>1</v>
      </c>
      <c r="N1166">
        <f>WEEKNUM(orders[[#This Row],[Order Date]],1)</f>
        <v>7</v>
      </c>
      <c r="O1166" t="str">
        <f t="array" ref="O1166">_xlfn.IFS(orders[[#This Row],[Customer Gender]]="M","Male", orders[[#This Row],[Customer Gender]]="F","Female", orders[[#This Row],[Customer Gender]]="O","Other", TRUE(),"Unknown")</f>
        <v>Female</v>
      </c>
    </row>
    <row r="1167" spans="1:15" x14ac:dyDescent="0.25">
      <c r="A1167" t="s">
        <v>1395</v>
      </c>
      <c r="B1167" t="s">
        <v>93</v>
      </c>
      <c r="C1167">
        <v>4</v>
      </c>
      <c r="D1167">
        <v>71.5</v>
      </c>
      <c r="E1167">
        <v>286</v>
      </c>
      <c r="F1167" s="58">
        <v>45703</v>
      </c>
      <c r="G1167" s="58">
        <v>45703</v>
      </c>
      <c r="H1167" t="s">
        <v>231</v>
      </c>
      <c r="I1167" t="s">
        <v>63</v>
      </c>
      <c r="J1167">
        <v>5</v>
      </c>
      <c r="K1167" t="s">
        <v>103</v>
      </c>
      <c r="L1167" t="s">
        <v>124</v>
      </c>
      <c r="M1167">
        <f>orders[[#This Row],[Ship Date]]-orders[[#This Row],[Order Date]]</f>
        <v>0</v>
      </c>
      <c r="N1167">
        <f>WEEKNUM(orders[[#This Row],[Order Date]],1)</f>
        <v>7</v>
      </c>
      <c r="O1167" t="str">
        <f t="array" ref="O1167">_xlfn.IFS(orders[[#This Row],[Customer Gender]]="M","Male", orders[[#This Row],[Customer Gender]]="F","Female", orders[[#This Row],[Customer Gender]]="O","Other", TRUE(),"Unknown")</f>
        <v>Female</v>
      </c>
    </row>
    <row r="1168" spans="1:15" x14ac:dyDescent="0.25">
      <c r="A1168" t="s">
        <v>1396</v>
      </c>
      <c r="B1168" t="s">
        <v>75</v>
      </c>
      <c r="C1168">
        <v>7</v>
      </c>
      <c r="D1168">
        <v>31</v>
      </c>
      <c r="E1168">
        <v>217</v>
      </c>
      <c r="F1168" s="58">
        <v>45703</v>
      </c>
      <c r="G1168" s="58">
        <v>45710</v>
      </c>
      <c r="H1168" t="s">
        <v>231</v>
      </c>
      <c r="I1168" t="s">
        <v>60</v>
      </c>
      <c r="J1168">
        <v>5</v>
      </c>
      <c r="K1168" t="s">
        <v>103</v>
      </c>
      <c r="L1168" t="s">
        <v>124</v>
      </c>
      <c r="M1168">
        <f>orders[[#This Row],[Ship Date]]-orders[[#This Row],[Order Date]]</f>
        <v>7</v>
      </c>
      <c r="N1168">
        <f>WEEKNUM(orders[[#This Row],[Order Date]],1)</f>
        <v>7</v>
      </c>
      <c r="O1168" t="str">
        <f t="array" ref="O1168">_xlfn.IFS(orders[[#This Row],[Customer Gender]]="M","Male", orders[[#This Row],[Customer Gender]]="F","Female", orders[[#This Row],[Customer Gender]]="O","Other", TRUE(),"Unknown")</f>
        <v>Female</v>
      </c>
    </row>
    <row r="1169" spans="1:15" x14ac:dyDescent="0.25">
      <c r="A1169" t="s">
        <v>1397</v>
      </c>
      <c r="B1169" t="s">
        <v>87</v>
      </c>
      <c r="C1169">
        <v>5</v>
      </c>
      <c r="D1169">
        <v>68.2</v>
      </c>
      <c r="E1169">
        <v>341</v>
      </c>
      <c r="F1169" s="58">
        <v>45703</v>
      </c>
      <c r="G1169" s="58">
        <v>45708</v>
      </c>
      <c r="H1169" t="s">
        <v>231</v>
      </c>
      <c r="I1169" t="s">
        <v>59</v>
      </c>
      <c r="J1169">
        <v>5</v>
      </c>
      <c r="K1169" t="s">
        <v>103</v>
      </c>
      <c r="L1169" t="s">
        <v>124</v>
      </c>
      <c r="M1169">
        <f>orders[[#This Row],[Ship Date]]-orders[[#This Row],[Order Date]]</f>
        <v>5</v>
      </c>
      <c r="N1169">
        <f>WEEKNUM(orders[[#This Row],[Order Date]],1)</f>
        <v>7</v>
      </c>
      <c r="O1169" t="str">
        <f t="array" ref="O1169">_xlfn.IFS(orders[[#This Row],[Customer Gender]]="M","Male", orders[[#This Row],[Customer Gender]]="F","Female", orders[[#This Row],[Customer Gender]]="O","Other", TRUE(),"Unknown")</f>
        <v>Female</v>
      </c>
    </row>
    <row r="1170" spans="1:15" x14ac:dyDescent="0.25">
      <c r="A1170" t="s">
        <v>1398</v>
      </c>
      <c r="B1170" t="s">
        <v>87</v>
      </c>
      <c r="C1170">
        <v>1</v>
      </c>
      <c r="D1170">
        <v>91.4</v>
      </c>
      <c r="E1170">
        <v>91.4</v>
      </c>
      <c r="F1170" s="58">
        <v>45703</v>
      </c>
      <c r="G1170" s="58">
        <v>45707</v>
      </c>
      <c r="H1170" t="s">
        <v>231</v>
      </c>
      <c r="I1170" t="s">
        <v>63</v>
      </c>
      <c r="J1170">
        <v>5</v>
      </c>
      <c r="K1170" t="s">
        <v>103</v>
      </c>
      <c r="L1170" t="s">
        <v>139</v>
      </c>
      <c r="M1170">
        <f>orders[[#This Row],[Ship Date]]-orders[[#This Row],[Order Date]]</f>
        <v>4</v>
      </c>
      <c r="N1170">
        <f>WEEKNUM(orders[[#This Row],[Order Date]],1)</f>
        <v>7</v>
      </c>
      <c r="O1170" t="str">
        <f t="array" ref="O1170">_xlfn.IFS(orders[[#This Row],[Customer Gender]]="M","Male", orders[[#This Row],[Customer Gender]]="F","Female", orders[[#This Row],[Customer Gender]]="O","Other", TRUE(),"Unknown")</f>
        <v>Female</v>
      </c>
    </row>
    <row r="1171" spans="1:15" x14ac:dyDescent="0.25">
      <c r="A1171" t="s">
        <v>1399</v>
      </c>
      <c r="B1171" t="s">
        <v>80</v>
      </c>
      <c r="C1171">
        <v>10</v>
      </c>
      <c r="D1171">
        <v>112.9</v>
      </c>
      <c r="E1171">
        <v>1129</v>
      </c>
      <c r="F1171" s="58">
        <v>45703</v>
      </c>
      <c r="G1171" s="58">
        <v>45704</v>
      </c>
      <c r="H1171" t="s">
        <v>231</v>
      </c>
      <c r="I1171" t="s">
        <v>59</v>
      </c>
      <c r="J1171">
        <v>4</v>
      </c>
      <c r="K1171" t="s">
        <v>103</v>
      </c>
      <c r="L1171" t="s">
        <v>139</v>
      </c>
      <c r="M1171">
        <f>orders[[#This Row],[Ship Date]]-orders[[#This Row],[Order Date]]</f>
        <v>1</v>
      </c>
      <c r="N1171">
        <f>WEEKNUM(orders[[#This Row],[Order Date]],1)</f>
        <v>7</v>
      </c>
      <c r="O1171" t="str">
        <f t="array" ref="O1171">_xlfn.IFS(orders[[#This Row],[Customer Gender]]="M","Male", orders[[#This Row],[Customer Gender]]="F","Female", orders[[#This Row],[Customer Gender]]="O","Other", TRUE(),"Unknown")</f>
        <v>Female</v>
      </c>
    </row>
    <row r="1172" spans="1:15" x14ac:dyDescent="0.25">
      <c r="A1172" t="s">
        <v>1400</v>
      </c>
      <c r="B1172" t="s">
        <v>84</v>
      </c>
      <c r="C1172">
        <v>9</v>
      </c>
      <c r="D1172">
        <v>33.700000000000003</v>
      </c>
      <c r="E1172">
        <v>303.3</v>
      </c>
      <c r="F1172" s="58">
        <v>45703</v>
      </c>
      <c r="G1172" s="58">
        <v>45704</v>
      </c>
      <c r="H1172" t="s">
        <v>231</v>
      </c>
      <c r="I1172" t="s">
        <v>63</v>
      </c>
      <c r="J1172">
        <v>5</v>
      </c>
      <c r="K1172" t="s">
        <v>103</v>
      </c>
      <c r="L1172" t="s">
        <v>142</v>
      </c>
      <c r="M1172">
        <f>orders[[#This Row],[Ship Date]]-orders[[#This Row],[Order Date]]</f>
        <v>1</v>
      </c>
      <c r="N1172">
        <f>WEEKNUM(orders[[#This Row],[Order Date]],1)</f>
        <v>7</v>
      </c>
      <c r="O1172" t="str">
        <f t="array" ref="O1172">_xlfn.IFS(orders[[#This Row],[Customer Gender]]="M","Male", orders[[#This Row],[Customer Gender]]="F","Female", orders[[#This Row],[Customer Gender]]="O","Other", TRUE(),"Unknown")</f>
        <v>Female</v>
      </c>
    </row>
    <row r="1173" spans="1:15" x14ac:dyDescent="0.25">
      <c r="A1173" t="s">
        <v>1401</v>
      </c>
      <c r="B1173" t="s">
        <v>77</v>
      </c>
      <c r="C1173">
        <v>10</v>
      </c>
      <c r="D1173">
        <v>35.299999999999997</v>
      </c>
      <c r="E1173">
        <v>353</v>
      </c>
      <c r="F1173" s="58">
        <v>45703</v>
      </c>
      <c r="G1173" s="58">
        <v>45705</v>
      </c>
      <c r="H1173" t="s">
        <v>229</v>
      </c>
      <c r="I1173" t="s">
        <v>62</v>
      </c>
      <c r="J1173">
        <v>4</v>
      </c>
      <c r="K1173" t="s">
        <v>103</v>
      </c>
      <c r="L1173" t="s">
        <v>142</v>
      </c>
      <c r="M1173">
        <f>orders[[#This Row],[Ship Date]]-orders[[#This Row],[Order Date]]</f>
        <v>2</v>
      </c>
      <c r="N1173">
        <f>WEEKNUM(orders[[#This Row],[Order Date]],1)</f>
        <v>7</v>
      </c>
      <c r="O1173" t="str">
        <f t="array" ref="O1173">_xlfn.IFS(orders[[#This Row],[Customer Gender]]="M","Male", orders[[#This Row],[Customer Gender]]="F","Female", orders[[#This Row],[Customer Gender]]="O","Other", TRUE(),"Unknown")</f>
        <v>Male</v>
      </c>
    </row>
    <row r="1174" spans="1:15" x14ac:dyDescent="0.25">
      <c r="A1174" t="s">
        <v>1402</v>
      </c>
      <c r="B1174" t="s">
        <v>82</v>
      </c>
      <c r="C1174">
        <v>3</v>
      </c>
      <c r="D1174">
        <v>45.6</v>
      </c>
      <c r="E1174">
        <v>136.80000000000001</v>
      </c>
      <c r="F1174" s="58">
        <v>45703</v>
      </c>
      <c r="G1174" s="58">
        <v>45707</v>
      </c>
      <c r="H1174" t="s">
        <v>229</v>
      </c>
      <c r="I1174" t="s">
        <v>60</v>
      </c>
      <c r="J1174">
        <v>4</v>
      </c>
      <c r="K1174" t="s">
        <v>103</v>
      </c>
      <c r="L1174" t="s">
        <v>142</v>
      </c>
      <c r="M1174">
        <f>orders[[#This Row],[Ship Date]]-orders[[#This Row],[Order Date]]</f>
        <v>4</v>
      </c>
      <c r="N1174">
        <f>WEEKNUM(orders[[#This Row],[Order Date]],1)</f>
        <v>7</v>
      </c>
      <c r="O1174" t="str">
        <f t="array" ref="O1174">_xlfn.IFS(orders[[#This Row],[Customer Gender]]="M","Male", orders[[#This Row],[Customer Gender]]="F","Female", orders[[#This Row],[Customer Gender]]="O","Other", TRUE(),"Unknown")</f>
        <v>Male</v>
      </c>
    </row>
    <row r="1175" spans="1:15" x14ac:dyDescent="0.25">
      <c r="A1175" t="s">
        <v>1403</v>
      </c>
      <c r="B1175" t="s">
        <v>79</v>
      </c>
      <c r="C1175">
        <v>7</v>
      </c>
      <c r="D1175">
        <v>47.1</v>
      </c>
      <c r="E1175">
        <v>329.7</v>
      </c>
      <c r="F1175" s="58">
        <v>45703</v>
      </c>
      <c r="G1175" s="58">
        <v>45704</v>
      </c>
      <c r="H1175" t="s">
        <v>231</v>
      </c>
      <c r="I1175" t="s">
        <v>61</v>
      </c>
      <c r="J1175">
        <v>5</v>
      </c>
      <c r="K1175" t="s">
        <v>103</v>
      </c>
      <c r="L1175" t="s">
        <v>146</v>
      </c>
      <c r="M1175">
        <f>orders[[#This Row],[Ship Date]]-orders[[#This Row],[Order Date]]</f>
        <v>1</v>
      </c>
      <c r="N1175">
        <f>WEEKNUM(orders[[#This Row],[Order Date]],1)</f>
        <v>7</v>
      </c>
      <c r="O1175" t="str">
        <f t="array" ref="O1175">_xlfn.IFS(orders[[#This Row],[Customer Gender]]="M","Male", orders[[#This Row],[Customer Gender]]="F","Female", orders[[#This Row],[Customer Gender]]="O","Other", TRUE(),"Unknown")</f>
        <v>Female</v>
      </c>
    </row>
    <row r="1176" spans="1:15" x14ac:dyDescent="0.25">
      <c r="A1176" t="s">
        <v>1404</v>
      </c>
      <c r="B1176" t="s">
        <v>90</v>
      </c>
      <c r="C1176">
        <v>5</v>
      </c>
      <c r="D1176">
        <v>16.2</v>
      </c>
      <c r="E1176">
        <v>81</v>
      </c>
      <c r="F1176" s="58">
        <v>45703</v>
      </c>
      <c r="G1176" s="58">
        <v>45705</v>
      </c>
      <c r="H1176" t="s">
        <v>231</v>
      </c>
      <c r="I1176" t="s">
        <v>60</v>
      </c>
      <c r="J1176">
        <v>5</v>
      </c>
      <c r="K1176" t="s">
        <v>103</v>
      </c>
      <c r="L1176" t="s">
        <v>155</v>
      </c>
      <c r="M1176">
        <f>orders[[#This Row],[Ship Date]]-orders[[#This Row],[Order Date]]</f>
        <v>2</v>
      </c>
      <c r="N1176">
        <f>WEEKNUM(orders[[#This Row],[Order Date]],1)</f>
        <v>7</v>
      </c>
      <c r="O1176" t="str">
        <f t="array" ref="O1176">_xlfn.IFS(orders[[#This Row],[Customer Gender]]="M","Male", orders[[#This Row],[Customer Gender]]="F","Female", orders[[#This Row],[Customer Gender]]="O","Other", TRUE(),"Unknown")</f>
        <v>Female</v>
      </c>
    </row>
    <row r="1177" spans="1:15" x14ac:dyDescent="0.25">
      <c r="A1177" t="s">
        <v>1405</v>
      </c>
      <c r="B1177" t="s">
        <v>91</v>
      </c>
      <c r="C1177">
        <v>2</v>
      </c>
      <c r="D1177">
        <v>159.69999999999999</v>
      </c>
      <c r="E1177">
        <v>319.39999999999998</v>
      </c>
      <c r="F1177" s="58">
        <v>45704</v>
      </c>
      <c r="G1177" s="58">
        <v>45705</v>
      </c>
      <c r="H1177" t="s">
        <v>229</v>
      </c>
      <c r="I1177" t="s">
        <v>61</v>
      </c>
      <c r="J1177">
        <v>4</v>
      </c>
      <c r="K1177" t="s">
        <v>103</v>
      </c>
      <c r="L1177" t="s">
        <v>161</v>
      </c>
      <c r="M1177">
        <f>orders[[#This Row],[Ship Date]]-orders[[#This Row],[Order Date]]</f>
        <v>1</v>
      </c>
      <c r="N1177">
        <f>WEEKNUM(orders[[#This Row],[Order Date]],1)</f>
        <v>8</v>
      </c>
      <c r="O1177" t="str">
        <f t="array" ref="O1177">_xlfn.IFS(orders[[#This Row],[Customer Gender]]="M","Male", orders[[#This Row],[Customer Gender]]="F","Female", orders[[#This Row],[Customer Gender]]="O","Other", TRUE(),"Unknown")</f>
        <v>Male</v>
      </c>
    </row>
    <row r="1178" spans="1:15" x14ac:dyDescent="0.25">
      <c r="A1178" t="s">
        <v>1406</v>
      </c>
      <c r="B1178" t="s">
        <v>90</v>
      </c>
      <c r="C1178">
        <v>4</v>
      </c>
      <c r="D1178">
        <v>19</v>
      </c>
      <c r="E1178">
        <v>76</v>
      </c>
      <c r="F1178" s="58">
        <v>45704</v>
      </c>
      <c r="G1178" s="58">
        <v>45711</v>
      </c>
      <c r="H1178" t="s">
        <v>231</v>
      </c>
      <c r="I1178" t="s">
        <v>62</v>
      </c>
      <c r="J1178">
        <v>5</v>
      </c>
      <c r="K1178" t="s">
        <v>103</v>
      </c>
      <c r="L1178" t="s">
        <v>106</v>
      </c>
      <c r="M1178">
        <f>orders[[#This Row],[Ship Date]]-orders[[#This Row],[Order Date]]</f>
        <v>7</v>
      </c>
      <c r="N1178">
        <f>WEEKNUM(orders[[#This Row],[Order Date]],1)</f>
        <v>8</v>
      </c>
      <c r="O1178" t="str">
        <f t="array" ref="O1178">_xlfn.IFS(orders[[#This Row],[Customer Gender]]="M","Male", orders[[#This Row],[Customer Gender]]="F","Female", orders[[#This Row],[Customer Gender]]="O","Other", TRUE(),"Unknown")</f>
        <v>Female</v>
      </c>
    </row>
    <row r="1179" spans="1:15" x14ac:dyDescent="0.25">
      <c r="A1179" t="s">
        <v>1407</v>
      </c>
      <c r="B1179" t="s">
        <v>80</v>
      </c>
      <c r="C1179">
        <v>6</v>
      </c>
      <c r="D1179">
        <v>91.1</v>
      </c>
      <c r="E1179">
        <v>546.6</v>
      </c>
      <c r="F1179" s="58">
        <v>45704</v>
      </c>
      <c r="G1179" s="58">
        <v>45713</v>
      </c>
      <c r="H1179" t="s">
        <v>231</v>
      </c>
      <c r="I1179" t="s">
        <v>61</v>
      </c>
      <c r="J1179">
        <v>4</v>
      </c>
      <c r="K1179" t="s">
        <v>103</v>
      </c>
      <c r="L1179" t="s">
        <v>106</v>
      </c>
      <c r="M1179">
        <f>orders[[#This Row],[Ship Date]]-orders[[#This Row],[Order Date]]</f>
        <v>9</v>
      </c>
      <c r="N1179">
        <f>WEEKNUM(orders[[#This Row],[Order Date]],1)</f>
        <v>8</v>
      </c>
      <c r="O1179" t="str">
        <f t="array" ref="O1179">_xlfn.IFS(orders[[#This Row],[Customer Gender]]="M","Male", orders[[#This Row],[Customer Gender]]="F","Female", orders[[#This Row],[Customer Gender]]="O","Other", TRUE(),"Unknown")</f>
        <v>Female</v>
      </c>
    </row>
    <row r="1180" spans="1:15" x14ac:dyDescent="0.25">
      <c r="A1180" t="s">
        <v>1408</v>
      </c>
      <c r="B1180" t="s">
        <v>87</v>
      </c>
      <c r="C1180">
        <v>5</v>
      </c>
      <c r="D1180">
        <v>94.1</v>
      </c>
      <c r="E1180">
        <v>470.5</v>
      </c>
      <c r="F1180" s="58">
        <v>45704</v>
      </c>
      <c r="G1180" s="58">
        <v>45707</v>
      </c>
      <c r="I1180" t="s">
        <v>63</v>
      </c>
      <c r="J1180">
        <v>3</v>
      </c>
      <c r="K1180" t="s">
        <v>103</v>
      </c>
      <c r="L1180" t="s">
        <v>106</v>
      </c>
      <c r="M1180">
        <f>orders[[#This Row],[Ship Date]]-orders[[#This Row],[Order Date]]</f>
        <v>3</v>
      </c>
      <c r="N1180">
        <f>WEEKNUM(orders[[#This Row],[Order Date]],1)</f>
        <v>8</v>
      </c>
      <c r="O1180" t="str">
        <f t="array" ref="O1180">_xlfn.IFS(orders[[#This Row],[Customer Gender]]="M","Male", orders[[#This Row],[Customer Gender]]="F","Female", orders[[#This Row],[Customer Gender]]="O","Other", TRUE(),"Unknown")</f>
        <v>Unknown</v>
      </c>
    </row>
    <row r="1181" spans="1:15" x14ac:dyDescent="0.25">
      <c r="A1181" t="s">
        <v>1409</v>
      </c>
      <c r="B1181" t="s">
        <v>88</v>
      </c>
      <c r="C1181">
        <v>9</v>
      </c>
      <c r="D1181">
        <v>21.1</v>
      </c>
      <c r="E1181">
        <v>189.9</v>
      </c>
      <c r="F1181" s="58">
        <v>45704</v>
      </c>
      <c r="G1181" s="58">
        <v>45705</v>
      </c>
      <c r="H1181" t="s">
        <v>231</v>
      </c>
      <c r="I1181" t="s">
        <v>61</v>
      </c>
      <c r="J1181">
        <v>5</v>
      </c>
      <c r="K1181" t="s">
        <v>103</v>
      </c>
      <c r="L1181" t="s">
        <v>109</v>
      </c>
      <c r="M1181">
        <f>orders[[#This Row],[Ship Date]]-orders[[#This Row],[Order Date]]</f>
        <v>1</v>
      </c>
      <c r="N1181">
        <f>WEEKNUM(orders[[#This Row],[Order Date]],1)</f>
        <v>8</v>
      </c>
      <c r="O1181" t="str">
        <f t="array" ref="O1181">_xlfn.IFS(orders[[#This Row],[Customer Gender]]="M","Male", orders[[#This Row],[Customer Gender]]="F","Female", orders[[#This Row],[Customer Gender]]="O","Other", TRUE(),"Unknown")</f>
        <v>Female</v>
      </c>
    </row>
    <row r="1182" spans="1:15" x14ac:dyDescent="0.25">
      <c r="A1182" t="s">
        <v>1410</v>
      </c>
      <c r="B1182" t="s">
        <v>90</v>
      </c>
      <c r="C1182">
        <v>7</v>
      </c>
      <c r="D1182">
        <v>15.3</v>
      </c>
      <c r="E1182">
        <v>107.1</v>
      </c>
      <c r="F1182" s="58">
        <v>45704</v>
      </c>
      <c r="G1182" s="58">
        <v>45712</v>
      </c>
      <c r="H1182" t="s">
        <v>231</v>
      </c>
      <c r="I1182" t="s">
        <v>62</v>
      </c>
      <c r="J1182">
        <v>4</v>
      </c>
      <c r="K1182" t="s">
        <v>103</v>
      </c>
      <c r="L1182" t="s">
        <v>112</v>
      </c>
      <c r="M1182">
        <f>orders[[#This Row],[Ship Date]]-orders[[#This Row],[Order Date]]</f>
        <v>8</v>
      </c>
      <c r="N1182">
        <f>WEEKNUM(orders[[#This Row],[Order Date]],1)</f>
        <v>8</v>
      </c>
      <c r="O1182" t="str">
        <f t="array" ref="O1182">_xlfn.IFS(orders[[#This Row],[Customer Gender]]="M","Male", orders[[#This Row],[Customer Gender]]="F","Female", orders[[#This Row],[Customer Gender]]="O","Other", TRUE(),"Unknown")</f>
        <v>Female</v>
      </c>
    </row>
    <row r="1183" spans="1:15" x14ac:dyDescent="0.25">
      <c r="A1183" t="s">
        <v>1411</v>
      </c>
      <c r="B1183" t="s">
        <v>77</v>
      </c>
      <c r="C1183">
        <v>4</v>
      </c>
      <c r="D1183">
        <v>21.3</v>
      </c>
      <c r="E1183">
        <v>85.2</v>
      </c>
      <c r="F1183" s="58">
        <v>45704</v>
      </c>
      <c r="G1183" s="58">
        <v>45707</v>
      </c>
      <c r="H1183" t="s">
        <v>229</v>
      </c>
      <c r="I1183" t="s">
        <v>63</v>
      </c>
      <c r="J1183">
        <v>4</v>
      </c>
      <c r="K1183" t="s">
        <v>103</v>
      </c>
      <c r="L1183" t="s">
        <v>124</v>
      </c>
      <c r="M1183">
        <f>orders[[#This Row],[Ship Date]]-orders[[#This Row],[Order Date]]</f>
        <v>3</v>
      </c>
      <c r="N1183">
        <f>WEEKNUM(orders[[#This Row],[Order Date]],1)</f>
        <v>8</v>
      </c>
      <c r="O1183" t="str">
        <f t="array" ref="O1183">_xlfn.IFS(orders[[#This Row],[Customer Gender]]="M","Male", orders[[#This Row],[Customer Gender]]="F","Female", orders[[#This Row],[Customer Gender]]="O","Other", TRUE(),"Unknown")</f>
        <v>Male</v>
      </c>
    </row>
    <row r="1184" spans="1:15" x14ac:dyDescent="0.25">
      <c r="A1184" t="s">
        <v>1412</v>
      </c>
      <c r="B1184" t="s">
        <v>86</v>
      </c>
      <c r="C1184">
        <v>2</v>
      </c>
      <c r="D1184">
        <v>23.2</v>
      </c>
      <c r="E1184">
        <v>46.4</v>
      </c>
      <c r="F1184" s="58">
        <v>45704</v>
      </c>
      <c r="G1184" s="58">
        <v>45704</v>
      </c>
      <c r="I1184" t="s">
        <v>60</v>
      </c>
      <c r="J1184">
        <v>3</v>
      </c>
      <c r="K1184" t="s">
        <v>103</v>
      </c>
      <c r="L1184" t="s">
        <v>124</v>
      </c>
      <c r="M1184">
        <f>orders[[#This Row],[Ship Date]]-orders[[#This Row],[Order Date]]</f>
        <v>0</v>
      </c>
      <c r="N1184">
        <f>WEEKNUM(orders[[#This Row],[Order Date]],1)</f>
        <v>8</v>
      </c>
      <c r="O1184" t="str">
        <f t="array" ref="O1184">_xlfn.IFS(orders[[#This Row],[Customer Gender]]="M","Male", orders[[#This Row],[Customer Gender]]="F","Female", orders[[#This Row],[Customer Gender]]="O","Other", TRUE(),"Unknown")</f>
        <v>Unknown</v>
      </c>
    </row>
    <row r="1185" spans="1:15" x14ac:dyDescent="0.25">
      <c r="A1185" t="s">
        <v>1413</v>
      </c>
      <c r="B1185" t="s">
        <v>78</v>
      </c>
      <c r="C1185">
        <v>3</v>
      </c>
      <c r="D1185">
        <v>25.7</v>
      </c>
      <c r="E1185">
        <v>77.099999999999994</v>
      </c>
      <c r="F1185" s="58">
        <v>45704</v>
      </c>
      <c r="G1185" s="58">
        <v>45705</v>
      </c>
      <c r="H1185" t="s">
        <v>229</v>
      </c>
      <c r="I1185" t="s">
        <v>61</v>
      </c>
      <c r="J1185">
        <v>4</v>
      </c>
      <c r="K1185" t="s">
        <v>103</v>
      </c>
      <c r="L1185" t="s">
        <v>124</v>
      </c>
      <c r="M1185">
        <f>orders[[#This Row],[Ship Date]]-orders[[#This Row],[Order Date]]</f>
        <v>1</v>
      </c>
      <c r="N1185">
        <f>WEEKNUM(orders[[#This Row],[Order Date]],1)</f>
        <v>8</v>
      </c>
      <c r="O1185" t="str">
        <f t="array" ref="O1185">_xlfn.IFS(orders[[#This Row],[Customer Gender]]="M","Male", orders[[#This Row],[Customer Gender]]="F","Female", orders[[#This Row],[Customer Gender]]="O","Other", TRUE(),"Unknown")</f>
        <v>Male</v>
      </c>
    </row>
    <row r="1186" spans="1:15" x14ac:dyDescent="0.25">
      <c r="A1186" t="s">
        <v>1414</v>
      </c>
      <c r="B1186" t="s">
        <v>86</v>
      </c>
      <c r="C1186">
        <v>9</v>
      </c>
      <c r="D1186">
        <v>31.6</v>
      </c>
      <c r="E1186">
        <v>284.39999999999998</v>
      </c>
      <c r="F1186" s="58">
        <v>45704</v>
      </c>
      <c r="G1186" s="58">
        <v>45706</v>
      </c>
      <c r="H1186" t="s">
        <v>231</v>
      </c>
      <c r="I1186" t="s">
        <v>59</v>
      </c>
      <c r="J1186">
        <v>4</v>
      </c>
      <c r="K1186" t="s">
        <v>103</v>
      </c>
      <c r="L1186" t="s">
        <v>124</v>
      </c>
      <c r="M1186">
        <f>orders[[#This Row],[Ship Date]]-orders[[#This Row],[Order Date]]</f>
        <v>2</v>
      </c>
      <c r="N1186">
        <f>WEEKNUM(orders[[#This Row],[Order Date]],1)</f>
        <v>8</v>
      </c>
      <c r="O1186" t="str">
        <f t="array" ref="O1186">_xlfn.IFS(orders[[#This Row],[Customer Gender]]="M","Male", orders[[#This Row],[Customer Gender]]="F","Female", orders[[#This Row],[Customer Gender]]="O","Other", TRUE(),"Unknown")</f>
        <v>Female</v>
      </c>
    </row>
    <row r="1187" spans="1:15" x14ac:dyDescent="0.25">
      <c r="A1187" t="s">
        <v>1415</v>
      </c>
      <c r="B1187" t="s">
        <v>80</v>
      </c>
      <c r="C1187">
        <v>1</v>
      </c>
      <c r="D1187">
        <v>64.2</v>
      </c>
      <c r="E1187">
        <v>64.2</v>
      </c>
      <c r="F1187" s="58">
        <v>45704</v>
      </c>
      <c r="G1187" s="58">
        <v>45709</v>
      </c>
      <c r="H1187" t="s">
        <v>229</v>
      </c>
      <c r="I1187" t="s">
        <v>59</v>
      </c>
      <c r="J1187">
        <v>4</v>
      </c>
      <c r="K1187" t="s">
        <v>103</v>
      </c>
      <c r="L1187" t="s">
        <v>124</v>
      </c>
      <c r="M1187">
        <f>orders[[#This Row],[Ship Date]]-orders[[#This Row],[Order Date]]</f>
        <v>5</v>
      </c>
      <c r="N1187">
        <f>WEEKNUM(orders[[#This Row],[Order Date]],1)</f>
        <v>8</v>
      </c>
      <c r="O1187" t="str">
        <f t="array" ref="O1187">_xlfn.IFS(orders[[#This Row],[Customer Gender]]="M","Male", orders[[#This Row],[Customer Gender]]="F","Female", orders[[#This Row],[Customer Gender]]="O","Other", TRUE(),"Unknown")</f>
        <v>Male</v>
      </c>
    </row>
    <row r="1188" spans="1:15" x14ac:dyDescent="0.25">
      <c r="A1188" t="s">
        <v>1416</v>
      </c>
      <c r="B1188" t="s">
        <v>90</v>
      </c>
      <c r="C1188">
        <v>2</v>
      </c>
      <c r="D1188">
        <v>55.8</v>
      </c>
      <c r="E1188">
        <v>111.6</v>
      </c>
      <c r="F1188" s="58">
        <v>45704</v>
      </c>
      <c r="G1188" s="58">
        <v>45706</v>
      </c>
      <c r="I1188" t="s">
        <v>59</v>
      </c>
      <c r="J1188">
        <v>4</v>
      </c>
      <c r="K1188" t="s">
        <v>103</v>
      </c>
      <c r="L1188" t="s">
        <v>124</v>
      </c>
      <c r="M1188">
        <f>orders[[#This Row],[Ship Date]]-orders[[#This Row],[Order Date]]</f>
        <v>2</v>
      </c>
      <c r="N1188">
        <f>WEEKNUM(orders[[#This Row],[Order Date]],1)</f>
        <v>8</v>
      </c>
      <c r="O1188" t="str">
        <f t="array" ref="O1188">_xlfn.IFS(orders[[#This Row],[Customer Gender]]="M","Male", orders[[#This Row],[Customer Gender]]="F","Female", orders[[#This Row],[Customer Gender]]="O","Other", TRUE(),"Unknown")</f>
        <v>Unknown</v>
      </c>
    </row>
    <row r="1189" spans="1:15" x14ac:dyDescent="0.25">
      <c r="A1189" t="s">
        <v>1417</v>
      </c>
      <c r="B1189" t="s">
        <v>90</v>
      </c>
      <c r="C1189">
        <v>2</v>
      </c>
      <c r="D1189">
        <v>28.1</v>
      </c>
      <c r="E1189">
        <v>56.2</v>
      </c>
      <c r="F1189" s="58">
        <v>45704</v>
      </c>
      <c r="G1189" s="58">
        <v>45705</v>
      </c>
      <c r="H1189" t="s">
        <v>231</v>
      </c>
      <c r="I1189" t="s">
        <v>61</v>
      </c>
      <c r="J1189">
        <v>3</v>
      </c>
      <c r="K1189" t="s">
        <v>103</v>
      </c>
      <c r="L1189" t="s">
        <v>124</v>
      </c>
      <c r="M1189">
        <f>orders[[#This Row],[Ship Date]]-orders[[#This Row],[Order Date]]</f>
        <v>1</v>
      </c>
      <c r="N1189">
        <f>WEEKNUM(orders[[#This Row],[Order Date]],1)</f>
        <v>8</v>
      </c>
      <c r="O1189" t="str">
        <f t="array" ref="O1189">_xlfn.IFS(orders[[#This Row],[Customer Gender]]="M","Male", orders[[#This Row],[Customer Gender]]="F","Female", orders[[#This Row],[Customer Gender]]="O","Other", TRUE(),"Unknown")</f>
        <v>Female</v>
      </c>
    </row>
    <row r="1190" spans="1:15" x14ac:dyDescent="0.25">
      <c r="A1190" t="s">
        <v>1418</v>
      </c>
      <c r="B1190" t="s">
        <v>86</v>
      </c>
      <c r="C1190">
        <v>2</v>
      </c>
      <c r="D1190">
        <v>11.6</v>
      </c>
      <c r="E1190">
        <v>23.2</v>
      </c>
      <c r="F1190" s="58">
        <v>45704</v>
      </c>
      <c r="G1190" s="58">
        <v>45706</v>
      </c>
      <c r="H1190" t="s">
        <v>231</v>
      </c>
      <c r="I1190" t="s">
        <v>63</v>
      </c>
      <c r="J1190">
        <v>4</v>
      </c>
      <c r="K1190" t="s">
        <v>103</v>
      </c>
      <c r="L1190" t="s">
        <v>129</v>
      </c>
      <c r="M1190">
        <f>orders[[#This Row],[Ship Date]]-orders[[#This Row],[Order Date]]</f>
        <v>2</v>
      </c>
      <c r="N1190">
        <f>WEEKNUM(orders[[#This Row],[Order Date]],1)</f>
        <v>8</v>
      </c>
      <c r="O1190" t="str">
        <f t="array" ref="O1190">_xlfn.IFS(orders[[#This Row],[Customer Gender]]="M","Male", orders[[#This Row],[Customer Gender]]="F","Female", orders[[#This Row],[Customer Gender]]="O","Other", TRUE(),"Unknown")</f>
        <v>Female</v>
      </c>
    </row>
    <row r="1191" spans="1:15" x14ac:dyDescent="0.25">
      <c r="A1191" t="s">
        <v>1419</v>
      </c>
      <c r="B1191" t="s">
        <v>85</v>
      </c>
      <c r="C1191">
        <v>3</v>
      </c>
      <c r="D1191">
        <v>50.4</v>
      </c>
      <c r="E1191">
        <v>151.19999999999999</v>
      </c>
      <c r="F1191" s="58">
        <v>45704</v>
      </c>
      <c r="G1191" s="58">
        <v>45705</v>
      </c>
      <c r="H1191" t="s">
        <v>229</v>
      </c>
      <c r="I1191" t="s">
        <v>61</v>
      </c>
      <c r="J1191">
        <v>5</v>
      </c>
      <c r="K1191" t="s">
        <v>103</v>
      </c>
      <c r="L1191" t="s">
        <v>135</v>
      </c>
      <c r="M1191">
        <f>orders[[#This Row],[Ship Date]]-orders[[#This Row],[Order Date]]</f>
        <v>1</v>
      </c>
      <c r="N1191">
        <f>WEEKNUM(orders[[#This Row],[Order Date]],1)</f>
        <v>8</v>
      </c>
      <c r="O1191" t="str">
        <f t="array" ref="O1191">_xlfn.IFS(orders[[#This Row],[Customer Gender]]="M","Male", orders[[#This Row],[Customer Gender]]="F","Female", orders[[#This Row],[Customer Gender]]="O","Other", TRUE(),"Unknown")</f>
        <v>Male</v>
      </c>
    </row>
    <row r="1192" spans="1:15" x14ac:dyDescent="0.25">
      <c r="A1192" t="s">
        <v>1420</v>
      </c>
      <c r="B1192" t="s">
        <v>80</v>
      </c>
      <c r="C1192">
        <v>6</v>
      </c>
      <c r="D1192">
        <v>48.3</v>
      </c>
      <c r="E1192">
        <v>289.8</v>
      </c>
      <c r="F1192" s="58">
        <v>45704</v>
      </c>
      <c r="G1192" s="58">
        <v>45708</v>
      </c>
      <c r="H1192" t="s">
        <v>231</v>
      </c>
      <c r="I1192" t="s">
        <v>59</v>
      </c>
      <c r="J1192">
        <v>4</v>
      </c>
      <c r="K1192" t="s">
        <v>103</v>
      </c>
      <c r="L1192" t="s">
        <v>135</v>
      </c>
      <c r="M1192">
        <f>orders[[#This Row],[Ship Date]]-orders[[#This Row],[Order Date]]</f>
        <v>4</v>
      </c>
      <c r="N1192">
        <f>WEEKNUM(orders[[#This Row],[Order Date]],1)</f>
        <v>8</v>
      </c>
      <c r="O1192" t="str">
        <f t="array" ref="O1192">_xlfn.IFS(orders[[#This Row],[Customer Gender]]="M","Male", orders[[#This Row],[Customer Gender]]="F","Female", orders[[#This Row],[Customer Gender]]="O","Other", TRUE(),"Unknown")</f>
        <v>Female</v>
      </c>
    </row>
    <row r="1193" spans="1:15" x14ac:dyDescent="0.25">
      <c r="A1193" t="s">
        <v>1421</v>
      </c>
      <c r="B1193" t="s">
        <v>84</v>
      </c>
      <c r="C1193">
        <v>7</v>
      </c>
      <c r="D1193">
        <v>32.200000000000003</v>
      </c>
      <c r="E1193">
        <v>225.4</v>
      </c>
      <c r="F1193" s="58">
        <v>45704</v>
      </c>
      <c r="G1193" s="58">
        <v>45706</v>
      </c>
      <c r="H1193" t="s">
        <v>231</v>
      </c>
      <c r="I1193" t="s">
        <v>62</v>
      </c>
      <c r="J1193">
        <v>4</v>
      </c>
      <c r="K1193" t="s">
        <v>103</v>
      </c>
      <c r="L1193" t="s">
        <v>135</v>
      </c>
      <c r="M1193">
        <f>orders[[#This Row],[Ship Date]]-orders[[#This Row],[Order Date]]</f>
        <v>2</v>
      </c>
      <c r="N1193">
        <f>WEEKNUM(orders[[#This Row],[Order Date]],1)</f>
        <v>8</v>
      </c>
      <c r="O1193" t="str">
        <f t="array" ref="O1193">_xlfn.IFS(orders[[#This Row],[Customer Gender]]="M","Male", orders[[#This Row],[Customer Gender]]="F","Female", orders[[#This Row],[Customer Gender]]="O","Other", TRUE(),"Unknown")</f>
        <v>Female</v>
      </c>
    </row>
    <row r="1194" spans="1:15" x14ac:dyDescent="0.25">
      <c r="A1194" t="s">
        <v>1422</v>
      </c>
      <c r="B1194" t="s">
        <v>79</v>
      </c>
      <c r="C1194">
        <v>28</v>
      </c>
      <c r="D1194">
        <v>48.5</v>
      </c>
      <c r="E1194">
        <v>1358</v>
      </c>
      <c r="F1194" s="58">
        <v>45704</v>
      </c>
      <c r="G1194" s="58">
        <v>45705</v>
      </c>
      <c r="H1194" t="s">
        <v>229</v>
      </c>
      <c r="I1194" t="s">
        <v>59</v>
      </c>
      <c r="J1194">
        <v>4</v>
      </c>
      <c r="K1194" t="s">
        <v>103</v>
      </c>
      <c r="L1194" t="s">
        <v>136</v>
      </c>
      <c r="M1194">
        <f>orders[[#This Row],[Ship Date]]-orders[[#This Row],[Order Date]]</f>
        <v>1</v>
      </c>
      <c r="N1194">
        <f>WEEKNUM(orders[[#This Row],[Order Date]],1)</f>
        <v>8</v>
      </c>
      <c r="O1194" t="str">
        <f t="array" ref="O1194">_xlfn.IFS(orders[[#This Row],[Customer Gender]]="M","Male", orders[[#This Row],[Customer Gender]]="F","Female", orders[[#This Row],[Customer Gender]]="O","Other", TRUE(),"Unknown")</f>
        <v>Male</v>
      </c>
    </row>
    <row r="1195" spans="1:15" x14ac:dyDescent="0.25">
      <c r="A1195" t="s">
        <v>1423</v>
      </c>
      <c r="B1195" t="s">
        <v>87</v>
      </c>
      <c r="C1195">
        <v>5</v>
      </c>
      <c r="D1195">
        <v>62</v>
      </c>
      <c r="E1195">
        <v>310</v>
      </c>
      <c r="F1195" s="58">
        <v>45704</v>
      </c>
      <c r="G1195" s="58">
        <v>45707</v>
      </c>
      <c r="H1195" t="s">
        <v>231</v>
      </c>
      <c r="I1195" t="s">
        <v>63</v>
      </c>
      <c r="J1195">
        <v>4</v>
      </c>
      <c r="K1195" t="s">
        <v>103</v>
      </c>
      <c r="L1195" t="s">
        <v>139</v>
      </c>
      <c r="M1195">
        <f>orders[[#This Row],[Ship Date]]-orders[[#This Row],[Order Date]]</f>
        <v>3</v>
      </c>
      <c r="N1195">
        <f>WEEKNUM(orders[[#This Row],[Order Date]],1)</f>
        <v>8</v>
      </c>
      <c r="O1195" t="str">
        <f t="array" ref="O1195">_xlfn.IFS(orders[[#This Row],[Customer Gender]]="M","Male", orders[[#This Row],[Customer Gender]]="F","Female", orders[[#This Row],[Customer Gender]]="O","Other", TRUE(),"Unknown")</f>
        <v>Female</v>
      </c>
    </row>
    <row r="1196" spans="1:15" x14ac:dyDescent="0.25">
      <c r="A1196" t="s">
        <v>1424</v>
      </c>
      <c r="B1196" t="s">
        <v>90</v>
      </c>
      <c r="C1196">
        <v>3</v>
      </c>
      <c r="D1196">
        <v>32.1</v>
      </c>
      <c r="E1196">
        <v>96.3</v>
      </c>
      <c r="F1196" s="58">
        <v>45705</v>
      </c>
      <c r="G1196" s="58">
        <v>45707</v>
      </c>
      <c r="H1196" t="s">
        <v>229</v>
      </c>
      <c r="I1196" t="s">
        <v>59</v>
      </c>
      <c r="J1196">
        <v>4</v>
      </c>
      <c r="K1196" t="s">
        <v>103</v>
      </c>
      <c r="L1196" t="s">
        <v>139</v>
      </c>
      <c r="M1196">
        <f>orders[[#This Row],[Ship Date]]-orders[[#This Row],[Order Date]]</f>
        <v>2</v>
      </c>
      <c r="N1196">
        <f>WEEKNUM(orders[[#This Row],[Order Date]],1)</f>
        <v>8</v>
      </c>
      <c r="O1196" t="str">
        <f t="array" ref="O1196">_xlfn.IFS(orders[[#This Row],[Customer Gender]]="M","Male", orders[[#This Row],[Customer Gender]]="F","Female", orders[[#This Row],[Customer Gender]]="O","Other", TRUE(),"Unknown")</f>
        <v>Male</v>
      </c>
    </row>
    <row r="1197" spans="1:15" x14ac:dyDescent="0.25">
      <c r="A1197" t="s">
        <v>1425</v>
      </c>
      <c r="B1197" t="s">
        <v>76</v>
      </c>
      <c r="C1197">
        <v>3</v>
      </c>
      <c r="D1197">
        <v>106.1</v>
      </c>
      <c r="E1197">
        <v>318.3</v>
      </c>
      <c r="F1197" s="58">
        <v>45705</v>
      </c>
      <c r="G1197" s="58">
        <v>45707</v>
      </c>
      <c r="H1197" t="s">
        <v>229</v>
      </c>
      <c r="I1197" t="s">
        <v>59</v>
      </c>
      <c r="J1197">
        <v>3</v>
      </c>
      <c r="K1197" t="s">
        <v>103</v>
      </c>
      <c r="L1197" t="s">
        <v>141</v>
      </c>
      <c r="M1197">
        <f>orders[[#This Row],[Ship Date]]-orders[[#This Row],[Order Date]]</f>
        <v>2</v>
      </c>
      <c r="N1197">
        <f>WEEKNUM(orders[[#This Row],[Order Date]],1)</f>
        <v>8</v>
      </c>
      <c r="O1197" t="str">
        <f t="array" ref="O1197">_xlfn.IFS(orders[[#This Row],[Customer Gender]]="M","Male", orders[[#This Row],[Customer Gender]]="F","Female", orders[[#This Row],[Customer Gender]]="O","Other", TRUE(),"Unknown")</f>
        <v>Male</v>
      </c>
    </row>
    <row r="1198" spans="1:15" x14ac:dyDescent="0.25">
      <c r="A1198" t="s">
        <v>1426</v>
      </c>
      <c r="B1198" t="s">
        <v>75</v>
      </c>
      <c r="C1198">
        <v>3</v>
      </c>
      <c r="D1198">
        <v>23.5</v>
      </c>
      <c r="E1198">
        <v>70.5</v>
      </c>
      <c r="F1198" s="58">
        <v>45705</v>
      </c>
      <c r="G1198" s="58">
        <v>45708</v>
      </c>
      <c r="H1198" t="s">
        <v>229</v>
      </c>
      <c r="I1198" t="s">
        <v>59</v>
      </c>
      <c r="J1198">
        <v>2</v>
      </c>
      <c r="K1198" t="s">
        <v>103</v>
      </c>
      <c r="L1198" t="s">
        <v>141</v>
      </c>
      <c r="M1198">
        <f>orders[[#This Row],[Ship Date]]-orders[[#This Row],[Order Date]]</f>
        <v>3</v>
      </c>
      <c r="N1198">
        <f>WEEKNUM(orders[[#This Row],[Order Date]],1)</f>
        <v>8</v>
      </c>
      <c r="O1198" t="str">
        <f t="array" ref="O1198">_xlfn.IFS(orders[[#This Row],[Customer Gender]]="M","Male", orders[[#This Row],[Customer Gender]]="F","Female", orders[[#This Row],[Customer Gender]]="O","Other", TRUE(),"Unknown")</f>
        <v>Male</v>
      </c>
    </row>
    <row r="1199" spans="1:15" x14ac:dyDescent="0.25">
      <c r="A1199" t="s">
        <v>1427</v>
      </c>
      <c r="B1199" t="s">
        <v>91</v>
      </c>
      <c r="C1199">
        <v>2</v>
      </c>
      <c r="D1199">
        <v>35.6</v>
      </c>
      <c r="E1199">
        <v>71.2</v>
      </c>
      <c r="F1199" s="58">
        <v>45705</v>
      </c>
      <c r="G1199" s="58">
        <v>45710</v>
      </c>
      <c r="H1199" t="s">
        <v>229</v>
      </c>
      <c r="I1199" t="s">
        <v>61</v>
      </c>
      <c r="J1199">
        <v>4</v>
      </c>
      <c r="K1199" t="s">
        <v>103</v>
      </c>
      <c r="L1199" t="s">
        <v>142</v>
      </c>
      <c r="M1199">
        <f>orders[[#This Row],[Ship Date]]-orders[[#This Row],[Order Date]]</f>
        <v>5</v>
      </c>
      <c r="N1199">
        <f>WEEKNUM(orders[[#This Row],[Order Date]],1)</f>
        <v>8</v>
      </c>
      <c r="O1199" t="str">
        <f t="array" ref="O1199">_xlfn.IFS(orders[[#This Row],[Customer Gender]]="M","Male", orders[[#This Row],[Customer Gender]]="F","Female", orders[[#This Row],[Customer Gender]]="O","Other", TRUE(),"Unknown")</f>
        <v>Male</v>
      </c>
    </row>
    <row r="1200" spans="1:15" x14ac:dyDescent="0.25">
      <c r="A1200" t="s">
        <v>1428</v>
      </c>
      <c r="B1200" t="s">
        <v>91</v>
      </c>
      <c r="C1200">
        <v>2</v>
      </c>
      <c r="D1200">
        <v>63.5</v>
      </c>
      <c r="E1200">
        <v>127</v>
      </c>
      <c r="F1200" s="58">
        <v>45705</v>
      </c>
      <c r="G1200" s="58">
        <v>45705</v>
      </c>
      <c r="H1200" t="s">
        <v>231</v>
      </c>
      <c r="I1200" t="s">
        <v>63</v>
      </c>
      <c r="J1200">
        <v>5</v>
      </c>
      <c r="K1200" t="s">
        <v>103</v>
      </c>
      <c r="L1200" t="s">
        <v>142</v>
      </c>
      <c r="M1200">
        <f>orders[[#This Row],[Ship Date]]-orders[[#This Row],[Order Date]]</f>
        <v>0</v>
      </c>
      <c r="N1200">
        <f>WEEKNUM(orders[[#This Row],[Order Date]],1)</f>
        <v>8</v>
      </c>
      <c r="O1200" t="str">
        <f t="array" ref="O1200">_xlfn.IFS(orders[[#This Row],[Customer Gender]]="M","Male", orders[[#This Row],[Customer Gender]]="F","Female", orders[[#This Row],[Customer Gender]]="O","Other", TRUE(),"Unknown")</f>
        <v>Female</v>
      </c>
    </row>
    <row r="1201" spans="1:15" x14ac:dyDescent="0.25">
      <c r="A1201" t="s">
        <v>1429</v>
      </c>
      <c r="B1201" t="s">
        <v>80</v>
      </c>
      <c r="C1201">
        <v>7</v>
      </c>
      <c r="D1201">
        <v>82.9</v>
      </c>
      <c r="E1201">
        <v>580.29999999999995</v>
      </c>
      <c r="F1201" s="58">
        <v>45705</v>
      </c>
      <c r="G1201" s="58">
        <v>45710</v>
      </c>
      <c r="H1201" t="s">
        <v>231</v>
      </c>
      <c r="I1201" t="s">
        <v>61</v>
      </c>
      <c r="J1201">
        <v>4</v>
      </c>
      <c r="K1201" t="s">
        <v>103</v>
      </c>
      <c r="L1201" t="s">
        <v>146</v>
      </c>
      <c r="M1201">
        <f>orders[[#This Row],[Ship Date]]-orders[[#This Row],[Order Date]]</f>
        <v>5</v>
      </c>
      <c r="N1201">
        <f>WEEKNUM(orders[[#This Row],[Order Date]],1)</f>
        <v>8</v>
      </c>
      <c r="O1201" t="str">
        <f t="array" ref="O1201">_xlfn.IFS(orders[[#This Row],[Customer Gender]]="M","Male", orders[[#This Row],[Customer Gender]]="F","Female", orders[[#This Row],[Customer Gender]]="O","Other", TRUE(),"Unknown")</f>
        <v>Female</v>
      </c>
    </row>
    <row r="1202" spans="1:15" x14ac:dyDescent="0.25">
      <c r="A1202" t="s">
        <v>1430</v>
      </c>
      <c r="B1202" t="s">
        <v>80</v>
      </c>
      <c r="C1202">
        <v>2</v>
      </c>
      <c r="D1202">
        <v>83.6</v>
      </c>
      <c r="E1202">
        <v>167.2</v>
      </c>
      <c r="F1202" s="58">
        <v>45705</v>
      </c>
      <c r="G1202" s="58">
        <v>45710</v>
      </c>
      <c r="H1202" t="s">
        <v>231</v>
      </c>
      <c r="I1202" t="s">
        <v>59</v>
      </c>
      <c r="J1202">
        <v>4</v>
      </c>
      <c r="K1202" t="s">
        <v>103</v>
      </c>
      <c r="L1202" t="s">
        <v>148</v>
      </c>
      <c r="M1202">
        <f>orders[[#This Row],[Ship Date]]-orders[[#This Row],[Order Date]]</f>
        <v>5</v>
      </c>
      <c r="N1202">
        <f>WEEKNUM(orders[[#This Row],[Order Date]],1)</f>
        <v>8</v>
      </c>
      <c r="O1202" t="str">
        <f t="array" ref="O1202">_xlfn.IFS(orders[[#This Row],[Customer Gender]]="M","Male", orders[[#This Row],[Customer Gender]]="F","Female", orders[[#This Row],[Customer Gender]]="O","Other", TRUE(),"Unknown")</f>
        <v>Female</v>
      </c>
    </row>
    <row r="1203" spans="1:15" x14ac:dyDescent="0.25">
      <c r="A1203" t="s">
        <v>1431</v>
      </c>
      <c r="B1203" t="s">
        <v>78</v>
      </c>
      <c r="C1203">
        <v>2</v>
      </c>
      <c r="D1203">
        <v>29.4</v>
      </c>
      <c r="E1203">
        <v>58.8</v>
      </c>
      <c r="F1203" s="58">
        <v>45705</v>
      </c>
      <c r="G1203" s="58">
        <v>45705</v>
      </c>
      <c r="H1203" t="s">
        <v>231</v>
      </c>
      <c r="I1203" t="s">
        <v>59</v>
      </c>
      <c r="J1203">
        <v>3</v>
      </c>
      <c r="K1203" t="s">
        <v>103</v>
      </c>
      <c r="L1203" t="s">
        <v>152</v>
      </c>
      <c r="M1203">
        <f>orders[[#This Row],[Ship Date]]-orders[[#This Row],[Order Date]]</f>
        <v>0</v>
      </c>
      <c r="N1203">
        <f>WEEKNUM(orders[[#This Row],[Order Date]],1)</f>
        <v>8</v>
      </c>
      <c r="O1203" t="str">
        <f t="array" ref="O1203">_xlfn.IFS(orders[[#This Row],[Customer Gender]]="M","Male", orders[[#This Row],[Customer Gender]]="F","Female", orders[[#This Row],[Customer Gender]]="O","Other", TRUE(),"Unknown")</f>
        <v>Female</v>
      </c>
    </row>
    <row r="1204" spans="1:15" x14ac:dyDescent="0.25">
      <c r="A1204" t="s">
        <v>1432</v>
      </c>
      <c r="B1204" t="s">
        <v>87</v>
      </c>
      <c r="C1204">
        <v>3</v>
      </c>
      <c r="D1204">
        <v>107.1</v>
      </c>
      <c r="E1204">
        <v>321.3</v>
      </c>
      <c r="F1204" s="58">
        <v>45705</v>
      </c>
      <c r="G1204" s="58">
        <v>45709</v>
      </c>
      <c r="H1204" t="s">
        <v>231</v>
      </c>
      <c r="I1204" t="s">
        <v>62</v>
      </c>
      <c r="J1204">
        <v>4</v>
      </c>
      <c r="K1204" t="s">
        <v>103</v>
      </c>
      <c r="L1204" t="s">
        <v>159</v>
      </c>
      <c r="M1204">
        <f>orders[[#This Row],[Ship Date]]-orders[[#This Row],[Order Date]]</f>
        <v>4</v>
      </c>
      <c r="N1204">
        <f>WEEKNUM(orders[[#This Row],[Order Date]],1)</f>
        <v>8</v>
      </c>
      <c r="O1204" t="str">
        <f t="array" ref="O1204">_xlfn.IFS(orders[[#This Row],[Customer Gender]]="M","Male", orders[[#This Row],[Customer Gender]]="F","Female", orders[[#This Row],[Customer Gender]]="O","Other", TRUE(),"Unknown")</f>
        <v>Female</v>
      </c>
    </row>
    <row r="1205" spans="1:15" x14ac:dyDescent="0.25">
      <c r="A1205" t="s">
        <v>1433</v>
      </c>
      <c r="B1205" t="s">
        <v>87</v>
      </c>
      <c r="C1205">
        <v>1</v>
      </c>
      <c r="D1205">
        <v>62.7</v>
      </c>
      <c r="E1205">
        <v>62.7</v>
      </c>
      <c r="F1205" s="58">
        <v>45705</v>
      </c>
      <c r="G1205" s="58">
        <v>45709</v>
      </c>
      <c r="H1205" t="s">
        <v>229</v>
      </c>
      <c r="I1205" t="s">
        <v>63</v>
      </c>
      <c r="J1205">
        <v>4</v>
      </c>
      <c r="K1205" t="s">
        <v>103</v>
      </c>
      <c r="L1205" t="s">
        <v>106</v>
      </c>
      <c r="M1205">
        <f>orders[[#This Row],[Ship Date]]-orders[[#This Row],[Order Date]]</f>
        <v>4</v>
      </c>
      <c r="N1205">
        <f>WEEKNUM(orders[[#This Row],[Order Date]],1)</f>
        <v>8</v>
      </c>
      <c r="O1205" t="str">
        <f t="array" ref="O1205">_xlfn.IFS(orders[[#This Row],[Customer Gender]]="M","Male", orders[[#This Row],[Customer Gender]]="F","Female", orders[[#This Row],[Customer Gender]]="O","Other", TRUE(),"Unknown")</f>
        <v>Male</v>
      </c>
    </row>
    <row r="1206" spans="1:15" x14ac:dyDescent="0.25">
      <c r="A1206" t="s">
        <v>1434</v>
      </c>
      <c r="B1206" t="s">
        <v>83</v>
      </c>
      <c r="C1206">
        <v>1</v>
      </c>
      <c r="D1206">
        <v>41.6</v>
      </c>
      <c r="E1206">
        <v>41.6</v>
      </c>
      <c r="F1206" s="58">
        <v>45705</v>
      </c>
      <c r="G1206" s="58">
        <v>45706</v>
      </c>
      <c r="H1206" t="s">
        <v>229</v>
      </c>
      <c r="I1206" t="s">
        <v>59</v>
      </c>
      <c r="J1206">
        <v>3</v>
      </c>
      <c r="K1206" t="s">
        <v>103</v>
      </c>
      <c r="L1206" t="s">
        <v>112</v>
      </c>
      <c r="M1206">
        <f>orders[[#This Row],[Ship Date]]-orders[[#This Row],[Order Date]]</f>
        <v>1</v>
      </c>
      <c r="N1206">
        <f>WEEKNUM(orders[[#This Row],[Order Date]],1)</f>
        <v>8</v>
      </c>
      <c r="O1206" t="str">
        <f t="array" ref="O1206">_xlfn.IFS(orders[[#This Row],[Customer Gender]]="M","Male", orders[[#This Row],[Customer Gender]]="F","Female", orders[[#This Row],[Customer Gender]]="O","Other", TRUE(),"Unknown")</f>
        <v>Male</v>
      </c>
    </row>
    <row r="1207" spans="1:15" x14ac:dyDescent="0.25">
      <c r="A1207" t="s">
        <v>1435</v>
      </c>
      <c r="B1207" t="s">
        <v>80</v>
      </c>
      <c r="C1207">
        <v>1</v>
      </c>
      <c r="D1207">
        <v>44.2</v>
      </c>
      <c r="E1207">
        <v>44.2</v>
      </c>
      <c r="F1207" s="58">
        <v>45705</v>
      </c>
      <c r="G1207" s="58">
        <v>45706</v>
      </c>
      <c r="H1207" t="s">
        <v>263</v>
      </c>
      <c r="I1207" t="s">
        <v>59</v>
      </c>
      <c r="J1207">
        <v>3</v>
      </c>
      <c r="K1207" t="s">
        <v>103</v>
      </c>
      <c r="L1207" t="s">
        <v>112</v>
      </c>
      <c r="M1207">
        <f>orders[[#This Row],[Ship Date]]-orders[[#This Row],[Order Date]]</f>
        <v>1</v>
      </c>
      <c r="N1207">
        <f>WEEKNUM(orders[[#This Row],[Order Date]],1)</f>
        <v>8</v>
      </c>
      <c r="O1207" t="str">
        <f t="array" ref="O1207">_xlfn.IFS(orders[[#This Row],[Customer Gender]]="M","Male", orders[[#This Row],[Customer Gender]]="F","Female", orders[[#This Row],[Customer Gender]]="O","Other", TRUE(),"Unknown")</f>
        <v>Other</v>
      </c>
    </row>
    <row r="1208" spans="1:15" x14ac:dyDescent="0.25">
      <c r="A1208" t="s">
        <v>1436</v>
      </c>
      <c r="B1208" t="s">
        <v>78</v>
      </c>
      <c r="C1208">
        <v>6</v>
      </c>
      <c r="D1208">
        <v>40.4</v>
      </c>
      <c r="E1208">
        <v>242.4</v>
      </c>
      <c r="F1208" s="58">
        <v>45705</v>
      </c>
      <c r="G1208" s="58">
        <v>45718</v>
      </c>
      <c r="H1208" t="s">
        <v>231</v>
      </c>
      <c r="I1208" t="s">
        <v>62</v>
      </c>
      <c r="J1208">
        <v>4</v>
      </c>
      <c r="K1208" t="s">
        <v>103</v>
      </c>
      <c r="L1208" t="s">
        <v>120</v>
      </c>
      <c r="M1208">
        <f>orders[[#This Row],[Ship Date]]-orders[[#This Row],[Order Date]]</f>
        <v>13</v>
      </c>
      <c r="N1208">
        <f>WEEKNUM(orders[[#This Row],[Order Date]],1)</f>
        <v>8</v>
      </c>
      <c r="O1208" t="str">
        <f t="array" ref="O1208">_xlfn.IFS(orders[[#This Row],[Customer Gender]]="M","Male", orders[[#This Row],[Customer Gender]]="F","Female", orders[[#This Row],[Customer Gender]]="O","Other", TRUE(),"Unknown")</f>
        <v>Female</v>
      </c>
    </row>
    <row r="1209" spans="1:15" x14ac:dyDescent="0.25">
      <c r="A1209" t="s">
        <v>1437</v>
      </c>
      <c r="B1209" t="s">
        <v>77</v>
      </c>
      <c r="C1209">
        <v>6</v>
      </c>
      <c r="D1209">
        <v>59.6</v>
      </c>
      <c r="E1209">
        <v>357.6</v>
      </c>
      <c r="F1209" s="58">
        <v>45705</v>
      </c>
      <c r="G1209" s="58">
        <v>45706</v>
      </c>
      <c r="H1209" t="s">
        <v>231</v>
      </c>
      <c r="I1209" t="s">
        <v>61</v>
      </c>
      <c r="J1209">
        <v>4</v>
      </c>
      <c r="K1209" t="s">
        <v>103</v>
      </c>
      <c r="L1209" t="s">
        <v>121</v>
      </c>
      <c r="M1209">
        <f>orders[[#This Row],[Ship Date]]-orders[[#This Row],[Order Date]]</f>
        <v>1</v>
      </c>
      <c r="N1209">
        <f>WEEKNUM(orders[[#This Row],[Order Date]],1)</f>
        <v>8</v>
      </c>
      <c r="O1209" t="str">
        <f t="array" ref="O1209">_xlfn.IFS(orders[[#This Row],[Customer Gender]]="M","Male", orders[[#This Row],[Customer Gender]]="F","Female", orders[[#This Row],[Customer Gender]]="O","Other", TRUE(),"Unknown")</f>
        <v>Female</v>
      </c>
    </row>
    <row r="1210" spans="1:15" x14ac:dyDescent="0.25">
      <c r="A1210" t="s">
        <v>1438</v>
      </c>
      <c r="B1210" t="s">
        <v>84</v>
      </c>
      <c r="C1210">
        <v>12</v>
      </c>
      <c r="D1210">
        <v>63.8</v>
      </c>
      <c r="E1210">
        <v>765.6</v>
      </c>
      <c r="F1210" s="58">
        <v>45705</v>
      </c>
      <c r="G1210" s="58">
        <v>45706</v>
      </c>
      <c r="H1210" t="s">
        <v>229</v>
      </c>
      <c r="I1210" t="s">
        <v>63</v>
      </c>
      <c r="J1210">
        <v>4</v>
      </c>
      <c r="K1210" t="s">
        <v>103</v>
      </c>
      <c r="L1210" t="s">
        <v>124</v>
      </c>
      <c r="M1210">
        <f>orders[[#This Row],[Ship Date]]-orders[[#This Row],[Order Date]]</f>
        <v>1</v>
      </c>
      <c r="N1210">
        <f>WEEKNUM(orders[[#This Row],[Order Date]],1)</f>
        <v>8</v>
      </c>
      <c r="O1210" t="str">
        <f t="array" ref="O1210">_xlfn.IFS(orders[[#This Row],[Customer Gender]]="M","Male", orders[[#This Row],[Customer Gender]]="F","Female", orders[[#This Row],[Customer Gender]]="O","Other", TRUE(),"Unknown")</f>
        <v>Male</v>
      </c>
    </row>
    <row r="1211" spans="1:15" x14ac:dyDescent="0.25">
      <c r="A1211" t="s">
        <v>1439</v>
      </c>
      <c r="B1211" t="s">
        <v>88</v>
      </c>
      <c r="C1211">
        <v>6</v>
      </c>
      <c r="D1211">
        <v>30.8</v>
      </c>
      <c r="E1211">
        <v>184.8</v>
      </c>
      <c r="F1211" s="58">
        <v>45705</v>
      </c>
      <c r="G1211" s="58">
        <v>45707</v>
      </c>
      <c r="H1211" t="s">
        <v>229</v>
      </c>
      <c r="I1211" t="s">
        <v>61</v>
      </c>
      <c r="J1211">
        <v>4</v>
      </c>
      <c r="K1211" t="s">
        <v>103</v>
      </c>
      <c r="L1211" t="s">
        <v>124</v>
      </c>
      <c r="M1211">
        <f>orders[[#This Row],[Ship Date]]-orders[[#This Row],[Order Date]]</f>
        <v>2</v>
      </c>
      <c r="N1211">
        <f>WEEKNUM(orders[[#This Row],[Order Date]],1)</f>
        <v>8</v>
      </c>
      <c r="O1211" t="str">
        <f t="array" ref="O1211">_xlfn.IFS(orders[[#This Row],[Customer Gender]]="M","Male", orders[[#This Row],[Customer Gender]]="F","Female", orders[[#This Row],[Customer Gender]]="O","Other", TRUE(),"Unknown")</f>
        <v>Male</v>
      </c>
    </row>
    <row r="1212" spans="1:15" x14ac:dyDescent="0.25">
      <c r="A1212" t="s">
        <v>1440</v>
      </c>
      <c r="B1212" t="s">
        <v>91</v>
      </c>
      <c r="C1212">
        <v>2</v>
      </c>
      <c r="D1212">
        <v>41.5</v>
      </c>
      <c r="E1212">
        <v>83</v>
      </c>
      <c r="F1212" s="58">
        <v>45705</v>
      </c>
      <c r="G1212" s="58">
        <v>45708</v>
      </c>
      <c r="H1212" t="s">
        <v>263</v>
      </c>
      <c r="I1212" t="s">
        <v>59</v>
      </c>
      <c r="J1212">
        <v>4</v>
      </c>
      <c r="K1212" t="s">
        <v>103</v>
      </c>
      <c r="L1212" t="s">
        <v>124</v>
      </c>
      <c r="M1212">
        <f>orders[[#This Row],[Ship Date]]-orders[[#This Row],[Order Date]]</f>
        <v>3</v>
      </c>
      <c r="N1212">
        <f>WEEKNUM(orders[[#This Row],[Order Date]],1)</f>
        <v>8</v>
      </c>
      <c r="O1212" t="str">
        <f t="array" ref="O1212">_xlfn.IFS(orders[[#This Row],[Customer Gender]]="M","Male", orders[[#This Row],[Customer Gender]]="F","Female", orders[[#This Row],[Customer Gender]]="O","Other", TRUE(),"Unknown")</f>
        <v>Other</v>
      </c>
    </row>
    <row r="1213" spans="1:15" x14ac:dyDescent="0.25">
      <c r="A1213" t="s">
        <v>1441</v>
      </c>
      <c r="B1213" t="s">
        <v>75</v>
      </c>
      <c r="C1213">
        <v>4</v>
      </c>
      <c r="D1213">
        <v>44.7</v>
      </c>
      <c r="E1213">
        <v>178.8</v>
      </c>
      <c r="F1213" s="58">
        <v>45705</v>
      </c>
      <c r="G1213" s="58">
        <v>45707</v>
      </c>
      <c r="H1213" t="s">
        <v>231</v>
      </c>
      <c r="I1213" t="s">
        <v>62</v>
      </c>
      <c r="J1213">
        <v>3</v>
      </c>
      <c r="K1213" t="s">
        <v>103</v>
      </c>
      <c r="L1213" t="s">
        <v>124</v>
      </c>
      <c r="M1213">
        <f>orders[[#This Row],[Ship Date]]-orders[[#This Row],[Order Date]]</f>
        <v>2</v>
      </c>
      <c r="N1213">
        <f>WEEKNUM(orders[[#This Row],[Order Date]],1)</f>
        <v>8</v>
      </c>
      <c r="O1213" t="str">
        <f t="array" ref="O1213">_xlfn.IFS(orders[[#This Row],[Customer Gender]]="M","Male", orders[[#This Row],[Customer Gender]]="F","Female", orders[[#This Row],[Customer Gender]]="O","Other", TRUE(),"Unknown")</f>
        <v>Female</v>
      </c>
    </row>
    <row r="1214" spans="1:15" x14ac:dyDescent="0.25">
      <c r="A1214" t="s">
        <v>1442</v>
      </c>
      <c r="B1214" t="s">
        <v>76</v>
      </c>
      <c r="C1214">
        <v>2</v>
      </c>
      <c r="D1214">
        <v>64.099999999999994</v>
      </c>
      <c r="E1214">
        <v>128.19999999999999</v>
      </c>
      <c r="F1214" s="58">
        <v>45705</v>
      </c>
      <c r="G1214" s="58">
        <v>45709</v>
      </c>
      <c r="H1214" t="s">
        <v>231</v>
      </c>
      <c r="I1214" t="s">
        <v>63</v>
      </c>
      <c r="J1214">
        <v>2</v>
      </c>
      <c r="K1214" t="s">
        <v>103</v>
      </c>
      <c r="L1214" t="s">
        <v>124</v>
      </c>
      <c r="M1214">
        <f>orders[[#This Row],[Ship Date]]-orders[[#This Row],[Order Date]]</f>
        <v>4</v>
      </c>
      <c r="N1214">
        <f>WEEKNUM(orders[[#This Row],[Order Date]],1)</f>
        <v>8</v>
      </c>
      <c r="O1214" t="str">
        <f t="array" ref="O1214">_xlfn.IFS(orders[[#This Row],[Customer Gender]]="M","Male", orders[[#This Row],[Customer Gender]]="F","Female", orders[[#This Row],[Customer Gender]]="O","Other", TRUE(),"Unknown")</f>
        <v>Female</v>
      </c>
    </row>
    <row r="1215" spans="1:15" x14ac:dyDescent="0.25">
      <c r="A1215" t="s">
        <v>1443</v>
      </c>
      <c r="B1215" t="s">
        <v>90</v>
      </c>
      <c r="C1215">
        <v>1</v>
      </c>
      <c r="D1215">
        <v>15.9</v>
      </c>
      <c r="E1215">
        <v>15.9</v>
      </c>
      <c r="F1215" s="58">
        <v>45705</v>
      </c>
      <c r="G1215" s="58">
        <v>45708</v>
      </c>
      <c r="I1215" t="s">
        <v>63</v>
      </c>
      <c r="J1215">
        <v>4</v>
      </c>
      <c r="K1215" t="s">
        <v>103</v>
      </c>
      <c r="L1215" t="s">
        <v>124</v>
      </c>
      <c r="M1215">
        <f>orders[[#This Row],[Ship Date]]-orders[[#This Row],[Order Date]]</f>
        <v>3</v>
      </c>
      <c r="N1215">
        <f>WEEKNUM(orders[[#This Row],[Order Date]],1)</f>
        <v>8</v>
      </c>
      <c r="O1215" t="str">
        <f t="array" ref="O1215">_xlfn.IFS(orders[[#This Row],[Customer Gender]]="M","Male", orders[[#This Row],[Customer Gender]]="F","Female", orders[[#This Row],[Customer Gender]]="O","Other", TRUE(),"Unknown")</f>
        <v>Unknown</v>
      </c>
    </row>
    <row r="1216" spans="1:15" x14ac:dyDescent="0.25">
      <c r="A1216" t="s">
        <v>1444</v>
      </c>
      <c r="B1216" t="s">
        <v>80</v>
      </c>
      <c r="C1216">
        <v>2</v>
      </c>
      <c r="D1216">
        <v>78.7</v>
      </c>
      <c r="E1216">
        <v>157.4</v>
      </c>
      <c r="F1216" s="58">
        <v>45705</v>
      </c>
      <c r="G1216" s="58">
        <v>45705</v>
      </c>
      <c r="H1216" t="s">
        <v>231</v>
      </c>
      <c r="I1216" t="s">
        <v>62</v>
      </c>
      <c r="J1216">
        <v>3</v>
      </c>
      <c r="K1216" t="s">
        <v>103</v>
      </c>
      <c r="L1216" t="s">
        <v>124</v>
      </c>
      <c r="M1216">
        <f>orders[[#This Row],[Ship Date]]-orders[[#This Row],[Order Date]]</f>
        <v>0</v>
      </c>
      <c r="N1216">
        <f>WEEKNUM(orders[[#This Row],[Order Date]],1)</f>
        <v>8</v>
      </c>
      <c r="O1216" t="str">
        <f t="array" ref="O1216">_xlfn.IFS(orders[[#This Row],[Customer Gender]]="M","Male", orders[[#This Row],[Customer Gender]]="F","Female", orders[[#This Row],[Customer Gender]]="O","Other", TRUE(),"Unknown")</f>
        <v>Female</v>
      </c>
    </row>
    <row r="1217" spans="1:15" x14ac:dyDescent="0.25">
      <c r="A1217" t="s">
        <v>1445</v>
      </c>
      <c r="B1217" t="s">
        <v>85</v>
      </c>
      <c r="C1217">
        <v>12</v>
      </c>
      <c r="D1217">
        <v>29.6</v>
      </c>
      <c r="E1217">
        <v>355.2</v>
      </c>
      <c r="F1217" s="58">
        <v>45705</v>
      </c>
      <c r="G1217" s="58">
        <v>45709</v>
      </c>
      <c r="H1217" t="s">
        <v>229</v>
      </c>
      <c r="I1217" t="s">
        <v>62</v>
      </c>
      <c r="J1217">
        <v>2</v>
      </c>
      <c r="K1217" t="s">
        <v>103</v>
      </c>
      <c r="L1217" t="s">
        <v>124</v>
      </c>
      <c r="M1217">
        <f>orders[[#This Row],[Ship Date]]-orders[[#This Row],[Order Date]]</f>
        <v>4</v>
      </c>
      <c r="N1217">
        <f>WEEKNUM(orders[[#This Row],[Order Date]],1)</f>
        <v>8</v>
      </c>
      <c r="O1217" t="str">
        <f t="array" ref="O1217">_xlfn.IFS(orders[[#This Row],[Customer Gender]]="M","Male", orders[[#This Row],[Customer Gender]]="F","Female", orders[[#This Row],[Customer Gender]]="O","Other", TRUE(),"Unknown")</f>
        <v>Male</v>
      </c>
    </row>
    <row r="1218" spans="1:15" x14ac:dyDescent="0.25">
      <c r="A1218" t="s">
        <v>1446</v>
      </c>
      <c r="B1218" t="s">
        <v>90</v>
      </c>
      <c r="C1218">
        <v>4</v>
      </c>
      <c r="D1218">
        <v>21.5</v>
      </c>
      <c r="E1218">
        <v>86</v>
      </c>
      <c r="F1218" s="58">
        <v>45705</v>
      </c>
      <c r="G1218" s="58">
        <v>45708</v>
      </c>
      <c r="H1218" t="s">
        <v>229</v>
      </c>
      <c r="I1218" t="s">
        <v>63</v>
      </c>
      <c r="J1218">
        <v>4</v>
      </c>
      <c r="K1218" t="s">
        <v>103</v>
      </c>
      <c r="L1218" t="s">
        <v>124</v>
      </c>
      <c r="M1218">
        <f>orders[[#This Row],[Ship Date]]-orders[[#This Row],[Order Date]]</f>
        <v>3</v>
      </c>
      <c r="N1218">
        <f>WEEKNUM(orders[[#This Row],[Order Date]],1)</f>
        <v>8</v>
      </c>
      <c r="O1218" t="str">
        <f t="array" ref="O1218">_xlfn.IFS(orders[[#This Row],[Customer Gender]]="M","Male", orders[[#This Row],[Customer Gender]]="F","Female", orders[[#This Row],[Customer Gender]]="O","Other", TRUE(),"Unknown")</f>
        <v>Male</v>
      </c>
    </row>
    <row r="1219" spans="1:15" x14ac:dyDescent="0.25">
      <c r="A1219" t="s">
        <v>1447</v>
      </c>
      <c r="B1219" t="s">
        <v>88</v>
      </c>
      <c r="C1219">
        <v>3</v>
      </c>
      <c r="D1219">
        <v>74.900000000000006</v>
      </c>
      <c r="E1219">
        <v>224.7</v>
      </c>
      <c r="F1219" s="58">
        <v>45705</v>
      </c>
      <c r="G1219" s="58">
        <v>45714</v>
      </c>
      <c r="H1219" t="s">
        <v>229</v>
      </c>
      <c r="I1219" t="s">
        <v>60</v>
      </c>
      <c r="J1219">
        <v>3</v>
      </c>
      <c r="K1219" t="s">
        <v>103</v>
      </c>
      <c r="L1219" t="s">
        <v>124</v>
      </c>
      <c r="M1219">
        <f>orders[[#This Row],[Ship Date]]-orders[[#This Row],[Order Date]]</f>
        <v>9</v>
      </c>
      <c r="N1219">
        <f>WEEKNUM(orders[[#This Row],[Order Date]],1)</f>
        <v>8</v>
      </c>
      <c r="O1219" t="str">
        <f t="array" ref="O1219">_xlfn.IFS(orders[[#This Row],[Customer Gender]]="M","Male", orders[[#This Row],[Customer Gender]]="F","Female", orders[[#This Row],[Customer Gender]]="O","Other", TRUE(),"Unknown")</f>
        <v>Male</v>
      </c>
    </row>
    <row r="1220" spans="1:15" x14ac:dyDescent="0.25">
      <c r="A1220" t="s">
        <v>1448</v>
      </c>
      <c r="B1220" t="s">
        <v>75</v>
      </c>
      <c r="C1220">
        <v>6</v>
      </c>
      <c r="D1220">
        <v>45</v>
      </c>
      <c r="E1220">
        <v>270</v>
      </c>
      <c r="F1220" s="58">
        <v>45705</v>
      </c>
      <c r="G1220" s="58">
        <v>45710</v>
      </c>
      <c r="H1220" t="s">
        <v>231</v>
      </c>
      <c r="I1220" t="s">
        <v>62</v>
      </c>
      <c r="J1220">
        <v>4</v>
      </c>
      <c r="K1220" t="s">
        <v>103</v>
      </c>
      <c r="L1220" t="s">
        <v>124</v>
      </c>
      <c r="M1220">
        <f>orders[[#This Row],[Ship Date]]-orders[[#This Row],[Order Date]]</f>
        <v>5</v>
      </c>
      <c r="N1220">
        <f>WEEKNUM(orders[[#This Row],[Order Date]],1)</f>
        <v>8</v>
      </c>
      <c r="O1220" t="str">
        <f t="array" ref="O1220">_xlfn.IFS(orders[[#This Row],[Customer Gender]]="M","Male", orders[[#This Row],[Customer Gender]]="F","Female", orders[[#This Row],[Customer Gender]]="O","Other", TRUE(),"Unknown")</f>
        <v>Female</v>
      </c>
    </row>
    <row r="1221" spans="1:15" x14ac:dyDescent="0.25">
      <c r="A1221" t="s">
        <v>1449</v>
      </c>
      <c r="B1221" t="s">
        <v>79</v>
      </c>
      <c r="C1221">
        <v>34</v>
      </c>
      <c r="D1221">
        <v>37.9</v>
      </c>
      <c r="E1221">
        <v>1288.5999999999999</v>
      </c>
      <c r="F1221" s="58">
        <v>45705</v>
      </c>
      <c r="G1221" s="58">
        <v>45706</v>
      </c>
      <c r="H1221" t="s">
        <v>229</v>
      </c>
      <c r="I1221" t="s">
        <v>59</v>
      </c>
      <c r="J1221">
        <v>4</v>
      </c>
      <c r="K1221" t="s">
        <v>103</v>
      </c>
      <c r="L1221" t="s">
        <v>124</v>
      </c>
      <c r="M1221">
        <f>orders[[#This Row],[Ship Date]]-orders[[#This Row],[Order Date]]</f>
        <v>1</v>
      </c>
      <c r="N1221">
        <f>WEEKNUM(orders[[#This Row],[Order Date]],1)</f>
        <v>8</v>
      </c>
      <c r="O1221" t="str">
        <f t="array" ref="O1221">_xlfn.IFS(orders[[#This Row],[Customer Gender]]="M","Male", orders[[#This Row],[Customer Gender]]="F","Female", orders[[#This Row],[Customer Gender]]="O","Other", TRUE(),"Unknown")</f>
        <v>Male</v>
      </c>
    </row>
    <row r="1222" spans="1:15" x14ac:dyDescent="0.25">
      <c r="A1222" t="s">
        <v>1450</v>
      </c>
      <c r="B1222" t="s">
        <v>80</v>
      </c>
      <c r="C1222">
        <v>3</v>
      </c>
      <c r="D1222">
        <v>56.6</v>
      </c>
      <c r="E1222">
        <v>169.8</v>
      </c>
      <c r="F1222" s="58">
        <v>45705</v>
      </c>
      <c r="G1222" s="58">
        <v>45706</v>
      </c>
      <c r="H1222" t="s">
        <v>229</v>
      </c>
      <c r="I1222" t="s">
        <v>60</v>
      </c>
      <c r="J1222">
        <v>4</v>
      </c>
      <c r="K1222" t="s">
        <v>103</v>
      </c>
      <c r="L1222" t="s">
        <v>124</v>
      </c>
      <c r="M1222">
        <f>orders[[#This Row],[Ship Date]]-orders[[#This Row],[Order Date]]</f>
        <v>1</v>
      </c>
      <c r="N1222">
        <f>WEEKNUM(orders[[#This Row],[Order Date]],1)</f>
        <v>8</v>
      </c>
      <c r="O1222" t="str">
        <f t="array" ref="O1222">_xlfn.IFS(orders[[#This Row],[Customer Gender]]="M","Male", orders[[#This Row],[Customer Gender]]="F","Female", orders[[#This Row],[Customer Gender]]="O","Other", TRUE(),"Unknown")</f>
        <v>Male</v>
      </c>
    </row>
    <row r="1223" spans="1:15" x14ac:dyDescent="0.25">
      <c r="A1223" t="s">
        <v>1451</v>
      </c>
      <c r="B1223" t="s">
        <v>93</v>
      </c>
      <c r="C1223">
        <v>13</v>
      </c>
      <c r="D1223">
        <v>84.5</v>
      </c>
      <c r="E1223">
        <v>1098.5</v>
      </c>
      <c r="F1223" s="58">
        <v>45705</v>
      </c>
      <c r="G1223" s="58">
        <v>45708</v>
      </c>
      <c r="H1223" t="s">
        <v>231</v>
      </c>
      <c r="I1223" t="s">
        <v>63</v>
      </c>
      <c r="J1223">
        <v>2</v>
      </c>
      <c r="K1223" t="s">
        <v>103</v>
      </c>
      <c r="L1223" t="s">
        <v>124</v>
      </c>
      <c r="M1223">
        <f>orders[[#This Row],[Ship Date]]-orders[[#This Row],[Order Date]]</f>
        <v>3</v>
      </c>
      <c r="N1223">
        <f>WEEKNUM(orders[[#This Row],[Order Date]],1)</f>
        <v>8</v>
      </c>
      <c r="O1223" t="str">
        <f t="array" ref="O1223">_xlfn.IFS(orders[[#This Row],[Customer Gender]]="M","Male", orders[[#This Row],[Customer Gender]]="F","Female", orders[[#This Row],[Customer Gender]]="O","Other", TRUE(),"Unknown")</f>
        <v>Female</v>
      </c>
    </row>
    <row r="1224" spans="1:15" x14ac:dyDescent="0.25">
      <c r="A1224" t="s">
        <v>1452</v>
      </c>
      <c r="B1224" t="s">
        <v>87</v>
      </c>
      <c r="C1224">
        <v>5</v>
      </c>
      <c r="D1224">
        <v>105.4</v>
      </c>
      <c r="E1224">
        <v>527</v>
      </c>
      <c r="F1224" s="58">
        <v>45705</v>
      </c>
      <c r="G1224" s="58">
        <v>45707</v>
      </c>
      <c r="H1224" t="s">
        <v>231</v>
      </c>
      <c r="I1224" t="s">
        <v>63</v>
      </c>
      <c r="J1224">
        <v>3</v>
      </c>
      <c r="K1224" t="s">
        <v>103</v>
      </c>
      <c r="L1224" t="s">
        <v>124</v>
      </c>
      <c r="M1224">
        <f>orders[[#This Row],[Ship Date]]-orders[[#This Row],[Order Date]]</f>
        <v>2</v>
      </c>
      <c r="N1224">
        <f>WEEKNUM(orders[[#This Row],[Order Date]],1)</f>
        <v>8</v>
      </c>
      <c r="O1224" t="str">
        <f t="array" ref="O1224">_xlfn.IFS(orders[[#This Row],[Customer Gender]]="M","Male", orders[[#This Row],[Customer Gender]]="F","Female", orders[[#This Row],[Customer Gender]]="O","Other", TRUE(),"Unknown")</f>
        <v>Female</v>
      </c>
    </row>
    <row r="1225" spans="1:15" x14ac:dyDescent="0.25">
      <c r="A1225" t="s">
        <v>1453</v>
      </c>
      <c r="B1225" t="s">
        <v>82</v>
      </c>
      <c r="C1225">
        <v>7</v>
      </c>
      <c r="D1225">
        <v>39.4</v>
      </c>
      <c r="E1225">
        <v>275.8</v>
      </c>
      <c r="F1225" s="58">
        <v>45706</v>
      </c>
      <c r="G1225" s="58">
        <v>45706</v>
      </c>
      <c r="H1225" t="s">
        <v>229</v>
      </c>
      <c r="I1225" t="s">
        <v>63</v>
      </c>
      <c r="J1225">
        <v>4</v>
      </c>
      <c r="K1225" t="s">
        <v>103</v>
      </c>
      <c r="L1225" t="s">
        <v>125</v>
      </c>
      <c r="M1225">
        <f>orders[[#This Row],[Ship Date]]-orders[[#This Row],[Order Date]]</f>
        <v>0</v>
      </c>
      <c r="N1225">
        <f>WEEKNUM(orders[[#This Row],[Order Date]],1)</f>
        <v>8</v>
      </c>
      <c r="O1225" t="str">
        <f t="array" ref="O1225">_xlfn.IFS(orders[[#This Row],[Customer Gender]]="M","Male", orders[[#This Row],[Customer Gender]]="F","Female", orders[[#This Row],[Customer Gender]]="O","Other", TRUE(),"Unknown")</f>
        <v>Male</v>
      </c>
    </row>
    <row r="1226" spans="1:15" x14ac:dyDescent="0.25">
      <c r="A1226" t="s">
        <v>1454</v>
      </c>
      <c r="B1226" t="s">
        <v>81</v>
      </c>
      <c r="C1226">
        <v>3</v>
      </c>
      <c r="D1226">
        <v>38</v>
      </c>
      <c r="E1226">
        <v>114</v>
      </c>
      <c r="F1226" s="58">
        <v>45706</v>
      </c>
      <c r="G1226" s="58">
        <v>45709</v>
      </c>
      <c r="H1226" t="s">
        <v>229</v>
      </c>
      <c r="I1226" t="s">
        <v>61</v>
      </c>
      <c r="J1226">
        <v>3</v>
      </c>
      <c r="K1226" t="s">
        <v>103</v>
      </c>
      <c r="L1226" t="s">
        <v>139</v>
      </c>
      <c r="M1226">
        <f>orders[[#This Row],[Ship Date]]-orders[[#This Row],[Order Date]]</f>
        <v>3</v>
      </c>
      <c r="N1226">
        <f>WEEKNUM(orders[[#This Row],[Order Date]],1)</f>
        <v>8</v>
      </c>
      <c r="O1226" t="str">
        <f t="array" ref="O1226">_xlfn.IFS(orders[[#This Row],[Customer Gender]]="M","Male", orders[[#This Row],[Customer Gender]]="F","Female", orders[[#This Row],[Customer Gender]]="O","Other", TRUE(),"Unknown")</f>
        <v>Male</v>
      </c>
    </row>
    <row r="1227" spans="1:15" x14ac:dyDescent="0.25">
      <c r="A1227" t="s">
        <v>1455</v>
      </c>
      <c r="B1227" t="s">
        <v>84</v>
      </c>
      <c r="C1227">
        <v>4</v>
      </c>
      <c r="D1227">
        <v>42.5</v>
      </c>
      <c r="E1227">
        <v>170</v>
      </c>
      <c r="F1227" s="58">
        <v>45706</v>
      </c>
      <c r="G1227" s="58">
        <v>45708</v>
      </c>
      <c r="I1227" t="s">
        <v>59</v>
      </c>
      <c r="J1227">
        <v>4</v>
      </c>
      <c r="K1227" t="s">
        <v>103</v>
      </c>
      <c r="L1227" t="s">
        <v>139</v>
      </c>
      <c r="M1227">
        <f>orders[[#This Row],[Ship Date]]-orders[[#This Row],[Order Date]]</f>
        <v>2</v>
      </c>
      <c r="N1227">
        <f>WEEKNUM(orders[[#This Row],[Order Date]],1)</f>
        <v>8</v>
      </c>
      <c r="O1227" t="str">
        <f t="array" ref="O1227">_xlfn.IFS(orders[[#This Row],[Customer Gender]]="M","Male", orders[[#This Row],[Customer Gender]]="F","Female", orders[[#This Row],[Customer Gender]]="O","Other", TRUE(),"Unknown")</f>
        <v>Unknown</v>
      </c>
    </row>
    <row r="1228" spans="1:15" x14ac:dyDescent="0.25">
      <c r="A1228" t="s">
        <v>1456</v>
      </c>
      <c r="B1228" t="s">
        <v>77</v>
      </c>
      <c r="C1228">
        <v>1</v>
      </c>
      <c r="D1228">
        <v>62.3</v>
      </c>
      <c r="E1228">
        <v>62.3</v>
      </c>
      <c r="F1228" s="58">
        <v>45706</v>
      </c>
      <c r="G1228" s="58">
        <v>45715</v>
      </c>
      <c r="H1228" t="s">
        <v>229</v>
      </c>
      <c r="I1228" t="s">
        <v>59</v>
      </c>
      <c r="J1228">
        <v>5</v>
      </c>
      <c r="K1228" t="s">
        <v>103</v>
      </c>
      <c r="L1228" t="s">
        <v>139</v>
      </c>
      <c r="M1228">
        <f>orders[[#This Row],[Ship Date]]-orders[[#This Row],[Order Date]]</f>
        <v>9</v>
      </c>
      <c r="N1228">
        <f>WEEKNUM(orders[[#This Row],[Order Date]],1)</f>
        <v>8</v>
      </c>
      <c r="O1228" t="str">
        <f t="array" ref="O1228">_xlfn.IFS(orders[[#This Row],[Customer Gender]]="M","Male", orders[[#This Row],[Customer Gender]]="F","Female", orders[[#This Row],[Customer Gender]]="O","Other", TRUE(),"Unknown")</f>
        <v>Male</v>
      </c>
    </row>
    <row r="1229" spans="1:15" x14ac:dyDescent="0.25">
      <c r="A1229" t="s">
        <v>1457</v>
      </c>
      <c r="B1229" t="s">
        <v>80</v>
      </c>
      <c r="C1229">
        <v>5</v>
      </c>
      <c r="D1229">
        <v>49.1</v>
      </c>
      <c r="E1229">
        <v>245.5</v>
      </c>
      <c r="F1229" s="58">
        <v>45706</v>
      </c>
      <c r="G1229" s="58">
        <v>45708</v>
      </c>
      <c r="H1229" t="s">
        <v>231</v>
      </c>
      <c r="I1229" t="s">
        <v>63</v>
      </c>
      <c r="J1229">
        <v>5</v>
      </c>
      <c r="K1229" t="s">
        <v>103</v>
      </c>
      <c r="L1229" t="s">
        <v>141</v>
      </c>
      <c r="M1229">
        <f>orders[[#This Row],[Ship Date]]-orders[[#This Row],[Order Date]]</f>
        <v>2</v>
      </c>
      <c r="N1229">
        <f>WEEKNUM(orders[[#This Row],[Order Date]],1)</f>
        <v>8</v>
      </c>
      <c r="O1229" t="str">
        <f t="array" ref="O1229">_xlfn.IFS(orders[[#This Row],[Customer Gender]]="M","Male", orders[[#This Row],[Customer Gender]]="F","Female", orders[[#This Row],[Customer Gender]]="O","Other", TRUE(),"Unknown")</f>
        <v>Female</v>
      </c>
    </row>
    <row r="1230" spans="1:15" x14ac:dyDescent="0.25">
      <c r="A1230" t="s">
        <v>1458</v>
      </c>
      <c r="B1230" t="s">
        <v>93</v>
      </c>
      <c r="C1230">
        <v>2</v>
      </c>
      <c r="D1230">
        <v>30.5</v>
      </c>
      <c r="E1230">
        <v>61</v>
      </c>
      <c r="F1230" s="58">
        <v>45706</v>
      </c>
      <c r="G1230" s="58">
        <v>45709</v>
      </c>
      <c r="H1230" t="s">
        <v>229</v>
      </c>
      <c r="I1230" t="s">
        <v>59</v>
      </c>
      <c r="J1230">
        <v>5</v>
      </c>
      <c r="K1230" t="s">
        <v>103</v>
      </c>
      <c r="L1230" t="s">
        <v>142</v>
      </c>
      <c r="M1230">
        <f>orders[[#This Row],[Ship Date]]-orders[[#This Row],[Order Date]]</f>
        <v>3</v>
      </c>
      <c r="N1230">
        <f>WEEKNUM(orders[[#This Row],[Order Date]],1)</f>
        <v>8</v>
      </c>
      <c r="O1230" t="str">
        <f t="array" ref="O1230">_xlfn.IFS(orders[[#This Row],[Customer Gender]]="M","Male", orders[[#This Row],[Customer Gender]]="F","Female", orders[[#This Row],[Customer Gender]]="O","Other", TRUE(),"Unknown")</f>
        <v>Male</v>
      </c>
    </row>
    <row r="1231" spans="1:15" x14ac:dyDescent="0.25">
      <c r="A1231" t="s">
        <v>1459</v>
      </c>
      <c r="B1231" t="s">
        <v>87</v>
      </c>
      <c r="C1231">
        <v>2</v>
      </c>
      <c r="D1231">
        <v>154.80000000000001</v>
      </c>
      <c r="E1231">
        <v>309.60000000000002</v>
      </c>
      <c r="F1231" s="58">
        <v>45706</v>
      </c>
      <c r="G1231" s="58">
        <v>45709</v>
      </c>
      <c r="H1231" t="s">
        <v>231</v>
      </c>
      <c r="I1231" t="s">
        <v>63</v>
      </c>
      <c r="J1231">
        <v>2</v>
      </c>
      <c r="K1231" t="s">
        <v>103</v>
      </c>
      <c r="L1231" t="s">
        <v>142</v>
      </c>
      <c r="M1231">
        <f>orders[[#This Row],[Ship Date]]-orders[[#This Row],[Order Date]]</f>
        <v>3</v>
      </c>
      <c r="N1231">
        <f>WEEKNUM(orders[[#This Row],[Order Date]],1)</f>
        <v>8</v>
      </c>
      <c r="O1231" t="str">
        <f t="array" ref="O1231">_xlfn.IFS(orders[[#This Row],[Customer Gender]]="M","Male", orders[[#This Row],[Customer Gender]]="F","Female", orders[[#This Row],[Customer Gender]]="O","Other", TRUE(),"Unknown")</f>
        <v>Female</v>
      </c>
    </row>
    <row r="1232" spans="1:15" x14ac:dyDescent="0.25">
      <c r="A1232" t="s">
        <v>1460</v>
      </c>
      <c r="B1232" t="s">
        <v>80</v>
      </c>
      <c r="C1232">
        <v>1</v>
      </c>
      <c r="D1232">
        <v>45</v>
      </c>
      <c r="E1232">
        <v>45</v>
      </c>
      <c r="F1232" s="58">
        <v>45706</v>
      </c>
      <c r="G1232" s="58">
        <v>45710</v>
      </c>
      <c r="H1232" t="s">
        <v>229</v>
      </c>
      <c r="I1232" t="s">
        <v>60</v>
      </c>
      <c r="J1232">
        <v>3</v>
      </c>
      <c r="K1232" t="s">
        <v>103</v>
      </c>
      <c r="L1232" t="s">
        <v>142</v>
      </c>
      <c r="M1232">
        <f>orders[[#This Row],[Ship Date]]-orders[[#This Row],[Order Date]]</f>
        <v>4</v>
      </c>
      <c r="N1232">
        <f>WEEKNUM(orders[[#This Row],[Order Date]],1)</f>
        <v>8</v>
      </c>
      <c r="O1232" t="str">
        <f t="array" ref="O1232">_xlfn.IFS(orders[[#This Row],[Customer Gender]]="M","Male", orders[[#This Row],[Customer Gender]]="F","Female", orders[[#This Row],[Customer Gender]]="O","Other", TRUE(),"Unknown")</f>
        <v>Male</v>
      </c>
    </row>
    <row r="1233" spans="1:15" x14ac:dyDescent="0.25">
      <c r="A1233" t="s">
        <v>1461</v>
      </c>
      <c r="B1233" t="s">
        <v>86</v>
      </c>
      <c r="C1233">
        <v>7</v>
      </c>
      <c r="D1233">
        <v>15.3</v>
      </c>
      <c r="E1233">
        <v>107.1</v>
      </c>
      <c r="F1233" s="58">
        <v>45706</v>
      </c>
      <c r="G1233" s="58">
        <v>45707</v>
      </c>
      <c r="H1233" t="s">
        <v>229</v>
      </c>
      <c r="I1233" t="s">
        <v>59</v>
      </c>
      <c r="J1233">
        <v>5</v>
      </c>
      <c r="K1233" t="s">
        <v>103</v>
      </c>
      <c r="L1233" t="s">
        <v>142</v>
      </c>
      <c r="M1233">
        <f>orders[[#This Row],[Ship Date]]-orders[[#This Row],[Order Date]]</f>
        <v>1</v>
      </c>
      <c r="N1233">
        <f>WEEKNUM(orders[[#This Row],[Order Date]],1)</f>
        <v>8</v>
      </c>
      <c r="O1233" t="str">
        <f t="array" ref="O1233">_xlfn.IFS(orders[[#This Row],[Customer Gender]]="M","Male", orders[[#This Row],[Customer Gender]]="F","Female", orders[[#This Row],[Customer Gender]]="O","Other", TRUE(),"Unknown")</f>
        <v>Male</v>
      </c>
    </row>
    <row r="1234" spans="1:15" x14ac:dyDescent="0.25">
      <c r="A1234" t="s">
        <v>1462</v>
      </c>
      <c r="B1234" t="s">
        <v>87</v>
      </c>
      <c r="C1234">
        <v>11</v>
      </c>
      <c r="D1234">
        <v>88.6</v>
      </c>
      <c r="E1234">
        <v>974.6</v>
      </c>
      <c r="F1234" s="58">
        <v>45706</v>
      </c>
      <c r="G1234" s="58">
        <v>45709</v>
      </c>
      <c r="H1234" t="s">
        <v>231</v>
      </c>
      <c r="I1234" t="s">
        <v>59</v>
      </c>
      <c r="J1234">
        <v>2</v>
      </c>
      <c r="K1234" t="s">
        <v>103</v>
      </c>
      <c r="L1234" t="s">
        <v>143</v>
      </c>
      <c r="M1234">
        <f>orders[[#This Row],[Ship Date]]-orders[[#This Row],[Order Date]]</f>
        <v>3</v>
      </c>
      <c r="N1234">
        <f>WEEKNUM(orders[[#This Row],[Order Date]],1)</f>
        <v>8</v>
      </c>
      <c r="O1234" t="str">
        <f t="array" ref="O1234">_xlfn.IFS(orders[[#This Row],[Customer Gender]]="M","Male", orders[[#This Row],[Customer Gender]]="F","Female", orders[[#This Row],[Customer Gender]]="O","Other", TRUE(),"Unknown")</f>
        <v>Female</v>
      </c>
    </row>
    <row r="1235" spans="1:15" x14ac:dyDescent="0.25">
      <c r="A1235" t="s">
        <v>1463</v>
      </c>
      <c r="B1235" t="s">
        <v>88</v>
      </c>
      <c r="C1235">
        <v>2</v>
      </c>
      <c r="D1235">
        <v>49.7</v>
      </c>
      <c r="E1235">
        <v>99.4</v>
      </c>
      <c r="F1235" s="58">
        <v>45706</v>
      </c>
      <c r="G1235" s="58">
        <v>45708</v>
      </c>
      <c r="H1235" t="s">
        <v>263</v>
      </c>
      <c r="I1235" t="s">
        <v>61</v>
      </c>
      <c r="J1235">
        <v>4</v>
      </c>
      <c r="K1235" t="s">
        <v>103</v>
      </c>
      <c r="L1235" t="s">
        <v>147</v>
      </c>
      <c r="M1235">
        <f>orders[[#This Row],[Ship Date]]-orders[[#This Row],[Order Date]]</f>
        <v>2</v>
      </c>
      <c r="N1235">
        <f>WEEKNUM(orders[[#This Row],[Order Date]],1)</f>
        <v>8</v>
      </c>
      <c r="O1235" t="str">
        <f t="array" ref="O1235">_xlfn.IFS(orders[[#This Row],[Customer Gender]]="M","Male", orders[[#This Row],[Customer Gender]]="F","Female", orders[[#This Row],[Customer Gender]]="O","Other", TRUE(),"Unknown")</f>
        <v>Other</v>
      </c>
    </row>
    <row r="1236" spans="1:15" x14ac:dyDescent="0.25">
      <c r="A1236" t="s">
        <v>1464</v>
      </c>
      <c r="B1236" t="s">
        <v>75</v>
      </c>
      <c r="C1236">
        <v>1</v>
      </c>
      <c r="D1236">
        <v>29</v>
      </c>
      <c r="E1236">
        <v>29</v>
      </c>
      <c r="F1236" s="58">
        <v>45706</v>
      </c>
      <c r="G1236" s="58">
        <v>45707</v>
      </c>
      <c r="H1236" t="s">
        <v>229</v>
      </c>
      <c r="I1236" t="s">
        <v>59</v>
      </c>
      <c r="J1236">
        <v>4</v>
      </c>
      <c r="K1236" t="s">
        <v>103</v>
      </c>
      <c r="L1236" t="s">
        <v>148</v>
      </c>
      <c r="M1236">
        <f>orders[[#This Row],[Ship Date]]-orders[[#This Row],[Order Date]]</f>
        <v>1</v>
      </c>
      <c r="N1236">
        <f>WEEKNUM(orders[[#This Row],[Order Date]],1)</f>
        <v>8</v>
      </c>
      <c r="O1236" t="str">
        <f t="array" ref="O1236">_xlfn.IFS(orders[[#This Row],[Customer Gender]]="M","Male", orders[[#This Row],[Customer Gender]]="F","Female", orders[[#This Row],[Customer Gender]]="O","Other", TRUE(),"Unknown")</f>
        <v>Male</v>
      </c>
    </row>
    <row r="1237" spans="1:15" x14ac:dyDescent="0.25">
      <c r="A1237" t="s">
        <v>1465</v>
      </c>
      <c r="B1237" t="s">
        <v>91</v>
      </c>
      <c r="C1237">
        <v>1</v>
      </c>
      <c r="D1237">
        <v>60.7</v>
      </c>
      <c r="E1237">
        <v>60.7</v>
      </c>
      <c r="F1237" s="58">
        <v>45706</v>
      </c>
      <c r="G1237" s="58">
        <v>45707</v>
      </c>
      <c r="H1237" t="s">
        <v>263</v>
      </c>
      <c r="I1237" t="s">
        <v>59</v>
      </c>
      <c r="J1237">
        <v>3</v>
      </c>
      <c r="K1237" t="s">
        <v>103</v>
      </c>
      <c r="L1237" t="s">
        <v>148</v>
      </c>
      <c r="M1237">
        <f>orders[[#This Row],[Ship Date]]-orders[[#This Row],[Order Date]]</f>
        <v>1</v>
      </c>
      <c r="N1237">
        <f>WEEKNUM(orders[[#This Row],[Order Date]],1)</f>
        <v>8</v>
      </c>
      <c r="O1237" t="str">
        <f t="array" ref="O1237">_xlfn.IFS(orders[[#This Row],[Customer Gender]]="M","Male", orders[[#This Row],[Customer Gender]]="F","Female", orders[[#This Row],[Customer Gender]]="O","Other", TRUE(),"Unknown")</f>
        <v>Other</v>
      </c>
    </row>
    <row r="1238" spans="1:15" x14ac:dyDescent="0.25">
      <c r="A1238" t="s">
        <v>1466</v>
      </c>
      <c r="B1238" t="s">
        <v>84</v>
      </c>
      <c r="C1238">
        <v>4</v>
      </c>
      <c r="D1238">
        <v>87.4</v>
      </c>
      <c r="E1238">
        <v>349.6</v>
      </c>
      <c r="F1238" s="58">
        <v>45706</v>
      </c>
      <c r="G1238" s="58">
        <v>45708</v>
      </c>
      <c r="I1238" t="s">
        <v>59</v>
      </c>
      <c r="J1238">
        <v>4</v>
      </c>
      <c r="K1238" t="s">
        <v>103</v>
      </c>
      <c r="L1238" t="s">
        <v>148</v>
      </c>
      <c r="M1238">
        <f>orders[[#This Row],[Ship Date]]-orders[[#This Row],[Order Date]]</f>
        <v>2</v>
      </c>
      <c r="N1238">
        <f>WEEKNUM(orders[[#This Row],[Order Date]],1)</f>
        <v>8</v>
      </c>
      <c r="O1238" t="str">
        <f t="array" ref="O1238">_xlfn.IFS(orders[[#This Row],[Customer Gender]]="M","Male", orders[[#This Row],[Customer Gender]]="F","Female", orders[[#This Row],[Customer Gender]]="O","Other", TRUE(),"Unknown")</f>
        <v>Unknown</v>
      </c>
    </row>
    <row r="1239" spans="1:15" x14ac:dyDescent="0.25">
      <c r="A1239" t="s">
        <v>1467</v>
      </c>
      <c r="B1239" t="s">
        <v>78</v>
      </c>
      <c r="C1239">
        <v>7</v>
      </c>
      <c r="D1239">
        <v>44.5</v>
      </c>
      <c r="E1239">
        <v>311.5</v>
      </c>
      <c r="F1239" s="58">
        <v>45706</v>
      </c>
      <c r="G1239" s="58">
        <v>45710</v>
      </c>
      <c r="H1239" t="s">
        <v>231</v>
      </c>
      <c r="I1239" t="s">
        <v>62</v>
      </c>
      <c r="J1239">
        <v>5</v>
      </c>
      <c r="K1239" t="s">
        <v>103</v>
      </c>
      <c r="L1239" t="s">
        <v>155</v>
      </c>
      <c r="M1239">
        <f>orders[[#This Row],[Ship Date]]-orders[[#This Row],[Order Date]]</f>
        <v>4</v>
      </c>
      <c r="N1239">
        <f>WEEKNUM(orders[[#This Row],[Order Date]],1)</f>
        <v>8</v>
      </c>
      <c r="O1239" t="str">
        <f t="array" ref="O1239">_xlfn.IFS(orders[[#This Row],[Customer Gender]]="M","Male", orders[[#This Row],[Customer Gender]]="F","Female", orders[[#This Row],[Customer Gender]]="O","Other", TRUE(),"Unknown")</f>
        <v>Female</v>
      </c>
    </row>
    <row r="1240" spans="1:15" x14ac:dyDescent="0.25">
      <c r="A1240" t="s">
        <v>1468</v>
      </c>
      <c r="B1240" t="s">
        <v>87</v>
      </c>
      <c r="C1240">
        <v>1</v>
      </c>
      <c r="D1240">
        <v>141</v>
      </c>
      <c r="E1240">
        <v>141</v>
      </c>
      <c r="F1240" s="58">
        <v>45706</v>
      </c>
      <c r="G1240" s="58">
        <v>45707</v>
      </c>
      <c r="H1240" t="s">
        <v>229</v>
      </c>
      <c r="I1240" t="s">
        <v>61</v>
      </c>
      <c r="J1240">
        <v>5</v>
      </c>
      <c r="K1240" t="s">
        <v>103</v>
      </c>
      <c r="L1240" t="s">
        <v>155</v>
      </c>
      <c r="M1240">
        <f>orders[[#This Row],[Ship Date]]-orders[[#This Row],[Order Date]]</f>
        <v>1</v>
      </c>
      <c r="N1240">
        <f>WEEKNUM(orders[[#This Row],[Order Date]],1)</f>
        <v>8</v>
      </c>
      <c r="O1240" t="str">
        <f t="array" ref="O1240">_xlfn.IFS(orders[[#This Row],[Customer Gender]]="M","Male", orders[[#This Row],[Customer Gender]]="F","Female", orders[[#This Row],[Customer Gender]]="O","Other", TRUE(),"Unknown")</f>
        <v>Male</v>
      </c>
    </row>
    <row r="1241" spans="1:15" x14ac:dyDescent="0.25">
      <c r="A1241" t="s">
        <v>1469</v>
      </c>
      <c r="B1241" t="s">
        <v>86</v>
      </c>
      <c r="C1241">
        <v>3</v>
      </c>
      <c r="D1241">
        <v>16.7</v>
      </c>
      <c r="E1241">
        <v>50.1</v>
      </c>
      <c r="F1241" s="58">
        <v>45706</v>
      </c>
      <c r="G1241" s="58">
        <v>45714</v>
      </c>
      <c r="H1241" t="s">
        <v>231</v>
      </c>
      <c r="I1241" t="s">
        <v>59</v>
      </c>
      <c r="J1241">
        <v>4</v>
      </c>
      <c r="K1241" t="s">
        <v>103</v>
      </c>
      <c r="L1241" t="s">
        <v>159</v>
      </c>
      <c r="M1241">
        <f>orders[[#This Row],[Ship Date]]-orders[[#This Row],[Order Date]]</f>
        <v>8</v>
      </c>
      <c r="N1241">
        <f>WEEKNUM(orders[[#This Row],[Order Date]],1)</f>
        <v>8</v>
      </c>
      <c r="O1241" t="str">
        <f t="array" ref="O1241">_xlfn.IFS(orders[[#This Row],[Customer Gender]]="M","Male", orders[[#This Row],[Customer Gender]]="F","Female", orders[[#This Row],[Customer Gender]]="O","Other", TRUE(),"Unknown")</f>
        <v>Female</v>
      </c>
    </row>
    <row r="1242" spans="1:15" x14ac:dyDescent="0.25">
      <c r="A1242" t="s">
        <v>1470</v>
      </c>
      <c r="B1242" t="s">
        <v>91</v>
      </c>
      <c r="C1242">
        <v>2</v>
      </c>
      <c r="D1242">
        <v>77.5</v>
      </c>
      <c r="E1242">
        <v>155</v>
      </c>
      <c r="F1242" s="58">
        <v>45706</v>
      </c>
      <c r="G1242" s="58">
        <v>45707</v>
      </c>
      <c r="I1242" t="s">
        <v>62</v>
      </c>
      <c r="J1242">
        <v>5</v>
      </c>
      <c r="K1242" t="s">
        <v>103</v>
      </c>
      <c r="L1242" t="s">
        <v>161</v>
      </c>
      <c r="M1242">
        <f>orders[[#This Row],[Ship Date]]-orders[[#This Row],[Order Date]]</f>
        <v>1</v>
      </c>
      <c r="N1242">
        <f>WEEKNUM(orders[[#This Row],[Order Date]],1)</f>
        <v>8</v>
      </c>
      <c r="O1242" t="str">
        <f t="array" ref="O1242">_xlfn.IFS(orders[[#This Row],[Customer Gender]]="M","Male", orders[[#This Row],[Customer Gender]]="F","Female", orders[[#This Row],[Customer Gender]]="O","Other", TRUE(),"Unknown")</f>
        <v>Unknown</v>
      </c>
    </row>
    <row r="1243" spans="1:15" x14ac:dyDescent="0.25">
      <c r="A1243" t="s">
        <v>1471</v>
      </c>
      <c r="B1243" t="s">
        <v>87</v>
      </c>
      <c r="C1243">
        <v>2</v>
      </c>
      <c r="D1243">
        <v>163</v>
      </c>
      <c r="E1243">
        <v>326</v>
      </c>
      <c r="F1243" s="58">
        <v>45706</v>
      </c>
      <c r="G1243" s="58">
        <v>45712</v>
      </c>
      <c r="H1243" t="s">
        <v>231</v>
      </c>
      <c r="I1243" t="s">
        <v>61</v>
      </c>
      <c r="J1243">
        <v>4</v>
      </c>
      <c r="K1243" t="s">
        <v>103</v>
      </c>
      <c r="L1243" t="s">
        <v>106</v>
      </c>
      <c r="M1243">
        <f>orders[[#This Row],[Ship Date]]-orders[[#This Row],[Order Date]]</f>
        <v>6</v>
      </c>
      <c r="N1243">
        <f>WEEKNUM(orders[[#This Row],[Order Date]],1)</f>
        <v>8</v>
      </c>
      <c r="O1243" t="str">
        <f t="array" ref="O1243">_xlfn.IFS(orders[[#This Row],[Customer Gender]]="M","Male", orders[[#This Row],[Customer Gender]]="F","Female", orders[[#This Row],[Customer Gender]]="O","Other", TRUE(),"Unknown")</f>
        <v>Female</v>
      </c>
    </row>
    <row r="1244" spans="1:15" x14ac:dyDescent="0.25">
      <c r="A1244" t="s">
        <v>1472</v>
      </c>
      <c r="B1244" t="s">
        <v>78</v>
      </c>
      <c r="C1244">
        <v>9</v>
      </c>
      <c r="D1244">
        <v>21.4</v>
      </c>
      <c r="E1244">
        <v>192.6</v>
      </c>
      <c r="F1244" s="58">
        <v>45706</v>
      </c>
      <c r="G1244" s="58">
        <v>45709</v>
      </c>
      <c r="H1244" t="s">
        <v>231</v>
      </c>
      <c r="I1244" t="s">
        <v>59</v>
      </c>
      <c r="J1244">
        <v>4</v>
      </c>
      <c r="K1244" t="s">
        <v>103</v>
      </c>
      <c r="L1244" t="s">
        <v>109</v>
      </c>
      <c r="M1244">
        <f>orders[[#This Row],[Ship Date]]-orders[[#This Row],[Order Date]]</f>
        <v>3</v>
      </c>
      <c r="N1244">
        <f>WEEKNUM(orders[[#This Row],[Order Date]],1)</f>
        <v>8</v>
      </c>
      <c r="O1244" t="str">
        <f t="array" ref="O1244">_xlfn.IFS(orders[[#This Row],[Customer Gender]]="M","Male", orders[[#This Row],[Customer Gender]]="F","Female", orders[[#This Row],[Customer Gender]]="O","Other", TRUE(),"Unknown")</f>
        <v>Female</v>
      </c>
    </row>
    <row r="1245" spans="1:15" x14ac:dyDescent="0.25">
      <c r="A1245" t="s">
        <v>1473</v>
      </c>
      <c r="B1245" t="s">
        <v>75</v>
      </c>
      <c r="C1245">
        <v>11</v>
      </c>
      <c r="D1245">
        <v>31</v>
      </c>
      <c r="E1245">
        <v>341</v>
      </c>
      <c r="F1245" s="58">
        <v>45706</v>
      </c>
      <c r="G1245" s="58">
        <v>45708</v>
      </c>
      <c r="H1245" t="s">
        <v>231</v>
      </c>
      <c r="I1245" t="s">
        <v>60</v>
      </c>
      <c r="J1245">
        <v>5</v>
      </c>
      <c r="K1245" t="s">
        <v>103</v>
      </c>
      <c r="L1245" t="s">
        <v>112</v>
      </c>
      <c r="M1245">
        <f>orders[[#This Row],[Ship Date]]-orders[[#This Row],[Order Date]]</f>
        <v>2</v>
      </c>
      <c r="N1245">
        <f>WEEKNUM(orders[[#This Row],[Order Date]],1)</f>
        <v>8</v>
      </c>
      <c r="O1245" t="str">
        <f t="array" ref="O1245">_xlfn.IFS(orders[[#This Row],[Customer Gender]]="M","Male", orders[[#This Row],[Customer Gender]]="F","Female", orders[[#This Row],[Customer Gender]]="O","Other", TRUE(),"Unknown")</f>
        <v>Female</v>
      </c>
    </row>
    <row r="1246" spans="1:15" x14ac:dyDescent="0.25">
      <c r="A1246" t="s">
        <v>1474</v>
      </c>
      <c r="B1246" t="s">
        <v>79</v>
      </c>
      <c r="C1246">
        <v>2</v>
      </c>
      <c r="D1246">
        <v>34.299999999999997</v>
      </c>
      <c r="E1246">
        <v>68.599999999999994</v>
      </c>
      <c r="F1246" s="58">
        <v>45706</v>
      </c>
      <c r="G1246" s="58">
        <v>45708</v>
      </c>
      <c r="H1246" t="s">
        <v>231</v>
      </c>
      <c r="I1246" t="s">
        <v>59</v>
      </c>
      <c r="J1246">
        <v>1</v>
      </c>
      <c r="K1246" t="s">
        <v>103</v>
      </c>
      <c r="L1246" t="s">
        <v>112</v>
      </c>
      <c r="M1246">
        <f>orders[[#This Row],[Ship Date]]-orders[[#This Row],[Order Date]]</f>
        <v>2</v>
      </c>
      <c r="N1246">
        <f>WEEKNUM(orders[[#This Row],[Order Date]],1)</f>
        <v>8</v>
      </c>
      <c r="O1246" t="str">
        <f t="array" ref="O1246">_xlfn.IFS(orders[[#This Row],[Customer Gender]]="M","Male", orders[[#This Row],[Customer Gender]]="F","Female", orders[[#This Row],[Customer Gender]]="O","Other", TRUE(),"Unknown")</f>
        <v>Female</v>
      </c>
    </row>
    <row r="1247" spans="1:15" x14ac:dyDescent="0.25">
      <c r="A1247" t="s">
        <v>1475</v>
      </c>
      <c r="B1247" t="s">
        <v>84</v>
      </c>
      <c r="C1247">
        <v>5</v>
      </c>
      <c r="D1247">
        <v>48.2</v>
      </c>
      <c r="E1247">
        <v>241</v>
      </c>
      <c r="F1247" s="58">
        <v>45706</v>
      </c>
      <c r="G1247" s="58">
        <v>45707</v>
      </c>
      <c r="H1247" t="s">
        <v>229</v>
      </c>
      <c r="I1247" t="s">
        <v>63</v>
      </c>
      <c r="J1247">
        <v>3</v>
      </c>
      <c r="K1247" t="s">
        <v>103</v>
      </c>
      <c r="L1247" t="s">
        <v>115</v>
      </c>
      <c r="M1247">
        <f>orders[[#This Row],[Ship Date]]-orders[[#This Row],[Order Date]]</f>
        <v>1</v>
      </c>
      <c r="N1247">
        <f>WEEKNUM(orders[[#This Row],[Order Date]],1)</f>
        <v>8</v>
      </c>
      <c r="O1247" t="str">
        <f t="array" ref="O1247">_xlfn.IFS(orders[[#This Row],[Customer Gender]]="M","Male", orders[[#This Row],[Customer Gender]]="F","Female", orders[[#This Row],[Customer Gender]]="O","Other", TRUE(),"Unknown")</f>
        <v>Male</v>
      </c>
    </row>
    <row r="1248" spans="1:15" x14ac:dyDescent="0.25">
      <c r="A1248" t="s">
        <v>1476</v>
      </c>
      <c r="B1248" t="s">
        <v>75</v>
      </c>
      <c r="C1248">
        <v>1</v>
      </c>
      <c r="D1248">
        <v>51.4</v>
      </c>
      <c r="E1248">
        <v>51.4</v>
      </c>
      <c r="F1248" s="58">
        <v>45706</v>
      </c>
      <c r="G1248" s="58">
        <v>45707</v>
      </c>
      <c r="H1248" t="s">
        <v>229</v>
      </c>
      <c r="I1248" t="s">
        <v>59</v>
      </c>
      <c r="J1248">
        <v>4</v>
      </c>
      <c r="K1248" t="s">
        <v>103</v>
      </c>
      <c r="L1248" t="s">
        <v>124</v>
      </c>
      <c r="M1248">
        <f>orders[[#This Row],[Ship Date]]-orders[[#This Row],[Order Date]]</f>
        <v>1</v>
      </c>
      <c r="N1248">
        <f>WEEKNUM(orders[[#This Row],[Order Date]],1)</f>
        <v>8</v>
      </c>
      <c r="O1248" t="str">
        <f t="array" ref="O1248">_xlfn.IFS(orders[[#This Row],[Customer Gender]]="M","Male", orders[[#This Row],[Customer Gender]]="F","Female", orders[[#This Row],[Customer Gender]]="O","Other", TRUE(),"Unknown")</f>
        <v>Male</v>
      </c>
    </row>
    <row r="1249" spans="1:15" x14ac:dyDescent="0.25">
      <c r="A1249" t="s">
        <v>1477</v>
      </c>
      <c r="B1249" t="s">
        <v>87</v>
      </c>
      <c r="C1249">
        <v>5</v>
      </c>
      <c r="D1249">
        <v>117.2</v>
      </c>
      <c r="E1249">
        <v>586</v>
      </c>
      <c r="F1249" s="58">
        <v>45706</v>
      </c>
      <c r="G1249" s="58">
        <v>45709</v>
      </c>
      <c r="H1249" t="s">
        <v>231</v>
      </c>
      <c r="I1249" t="s">
        <v>61</v>
      </c>
      <c r="J1249">
        <v>2</v>
      </c>
      <c r="K1249" t="s">
        <v>103</v>
      </c>
      <c r="L1249" t="s">
        <v>124</v>
      </c>
      <c r="M1249">
        <f>orders[[#This Row],[Ship Date]]-orders[[#This Row],[Order Date]]</f>
        <v>3</v>
      </c>
      <c r="N1249">
        <f>WEEKNUM(orders[[#This Row],[Order Date]],1)</f>
        <v>8</v>
      </c>
      <c r="O1249" t="str">
        <f t="array" ref="O1249">_xlfn.IFS(orders[[#This Row],[Customer Gender]]="M","Male", orders[[#This Row],[Customer Gender]]="F","Female", orders[[#This Row],[Customer Gender]]="O","Other", TRUE(),"Unknown")</f>
        <v>Female</v>
      </c>
    </row>
    <row r="1250" spans="1:15" x14ac:dyDescent="0.25">
      <c r="A1250" t="s">
        <v>1478</v>
      </c>
      <c r="B1250" t="s">
        <v>90</v>
      </c>
      <c r="C1250">
        <v>1</v>
      </c>
      <c r="D1250">
        <v>38.1</v>
      </c>
      <c r="E1250">
        <v>38.1</v>
      </c>
      <c r="F1250" s="58">
        <v>45706</v>
      </c>
      <c r="G1250" s="58">
        <v>45706</v>
      </c>
      <c r="H1250" t="s">
        <v>229</v>
      </c>
      <c r="I1250" t="s">
        <v>61</v>
      </c>
      <c r="J1250">
        <v>3</v>
      </c>
      <c r="K1250" t="s">
        <v>103</v>
      </c>
      <c r="L1250" t="s">
        <v>124</v>
      </c>
      <c r="M1250">
        <f>orders[[#This Row],[Ship Date]]-orders[[#This Row],[Order Date]]</f>
        <v>0</v>
      </c>
      <c r="N1250">
        <f>WEEKNUM(orders[[#This Row],[Order Date]],1)</f>
        <v>8</v>
      </c>
      <c r="O1250" t="str">
        <f t="array" ref="O1250">_xlfn.IFS(orders[[#This Row],[Customer Gender]]="M","Male", orders[[#This Row],[Customer Gender]]="F","Female", orders[[#This Row],[Customer Gender]]="O","Other", TRUE(),"Unknown")</f>
        <v>Male</v>
      </c>
    </row>
    <row r="1251" spans="1:15" x14ac:dyDescent="0.25">
      <c r="A1251" t="s">
        <v>1479</v>
      </c>
      <c r="B1251" t="s">
        <v>86</v>
      </c>
      <c r="C1251">
        <v>2</v>
      </c>
      <c r="D1251">
        <v>44.1</v>
      </c>
      <c r="E1251">
        <v>88.2</v>
      </c>
      <c r="F1251" s="58">
        <v>45706</v>
      </c>
      <c r="G1251" s="58">
        <v>45708</v>
      </c>
      <c r="H1251" t="s">
        <v>231</v>
      </c>
      <c r="I1251" t="s">
        <v>62</v>
      </c>
      <c r="J1251">
        <v>4</v>
      </c>
      <c r="K1251" t="s">
        <v>103</v>
      </c>
      <c r="L1251" t="s">
        <v>124</v>
      </c>
      <c r="M1251">
        <f>orders[[#This Row],[Ship Date]]-orders[[#This Row],[Order Date]]</f>
        <v>2</v>
      </c>
      <c r="N1251">
        <f>WEEKNUM(orders[[#This Row],[Order Date]],1)</f>
        <v>8</v>
      </c>
      <c r="O1251" t="str">
        <f t="array" ref="O1251">_xlfn.IFS(orders[[#This Row],[Customer Gender]]="M","Male", orders[[#This Row],[Customer Gender]]="F","Female", orders[[#This Row],[Customer Gender]]="O","Other", TRUE(),"Unknown")</f>
        <v>Female</v>
      </c>
    </row>
    <row r="1252" spans="1:15" x14ac:dyDescent="0.25">
      <c r="A1252" t="s">
        <v>1480</v>
      </c>
      <c r="B1252" t="s">
        <v>77</v>
      </c>
      <c r="C1252">
        <v>4</v>
      </c>
      <c r="D1252">
        <v>80.5</v>
      </c>
      <c r="E1252">
        <v>322</v>
      </c>
      <c r="F1252" s="58">
        <v>45706</v>
      </c>
      <c r="G1252" s="58">
        <v>45711</v>
      </c>
      <c r="H1252" t="s">
        <v>229</v>
      </c>
      <c r="I1252" t="s">
        <v>59</v>
      </c>
      <c r="J1252">
        <v>4</v>
      </c>
      <c r="K1252" t="s">
        <v>103</v>
      </c>
      <c r="L1252" t="s">
        <v>124</v>
      </c>
      <c r="M1252">
        <f>orders[[#This Row],[Ship Date]]-orders[[#This Row],[Order Date]]</f>
        <v>5</v>
      </c>
      <c r="N1252">
        <f>WEEKNUM(orders[[#This Row],[Order Date]],1)</f>
        <v>8</v>
      </c>
      <c r="O1252" t="str">
        <f t="array" ref="O1252">_xlfn.IFS(orders[[#This Row],[Customer Gender]]="M","Male", orders[[#This Row],[Customer Gender]]="F","Female", orders[[#This Row],[Customer Gender]]="O","Other", TRUE(),"Unknown")</f>
        <v>Male</v>
      </c>
    </row>
    <row r="1253" spans="1:15" x14ac:dyDescent="0.25">
      <c r="A1253" t="s">
        <v>1481</v>
      </c>
      <c r="B1253" t="s">
        <v>82</v>
      </c>
      <c r="C1253">
        <v>4</v>
      </c>
      <c r="D1253">
        <v>33.6</v>
      </c>
      <c r="E1253">
        <v>134.4</v>
      </c>
      <c r="F1253" s="58">
        <v>45706</v>
      </c>
      <c r="G1253" s="58">
        <v>45711</v>
      </c>
      <c r="I1253" t="s">
        <v>59</v>
      </c>
      <c r="J1253">
        <v>5</v>
      </c>
      <c r="K1253" t="s">
        <v>103</v>
      </c>
      <c r="L1253" t="s">
        <v>124</v>
      </c>
      <c r="M1253">
        <f>orders[[#This Row],[Ship Date]]-orders[[#This Row],[Order Date]]</f>
        <v>5</v>
      </c>
      <c r="N1253">
        <f>WEEKNUM(orders[[#This Row],[Order Date]],1)</f>
        <v>8</v>
      </c>
      <c r="O1253" t="str">
        <f t="array" ref="O1253">_xlfn.IFS(orders[[#This Row],[Customer Gender]]="M","Male", orders[[#This Row],[Customer Gender]]="F","Female", orders[[#This Row],[Customer Gender]]="O","Other", TRUE(),"Unknown")</f>
        <v>Unknown</v>
      </c>
    </row>
    <row r="1254" spans="1:15" x14ac:dyDescent="0.25">
      <c r="A1254" t="s">
        <v>1482</v>
      </c>
      <c r="B1254" t="s">
        <v>88</v>
      </c>
      <c r="C1254">
        <v>9</v>
      </c>
      <c r="D1254">
        <v>41.8</v>
      </c>
      <c r="E1254">
        <v>376.2</v>
      </c>
      <c r="F1254" s="58">
        <v>45706</v>
      </c>
      <c r="G1254" s="58">
        <v>45707</v>
      </c>
      <c r="H1254" t="s">
        <v>231</v>
      </c>
      <c r="I1254" t="s">
        <v>59</v>
      </c>
      <c r="J1254">
        <v>3</v>
      </c>
      <c r="K1254" t="s">
        <v>103</v>
      </c>
      <c r="L1254" t="s">
        <v>124</v>
      </c>
      <c r="M1254">
        <f>orders[[#This Row],[Ship Date]]-orders[[#This Row],[Order Date]]</f>
        <v>1</v>
      </c>
      <c r="N1254">
        <f>WEEKNUM(orders[[#This Row],[Order Date]],1)</f>
        <v>8</v>
      </c>
      <c r="O1254" t="str">
        <f t="array" ref="O1254">_xlfn.IFS(orders[[#This Row],[Customer Gender]]="M","Male", orders[[#This Row],[Customer Gender]]="F","Female", orders[[#This Row],[Customer Gender]]="O","Other", TRUE(),"Unknown")</f>
        <v>Female</v>
      </c>
    </row>
    <row r="1255" spans="1:15" x14ac:dyDescent="0.25">
      <c r="A1255" t="s">
        <v>1483</v>
      </c>
      <c r="B1255" t="s">
        <v>91</v>
      </c>
      <c r="C1255">
        <v>2</v>
      </c>
      <c r="D1255">
        <v>106.2</v>
      </c>
      <c r="E1255">
        <v>212.4</v>
      </c>
      <c r="F1255" s="58">
        <v>45706</v>
      </c>
      <c r="G1255" s="58">
        <v>45706</v>
      </c>
      <c r="H1255" t="s">
        <v>231</v>
      </c>
      <c r="I1255" t="s">
        <v>61</v>
      </c>
      <c r="J1255">
        <v>5</v>
      </c>
      <c r="K1255" t="s">
        <v>103</v>
      </c>
      <c r="L1255" t="s">
        <v>124</v>
      </c>
      <c r="M1255">
        <f>orders[[#This Row],[Ship Date]]-orders[[#This Row],[Order Date]]</f>
        <v>0</v>
      </c>
      <c r="N1255">
        <f>WEEKNUM(orders[[#This Row],[Order Date]],1)</f>
        <v>8</v>
      </c>
      <c r="O1255" t="str">
        <f t="array" ref="O1255">_xlfn.IFS(orders[[#This Row],[Customer Gender]]="M","Male", orders[[#This Row],[Customer Gender]]="F","Female", orders[[#This Row],[Customer Gender]]="O","Other", TRUE(),"Unknown")</f>
        <v>Female</v>
      </c>
    </row>
    <row r="1256" spans="1:15" x14ac:dyDescent="0.25">
      <c r="A1256" t="s">
        <v>1484</v>
      </c>
      <c r="B1256" t="s">
        <v>91</v>
      </c>
      <c r="C1256">
        <v>2</v>
      </c>
      <c r="D1256">
        <v>52.6</v>
      </c>
      <c r="E1256">
        <v>105.2</v>
      </c>
      <c r="F1256" s="58">
        <v>45706</v>
      </c>
      <c r="G1256" s="58">
        <v>45707</v>
      </c>
      <c r="H1256" t="s">
        <v>231</v>
      </c>
      <c r="I1256" t="s">
        <v>59</v>
      </c>
      <c r="J1256">
        <v>5</v>
      </c>
      <c r="K1256" t="s">
        <v>103</v>
      </c>
      <c r="L1256" t="s">
        <v>136</v>
      </c>
      <c r="M1256">
        <f>orders[[#This Row],[Ship Date]]-orders[[#This Row],[Order Date]]</f>
        <v>1</v>
      </c>
      <c r="N1256">
        <f>WEEKNUM(orders[[#This Row],[Order Date]],1)</f>
        <v>8</v>
      </c>
      <c r="O1256" t="str">
        <f t="array" ref="O1256">_xlfn.IFS(orders[[#This Row],[Customer Gender]]="M","Male", orders[[#This Row],[Customer Gender]]="F","Female", orders[[#This Row],[Customer Gender]]="O","Other", TRUE(),"Unknown")</f>
        <v>Female</v>
      </c>
    </row>
    <row r="1257" spans="1:15" x14ac:dyDescent="0.25">
      <c r="A1257" t="s">
        <v>1485</v>
      </c>
      <c r="B1257" t="s">
        <v>83</v>
      </c>
      <c r="C1257">
        <v>7</v>
      </c>
      <c r="D1257">
        <v>68.5</v>
      </c>
      <c r="E1257">
        <v>479.5</v>
      </c>
      <c r="F1257" s="58">
        <v>45706</v>
      </c>
      <c r="G1257" s="58">
        <v>45707</v>
      </c>
      <c r="H1257" t="s">
        <v>231</v>
      </c>
      <c r="I1257" t="s">
        <v>63</v>
      </c>
      <c r="J1257">
        <v>4</v>
      </c>
      <c r="K1257" t="s">
        <v>103</v>
      </c>
      <c r="L1257" t="s">
        <v>136</v>
      </c>
      <c r="M1257">
        <f>orders[[#This Row],[Ship Date]]-orders[[#This Row],[Order Date]]</f>
        <v>1</v>
      </c>
      <c r="N1257">
        <f>WEEKNUM(orders[[#This Row],[Order Date]],1)</f>
        <v>8</v>
      </c>
      <c r="O1257" t="str">
        <f t="array" ref="O1257">_xlfn.IFS(orders[[#This Row],[Customer Gender]]="M","Male", orders[[#This Row],[Customer Gender]]="F","Female", orders[[#This Row],[Customer Gender]]="O","Other", TRUE(),"Unknown")</f>
        <v>Female</v>
      </c>
    </row>
    <row r="1258" spans="1:15" x14ac:dyDescent="0.25">
      <c r="A1258" t="s">
        <v>1486</v>
      </c>
      <c r="B1258" t="s">
        <v>91</v>
      </c>
      <c r="C1258">
        <v>2</v>
      </c>
      <c r="D1258">
        <v>55.6</v>
      </c>
      <c r="E1258">
        <v>111.2</v>
      </c>
      <c r="F1258" s="58">
        <v>45706</v>
      </c>
      <c r="G1258" s="58">
        <v>45708</v>
      </c>
      <c r="H1258" t="s">
        <v>229</v>
      </c>
      <c r="I1258" t="s">
        <v>63</v>
      </c>
      <c r="J1258">
        <v>5</v>
      </c>
      <c r="K1258" t="s">
        <v>103</v>
      </c>
      <c r="L1258" t="s">
        <v>139</v>
      </c>
      <c r="M1258">
        <f>orders[[#This Row],[Ship Date]]-orders[[#This Row],[Order Date]]</f>
        <v>2</v>
      </c>
      <c r="N1258">
        <f>WEEKNUM(orders[[#This Row],[Order Date]],1)</f>
        <v>8</v>
      </c>
      <c r="O1258" t="str">
        <f t="array" ref="O1258">_xlfn.IFS(orders[[#This Row],[Customer Gender]]="M","Male", orders[[#This Row],[Customer Gender]]="F","Female", orders[[#This Row],[Customer Gender]]="O","Other", TRUE(),"Unknown")</f>
        <v>Male</v>
      </c>
    </row>
    <row r="1259" spans="1:15" x14ac:dyDescent="0.25">
      <c r="A1259" t="s">
        <v>1487</v>
      </c>
      <c r="B1259" t="s">
        <v>87</v>
      </c>
      <c r="C1259">
        <v>3</v>
      </c>
      <c r="D1259">
        <v>134.9</v>
      </c>
      <c r="E1259">
        <v>404.7</v>
      </c>
      <c r="F1259" s="58">
        <v>45706</v>
      </c>
      <c r="G1259" s="58">
        <v>45707</v>
      </c>
      <c r="H1259" t="s">
        <v>229</v>
      </c>
      <c r="I1259" t="s">
        <v>63</v>
      </c>
      <c r="J1259">
        <v>3</v>
      </c>
      <c r="K1259" t="s">
        <v>103</v>
      </c>
      <c r="L1259" t="s">
        <v>139</v>
      </c>
      <c r="M1259">
        <f>orders[[#This Row],[Ship Date]]-orders[[#This Row],[Order Date]]</f>
        <v>1</v>
      </c>
      <c r="N1259">
        <f>WEEKNUM(orders[[#This Row],[Order Date]],1)</f>
        <v>8</v>
      </c>
      <c r="O1259" t="str">
        <f t="array" ref="O1259">_xlfn.IFS(orders[[#This Row],[Customer Gender]]="M","Male", orders[[#This Row],[Customer Gender]]="F","Female", orders[[#This Row],[Customer Gender]]="O","Other", TRUE(),"Unknown")</f>
        <v>Male</v>
      </c>
    </row>
    <row r="1260" spans="1:15" x14ac:dyDescent="0.25">
      <c r="A1260" t="s">
        <v>1488</v>
      </c>
      <c r="B1260" t="s">
        <v>75</v>
      </c>
      <c r="C1260">
        <v>5</v>
      </c>
      <c r="D1260">
        <v>42.6</v>
      </c>
      <c r="E1260">
        <v>213</v>
      </c>
      <c r="F1260" s="58">
        <v>45706</v>
      </c>
      <c r="G1260" s="58">
        <v>45707</v>
      </c>
      <c r="H1260" t="s">
        <v>229</v>
      </c>
      <c r="I1260" t="s">
        <v>59</v>
      </c>
      <c r="J1260">
        <v>4</v>
      </c>
      <c r="K1260" t="s">
        <v>103</v>
      </c>
      <c r="L1260" t="s">
        <v>139</v>
      </c>
      <c r="M1260">
        <f>orders[[#This Row],[Ship Date]]-orders[[#This Row],[Order Date]]</f>
        <v>1</v>
      </c>
      <c r="N1260">
        <f>WEEKNUM(orders[[#This Row],[Order Date]],1)</f>
        <v>8</v>
      </c>
      <c r="O1260" t="str">
        <f t="array" ref="O1260">_xlfn.IFS(orders[[#This Row],[Customer Gender]]="M","Male", orders[[#This Row],[Customer Gender]]="F","Female", orders[[#This Row],[Customer Gender]]="O","Other", TRUE(),"Unknown")</f>
        <v>Male</v>
      </c>
    </row>
    <row r="1261" spans="1:15" x14ac:dyDescent="0.25">
      <c r="A1261" t="s">
        <v>1489</v>
      </c>
      <c r="B1261" t="s">
        <v>79</v>
      </c>
      <c r="C1261">
        <v>5</v>
      </c>
      <c r="D1261">
        <v>60.6</v>
      </c>
      <c r="E1261">
        <v>303</v>
      </c>
      <c r="F1261" s="58">
        <v>45706</v>
      </c>
      <c r="G1261" s="58">
        <v>45708</v>
      </c>
      <c r="H1261" t="s">
        <v>229</v>
      </c>
      <c r="I1261" t="s">
        <v>61</v>
      </c>
      <c r="J1261">
        <v>4</v>
      </c>
      <c r="K1261" t="s">
        <v>103</v>
      </c>
      <c r="L1261" t="s">
        <v>139</v>
      </c>
      <c r="M1261">
        <f>orders[[#This Row],[Ship Date]]-orders[[#This Row],[Order Date]]</f>
        <v>2</v>
      </c>
      <c r="N1261">
        <f>WEEKNUM(orders[[#This Row],[Order Date]],1)</f>
        <v>8</v>
      </c>
      <c r="O1261" t="str">
        <f t="array" ref="O1261">_xlfn.IFS(orders[[#This Row],[Customer Gender]]="M","Male", orders[[#This Row],[Customer Gender]]="F","Female", orders[[#This Row],[Customer Gender]]="O","Other", TRUE(),"Unknown")</f>
        <v>Male</v>
      </c>
    </row>
    <row r="1262" spans="1:15" x14ac:dyDescent="0.25">
      <c r="A1262" t="s">
        <v>1490</v>
      </c>
      <c r="B1262" t="s">
        <v>90</v>
      </c>
      <c r="C1262">
        <v>2</v>
      </c>
      <c r="D1262">
        <v>43.5</v>
      </c>
      <c r="E1262">
        <v>87</v>
      </c>
      <c r="F1262" s="58">
        <v>45706</v>
      </c>
      <c r="G1262" s="58">
        <v>45707</v>
      </c>
      <c r="H1262" t="s">
        <v>229</v>
      </c>
      <c r="I1262" t="s">
        <v>61</v>
      </c>
      <c r="J1262">
        <v>4</v>
      </c>
      <c r="K1262" t="s">
        <v>103</v>
      </c>
      <c r="L1262" t="s">
        <v>141</v>
      </c>
      <c r="M1262">
        <f>orders[[#This Row],[Ship Date]]-orders[[#This Row],[Order Date]]</f>
        <v>1</v>
      </c>
      <c r="N1262">
        <f>WEEKNUM(orders[[#This Row],[Order Date]],1)</f>
        <v>8</v>
      </c>
      <c r="O1262" t="str">
        <f t="array" ref="O1262">_xlfn.IFS(orders[[#This Row],[Customer Gender]]="M","Male", orders[[#This Row],[Customer Gender]]="F","Female", orders[[#This Row],[Customer Gender]]="O","Other", TRUE(),"Unknown")</f>
        <v>Male</v>
      </c>
    </row>
    <row r="1263" spans="1:15" x14ac:dyDescent="0.25">
      <c r="A1263" t="s">
        <v>1491</v>
      </c>
      <c r="B1263" t="s">
        <v>87</v>
      </c>
      <c r="C1263">
        <v>2</v>
      </c>
      <c r="D1263">
        <v>187.1</v>
      </c>
      <c r="E1263">
        <v>374.2</v>
      </c>
      <c r="F1263" s="58">
        <v>45706</v>
      </c>
      <c r="G1263" s="58">
        <v>45707</v>
      </c>
      <c r="H1263" t="s">
        <v>229</v>
      </c>
      <c r="I1263" t="s">
        <v>63</v>
      </c>
      <c r="J1263">
        <v>5</v>
      </c>
      <c r="K1263" t="s">
        <v>103</v>
      </c>
      <c r="L1263" t="s">
        <v>142</v>
      </c>
      <c r="M1263">
        <f>orders[[#This Row],[Ship Date]]-orders[[#This Row],[Order Date]]</f>
        <v>1</v>
      </c>
      <c r="N1263">
        <f>WEEKNUM(orders[[#This Row],[Order Date]],1)</f>
        <v>8</v>
      </c>
      <c r="O1263" t="str">
        <f t="array" ref="O1263">_xlfn.IFS(orders[[#This Row],[Customer Gender]]="M","Male", orders[[#This Row],[Customer Gender]]="F","Female", orders[[#This Row],[Customer Gender]]="O","Other", TRUE(),"Unknown")</f>
        <v>Male</v>
      </c>
    </row>
    <row r="1264" spans="1:15" x14ac:dyDescent="0.25">
      <c r="A1264" t="s">
        <v>1492</v>
      </c>
      <c r="B1264" t="s">
        <v>88</v>
      </c>
      <c r="C1264">
        <v>3</v>
      </c>
      <c r="D1264">
        <v>32</v>
      </c>
      <c r="E1264">
        <v>96</v>
      </c>
      <c r="F1264" s="58">
        <v>45706</v>
      </c>
      <c r="G1264" s="58">
        <v>45708</v>
      </c>
      <c r="H1264" t="s">
        <v>229</v>
      </c>
      <c r="I1264" t="s">
        <v>59</v>
      </c>
      <c r="J1264">
        <v>4</v>
      </c>
      <c r="K1264" t="s">
        <v>103</v>
      </c>
      <c r="L1264" t="s">
        <v>142</v>
      </c>
      <c r="M1264">
        <f>orders[[#This Row],[Ship Date]]-orders[[#This Row],[Order Date]]</f>
        <v>2</v>
      </c>
      <c r="N1264">
        <f>WEEKNUM(orders[[#This Row],[Order Date]],1)</f>
        <v>8</v>
      </c>
      <c r="O1264" t="str">
        <f t="array" ref="O1264">_xlfn.IFS(orders[[#This Row],[Customer Gender]]="M","Male", orders[[#This Row],[Customer Gender]]="F","Female", orders[[#This Row],[Customer Gender]]="O","Other", TRUE(),"Unknown")</f>
        <v>Male</v>
      </c>
    </row>
    <row r="1265" spans="1:15" x14ac:dyDescent="0.25">
      <c r="A1265" t="s">
        <v>1493</v>
      </c>
      <c r="B1265" t="s">
        <v>88</v>
      </c>
      <c r="C1265">
        <v>2</v>
      </c>
      <c r="D1265">
        <v>110.8</v>
      </c>
      <c r="E1265">
        <v>221.6</v>
      </c>
      <c r="F1265" s="58">
        <v>45706</v>
      </c>
      <c r="G1265" s="58">
        <v>45706</v>
      </c>
      <c r="H1265" t="s">
        <v>229</v>
      </c>
      <c r="I1265" t="s">
        <v>59</v>
      </c>
      <c r="J1265">
        <v>5</v>
      </c>
      <c r="K1265" t="s">
        <v>103</v>
      </c>
      <c r="L1265" t="s">
        <v>142</v>
      </c>
      <c r="M1265">
        <f>orders[[#This Row],[Ship Date]]-orders[[#This Row],[Order Date]]</f>
        <v>0</v>
      </c>
      <c r="N1265">
        <f>WEEKNUM(orders[[#This Row],[Order Date]],1)</f>
        <v>8</v>
      </c>
      <c r="O1265" t="str">
        <f t="array" ref="O1265">_xlfn.IFS(orders[[#This Row],[Customer Gender]]="M","Male", orders[[#This Row],[Customer Gender]]="F","Female", orders[[#This Row],[Customer Gender]]="O","Other", TRUE(),"Unknown")</f>
        <v>Male</v>
      </c>
    </row>
    <row r="1266" spans="1:15" x14ac:dyDescent="0.25">
      <c r="A1266" t="s">
        <v>1494</v>
      </c>
      <c r="B1266" t="s">
        <v>75</v>
      </c>
      <c r="C1266">
        <v>13</v>
      </c>
      <c r="D1266">
        <v>36.1</v>
      </c>
      <c r="E1266">
        <v>469.3</v>
      </c>
      <c r="F1266" s="58">
        <v>45706</v>
      </c>
      <c r="G1266" s="58">
        <v>45709</v>
      </c>
      <c r="H1266" t="s">
        <v>231</v>
      </c>
      <c r="I1266" t="s">
        <v>59</v>
      </c>
      <c r="J1266">
        <v>3</v>
      </c>
      <c r="K1266" t="s">
        <v>103</v>
      </c>
      <c r="L1266" t="s">
        <v>142</v>
      </c>
      <c r="M1266">
        <f>orders[[#This Row],[Ship Date]]-orders[[#This Row],[Order Date]]</f>
        <v>3</v>
      </c>
      <c r="N1266">
        <f>WEEKNUM(orders[[#This Row],[Order Date]],1)</f>
        <v>8</v>
      </c>
      <c r="O1266" t="str">
        <f t="array" ref="O1266">_xlfn.IFS(orders[[#This Row],[Customer Gender]]="M","Male", orders[[#This Row],[Customer Gender]]="F","Female", orders[[#This Row],[Customer Gender]]="O","Other", TRUE(),"Unknown")</f>
        <v>Female</v>
      </c>
    </row>
    <row r="1267" spans="1:15" x14ac:dyDescent="0.25">
      <c r="A1267" t="s">
        <v>1495</v>
      </c>
      <c r="B1267" t="s">
        <v>86</v>
      </c>
      <c r="C1267">
        <v>1</v>
      </c>
      <c r="D1267">
        <v>24.1</v>
      </c>
      <c r="E1267">
        <v>24.1</v>
      </c>
      <c r="F1267" s="58">
        <v>45706</v>
      </c>
      <c r="G1267" s="58">
        <v>45708</v>
      </c>
      <c r="H1267" t="s">
        <v>231</v>
      </c>
      <c r="I1267" t="s">
        <v>61</v>
      </c>
      <c r="J1267">
        <v>5</v>
      </c>
      <c r="K1267" t="s">
        <v>103</v>
      </c>
      <c r="L1267" t="s">
        <v>142</v>
      </c>
      <c r="M1267">
        <f>orders[[#This Row],[Ship Date]]-orders[[#This Row],[Order Date]]</f>
        <v>2</v>
      </c>
      <c r="N1267">
        <f>WEEKNUM(orders[[#This Row],[Order Date]],1)</f>
        <v>8</v>
      </c>
      <c r="O1267" t="str">
        <f t="array" ref="O1267">_xlfn.IFS(orders[[#This Row],[Customer Gender]]="M","Male", orders[[#This Row],[Customer Gender]]="F","Female", orders[[#This Row],[Customer Gender]]="O","Other", TRUE(),"Unknown")</f>
        <v>Female</v>
      </c>
    </row>
    <row r="1268" spans="1:15" x14ac:dyDescent="0.25">
      <c r="A1268" t="s">
        <v>1496</v>
      </c>
      <c r="B1268" t="s">
        <v>81</v>
      </c>
      <c r="C1268">
        <v>3</v>
      </c>
      <c r="D1268">
        <v>30.5</v>
      </c>
      <c r="E1268">
        <v>91.5</v>
      </c>
      <c r="F1268" s="58">
        <v>45706</v>
      </c>
      <c r="G1268" s="58">
        <v>45708</v>
      </c>
      <c r="H1268" t="s">
        <v>229</v>
      </c>
      <c r="I1268" t="s">
        <v>63</v>
      </c>
      <c r="J1268">
        <v>4</v>
      </c>
      <c r="K1268" t="s">
        <v>103</v>
      </c>
      <c r="L1268" t="s">
        <v>142</v>
      </c>
      <c r="M1268">
        <f>orders[[#This Row],[Ship Date]]-orders[[#This Row],[Order Date]]</f>
        <v>2</v>
      </c>
      <c r="N1268">
        <f>WEEKNUM(orders[[#This Row],[Order Date]],1)</f>
        <v>8</v>
      </c>
      <c r="O1268" t="str">
        <f t="array" ref="O1268">_xlfn.IFS(orders[[#This Row],[Customer Gender]]="M","Male", orders[[#This Row],[Customer Gender]]="F","Female", orders[[#This Row],[Customer Gender]]="O","Other", TRUE(),"Unknown")</f>
        <v>Male</v>
      </c>
    </row>
    <row r="1269" spans="1:15" x14ac:dyDescent="0.25">
      <c r="A1269" t="s">
        <v>1497</v>
      </c>
      <c r="B1269" t="s">
        <v>82</v>
      </c>
      <c r="C1269">
        <v>6</v>
      </c>
      <c r="D1269">
        <v>68.3</v>
      </c>
      <c r="E1269">
        <v>409.8</v>
      </c>
      <c r="F1269" s="58">
        <v>45706</v>
      </c>
      <c r="G1269" s="58">
        <v>45709</v>
      </c>
      <c r="H1269" t="s">
        <v>229</v>
      </c>
      <c r="I1269" t="s">
        <v>59</v>
      </c>
      <c r="J1269">
        <v>4</v>
      </c>
      <c r="K1269" t="s">
        <v>103</v>
      </c>
      <c r="L1269" t="s">
        <v>142</v>
      </c>
      <c r="M1269">
        <f>orders[[#This Row],[Ship Date]]-orders[[#This Row],[Order Date]]</f>
        <v>3</v>
      </c>
      <c r="N1269">
        <f>WEEKNUM(orders[[#This Row],[Order Date]],1)</f>
        <v>8</v>
      </c>
      <c r="O1269" t="str">
        <f t="array" ref="O1269">_xlfn.IFS(orders[[#This Row],[Customer Gender]]="M","Male", orders[[#This Row],[Customer Gender]]="F","Female", orders[[#This Row],[Customer Gender]]="O","Other", TRUE(),"Unknown")</f>
        <v>Male</v>
      </c>
    </row>
    <row r="1270" spans="1:15" x14ac:dyDescent="0.25">
      <c r="A1270" t="s">
        <v>1498</v>
      </c>
      <c r="B1270" t="s">
        <v>79</v>
      </c>
      <c r="C1270">
        <v>3</v>
      </c>
      <c r="D1270">
        <v>43.3</v>
      </c>
      <c r="E1270">
        <v>129.9</v>
      </c>
      <c r="F1270" s="58">
        <v>45706</v>
      </c>
      <c r="G1270" s="58">
        <v>45710</v>
      </c>
      <c r="H1270" t="s">
        <v>231</v>
      </c>
      <c r="I1270" t="s">
        <v>59</v>
      </c>
      <c r="J1270">
        <v>4</v>
      </c>
      <c r="K1270" t="s">
        <v>103</v>
      </c>
      <c r="L1270" t="s">
        <v>143</v>
      </c>
      <c r="M1270">
        <f>orders[[#This Row],[Ship Date]]-orders[[#This Row],[Order Date]]</f>
        <v>4</v>
      </c>
      <c r="N1270">
        <f>WEEKNUM(orders[[#This Row],[Order Date]],1)</f>
        <v>8</v>
      </c>
      <c r="O1270" t="str">
        <f t="array" ref="O1270">_xlfn.IFS(orders[[#This Row],[Customer Gender]]="M","Male", orders[[#This Row],[Customer Gender]]="F","Female", orders[[#This Row],[Customer Gender]]="O","Other", TRUE(),"Unknown")</f>
        <v>Female</v>
      </c>
    </row>
    <row r="1271" spans="1:15" x14ac:dyDescent="0.25">
      <c r="A1271" t="s">
        <v>1499</v>
      </c>
      <c r="B1271" t="s">
        <v>93</v>
      </c>
      <c r="C1271">
        <v>1</v>
      </c>
      <c r="D1271">
        <v>101.7</v>
      </c>
      <c r="E1271">
        <v>101.7</v>
      </c>
      <c r="F1271" s="58">
        <v>45706</v>
      </c>
      <c r="G1271" s="58">
        <v>45709</v>
      </c>
      <c r="H1271" t="s">
        <v>231</v>
      </c>
      <c r="I1271" t="s">
        <v>59</v>
      </c>
      <c r="J1271">
        <v>3</v>
      </c>
      <c r="K1271" t="s">
        <v>103</v>
      </c>
      <c r="L1271" t="s">
        <v>143</v>
      </c>
      <c r="M1271">
        <f>orders[[#This Row],[Ship Date]]-orders[[#This Row],[Order Date]]</f>
        <v>3</v>
      </c>
      <c r="N1271">
        <f>WEEKNUM(orders[[#This Row],[Order Date]],1)</f>
        <v>8</v>
      </c>
      <c r="O1271" t="str">
        <f t="array" ref="O1271">_xlfn.IFS(orders[[#This Row],[Customer Gender]]="M","Male", orders[[#This Row],[Customer Gender]]="F","Female", orders[[#This Row],[Customer Gender]]="O","Other", TRUE(),"Unknown")</f>
        <v>Female</v>
      </c>
    </row>
    <row r="1272" spans="1:15" x14ac:dyDescent="0.25">
      <c r="A1272" t="s">
        <v>1500</v>
      </c>
      <c r="B1272" t="s">
        <v>83</v>
      </c>
      <c r="C1272">
        <v>2</v>
      </c>
      <c r="D1272">
        <v>54.2</v>
      </c>
      <c r="E1272">
        <v>108.4</v>
      </c>
      <c r="F1272" s="58">
        <v>45706</v>
      </c>
      <c r="G1272" s="58">
        <v>45707</v>
      </c>
      <c r="H1272" t="s">
        <v>231</v>
      </c>
      <c r="I1272" t="s">
        <v>59</v>
      </c>
      <c r="J1272">
        <v>3</v>
      </c>
      <c r="K1272" t="s">
        <v>103</v>
      </c>
      <c r="L1272" t="s">
        <v>143</v>
      </c>
      <c r="M1272">
        <f>orders[[#This Row],[Ship Date]]-orders[[#This Row],[Order Date]]</f>
        <v>1</v>
      </c>
      <c r="N1272">
        <f>WEEKNUM(orders[[#This Row],[Order Date]],1)</f>
        <v>8</v>
      </c>
      <c r="O1272" t="str">
        <f t="array" ref="O1272">_xlfn.IFS(orders[[#This Row],[Customer Gender]]="M","Male", orders[[#This Row],[Customer Gender]]="F","Female", orders[[#This Row],[Customer Gender]]="O","Other", TRUE(),"Unknown")</f>
        <v>Female</v>
      </c>
    </row>
    <row r="1273" spans="1:15" x14ac:dyDescent="0.25">
      <c r="A1273" t="s">
        <v>1501</v>
      </c>
      <c r="B1273" t="s">
        <v>89</v>
      </c>
      <c r="C1273">
        <v>2</v>
      </c>
      <c r="D1273">
        <v>51</v>
      </c>
      <c r="E1273">
        <v>102</v>
      </c>
      <c r="F1273" s="58">
        <v>45706</v>
      </c>
      <c r="G1273" s="58">
        <v>45706</v>
      </c>
      <c r="H1273" t="s">
        <v>229</v>
      </c>
      <c r="I1273" t="s">
        <v>63</v>
      </c>
      <c r="J1273">
        <v>4</v>
      </c>
      <c r="K1273" t="s">
        <v>103</v>
      </c>
      <c r="L1273" t="s">
        <v>144</v>
      </c>
      <c r="M1273">
        <f>orders[[#This Row],[Ship Date]]-orders[[#This Row],[Order Date]]</f>
        <v>0</v>
      </c>
      <c r="N1273">
        <f>WEEKNUM(orders[[#This Row],[Order Date]],1)</f>
        <v>8</v>
      </c>
      <c r="O1273" t="str">
        <f t="array" ref="O1273">_xlfn.IFS(orders[[#This Row],[Customer Gender]]="M","Male", orders[[#This Row],[Customer Gender]]="F","Female", orders[[#This Row],[Customer Gender]]="O","Other", TRUE(),"Unknown")</f>
        <v>Male</v>
      </c>
    </row>
    <row r="1274" spans="1:15" x14ac:dyDescent="0.25">
      <c r="A1274" t="s">
        <v>1502</v>
      </c>
      <c r="B1274" t="s">
        <v>78</v>
      </c>
      <c r="C1274">
        <v>2</v>
      </c>
      <c r="D1274">
        <v>23.1</v>
      </c>
      <c r="E1274">
        <v>46.2</v>
      </c>
      <c r="F1274" s="58">
        <v>45706</v>
      </c>
      <c r="G1274" s="58">
        <v>45709</v>
      </c>
      <c r="H1274" t="s">
        <v>229</v>
      </c>
      <c r="I1274" t="s">
        <v>63</v>
      </c>
      <c r="J1274">
        <v>4</v>
      </c>
      <c r="K1274" t="s">
        <v>103</v>
      </c>
      <c r="L1274" t="s">
        <v>147</v>
      </c>
      <c r="M1274">
        <f>orders[[#This Row],[Ship Date]]-orders[[#This Row],[Order Date]]</f>
        <v>3</v>
      </c>
      <c r="N1274">
        <f>WEEKNUM(orders[[#This Row],[Order Date]],1)</f>
        <v>8</v>
      </c>
      <c r="O1274" t="str">
        <f t="array" ref="O1274">_xlfn.IFS(orders[[#This Row],[Customer Gender]]="M","Male", orders[[#This Row],[Customer Gender]]="F","Female", orders[[#This Row],[Customer Gender]]="O","Other", TRUE(),"Unknown")</f>
        <v>Male</v>
      </c>
    </row>
    <row r="1275" spans="1:15" x14ac:dyDescent="0.25">
      <c r="A1275" t="s">
        <v>1503</v>
      </c>
      <c r="B1275" t="s">
        <v>76</v>
      </c>
      <c r="C1275">
        <v>6</v>
      </c>
      <c r="D1275">
        <v>60.1</v>
      </c>
      <c r="E1275">
        <v>360.6</v>
      </c>
      <c r="F1275" s="58">
        <v>45706</v>
      </c>
      <c r="G1275" s="58">
        <v>45706</v>
      </c>
      <c r="H1275" t="s">
        <v>231</v>
      </c>
      <c r="I1275" t="s">
        <v>60</v>
      </c>
      <c r="J1275">
        <v>4</v>
      </c>
      <c r="K1275" t="s">
        <v>103</v>
      </c>
      <c r="L1275" t="s">
        <v>148</v>
      </c>
      <c r="M1275">
        <f>orders[[#This Row],[Ship Date]]-orders[[#This Row],[Order Date]]</f>
        <v>0</v>
      </c>
      <c r="N1275">
        <f>WEEKNUM(orders[[#This Row],[Order Date]],1)</f>
        <v>8</v>
      </c>
      <c r="O1275" t="str">
        <f t="array" ref="O1275">_xlfn.IFS(orders[[#This Row],[Customer Gender]]="M","Male", orders[[#This Row],[Customer Gender]]="F","Female", orders[[#This Row],[Customer Gender]]="O","Other", TRUE(),"Unknown")</f>
        <v>Female</v>
      </c>
    </row>
    <row r="1276" spans="1:15" x14ac:dyDescent="0.25">
      <c r="A1276" t="s">
        <v>1504</v>
      </c>
      <c r="B1276" t="s">
        <v>87</v>
      </c>
      <c r="C1276">
        <v>7</v>
      </c>
      <c r="D1276">
        <v>87.5</v>
      </c>
      <c r="E1276">
        <v>612.5</v>
      </c>
      <c r="F1276" s="58">
        <v>45706</v>
      </c>
      <c r="G1276" s="58">
        <v>45708</v>
      </c>
      <c r="H1276" t="s">
        <v>231</v>
      </c>
      <c r="I1276" t="s">
        <v>59</v>
      </c>
      <c r="J1276">
        <v>3</v>
      </c>
      <c r="K1276" t="s">
        <v>103</v>
      </c>
      <c r="L1276" t="s">
        <v>148</v>
      </c>
      <c r="M1276">
        <f>orders[[#This Row],[Ship Date]]-orders[[#This Row],[Order Date]]</f>
        <v>2</v>
      </c>
      <c r="N1276">
        <f>WEEKNUM(orders[[#This Row],[Order Date]],1)</f>
        <v>8</v>
      </c>
      <c r="O1276" t="str">
        <f t="array" ref="O1276">_xlfn.IFS(orders[[#This Row],[Customer Gender]]="M","Male", orders[[#This Row],[Customer Gender]]="F","Female", orders[[#This Row],[Customer Gender]]="O","Other", TRUE(),"Unknown")</f>
        <v>Female</v>
      </c>
    </row>
    <row r="1277" spans="1:15" x14ac:dyDescent="0.25">
      <c r="A1277" t="s">
        <v>1505</v>
      </c>
      <c r="B1277" t="s">
        <v>91</v>
      </c>
      <c r="C1277">
        <v>3</v>
      </c>
      <c r="D1277">
        <v>51</v>
      </c>
      <c r="E1277">
        <v>153</v>
      </c>
      <c r="F1277" s="58">
        <v>45706</v>
      </c>
      <c r="G1277" s="58">
        <v>45707</v>
      </c>
      <c r="H1277" t="s">
        <v>231</v>
      </c>
      <c r="I1277" t="s">
        <v>63</v>
      </c>
      <c r="J1277">
        <v>4</v>
      </c>
      <c r="K1277" t="s">
        <v>103</v>
      </c>
      <c r="L1277" t="s">
        <v>148</v>
      </c>
      <c r="M1277">
        <f>orders[[#This Row],[Ship Date]]-orders[[#This Row],[Order Date]]</f>
        <v>1</v>
      </c>
      <c r="N1277">
        <f>WEEKNUM(orders[[#This Row],[Order Date]],1)</f>
        <v>8</v>
      </c>
      <c r="O1277" t="str">
        <f t="array" ref="O1277">_xlfn.IFS(orders[[#This Row],[Customer Gender]]="M","Male", orders[[#This Row],[Customer Gender]]="F","Female", orders[[#This Row],[Customer Gender]]="O","Other", TRUE(),"Unknown")</f>
        <v>Female</v>
      </c>
    </row>
    <row r="1278" spans="1:15" x14ac:dyDescent="0.25">
      <c r="A1278" t="s">
        <v>1506</v>
      </c>
      <c r="B1278" t="s">
        <v>90</v>
      </c>
      <c r="C1278">
        <v>4</v>
      </c>
      <c r="D1278">
        <v>19.2</v>
      </c>
      <c r="E1278">
        <v>76.8</v>
      </c>
      <c r="F1278" s="58">
        <v>45706</v>
      </c>
      <c r="G1278" s="58">
        <v>45708</v>
      </c>
      <c r="H1278" t="s">
        <v>231</v>
      </c>
      <c r="I1278" t="s">
        <v>59</v>
      </c>
      <c r="J1278">
        <v>4</v>
      </c>
      <c r="K1278" t="s">
        <v>103</v>
      </c>
      <c r="L1278" t="s">
        <v>148</v>
      </c>
      <c r="M1278">
        <f>orders[[#This Row],[Ship Date]]-orders[[#This Row],[Order Date]]</f>
        <v>2</v>
      </c>
      <c r="N1278">
        <f>WEEKNUM(orders[[#This Row],[Order Date]],1)</f>
        <v>8</v>
      </c>
      <c r="O1278" t="str">
        <f t="array" ref="O1278">_xlfn.IFS(orders[[#This Row],[Customer Gender]]="M","Male", orders[[#This Row],[Customer Gender]]="F","Female", orders[[#This Row],[Customer Gender]]="O","Other", TRUE(),"Unknown")</f>
        <v>Female</v>
      </c>
    </row>
    <row r="1279" spans="1:15" x14ac:dyDescent="0.25">
      <c r="A1279" t="s">
        <v>1507</v>
      </c>
      <c r="B1279" t="s">
        <v>85</v>
      </c>
      <c r="C1279">
        <v>8</v>
      </c>
      <c r="D1279">
        <v>26.5</v>
      </c>
      <c r="E1279">
        <v>212</v>
      </c>
      <c r="F1279" s="58">
        <v>45706</v>
      </c>
      <c r="G1279" s="58">
        <v>45707</v>
      </c>
      <c r="I1279" t="s">
        <v>60</v>
      </c>
      <c r="J1279">
        <v>5</v>
      </c>
      <c r="K1279" t="s">
        <v>103</v>
      </c>
      <c r="L1279" t="s">
        <v>148</v>
      </c>
      <c r="M1279">
        <f>orders[[#This Row],[Ship Date]]-orders[[#This Row],[Order Date]]</f>
        <v>1</v>
      </c>
      <c r="N1279">
        <f>WEEKNUM(orders[[#This Row],[Order Date]],1)</f>
        <v>8</v>
      </c>
      <c r="O1279" t="str">
        <f t="array" ref="O1279">_xlfn.IFS(orders[[#This Row],[Customer Gender]]="M","Male", orders[[#This Row],[Customer Gender]]="F","Female", orders[[#This Row],[Customer Gender]]="O","Other", TRUE(),"Unknown")</f>
        <v>Unknown</v>
      </c>
    </row>
    <row r="1280" spans="1:15" x14ac:dyDescent="0.25">
      <c r="A1280" t="s">
        <v>1508</v>
      </c>
      <c r="B1280" t="s">
        <v>87</v>
      </c>
      <c r="C1280">
        <v>2</v>
      </c>
      <c r="D1280">
        <v>220.3</v>
      </c>
      <c r="E1280">
        <v>440.6</v>
      </c>
      <c r="F1280" s="58">
        <v>45706</v>
      </c>
      <c r="G1280" s="58">
        <v>45707</v>
      </c>
      <c r="H1280" t="s">
        <v>231</v>
      </c>
      <c r="I1280" t="s">
        <v>63</v>
      </c>
      <c r="J1280">
        <v>2</v>
      </c>
      <c r="K1280" t="s">
        <v>103</v>
      </c>
      <c r="L1280" t="s">
        <v>150</v>
      </c>
      <c r="M1280">
        <f>orders[[#This Row],[Ship Date]]-orders[[#This Row],[Order Date]]</f>
        <v>1</v>
      </c>
      <c r="N1280">
        <f>WEEKNUM(orders[[#This Row],[Order Date]],1)</f>
        <v>8</v>
      </c>
      <c r="O1280" t="str">
        <f t="array" ref="O1280">_xlfn.IFS(orders[[#This Row],[Customer Gender]]="M","Male", orders[[#This Row],[Customer Gender]]="F","Female", orders[[#This Row],[Customer Gender]]="O","Other", TRUE(),"Unknown")</f>
        <v>Female</v>
      </c>
    </row>
    <row r="1281" spans="1:15" x14ac:dyDescent="0.25">
      <c r="A1281" t="s">
        <v>1509</v>
      </c>
      <c r="B1281" t="s">
        <v>90</v>
      </c>
      <c r="C1281">
        <v>3</v>
      </c>
      <c r="D1281">
        <v>45.7</v>
      </c>
      <c r="E1281">
        <v>137.1</v>
      </c>
      <c r="F1281" s="58">
        <v>45706</v>
      </c>
      <c r="G1281" s="58">
        <v>45707</v>
      </c>
      <c r="H1281" t="s">
        <v>231</v>
      </c>
      <c r="I1281" t="s">
        <v>61</v>
      </c>
      <c r="J1281">
        <v>4</v>
      </c>
      <c r="K1281" t="s">
        <v>103</v>
      </c>
      <c r="L1281" t="s">
        <v>152</v>
      </c>
      <c r="M1281">
        <f>orders[[#This Row],[Ship Date]]-orders[[#This Row],[Order Date]]</f>
        <v>1</v>
      </c>
      <c r="N1281">
        <f>WEEKNUM(orders[[#This Row],[Order Date]],1)</f>
        <v>8</v>
      </c>
      <c r="O1281" t="str">
        <f t="array" ref="O1281">_xlfn.IFS(orders[[#This Row],[Customer Gender]]="M","Male", orders[[#This Row],[Customer Gender]]="F","Female", orders[[#This Row],[Customer Gender]]="O","Other", TRUE(),"Unknown")</f>
        <v>Female</v>
      </c>
    </row>
    <row r="1282" spans="1:15" x14ac:dyDescent="0.25">
      <c r="A1282" t="s">
        <v>1510</v>
      </c>
      <c r="B1282" t="s">
        <v>85</v>
      </c>
      <c r="C1282">
        <v>5</v>
      </c>
      <c r="D1282">
        <v>47.1</v>
      </c>
      <c r="E1282">
        <v>235.5</v>
      </c>
      <c r="F1282" s="58">
        <v>45706</v>
      </c>
      <c r="G1282" s="58">
        <v>45710</v>
      </c>
      <c r="H1282" t="s">
        <v>231</v>
      </c>
      <c r="I1282" t="s">
        <v>60</v>
      </c>
      <c r="J1282">
        <v>4</v>
      </c>
      <c r="K1282" t="s">
        <v>103</v>
      </c>
      <c r="L1282" t="s">
        <v>161</v>
      </c>
      <c r="M1282">
        <f>orders[[#This Row],[Ship Date]]-orders[[#This Row],[Order Date]]</f>
        <v>4</v>
      </c>
      <c r="N1282">
        <f>WEEKNUM(orders[[#This Row],[Order Date]],1)</f>
        <v>8</v>
      </c>
      <c r="O1282" t="str">
        <f t="array" ref="O1282">_xlfn.IFS(orders[[#This Row],[Customer Gender]]="M","Male", orders[[#This Row],[Customer Gender]]="F","Female", orders[[#This Row],[Customer Gender]]="O","Other", TRUE(),"Unknown")</f>
        <v>Female</v>
      </c>
    </row>
    <row r="1283" spans="1:15" x14ac:dyDescent="0.25">
      <c r="A1283" t="s">
        <v>1511</v>
      </c>
      <c r="B1283" t="s">
        <v>91</v>
      </c>
      <c r="C1283">
        <v>5</v>
      </c>
      <c r="D1283">
        <v>81.7</v>
      </c>
      <c r="E1283">
        <v>408.5</v>
      </c>
      <c r="F1283" s="58">
        <v>45706</v>
      </c>
      <c r="G1283" s="58">
        <v>45707</v>
      </c>
      <c r="H1283" t="s">
        <v>231</v>
      </c>
      <c r="I1283" t="s">
        <v>59</v>
      </c>
      <c r="J1283">
        <v>5</v>
      </c>
      <c r="K1283" t="s">
        <v>103</v>
      </c>
      <c r="L1283" t="s">
        <v>106</v>
      </c>
      <c r="M1283">
        <f>orders[[#This Row],[Ship Date]]-orders[[#This Row],[Order Date]]</f>
        <v>1</v>
      </c>
      <c r="N1283">
        <f>WEEKNUM(orders[[#This Row],[Order Date]],1)</f>
        <v>8</v>
      </c>
      <c r="O1283" t="str">
        <f t="array" ref="O1283">_xlfn.IFS(orders[[#This Row],[Customer Gender]]="M","Male", orders[[#This Row],[Customer Gender]]="F","Female", orders[[#This Row],[Customer Gender]]="O","Other", TRUE(),"Unknown")</f>
        <v>Female</v>
      </c>
    </row>
    <row r="1284" spans="1:15" x14ac:dyDescent="0.25">
      <c r="A1284" t="s">
        <v>1512</v>
      </c>
      <c r="B1284" t="s">
        <v>80</v>
      </c>
      <c r="C1284">
        <v>10</v>
      </c>
      <c r="D1284">
        <v>97.8</v>
      </c>
      <c r="E1284">
        <v>978</v>
      </c>
      <c r="F1284" s="58">
        <v>45706</v>
      </c>
      <c r="G1284" s="58">
        <v>45706</v>
      </c>
      <c r="H1284" t="s">
        <v>229</v>
      </c>
      <c r="I1284" t="s">
        <v>63</v>
      </c>
      <c r="J1284">
        <v>3</v>
      </c>
      <c r="K1284" t="s">
        <v>103</v>
      </c>
      <c r="L1284" t="s">
        <v>106</v>
      </c>
      <c r="M1284">
        <f>orders[[#This Row],[Ship Date]]-orders[[#This Row],[Order Date]]</f>
        <v>0</v>
      </c>
      <c r="N1284">
        <f>WEEKNUM(orders[[#This Row],[Order Date]],1)</f>
        <v>8</v>
      </c>
      <c r="O1284" t="str">
        <f t="array" ref="O1284">_xlfn.IFS(orders[[#This Row],[Customer Gender]]="M","Male", orders[[#This Row],[Customer Gender]]="F","Female", orders[[#This Row],[Customer Gender]]="O","Other", TRUE(),"Unknown")</f>
        <v>Male</v>
      </c>
    </row>
    <row r="1285" spans="1:15" x14ac:dyDescent="0.25">
      <c r="A1285" t="s">
        <v>1513</v>
      </c>
      <c r="B1285" t="s">
        <v>80</v>
      </c>
      <c r="C1285">
        <v>3</v>
      </c>
      <c r="D1285">
        <v>42.4</v>
      </c>
      <c r="E1285">
        <v>127.2</v>
      </c>
      <c r="F1285" s="58">
        <v>45706</v>
      </c>
      <c r="G1285" s="58">
        <v>45707</v>
      </c>
      <c r="H1285" t="s">
        <v>231</v>
      </c>
      <c r="I1285" t="s">
        <v>59</v>
      </c>
      <c r="J1285">
        <v>5</v>
      </c>
      <c r="K1285" t="s">
        <v>103</v>
      </c>
      <c r="L1285" t="s">
        <v>111</v>
      </c>
      <c r="M1285">
        <f>orders[[#This Row],[Ship Date]]-orders[[#This Row],[Order Date]]</f>
        <v>1</v>
      </c>
      <c r="N1285">
        <f>WEEKNUM(orders[[#This Row],[Order Date]],1)</f>
        <v>8</v>
      </c>
      <c r="O1285" t="str">
        <f t="array" ref="O1285">_xlfn.IFS(orders[[#This Row],[Customer Gender]]="M","Male", orders[[#This Row],[Customer Gender]]="F","Female", orders[[#This Row],[Customer Gender]]="O","Other", TRUE(),"Unknown")</f>
        <v>Female</v>
      </c>
    </row>
    <row r="1286" spans="1:15" x14ac:dyDescent="0.25">
      <c r="A1286" t="s">
        <v>1514</v>
      </c>
      <c r="B1286" t="s">
        <v>87</v>
      </c>
      <c r="C1286">
        <v>10</v>
      </c>
      <c r="D1286">
        <v>74.5</v>
      </c>
      <c r="E1286">
        <v>745</v>
      </c>
      <c r="F1286" s="58">
        <v>45706</v>
      </c>
      <c r="G1286" s="58">
        <v>45707</v>
      </c>
      <c r="H1286" t="s">
        <v>229</v>
      </c>
      <c r="I1286" t="s">
        <v>62</v>
      </c>
      <c r="J1286">
        <v>3</v>
      </c>
      <c r="K1286" t="s">
        <v>103</v>
      </c>
      <c r="L1286" t="s">
        <v>112</v>
      </c>
      <c r="M1286">
        <f>orders[[#This Row],[Ship Date]]-orders[[#This Row],[Order Date]]</f>
        <v>1</v>
      </c>
      <c r="N1286">
        <f>WEEKNUM(orders[[#This Row],[Order Date]],1)</f>
        <v>8</v>
      </c>
      <c r="O1286" t="str">
        <f t="array" ref="O1286">_xlfn.IFS(orders[[#This Row],[Customer Gender]]="M","Male", orders[[#This Row],[Customer Gender]]="F","Female", orders[[#This Row],[Customer Gender]]="O","Other", TRUE(),"Unknown")</f>
        <v>Male</v>
      </c>
    </row>
    <row r="1287" spans="1:15" x14ac:dyDescent="0.25">
      <c r="A1287" t="s">
        <v>1515</v>
      </c>
      <c r="B1287" t="s">
        <v>84</v>
      </c>
      <c r="C1287">
        <v>6</v>
      </c>
      <c r="D1287">
        <v>47.4</v>
      </c>
      <c r="E1287">
        <v>284.39999999999998</v>
      </c>
      <c r="F1287" s="58">
        <v>45706</v>
      </c>
      <c r="G1287" s="58">
        <v>45707</v>
      </c>
      <c r="H1287" t="s">
        <v>229</v>
      </c>
      <c r="I1287" t="s">
        <v>63</v>
      </c>
      <c r="J1287">
        <v>4</v>
      </c>
      <c r="K1287" t="s">
        <v>103</v>
      </c>
      <c r="L1287" t="s">
        <v>112</v>
      </c>
      <c r="M1287">
        <f>orders[[#This Row],[Ship Date]]-orders[[#This Row],[Order Date]]</f>
        <v>1</v>
      </c>
      <c r="N1287">
        <f>WEEKNUM(orders[[#This Row],[Order Date]],1)</f>
        <v>8</v>
      </c>
      <c r="O1287" t="str">
        <f t="array" ref="O1287">_xlfn.IFS(orders[[#This Row],[Customer Gender]]="M","Male", orders[[#This Row],[Customer Gender]]="F","Female", orders[[#This Row],[Customer Gender]]="O","Other", TRUE(),"Unknown")</f>
        <v>Male</v>
      </c>
    </row>
    <row r="1288" spans="1:15" x14ac:dyDescent="0.25">
      <c r="A1288" t="s">
        <v>1516</v>
      </c>
      <c r="B1288" t="s">
        <v>74</v>
      </c>
      <c r="C1288">
        <v>3</v>
      </c>
      <c r="D1288">
        <v>17.3</v>
      </c>
      <c r="E1288">
        <v>51.9</v>
      </c>
      <c r="F1288" s="58">
        <v>45707</v>
      </c>
      <c r="G1288" s="58">
        <v>45710</v>
      </c>
      <c r="H1288" t="s">
        <v>229</v>
      </c>
      <c r="I1288" t="s">
        <v>62</v>
      </c>
      <c r="J1288">
        <v>5</v>
      </c>
      <c r="K1288" t="s">
        <v>103</v>
      </c>
      <c r="L1288" t="s">
        <v>112</v>
      </c>
      <c r="M1288">
        <f>orders[[#This Row],[Ship Date]]-orders[[#This Row],[Order Date]]</f>
        <v>3</v>
      </c>
      <c r="N1288">
        <f>WEEKNUM(orders[[#This Row],[Order Date]],1)</f>
        <v>8</v>
      </c>
      <c r="O1288" t="str">
        <f t="array" ref="O1288">_xlfn.IFS(orders[[#This Row],[Customer Gender]]="M","Male", orders[[#This Row],[Customer Gender]]="F","Female", orders[[#This Row],[Customer Gender]]="O","Other", TRUE(),"Unknown")</f>
        <v>Male</v>
      </c>
    </row>
    <row r="1289" spans="1:15" x14ac:dyDescent="0.25">
      <c r="A1289" t="s">
        <v>1517</v>
      </c>
      <c r="B1289" t="s">
        <v>76</v>
      </c>
      <c r="C1289">
        <v>4</v>
      </c>
      <c r="D1289">
        <v>77.900000000000006</v>
      </c>
      <c r="E1289">
        <v>311.60000000000002</v>
      </c>
      <c r="F1289" s="58">
        <v>45707</v>
      </c>
      <c r="G1289" s="58">
        <v>45708</v>
      </c>
      <c r="H1289" t="s">
        <v>229</v>
      </c>
      <c r="I1289" t="s">
        <v>63</v>
      </c>
      <c r="J1289">
        <v>4</v>
      </c>
      <c r="K1289" t="s">
        <v>103</v>
      </c>
      <c r="L1289" t="s">
        <v>115</v>
      </c>
      <c r="M1289">
        <f>orders[[#This Row],[Ship Date]]-orders[[#This Row],[Order Date]]</f>
        <v>1</v>
      </c>
      <c r="N1289">
        <f>WEEKNUM(orders[[#This Row],[Order Date]],1)</f>
        <v>8</v>
      </c>
      <c r="O1289" t="str">
        <f t="array" ref="O1289">_xlfn.IFS(orders[[#This Row],[Customer Gender]]="M","Male", orders[[#This Row],[Customer Gender]]="F","Female", orders[[#This Row],[Customer Gender]]="O","Other", TRUE(),"Unknown")</f>
        <v>Male</v>
      </c>
    </row>
    <row r="1290" spans="1:15" x14ac:dyDescent="0.25">
      <c r="A1290" t="s">
        <v>1518</v>
      </c>
      <c r="B1290" t="s">
        <v>90</v>
      </c>
      <c r="C1290">
        <v>1</v>
      </c>
      <c r="D1290">
        <v>29.1</v>
      </c>
      <c r="E1290">
        <v>29.1</v>
      </c>
      <c r="F1290" s="58">
        <v>45707</v>
      </c>
      <c r="G1290" s="58">
        <v>45710</v>
      </c>
      <c r="H1290" t="s">
        <v>229</v>
      </c>
      <c r="I1290" t="s">
        <v>59</v>
      </c>
      <c r="J1290">
        <v>5</v>
      </c>
      <c r="K1290" t="s">
        <v>103</v>
      </c>
      <c r="L1290" t="s">
        <v>122</v>
      </c>
      <c r="M1290">
        <f>orders[[#This Row],[Ship Date]]-orders[[#This Row],[Order Date]]</f>
        <v>3</v>
      </c>
      <c r="N1290">
        <f>WEEKNUM(orders[[#This Row],[Order Date]],1)</f>
        <v>8</v>
      </c>
      <c r="O1290" t="str">
        <f t="array" ref="O1290">_xlfn.IFS(orders[[#This Row],[Customer Gender]]="M","Male", orders[[#This Row],[Customer Gender]]="F","Female", orders[[#This Row],[Customer Gender]]="O","Other", TRUE(),"Unknown")</f>
        <v>Male</v>
      </c>
    </row>
    <row r="1291" spans="1:15" x14ac:dyDescent="0.25">
      <c r="A1291" t="s">
        <v>1519</v>
      </c>
      <c r="B1291" t="s">
        <v>90</v>
      </c>
      <c r="C1291">
        <v>1</v>
      </c>
      <c r="D1291">
        <v>49</v>
      </c>
      <c r="E1291">
        <v>49</v>
      </c>
      <c r="F1291" s="58">
        <v>45707</v>
      </c>
      <c r="G1291" s="58">
        <v>45708</v>
      </c>
      <c r="H1291" t="s">
        <v>229</v>
      </c>
      <c r="I1291" t="s">
        <v>63</v>
      </c>
      <c r="J1291">
        <v>4</v>
      </c>
      <c r="K1291" t="s">
        <v>103</v>
      </c>
      <c r="L1291" t="s">
        <v>124</v>
      </c>
      <c r="M1291">
        <f>orders[[#This Row],[Ship Date]]-orders[[#This Row],[Order Date]]</f>
        <v>1</v>
      </c>
      <c r="N1291">
        <f>WEEKNUM(orders[[#This Row],[Order Date]],1)</f>
        <v>8</v>
      </c>
      <c r="O1291" t="str">
        <f t="array" ref="O1291">_xlfn.IFS(orders[[#This Row],[Customer Gender]]="M","Male", orders[[#This Row],[Customer Gender]]="F","Female", orders[[#This Row],[Customer Gender]]="O","Other", TRUE(),"Unknown")</f>
        <v>Male</v>
      </c>
    </row>
    <row r="1292" spans="1:15" x14ac:dyDescent="0.25">
      <c r="A1292" t="s">
        <v>1520</v>
      </c>
      <c r="B1292" t="s">
        <v>90</v>
      </c>
      <c r="C1292">
        <v>6</v>
      </c>
      <c r="D1292">
        <v>21.1</v>
      </c>
      <c r="E1292">
        <v>126.6</v>
      </c>
      <c r="F1292" s="58">
        <v>45707</v>
      </c>
      <c r="G1292" s="58">
        <v>45714</v>
      </c>
      <c r="H1292" t="s">
        <v>229</v>
      </c>
      <c r="I1292" t="s">
        <v>59</v>
      </c>
      <c r="J1292">
        <v>5</v>
      </c>
      <c r="K1292" t="s">
        <v>103</v>
      </c>
      <c r="L1292" t="s">
        <v>124</v>
      </c>
      <c r="M1292">
        <f>orders[[#This Row],[Ship Date]]-orders[[#This Row],[Order Date]]</f>
        <v>7</v>
      </c>
      <c r="N1292">
        <f>WEEKNUM(orders[[#This Row],[Order Date]],1)</f>
        <v>8</v>
      </c>
      <c r="O1292" t="str">
        <f t="array" ref="O1292">_xlfn.IFS(orders[[#This Row],[Customer Gender]]="M","Male", orders[[#This Row],[Customer Gender]]="F","Female", orders[[#This Row],[Customer Gender]]="O","Other", TRUE(),"Unknown")</f>
        <v>Male</v>
      </c>
    </row>
    <row r="1293" spans="1:15" x14ac:dyDescent="0.25">
      <c r="A1293" t="s">
        <v>1521</v>
      </c>
      <c r="B1293" t="s">
        <v>78</v>
      </c>
      <c r="C1293">
        <v>19</v>
      </c>
      <c r="D1293">
        <v>36.9</v>
      </c>
      <c r="E1293">
        <v>701.1</v>
      </c>
      <c r="F1293" s="58">
        <v>45707</v>
      </c>
      <c r="G1293" s="58">
        <v>45707</v>
      </c>
      <c r="H1293" t="s">
        <v>231</v>
      </c>
      <c r="I1293" t="s">
        <v>59</v>
      </c>
      <c r="J1293">
        <v>4</v>
      </c>
      <c r="K1293" t="s">
        <v>103</v>
      </c>
      <c r="L1293" t="s">
        <v>124</v>
      </c>
      <c r="M1293">
        <f>orders[[#This Row],[Ship Date]]-orders[[#This Row],[Order Date]]</f>
        <v>0</v>
      </c>
      <c r="N1293">
        <f>WEEKNUM(orders[[#This Row],[Order Date]],1)</f>
        <v>8</v>
      </c>
      <c r="O1293" t="str">
        <f t="array" ref="O1293">_xlfn.IFS(orders[[#This Row],[Customer Gender]]="M","Male", orders[[#This Row],[Customer Gender]]="F","Female", orders[[#This Row],[Customer Gender]]="O","Other", TRUE(),"Unknown")</f>
        <v>Female</v>
      </c>
    </row>
    <row r="1294" spans="1:15" x14ac:dyDescent="0.25">
      <c r="A1294" t="s">
        <v>1522</v>
      </c>
      <c r="B1294" t="s">
        <v>91</v>
      </c>
      <c r="C1294">
        <v>10</v>
      </c>
      <c r="D1294">
        <v>92.6</v>
      </c>
      <c r="E1294">
        <v>926</v>
      </c>
      <c r="F1294" s="58">
        <v>45707</v>
      </c>
      <c r="G1294" s="58">
        <v>45712</v>
      </c>
      <c r="H1294" t="s">
        <v>229</v>
      </c>
      <c r="I1294" t="s">
        <v>61</v>
      </c>
      <c r="J1294">
        <v>5</v>
      </c>
      <c r="K1294" t="s">
        <v>103</v>
      </c>
      <c r="L1294" t="s">
        <v>124</v>
      </c>
      <c r="M1294">
        <f>orders[[#This Row],[Ship Date]]-orders[[#This Row],[Order Date]]</f>
        <v>5</v>
      </c>
      <c r="N1294">
        <f>WEEKNUM(orders[[#This Row],[Order Date]],1)</f>
        <v>8</v>
      </c>
      <c r="O1294" t="str">
        <f t="array" ref="O1294">_xlfn.IFS(orders[[#This Row],[Customer Gender]]="M","Male", orders[[#This Row],[Customer Gender]]="F","Female", orders[[#This Row],[Customer Gender]]="O","Other", TRUE(),"Unknown")</f>
        <v>Male</v>
      </c>
    </row>
    <row r="1295" spans="1:15" x14ac:dyDescent="0.25">
      <c r="A1295" t="s">
        <v>1523</v>
      </c>
      <c r="B1295" t="s">
        <v>75</v>
      </c>
      <c r="C1295">
        <v>2</v>
      </c>
      <c r="D1295">
        <v>38</v>
      </c>
      <c r="E1295">
        <v>76</v>
      </c>
      <c r="F1295" s="58">
        <v>45707</v>
      </c>
      <c r="G1295" s="58">
        <v>45708</v>
      </c>
      <c r="H1295" t="s">
        <v>229</v>
      </c>
      <c r="I1295" t="s">
        <v>63</v>
      </c>
      <c r="J1295">
        <v>3</v>
      </c>
      <c r="K1295" t="s">
        <v>103</v>
      </c>
      <c r="L1295" t="s">
        <v>124</v>
      </c>
      <c r="M1295">
        <f>orders[[#This Row],[Ship Date]]-orders[[#This Row],[Order Date]]</f>
        <v>1</v>
      </c>
      <c r="N1295">
        <f>WEEKNUM(orders[[#This Row],[Order Date]],1)</f>
        <v>8</v>
      </c>
      <c r="O1295" t="str">
        <f t="array" ref="O1295">_xlfn.IFS(orders[[#This Row],[Customer Gender]]="M","Male", orders[[#This Row],[Customer Gender]]="F","Female", orders[[#This Row],[Customer Gender]]="O","Other", TRUE(),"Unknown")</f>
        <v>Male</v>
      </c>
    </row>
    <row r="1296" spans="1:15" x14ac:dyDescent="0.25">
      <c r="A1296" t="s">
        <v>1524</v>
      </c>
      <c r="B1296" t="s">
        <v>85</v>
      </c>
      <c r="C1296">
        <v>3</v>
      </c>
      <c r="D1296">
        <v>54.8</v>
      </c>
      <c r="E1296">
        <v>164.4</v>
      </c>
      <c r="F1296" s="58">
        <v>45707</v>
      </c>
      <c r="G1296" s="58">
        <v>45711</v>
      </c>
      <c r="I1296" t="s">
        <v>59</v>
      </c>
      <c r="J1296">
        <v>3</v>
      </c>
      <c r="K1296" t="s">
        <v>103</v>
      </c>
      <c r="L1296" t="s">
        <v>124</v>
      </c>
      <c r="M1296">
        <f>orders[[#This Row],[Ship Date]]-orders[[#This Row],[Order Date]]</f>
        <v>4</v>
      </c>
      <c r="N1296">
        <f>WEEKNUM(orders[[#This Row],[Order Date]],1)</f>
        <v>8</v>
      </c>
      <c r="O1296" t="str">
        <f t="array" ref="O1296">_xlfn.IFS(orders[[#This Row],[Customer Gender]]="M","Male", orders[[#This Row],[Customer Gender]]="F","Female", orders[[#This Row],[Customer Gender]]="O","Other", TRUE(),"Unknown")</f>
        <v>Unknown</v>
      </c>
    </row>
    <row r="1297" spans="1:15" x14ac:dyDescent="0.25">
      <c r="A1297" t="s">
        <v>1525</v>
      </c>
      <c r="B1297" t="s">
        <v>75</v>
      </c>
      <c r="C1297">
        <v>12</v>
      </c>
      <c r="D1297">
        <v>56.8</v>
      </c>
      <c r="E1297">
        <v>681.6</v>
      </c>
      <c r="F1297" s="58">
        <v>45707</v>
      </c>
      <c r="G1297" s="58">
        <v>45709</v>
      </c>
      <c r="H1297" t="s">
        <v>229</v>
      </c>
      <c r="I1297" t="s">
        <v>63</v>
      </c>
      <c r="J1297">
        <v>4</v>
      </c>
      <c r="K1297" t="s">
        <v>103</v>
      </c>
      <c r="L1297" t="s">
        <v>124</v>
      </c>
      <c r="M1297">
        <f>orders[[#This Row],[Ship Date]]-orders[[#This Row],[Order Date]]</f>
        <v>2</v>
      </c>
      <c r="N1297">
        <f>WEEKNUM(orders[[#This Row],[Order Date]],1)</f>
        <v>8</v>
      </c>
      <c r="O1297" t="str">
        <f t="array" ref="O1297">_xlfn.IFS(orders[[#This Row],[Customer Gender]]="M","Male", orders[[#This Row],[Customer Gender]]="F","Female", orders[[#This Row],[Customer Gender]]="O","Other", TRUE(),"Unknown")</f>
        <v>Male</v>
      </c>
    </row>
    <row r="1298" spans="1:15" x14ac:dyDescent="0.25">
      <c r="A1298" t="s">
        <v>1526</v>
      </c>
      <c r="B1298" t="s">
        <v>83</v>
      </c>
      <c r="C1298">
        <v>33</v>
      </c>
      <c r="D1298">
        <v>47.2</v>
      </c>
      <c r="E1298">
        <v>1557.6</v>
      </c>
      <c r="F1298" s="58">
        <v>45707</v>
      </c>
      <c r="G1298" s="58">
        <v>45710</v>
      </c>
      <c r="H1298" t="s">
        <v>231</v>
      </c>
      <c r="I1298" t="s">
        <v>63</v>
      </c>
      <c r="J1298">
        <v>4</v>
      </c>
      <c r="K1298" t="s">
        <v>103</v>
      </c>
      <c r="L1298" t="s">
        <v>124</v>
      </c>
      <c r="M1298">
        <f>orders[[#This Row],[Ship Date]]-orders[[#This Row],[Order Date]]</f>
        <v>3</v>
      </c>
      <c r="N1298">
        <f>WEEKNUM(orders[[#This Row],[Order Date]],1)</f>
        <v>8</v>
      </c>
      <c r="O1298" t="str">
        <f t="array" ref="O1298">_xlfn.IFS(orders[[#This Row],[Customer Gender]]="M","Male", orders[[#This Row],[Customer Gender]]="F","Female", orders[[#This Row],[Customer Gender]]="O","Other", TRUE(),"Unknown")</f>
        <v>Female</v>
      </c>
    </row>
    <row r="1299" spans="1:15" x14ac:dyDescent="0.25">
      <c r="A1299" t="s">
        <v>1527</v>
      </c>
      <c r="B1299" t="s">
        <v>79</v>
      </c>
      <c r="C1299">
        <v>6</v>
      </c>
      <c r="D1299">
        <v>45.1</v>
      </c>
      <c r="E1299">
        <v>270.60000000000002</v>
      </c>
      <c r="F1299" s="58">
        <v>45707</v>
      </c>
      <c r="G1299" s="58">
        <v>45708</v>
      </c>
      <c r="H1299" t="s">
        <v>231</v>
      </c>
      <c r="I1299" t="s">
        <v>62</v>
      </c>
      <c r="J1299">
        <v>4</v>
      </c>
      <c r="K1299" t="s">
        <v>103</v>
      </c>
      <c r="L1299" t="s">
        <v>126</v>
      </c>
      <c r="M1299">
        <f>orders[[#This Row],[Ship Date]]-orders[[#This Row],[Order Date]]</f>
        <v>1</v>
      </c>
      <c r="N1299">
        <f>WEEKNUM(orders[[#This Row],[Order Date]],1)</f>
        <v>8</v>
      </c>
      <c r="O1299" t="str">
        <f t="array" ref="O1299">_xlfn.IFS(orders[[#This Row],[Customer Gender]]="M","Male", orders[[#This Row],[Customer Gender]]="F","Female", orders[[#This Row],[Customer Gender]]="O","Other", TRUE(),"Unknown")</f>
        <v>Female</v>
      </c>
    </row>
    <row r="1300" spans="1:15" x14ac:dyDescent="0.25">
      <c r="A1300" t="s">
        <v>1528</v>
      </c>
      <c r="B1300" t="s">
        <v>78</v>
      </c>
      <c r="C1300">
        <v>12</v>
      </c>
      <c r="D1300">
        <v>25.2</v>
      </c>
      <c r="E1300">
        <v>302.39999999999998</v>
      </c>
      <c r="F1300" s="58">
        <v>45707</v>
      </c>
      <c r="G1300" s="58">
        <v>45712</v>
      </c>
      <c r="H1300" t="s">
        <v>231</v>
      </c>
      <c r="I1300" t="s">
        <v>62</v>
      </c>
      <c r="J1300">
        <v>4</v>
      </c>
      <c r="K1300" t="s">
        <v>103</v>
      </c>
      <c r="L1300" t="s">
        <v>133</v>
      </c>
      <c r="M1300">
        <f>orders[[#This Row],[Ship Date]]-orders[[#This Row],[Order Date]]</f>
        <v>5</v>
      </c>
      <c r="N1300">
        <f>WEEKNUM(orders[[#This Row],[Order Date]],1)</f>
        <v>8</v>
      </c>
      <c r="O1300" t="str">
        <f t="array" ref="O1300">_xlfn.IFS(orders[[#This Row],[Customer Gender]]="M","Male", orders[[#This Row],[Customer Gender]]="F","Female", orders[[#This Row],[Customer Gender]]="O","Other", TRUE(),"Unknown")</f>
        <v>Female</v>
      </c>
    </row>
    <row r="1301" spans="1:15" x14ac:dyDescent="0.25">
      <c r="A1301" t="s">
        <v>1529</v>
      </c>
      <c r="B1301" t="s">
        <v>90</v>
      </c>
      <c r="C1301">
        <v>1</v>
      </c>
      <c r="D1301">
        <v>22</v>
      </c>
      <c r="E1301">
        <v>22</v>
      </c>
      <c r="F1301" s="58">
        <v>45707</v>
      </c>
      <c r="G1301" s="58">
        <v>45708</v>
      </c>
      <c r="H1301" t="s">
        <v>231</v>
      </c>
      <c r="I1301" t="s">
        <v>59</v>
      </c>
      <c r="J1301">
        <v>4</v>
      </c>
      <c r="K1301" t="s">
        <v>103</v>
      </c>
      <c r="L1301" t="s">
        <v>136</v>
      </c>
      <c r="M1301">
        <f>orders[[#This Row],[Ship Date]]-orders[[#This Row],[Order Date]]</f>
        <v>1</v>
      </c>
      <c r="N1301">
        <f>WEEKNUM(orders[[#This Row],[Order Date]],1)</f>
        <v>8</v>
      </c>
      <c r="O1301" t="str">
        <f t="array" ref="O1301">_xlfn.IFS(orders[[#This Row],[Customer Gender]]="M","Male", orders[[#This Row],[Customer Gender]]="F","Female", orders[[#This Row],[Customer Gender]]="O","Other", TRUE(),"Unknown")</f>
        <v>Female</v>
      </c>
    </row>
    <row r="1302" spans="1:15" x14ac:dyDescent="0.25">
      <c r="A1302" t="s">
        <v>1530</v>
      </c>
      <c r="B1302" t="s">
        <v>80</v>
      </c>
      <c r="C1302">
        <v>2</v>
      </c>
      <c r="D1302">
        <v>42.2</v>
      </c>
      <c r="E1302">
        <v>84.4</v>
      </c>
      <c r="F1302" s="58">
        <v>45707</v>
      </c>
      <c r="G1302" s="58">
        <v>45708</v>
      </c>
      <c r="H1302" t="s">
        <v>231</v>
      </c>
      <c r="I1302" t="s">
        <v>63</v>
      </c>
      <c r="J1302">
        <v>3</v>
      </c>
      <c r="K1302" t="s">
        <v>103</v>
      </c>
      <c r="L1302" t="s">
        <v>138</v>
      </c>
      <c r="M1302">
        <f>orders[[#This Row],[Ship Date]]-orders[[#This Row],[Order Date]]</f>
        <v>1</v>
      </c>
      <c r="N1302">
        <f>WEEKNUM(orders[[#This Row],[Order Date]],1)</f>
        <v>8</v>
      </c>
      <c r="O1302" t="str">
        <f t="array" ref="O1302">_xlfn.IFS(orders[[#This Row],[Customer Gender]]="M","Male", orders[[#This Row],[Customer Gender]]="F","Female", orders[[#This Row],[Customer Gender]]="O","Other", TRUE(),"Unknown")</f>
        <v>Female</v>
      </c>
    </row>
    <row r="1303" spans="1:15" x14ac:dyDescent="0.25">
      <c r="A1303" t="s">
        <v>1531</v>
      </c>
      <c r="B1303" t="s">
        <v>92</v>
      </c>
      <c r="C1303">
        <v>3</v>
      </c>
      <c r="D1303">
        <v>20.5</v>
      </c>
      <c r="E1303">
        <v>61.5</v>
      </c>
      <c r="F1303" s="58">
        <v>45707</v>
      </c>
      <c r="G1303" s="58">
        <v>45708</v>
      </c>
      <c r="H1303" t="s">
        <v>229</v>
      </c>
      <c r="I1303" t="s">
        <v>59</v>
      </c>
      <c r="J1303">
        <v>3</v>
      </c>
      <c r="K1303" t="s">
        <v>103</v>
      </c>
      <c r="L1303" t="s">
        <v>139</v>
      </c>
      <c r="M1303">
        <f>orders[[#This Row],[Ship Date]]-orders[[#This Row],[Order Date]]</f>
        <v>1</v>
      </c>
      <c r="N1303">
        <f>WEEKNUM(orders[[#This Row],[Order Date]],1)</f>
        <v>8</v>
      </c>
      <c r="O1303" t="str">
        <f t="array" ref="O1303">_xlfn.IFS(orders[[#This Row],[Customer Gender]]="M","Male", orders[[#This Row],[Customer Gender]]="F","Female", orders[[#This Row],[Customer Gender]]="O","Other", TRUE(),"Unknown")</f>
        <v>Male</v>
      </c>
    </row>
    <row r="1304" spans="1:15" x14ac:dyDescent="0.25">
      <c r="A1304" t="s">
        <v>1532</v>
      </c>
      <c r="B1304" t="s">
        <v>87</v>
      </c>
      <c r="C1304">
        <v>1</v>
      </c>
      <c r="D1304">
        <v>190.4</v>
      </c>
      <c r="E1304">
        <v>190.4</v>
      </c>
      <c r="F1304" s="58">
        <v>45707</v>
      </c>
      <c r="G1304" s="58">
        <v>45712</v>
      </c>
      <c r="H1304" t="s">
        <v>229</v>
      </c>
      <c r="I1304" t="s">
        <v>63</v>
      </c>
      <c r="J1304">
        <v>2</v>
      </c>
      <c r="K1304" t="s">
        <v>103</v>
      </c>
      <c r="L1304" t="s">
        <v>139</v>
      </c>
      <c r="M1304">
        <f>orders[[#This Row],[Ship Date]]-orders[[#This Row],[Order Date]]</f>
        <v>5</v>
      </c>
      <c r="N1304">
        <f>WEEKNUM(orders[[#This Row],[Order Date]],1)</f>
        <v>8</v>
      </c>
      <c r="O1304" t="str">
        <f t="array" ref="O1304">_xlfn.IFS(orders[[#This Row],[Customer Gender]]="M","Male", orders[[#This Row],[Customer Gender]]="F","Female", orders[[#This Row],[Customer Gender]]="O","Other", TRUE(),"Unknown")</f>
        <v>Male</v>
      </c>
    </row>
    <row r="1305" spans="1:15" x14ac:dyDescent="0.25">
      <c r="A1305" t="s">
        <v>1533</v>
      </c>
      <c r="B1305" t="s">
        <v>87</v>
      </c>
      <c r="C1305">
        <v>1</v>
      </c>
      <c r="D1305">
        <v>121.9</v>
      </c>
      <c r="E1305">
        <v>121.9</v>
      </c>
      <c r="F1305" s="58">
        <v>45707</v>
      </c>
      <c r="G1305" s="58">
        <v>45709</v>
      </c>
      <c r="H1305" t="s">
        <v>231</v>
      </c>
      <c r="I1305" t="s">
        <v>63</v>
      </c>
      <c r="J1305">
        <v>5</v>
      </c>
      <c r="K1305" t="s">
        <v>103</v>
      </c>
      <c r="L1305" t="s">
        <v>139</v>
      </c>
      <c r="M1305">
        <f>orders[[#This Row],[Ship Date]]-orders[[#This Row],[Order Date]]</f>
        <v>2</v>
      </c>
      <c r="N1305">
        <f>WEEKNUM(orders[[#This Row],[Order Date]],1)</f>
        <v>8</v>
      </c>
      <c r="O1305" t="str">
        <f t="array" ref="O1305">_xlfn.IFS(orders[[#This Row],[Customer Gender]]="M","Male", orders[[#This Row],[Customer Gender]]="F","Female", orders[[#This Row],[Customer Gender]]="O","Other", TRUE(),"Unknown")</f>
        <v>Female</v>
      </c>
    </row>
    <row r="1306" spans="1:15" x14ac:dyDescent="0.25">
      <c r="A1306" t="s">
        <v>1534</v>
      </c>
      <c r="B1306" t="s">
        <v>87</v>
      </c>
      <c r="C1306">
        <v>6</v>
      </c>
      <c r="D1306">
        <v>149.19999999999999</v>
      </c>
      <c r="E1306">
        <v>895.2</v>
      </c>
      <c r="F1306" s="58">
        <v>45707</v>
      </c>
      <c r="G1306" s="58">
        <v>45708</v>
      </c>
      <c r="H1306" t="s">
        <v>231</v>
      </c>
      <c r="I1306" t="s">
        <v>62</v>
      </c>
      <c r="J1306">
        <v>5</v>
      </c>
      <c r="K1306" t="s">
        <v>103</v>
      </c>
      <c r="L1306" t="s">
        <v>141</v>
      </c>
      <c r="M1306">
        <f>orders[[#This Row],[Ship Date]]-orders[[#This Row],[Order Date]]</f>
        <v>1</v>
      </c>
      <c r="N1306">
        <f>WEEKNUM(orders[[#This Row],[Order Date]],1)</f>
        <v>8</v>
      </c>
      <c r="O1306" t="str">
        <f t="array" ref="O1306">_xlfn.IFS(orders[[#This Row],[Customer Gender]]="M","Male", orders[[#This Row],[Customer Gender]]="F","Female", orders[[#This Row],[Customer Gender]]="O","Other", TRUE(),"Unknown")</f>
        <v>Female</v>
      </c>
    </row>
    <row r="1307" spans="1:15" x14ac:dyDescent="0.25">
      <c r="A1307" t="s">
        <v>1535</v>
      </c>
      <c r="B1307" t="s">
        <v>87</v>
      </c>
      <c r="C1307">
        <v>1</v>
      </c>
      <c r="D1307">
        <v>54.1</v>
      </c>
      <c r="E1307">
        <v>54.1</v>
      </c>
      <c r="F1307" s="58">
        <v>45707</v>
      </c>
      <c r="G1307" s="58">
        <v>45716</v>
      </c>
      <c r="H1307" t="s">
        <v>231</v>
      </c>
      <c r="I1307" t="s">
        <v>62</v>
      </c>
      <c r="J1307">
        <v>5</v>
      </c>
      <c r="K1307" t="s">
        <v>103</v>
      </c>
      <c r="L1307" t="s">
        <v>141</v>
      </c>
      <c r="M1307">
        <f>orders[[#This Row],[Ship Date]]-orders[[#This Row],[Order Date]]</f>
        <v>9</v>
      </c>
      <c r="N1307">
        <f>WEEKNUM(orders[[#This Row],[Order Date]],1)</f>
        <v>8</v>
      </c>
      <c r="O1307" t="str">
        <f t="array" ref="O1307">_xlfn.IFS(orders[[#This Row],[Customer Gender]]="M","Male", orders[[#This Row],[Customer Gender]]="F","Female", orders[[#This Row],[Customer Gender]]="O","Other", TRUE(),"Unknown")</f>
        <v>Female</v>
      </c>
    </row>
    <row r="1308" spans="1:15" x14ac:dyDescent="0.25">
      <c r="A1308" t="s">
        <v>1536</v>
      </c>
      <c r="B1308" t="s">
        <v>85</v>
      </c>
      <c r="C1308">
        <v>2</v>
      </c>
      <c r="D1308">
        <v>27.4</v>
      </c>
      <c r="E1308">
        <v>54.8</v>
      </c>
      <c r="F1308" s="58">
        <v>45707</v>
      </c>
      <c r="G1308" s="58">
        <v>45709</v>
      </c>
      <c r="H1308" t="s">
        <v>229</v>
      </c>
      <c r="I1308" t="s">
        <v>63</v>
      </c>
      <c r="J1308">
        <v>4</v>
      </c>
      <c r="K1308" t="s">
        <v>103</v>
      </c>
      <c r="L1308" t="s">
        <v>142</v>
      </c>
      <c r="M1308">
        <f>orders[[#This Row],[Ship Date]]-orders[[#This Row],[Order Date]]</f>
        <v>2</v>
      </c>
      <c r="N1308">
        <f>WEEKNUM(orders[[#This Row],[Order Date]],1)</f>
        <v>8</v>
      </c>
      <c r="O1308" t="str">
        <f t="array" ref="O1308">_xlfn.IFS(orders[[#This Row],[Customer Gender]]="M","Male", orders[[#This Row],[Customer Gender]]="F","Female", orders[[#This Row],[Customer Gender]]="O","Other", TRUE(),"Unknown")</f>
        <v>Male</v>
      </c>
    </row>
    <row r="1309" spans="1:15" x14ac:dyDescent="0.25">
      <c r="A1309" t="s">
        <v>1537</v>
      </c>
      <c r="B1309" t="s">
        <v>86</v>
      </c>
      <c r="C1309">
        <v>13</v>
      </c>
      <c r="D1309">
        <v>30.4</v>
      </c>
      <c r="E1309">
        <v>395.2</v>
      </c>
      <c r="F1309" s="58">
        <v>45707</v>
      </c>
      <c r="G1309" s="58">
        <v>45708</v>
      </c>
      <c r="H1309" t="s">
        <v>231</v>
      </c>
      <c r="I1309" t="s">
        <v>59</v>
      </c>
      <c r="J1309">
        <v>5</v>
      </c>
      <c r="K1309" t="s">
        <v>103</v>
      </c>
      <c r="L1309" t="s">
        <v>142</v>
      </c>
      <c r="M1309">
        <f>orders[[#This Row],[Ship Date]]-orders[[#This Row],[Order Date]]</f>
        <v>1</v>
      </c>
      <c r="N1309">
        <f>WEEKNUM(orders[[#This Row],[Order Date]],1)</f>
        <v>8</v>
      </c>
      <c r="O1309" t="str">
        <f t="array" ref="O1309">_xlfn.IFS(orders[[#This Row],[Customer Gender]]="M","Male", orders[[#This Row],[Customer Gender]]="F","Female", orders[[#This Row],[Customer Gender]]="O","Other", TRUE(),"Unknown")</f>
        <v>Female</v>
      </c>
    </row>
    <row r="1310" spans="1:15" x14ac:dyDescent="0.25">
      <c r="A1310" t="s">
        <v>1538</v>
      </c>
      <c r="B1310" t="s">
        <v>76</v>
      </c>
      <c r="C1310">
        <v>3</v>
      </c>
      <c r="D1310">
        <v>46.2</v>
      </c>
      <c r="E1310">
        <v>138.6</v>
      </c>
      <c r="F1310" s="58">
        <v>45707</v>
      </c>
      <c r="G1310" s="58">
        <v>45709</v>
      </c>
      <c r="H1310" t="s">
        <v>229</v>
      </c>
      <c r="I1310" t="s">
        <v>62</v>
      </c>
      <c r="J1310">
        <v>3</v>
      </c>
      <c r="K1310" t="s">
        <v>103</v>
      </c>
      <c r="L1310" t="s">
        <v>143</v>
      </c>
      <c r="M1310">
        <f>orders[[#This Row],[Ship Date]]-orders[[#This Row],[Order Date]]</f>
        <v>2</v>
      </c>
      <c r="N1310">
        <f>WEEKNUM(orders[[#This Row],[Order Date]],1)</f>
        <v>8</v>
      </c>
      <c r="O1310" t="str">
        <f t="array" ref="O1310">_xlfn.IFS(orders[[#This Row],[Customer Gender]]="M","Male", orders[[#This Row],[Customer Gender]]="F","Female", orders[[#This Row],[Customer Gender]]="O","Other", TRUE(),"Unknown")</f>
        <v>Male</v>
      </c>
    </row>
    <row r="1311" spans="1:15" x14ac:dyDescent="0.25">
      <c r="A1311" t="s">
        <v>1539</v>
      </c>
      <c r="B1311" t="s">
        <v>79</v>
      </c>
      <c r="C1311">
        <v>8</v>
      </c>
      <c r="D1311">
        <v>78.599999999999994</v>
      </c>
      <c r="E1311">
        <v>628.79999999999995</v>
      </c>
      <c r="F1311" s="58">
        <v>45707</v>
      </c>
      <c r="G1311" s="58">
        <v>45711</v>
      </c>
      <c r="H1311" t="s">
        <v>229</v>
      </c>
      <c r="I1311" t="s">
        <v>60</v>
      </c>
      <c r="J1311">
        <v>4</v>
      </c>
      <c r="K1311" t="s">
        <v>103</v>
      </c>
      <c r="L1311" t="s">
        <v>143</v>
      </c>
      <c r="M1311">
        <f>orders[[#This Row],[Ship Date]]-orders[[#This Row],[Order Date]]</f>
        <v>4</v>
      </c>
      <c r="N1311">
        <f>WEEKNUM(orders[[#This Row],[Order Date]],1)</f>
        <v>8</v>
      </c>
      <c r="O1311" t="str">
        <f t="array" ref="O1311">_xlfn.IFS(orders[[#This Row],[Customer Gender]]="M","Male", orders[[#This Row],[Customer Gender]]="F","Female", orders[[#This Row],[Customer Gender]]="O","Other", TRUE(),"Unknown")</f>
        <v>Male</v>
      </c>
    </row>
    <row r="1312" spans="1:15" x14ac:dyDescent="0.25">
      <c r="A1312" t="s">
        <v>1540</v>
      </c>
      <c r="B1312" t="s">
        <v>84</v>
      </c>
      <c r="C1312">
        <v>10</v>
      </c>
      <c r="D1312">
        <v>25.9</v>
      </c>
      <c r="E1312">
        <v>259</v>
      </c>
      <c r="F1312" s="58">
        <v>45707</v>
      </c>
      <c r="G1312" s="58">
        <v>45713</v>
      </c>
      <c r="H1312" t="s">
        <v>229</v>
      </c>
      <c r="I1312" t="s">
        <v>61</v>
      </c>
      <c r="J1312">
        <v>4</v>
      </c>
      <c r="K1312" t="s">
        <v>103</v>
      </c>
      <c r="L1312" t="s">
        <v>146</v>
      </c>
      <c r="M1312">
        <f>orders[[#This Row],[Ship Date]]-orders[[#This Row],[Order Date]]</f>
        <v>6</v>
      </c>
      <c r="N1312">
        <f>WEEKNUM(orders[[#This Row],[Order Date]],1)</f>
        <v>8</v>
      </c>
      <c r="O1312" t="str">
        <f t="array" ref="O1312">_xlfn.IFS(orders[[#This Row],[Customer Gender]]="M","Male", orders[[#This Row],[Customer Gender]]="F","Female", orders[[#This Row],[Customer Gender]]="O","Other", TRUE(),"Unknown")</f>
        <v>Male</v>
      </c>
    </row>
    <row r="1313" spans="1:15" x14ac:dyDescent="0.25">
      <c r="A1313" t="s">
        <v>1541</v>
      </c>
      <c r="B1313" t="s">
        <v>80</v>
      </c>
      <c r="C1313">
        <v>1</v>
      </c>
      <c r="D1313">
        <v>134.80000000000001</v>
      </c>
      <c r="E1313">
        <v>134.80000000000001</v>
      </c>
      <c r="F1313" s="58">
        <v>45707</v>
      </c>
      <c r="G1313" s="58">
        <v>45709</v>
      </c>
      <c r="H1313" t="s">
        <v>229</v>
      </c>
      <c r="I1313" t="s">
        <v>62</v>
      </c>
      <c r="J1313">
        <v>5</v>
      </c>
      <c r="K1313" t="s">
        <v>103</v>
      </c>
      <c r="L1313" t="s">
        <v>146</v>
      </c>
      <c r="M1313">
        <f>orders[[#This Row],[Ship Date]]-orders[[#This Row],[Order Date]]</f>
        <v>2</v>
      </c>
      <c r="N1313">
        <f>WEEKNUM(orders[[#This Row],[Order Date]],1)</f>
        <v>8</v>
      </c>
      <c r="O1313" t="str">
        <f t="array" ref="O1313">_xlfn.IFS(orders[[#This Row],[Customer Gender]]="M","Male", orders[[#This Row],[Customer Gender]]="F","Female", orders[[#This Row],[Customer Gender]]="O","Other", TRUE(),"Unknown")</f>
        <v>Male</v>
      </c>
    </row>
    <row r="1314" spans="1:15" x14ac:dyDescent="0.25">
      <c r="A1314" t="s">
        <v>1542</v>
      </c>
      <c r="B1314" t="s">
        <v>77</v>
      </c>
      <c r="C1314">
        <v>5</v>
      </c>
      <c r="D1314">
        <v>43.1</v>
      </c>
      <c r="E1314">
        <v>215.5</v>
      </c>
      <c r="F1314" s="58">
        <v>45707</v>
      </c>
      <c r="G1314" s="58">
        <v>45709</v>
      </c>
      <c r="H1314" t="s">
        <v>231</v>
      </c>
      <c r="I1314" t="s">
        <v>59</v>
      </c>
      <c r="J1314">
        <v>4</v>
      </c>
      <c r="K1314" t="s">
        <v>103</v>
      </c>
      <c r="L1314" t="s">
        <v>148</v>
      </c>
      <c r="M1314">
        <f>orders[[#This Row],[Ship Date]]-orders[[#This Row],[Order Date]]</f>
        <v>2</v>
      </c>
      <c r="N1314">
        <f>WEEKNUM(orders[[#This Row],[Order Date]],1)</f>
        <v>8</v>
      </c>
      <c r="O1314" t="str">
        <f t="array" ref="O1314">_xlfn.IFS(orders[[#This Row],[Customer Gender]]="M","Male", orders[[#This Row],[Customer Gender]]="F","Female", orders[[#This Row],[Customer Gender]]="O","Other", TRUE(),"Unknown")</f>
        <v>Female</v>
      </c>
    </row>
    <row r="1315" spans="1:15" x14ac:dyDescent="0.25">
      <c r="A1315" t="s">
        <v>1543</v>
      </c>
      <c r="B1315" t="s">
        <v>87</v>
      </c>
      <c r="C1315">
        <v>2</v>
      </c>
      <c r="D1315">
        <v>215.6</v>
      </c>
      <c r="E1315">
        <v>431.2</v>
      </c>
      <c r="F1315" s="58">
        <v>45707</v>
      </c>
      <c r="G1315" s="58">
        <v>45708</v>
      </c>
      <c r="H1315" t="s">
        <v>231</v>
      </c>
      <c r="I1315" t="s">
        <v>62</v>
      </c>
      <c r="J1315">
        <v>4</v>
      </c>
      <c r="K1315" t="s">
        <v>103</v>
      </c>
      <c r="L1315" t="s">
        <v>154</v>
      </c>
      <c r="M1315">
        <f>orders[[#This Row],[Ship Date]]-orders[[#This Row],[Order Date]]</f>
        <v>1</v>
      </c>
      <c r="N1315">
        <f>WEEKNUM(orders[[#This Row],[Order Date]],1)</f>
        <v>8</v>
      </c>
      <c r="O1315" t="str">
        <f t="array" ref="O1315">_xlfn.IFS(orders[[#This Row],[Customer Gender]]="M","Male", orders[[#This Row],[Customer Gender]]="F","Female", orders[[#This Row],[Customer Gender]]="O","Other", TRUE(),"Unknown")</f>
        <v>Female</v>
      </c>
    </row>
    <row r="1316" spans="1:15" x14ac:dyDescent="0.25">
      <c r="A1316" t="s">
        <v>1544</v>
      </c>
      <c r="B1316" t="s">
        <v>80</v>
      </c>
      <c r="C1316">
        <v>2</v>
      </c>
      <c r="D1316">
        <v>80.7</v>
      </c>
      <c r="E1316">
        <v>161.4</v>
      </c>
      <c r="F1316" s="58">
        <v>45707</v>
      </c>
      <c r="G1316" s="58">
        <v>45710</v>
      </c>
      <c r="H1316" t="s">
        <v>231</v>
      </c>
      <c r="I1316" t="s">
        <v>60</v>
      </c>
      <c r="J1316">
        <v>4</v>
      </c>
      <c r="K1316" t="s">
        <v>103</v>
      </c>
      <c r="L1316" t="s">
        <v>154</v>
      </c>
      <c r="M1316">
        <f>orders[[#This Row],[Ship Date]]-orders[[#This Row],[Order Date]]</f>
        <v>3</v>
      </c>
      <c r="N1316">
        <f>WEEKNUM(orders[[#This Row],[Order Date]],1)</f>
        <v>8</v>
      </c>
      <c r="O1316" t="str">
        <f t="array" ref="O1316">_xlfn.IFS(orders[[#This Row],[Customer Gender]]="M","Male", orders[[#This Row],[Customer Gender]]="F","Female", orders[[#This Row],[Customer Gender]]="O","Other", TRUE(),"Unknown")</f>
        <v>Female</v>
      </c>
    </row>
    <row r="1317" spans="1:15" x14ac:dyDescent="0.25">
      <c r="A1317" t="s">
        <v>1545</v>
      </c>
      <c r="B1317" t="s">
        <v>75</v>
      </c>
      <c r="C1317">
        <v>7</v>
      </c>
      <c r="D1317">
        <v>20.6</v>
      </c>
      <c r="E1317">
        <v>144.19999999999999</v>
      </c>
      <c r="F1317" s="58">
        <v>45707</v>
      </c>
      <c r="G1317" s="58">
        <v>45712</v>
      </c>
      <c r="I1317" t="s">
        <v>62</v>
      </c>
      <c r="J1317">
        <v>3</v>
      </c>
      <c r="K1317" t="s">
        <v>103</v>
      </c>
      <c r="L1317" t="s">
        <v>155</v>
      </c>
      <c r="M1317">
        <f>orders[[#This Row],[Ship Date]]-orders[[#This Row],[Order Date]]</f>
        <v>5</v>
      </c>
      <c r="N1317">
        <f>WEEKNUM(orders[[#This Row],[Order Date]],1)</f>
        <v>8</v>
      </c>
      <c r="O1317" t="str">
        <f t="array" ref="O1317">_xlfn.IFS(orders[[#This Row],[Customer Gender]]="M","Male", orders[[#This Row],[Customer Gender]]="F","Female", orders[[#This Row],[Customer Gender]]="O","Other", TRUE(),"Unknown")</f>
        <v>Unknown</v>
      </c>
    </row>
    <row r="1318" spans="1:15" x14ac:dyDescent="0.25">
      <c r="A1318" t="s">
        <v>1546</v>
      </c>
      <c r="B1318" t="s">
        <v>76</v>
      </c>
      <c r="C1318">
        <v>3</v>
      </c>
      <c r="D1318">
        <v>37.1</v>
      </c>
      <c r="E1318">
        <v>111.3</v>
      </c>
      <c r="F1318" s="58">
        <v>45707</v>
      </c>
      <c r="G1318" s="58">
        <v>45708</v>
      </c>
      <c r="H1318" t="s">
        <v>231</v>
      </c>
      <c r="I1318" t="s">
        <v>59</v>
      </c>
      <c r="J1318">
        <v>4</v>
      </c>
      <c r="K1318" t="s">
        <v>103</v>
      </c>
      <c r="L1318" t="s">
        <v>160</v>
      </c>
      <c r="M1318">
        <f>orders[[#This Row],[Ship Date]]-orders[[#This Row],[Order Date]]</f>
        <v>1</v>
      </c>
      <c r="N1318">
        <f>WEEKNUM(orders[[#This Row],[Order Date]],1)</f>
        <v>8</v>
      </c>
      <c r="O1318" t="str">
        <f t="array" ref="O1318">_xlfn.IFS(orders[[#This Row],[Customer Gender]]="M","Male", orders[[#This Row],[Customer Gender]]="F","Female", orders[[#This Row],[Customer Gender]]="O","Other", TRUE(),"Unknown")</f>
        <v>Female</v>
      </c>
    </row>
    <row r="1319" spans="1:15" x14ac:dyDescent="0.25">
      <c r="A1319" t="s">
        <v>1547</v>
      </c>
      <c r="B1319" t="s">
        <v>76</v>
      </c>
      <c r="C1319">
        <v>1</v>
      </c>
      <c r="D1319">
        <v>104.8</v>
      </c>
      <c r="E1319">
        <v>104.8</v>
      </c>
      <c r="F1319" s="58">
        <v>45708</v>
      </c>
      <c r="G1319" s="58">
        <v>45710</v>
      </c>
      <c r="H1319" t="s">
        <v>231</v>
      </c>
      <c r="I1319" t="s">
        <v>59</v>
      </c>
      <c r="J1319">
        <v>4</v>
      </c>
      <c r="K1319" t="s">
        <v>103</v>
      </c>
      <c r="L1319" t="s">
        <v>161</v>
      </c>
      <c r="M1319">
        <f>orders[[#This Row],[Ship Date]]-orders[[#This Row],[Order Date]]</f>
        <v>2</v>
      </c>
      <c r="N1319">
        <f>WEEKNUM(orders[[#This Row],[Order Date]],1)</f>
        <v>8</v>
      </c>
      <c r="O1319" t="str">
        <f t="array" ref="O1319">_xlfn.IFS(orders[[#This Row],[Customer Gender]]="M","Male", orders[[#This Row],[Customer Gender]]="F","Female", orders[[#This Row],[Customer Gender]]="O","Other", TRUE(),"Unknown")</f>
        <v>Female</v>
      </c>
    </row>
    <row r="1320" spans="1:15" x14ac:dyDescent="0.25">
      <c r="A1320" t="s">
        <v>1548</v>
      </c>
      <c r="B1320" t="s">
        <v>90</v>
      </c>
      <c r="C1320">
        <v>2</v>
      </c>
      <c r="D1320">
        <v>59</v>
      </c>
      <c r="E1320">
        <v>118</v>
      </c>
      <c r="F1320" s="58">
        <v>45708</v>
      </c>
      <c r="G1320" s="58">
        <v>45709</v>
      </c>
      <c r="H1320" t="s">
        <v>229</v>
      </c>
      <c r="I1320" t="s">
        <v>63</v>
      </c>
      <c r="J1320">
        <v>4</v>
      </c>
      <c r="K1320" t="s">
        <v>103</v>
      </c>
      <c r="L1320" t="s">
        <v>106</v>
      </c>
      <c r="M1320">
        <f>orders[[#This Row],[Ship Date]]-orders[[#This Row],[Order Date]]</f>
        <v>1</v>
      </c>
      <c r="N1320">
        <f>WEEKNUM(orders[[#This Row],[Order Date]],1)</f>
        <v>8</v>
      </c>
      <c r="O1320" t="str">
        <f t="array" ref="O1320">_xlfn.IFS(orders[[#This Row],[Customer Gender]]="M","Male", orders[[#This Row],[Customer Gender]]="F","Female", orders[[#This Row],[Customer Gender]]="O","Other", TRUE(),"Unknown")</f>
        <v>Male</v>
      </c>
    </row>
    <row r="1321" spans="1:15" x14ac:dyDescent="0.25">
      <c r="A1321" t="s">
        <v>1549</v>
      </c>
      <c r="B1321" t="s">
        <v>90</v>
      </c>
      <c r="C1321">
        <v>2</v>
      </c>
      <c r="D1321">
        <v>32.299999999999997</v>
      </c>
      <c r="E1321">
        <v>64.599999999999994</v>
      </c>
      <c r="F1321" s="58">
        <v>45708</v>
      </c>
      <c r="G1321" s="58">
        <v>45709</v>
      </c>
      <c r="H1321" t="s">
        <v>229</v>
      </c>
      <c r="I1321" t="s">
        <v>59</v>
      </c>
      <c r="J1321">
        <v>5</v>
      </c>
      <c r="K1321" t="s">
        <v>103</v>
      </c>
      <c r="L1321" t="s">
        <v>106</v>
      </c>
      <c r="M1321">
        <f>orders[[#This Row],[Ship Date]]-orders[[#This Row],[Order Date]]</f>
        <v>1</v>
      </c>
      <c r="N1321">
        <f>WEEKNUM(orders[[#This Row],[Order Date]],1)</f>
        <v>8</v>
      </c>
      <c r="O1321" t="str">
        <f t="array" ref="O1321">_xlfn.IFS(orders[[#This Row],[Customer Gender]]="M","Male", orders[[#This Row],[Customer Gender]]="F","Female", orders[[#This Row],[Customer Gender]]="O","Other", TRUE(),"Unknown")</f>
        <v>Male</v>
      </c>
    </row>
    <row r="1322" spans="1:15" x14ac:dyDescent="0.25">
      <c r="A1322" t="s">
        <v>1550</v>
      </c>
      <c r="B1322" t="s">
        <v>90</v>
      </c>
      <c r="C1322">
        <v>4</v>
      </c>
      <c r="D1322">
        <v>28.9</v>
      </c>
      <c r="E1322">
        <v>115.6</v>
      </c>
      <c r="F1322" s="58">
        <v>45708</v>
      </c>
      <c r="G1322" s="58">
        <v>45715</v>
      </c>
      <c r="H1322" t="s">
        <v>229</v>
      </c>
      <c r="I1322" t="s">
        <v>59</v>
      </c>
      <c r="J1322">
        <v>4</v>
      </c>
      <c r="K1322" t="s">
        <v>103</v>
      </c>
      <c r="L1322" t="s">
        <v>112</v>
      </c>
      <c r="M1322">
        <f>orders[[#This Row],[Ship Date]]-orders[[#This Row],[Order Date]]</f>
        <v>7</v>
      </c>
      <c r="N1322">
        <f>WEEKNUM(orders[[#This Row],[Order Date]],1)</f>
        <v>8</v>
      </c>
      <c r="O1322" t="str">
        <f t="array" ref="O1322">_xlfn.IFS(orders[[#This Row],[Customer Gender]]="M","Male", orders[[#This Row],[Customer Gender]]="F","Female", orders[[#This Row],[Customer Gender]]="O","Other", TRUE(),"Unknown")</f>
        <v>Male</v>
      </c>
    </row>
    <row r="1323" spans="1:15" x14ac:dyDescent="0.25">
      <c r="A1323" t="s">
        <v>1551</v>
      </c>
      <c r="B1323" t="s">
        <v>86</v>
      </c>
      <c r="C1323">
        <v>2</v>
      </c>
      <c r="D1323">
        <v>29.6</v>
      </c>
      <c r="E1323">
        <v>59.2</v>
      </c>
      <c r="F1323" s="58">
        <v>45708</v>
      </c>
      <c r="G1323" s="58">
        <v>45710</v>
      </c>
      <c r="H1323" t="s">
        <v>229</v>
      </c>
      <c r="I1323" t="s">
        <v>59</v>
      </c>
      <c r="J1323">
        <v>4</v>
      </c>
      <c r="K1323" t="s">
        <v>103</v>
      </c>
      <c r="L1323" t="s">
        <v>112</v>
      </c>
      <c r="M1323">
        <f>orders[[#This Row],[Ship Date]]-orders[[#This Row],[Order Date]]</f>
        <v>2</v>
      </c>
      <c r="N1323">
        <f>WEEKNUM(orders[[#This Row],[Order Date]],1)</f>
        <v>8</v>
      </c>
      <c r="O1323" t="str">
        <f t="array" ref="O1323">_xlfn.IFS(orders[[#This Row],[Customer Gender]]="M","Male", orders[[#This Row],[Customer Gender]]="F","Female", orders[[#This Row],[Customer Gender]]="O","Other", TRUE(),"Unknown")</f>
        <v>Male</v>
      </c>
    </row>
    <row r="1324" spans="1:15" x14ac:dyDescent="0.25">
      <c r="A1324" t="s">
        <v>1552</v>
      </c>
      <c r="B1324" t="s">
        <v>86</v>
      </c>
      <c r="C1324">
        <v>5</v>
      </c>
      <c r="D1324">
        <v>29.4</v>
      </c>
      <c r="E1324">
        <v>147</v>
      </c>
      <c r="F1324" s="58">
        <v>45708</v>
      </c>
      <c r="G1324" s="58">
        <v>45711</v>
      </c>
      <c r="H1324" t="s">
        <v>231</v>
      </c>
      <c r="I1324" t="s">
        <v>59</v>
      </c>
      <c r="J1324">
        <v>4</v>
      </c>
      <c r="K1324" t="s">
        <v>103</v>
      </c>
      <c r="L1324" t="s">
        <v>112</v>
      </c>
      <c r="M1324">
        <f>orders[[#This Row],[Ship Date]]-orders[[#This Row],[Order Date]]</f>
        <v>3</v>
      </c>
      <c r="N1324">
        <f>WEEKNUM(orders[[#This Row],[Order Date]],1)</f>
        <v>8</v>
      </c>
      <c r="O1324" t="str">
        <f t="array" ref="O1324">_xlfn.IFS(orders[[#This Row],[Customer Gender]]="M","Male", orders[[#This Row],[Customer Gender]]="F","Female", orders[[#This Row],[Customer Gender]]="O","Other", TRUE(),"Unknown")</f>
        <v>Female</v>
      </c>
    </row>
    <row r="1325" spans="1:15" x14ac:dyDescent="0.25">
      <c r="A1325" t="s">
        <v>1553</v>
      </c>
      <c r="B1325" t="s">
        <v>91</v>
      </c>
      <c r="C1325">
        <v>2</v>
      </c>
      <c r="D1325">
        <v>40.6</v>
      </c>
      <c r="E1325">
        <v>81.2</v>
      </c>
      <c r="F1325" s="58">
        <v>45708</v>
      </c>
      <c r="G1325" s="58">
        <v>45709</v>
      </c>
      <c r="H1325" t="s">
        <v>229</v>
      </c>
      <c r="I1325" t="s">
        <v>59</v>
      </c>
      <c r="J1325">
        <v>2</v>
      </c>
      <c r="K1325" t="s">
        <v>103</v>
      </c>
      <c r="L1325" t="s">
        <v>115</v>
      </c>
      <c r="M1325">
        <f>orders[[#This Row],[Ship Date]]-orders[[#This Row],[Order Date]]</f>
        <v>1</v>
      </c>
      <c r="N1325">
        <f>WEEKNUM(orders[[#This Row],[Order Date]],1)</f>
        <v>8</v>
      </c>
      <c r="O1325" t="str">
        <f t="array" ref="O1325">_xlfn.IFS(orders[[#This Row],[Customer Gender]]="M","Male", orders[[#This Row],[Customer Gender]]="F","Female", orders[[#This Row],[Customer Gender]]="O","Other", TRUE(),"Unknown")</f>
        <v>Male</v>
      </c>
    </row>
    <row r="1326" spans="1:15" x14ac:dyDescent="0.25">
      <c r="A1326" t="s">
        <v>1554</v>
      </c>
      <c r="B1326" t="s">
        <v>86</v>
      </c>
      <c r="C1326">
        <v>3</v>
      </c>
      <c r="D1326">
        <v>32.5</v>
      </c>
      <c r="E1326">
        <v>97.5</v>
      </c>
      <c r="F1326" s="58">
        <v>45708</v>
      </c>
      <c r="G1326" s="58">
        <v>45709</v>
      </c>
      <c r="H1326" t="s">
        <v>229</v>
      </c>
      <c r="I1326" t="s">
        <v>60</v>
      </c>
      <c r="J1326">
        <v>5</v>
      </c>
      <c r="K1326" t="s">
        <v>103</v>
      </c>
      <c r="L1326" t="s">
        <v>120</v>
      </c>
      <c r="M1326">
        <f>orders[[#This Row],[Ship Date]]-orders[[#This Row],[Order Date]]</f>
        <v>1</v>
      </c>
      <c r="N1326">
        <f>WEEKNUM(orders[[#This Row],[Order Date]],1)</f>
        <v>8</v>
      </c>
      <c r="O1326" t="str">
        <f t="array" ref="O1326">_xlfn.IFS(orders[[#This Row],[Customer Gender]]="M","Male", orders[[#This Row],[Customer Gender]]="F","Female", orders[[#This Row],[Customer Gender]]="O","Other", TRUE(),"Unknown")</f>
        <v>Male</v>
      </c>
    </row>
    <row r="1327" spans="1:15" x14ac:dyDescent="0.25">
      <c r="A1327" t="s">
        <v>1555</v>
      </c>
      <c r="B1327" t="s">
        <v>77</v>
      </c>
      <c r="C1327">
        <v>1</v>
      </c>
      <c r="D1327">
        <v>26.2</v>
      </c>
      <c r="E1327">
        <v>26.2</v>
      </c>
      <c r="F1327" s="58">
        <v>45708</v>
      </c>
      <c r="G1327" s="58">
        <v>45710</v>
      </c>
      <c r="H1327" t="s">
        <v>229</v>
      </c>
      <c r="I1327" t="s">
        <v>62</v>
      </c>
      <c r="J1327">
        <v>4</v>
      </c>
      <c r="K1327" t="s">
        <v>103</v>
      </c>
      <c r="L1327" t="s">
        <v>123</v>
      </c>
      <c r="M1327">
        <f>orders[[#This Row],[Ship Date]]-orders[[#This Row],[Order Date]]</f>
        <v>2</v>
      </c>
      <c r="N1327">
        <f>WEEKNUM(orders[[#This Row],[Order Date]],1)</f>
        <v>8</v>
      </c>
      <c r="O1327" t="str">
        <f t="array" ref="O1327">_xlfn.IFS(orders[[#This Row],[Customer Gender]]="M","Male", orders[[#This Row],[Customer Gender]]="F","Female", orders[[#This Row],[Customer Gender]]="O","Other", TRUE(),"Unknown")</f>
        <v>Male</v>
      </c>
    </row>
    <row r="1328" spans="1:15" x14ac:dyDescent="0.25">
      <c r="A1328" t="s">
        <v>1556</v>
      </c>
      <c r="B1328" t="s">
        <v>75</v>
      </c>
      <c r="C1328">
        <v>30</v>
      </c>
      <c r="D1328">
        <v>44</v>
      </c>
      <c r="E1328">
        <v>1320</v>
      </c>
      <c r="F1328" s="58">
        <v>45708</v>
      </c>
      <c r="G1328" s="58">
        <v>45714</v>
      </c>
      <c r="H1328" t="s">
        <v>229</v>
      </c>
      <c r="I1328" t="s">
        <v>61</v>
      </c>
      <c r="J1328">
        <v>4</v>
      </c>
      <c r="K1328" t="s">
        <v>103</v>
      </c>
      <c r="L1328" t="s">
        <v>124</v>
      </c>
      <c r="M1328">
        <f>orders[[#This Row],[Ship Date]]-orders[[#This Row],[Order Date]]</f>
        <v>6</v>
      </c>
      <c r="N1328">
        <f>WEEKNUM(orders[[#This Row],[Order Date]],1)</f>
        <v>8</v>
      </c>
      <c r="O1328" t="str">
        <f t="array" ref="O1328">_xlfn.IFS(orders[[#This Row],[Customer Gender]]="M","Male", orders[[#This Row],[Customer Gender]]="F","Female", orders[[#This Row],[Customer Gender]]="O","Other", TRUE(),"Unknown")</f>
        <v>Male</v>
      </c>
    </row>
    <row r="1329" spans="1:15" x14ac:dyDescent="0.25">
      <c r="A1329" t="s">
        <v>1557</v>
      </c>
      <c r="B1329" t="s">
        <v>79</v>
      </c>
      <c r="C1329">
        <v>4</v>
      </c>
      <c r="D1329">
        <v>65.599999999999994</v>
      </c>
      <c r="E1329">
        <v>262.39999999999998</v>
      </c>
      <c r="F1329" s="58">
        <v>45708</v>
      </c>
      <c r="G1329" s="58">
        <v>45709</v>
      </c>
      <c r="H1329" t="s">
        <v>231</v>
      </c>
      <c r="I1329" t="s">
        <v>63</v>
      </c>
      <c r="J1329">
        <v>3</v>
      </c>
      <c r="K1329" t="s">
        <v>103</v>
      </c>
      <c r="L1329" t="s">
        <v>124</v>
      </c>
      <c r="M1329">
        <f>orders[[#This Row],[Ship Date]]-orders[[#This Row],[Order Date]]</f>
        <v>1</v>
      </c>
      <c r="N1329">
        <f>WEEKNUM(orders[[#This Row],[Order Date]],1)</f>
        <v>8</v>
      </c>
      <c r="O1329" t="str">
        <f t="array" ref="O1329">_xlfn.IFS(orders[[#This Row],[Customer Gender]]="M","Male", orders[[#This Row],[Customer Gender]]="F","Female", orders[[#This Row],[Customer Gender]]="O","Other", TRUE(),"Unknown")</f>
        <v>Female</v>
      </c>
    </row>
    <row r="1330" spans="1:15" x14ac:dyDescent="0.25">
      <c r="A1330" t="s">
        <v>1558</v>
      </c>
      <c r="B1330" t="s">
        <v>85</v>
      </c>
      <c r="C1330">
        <v>12</v>
      </c>
      <c r="D1330">
        <v>32.6</v>
      </c>
      <c r="E1330">
        <v>391.2</v>
      </c>
      <c r="F1330" s="58">
        <v>45708</v>
      </c>
      <c r="G1330" s="58">
        <v>45709</v>
      </c>
      <c r="H1330" t="s">
        <v>229</v>
      </c>
      <c r="I1330" t="s">
        <v>61</v>
      </c>
      <c r="J1330">
        <v>4</v>
      </c>
      <c r="K1330" t="s">
        <v>103</v>
      </c>
      <c r="L1330" t="s">
        <v>124</v>
      </c>
      <c r="M1330">
        <f>orders[[#This Row],[Ship Date]]-orders[[#This Row],[Order Date]]</f>
        <v>1</v>
      </c>
      <c r="N1330">
        <f>WEEKNUM(orders[[#This Row],[Order Date]],1)</f>
        <v>8</v>
      </c>
      <c r="O1330" t="str">
        <f t="array" ref="O1330">_xlfn.IFS(orders[[#This Row],[Customer Gender]]="M","Male", orders[[#This Row],[Customer Gender]]="F","Female", orders[[#This Row],[Customer Gender]]="O","Other", TRUE(),"Unknown")</f>
        <v>Male</v>
      </c>
    </row>
    <row r="1331" spans="1:15" x14ac:dyDescent="0.25">
      <c r="A1331" t="s">
        <v>1559</v>
      </c>
      <c r="B1331" t="s">
        <v>89</v>
      </c>
      <c r="C1331">
        <v>2</v>
      </c>
      <c r="D1331">
        <v>88.7</v>
      </c>
      <c r="E1331">
        <v>177.4</v>
      </c>
      <c r="F1331" s="58">
        <v>45708</v>
      </c>
      <c r="G1331" s="58">
        <v>45709</v>
      </c>
      <c r="I1331" t="s">
        <v>60</v>
      </c>
      <c r="J1331">
        <v>5</v>
      </c>
      <c r="K1331" t="s">
        <v>103</v>
      </c>
      <c r="L1331" t="s">
        <v>124</v>
      </c>
      <c r="M1331">
        <f>orders[[#This Row],[Ship Date]]-orders[[#This Row],[Order Date]]</f>
        <v>1</v>
      </c>
      <c r="N1331">
        <f>WEEKNUM(orders[[#This Row],[Order Date]],1)</f>
        <v>8</v>
      </c>
      <c r="O1331" t="str">
        <f t="array" ref="O1331">_xlfn.IFS(orders[[#This Row],[Customer Gender]]="M","Male", orders[[#This Row],[Customer Gender]]="F","Female", orders[[#This Row],[Customer Gender]]="O","Other", TRUE(),"Unknown")</f>
        <v>Unknown</v>
      </c>
    </row>
    <row r="1332" spans="1:15" x14ac:dyDescent="0.25">
      <c r="A1332" t="s">
        <v>1560</v>
      </c>
      <c r="B1332" t="s">
        <v>78</v>
      </c>
      <c r="C1332">
        <v>2</v>
      </c>
      <c r="D1332">
        <v>21.3</v>
      </c>
      <c r="E1332">
        <v>42.6</v>
      </c>
      <c r="F1332" s="58">
        <v>45708</v>
      </c>
      <c r="G1332" s="58">
        <v>45709</v>
      </c>
      <c r="H1332" t="s">
        <v>229</v>
      </c>
      <c r="I1332" t="s">
        <v>59</v>
      </c>
      <c r="J1332">
        <v>4</v>
      </c>
      <c r="K1332" t="s">
        <v>103</v>
      </c>
      <c r="L1332" t="s">
        <v>124</v>
      </c>
      <c r="M1332">
        <f>orders[[#This Row],[Ship Date]]-orders[[#This Row],[Order Date]]</f>
        <v>1</v>
      </c>
      <c r="N1332">
        <f>WEEKNUM(orders[[#This Row],[Order Date]],1)</f>
        <v>8</v>
      </c>
      <c r="O1332" t="str">
        <f t="array" ref="O1332">_xlfn.IFS(orders[[#This Row],[Customer Gender]]="M","Male", orders[[#This Row],[Customer Gender]]="F","Female", orders[[#This Row],[Customer Gender]]="O","Other", TRUE(),"Unknown")</f>
        <v>Male</v>
      </c>
    </row>
    <row r="1333" spans="1:15" x14ac:dyDescent="0.25">
      <c r="A1333" t="s">
        <v>1561</v>
      </c>
      <c r="B1333" t="s">
        <v>78</v>
      </c>
      <c r="C1333">
        <v>6</v>
      </c>
      <c r="D1333">
        <v>50.6</v>
      </c>
      <c r="E1333">
        <v>303.60000000000002</v>
      </c>
      <c r="F1333" s="58">
        <v>45708</v>
      </c>
      <c r="G1333" s="58">
        <v>45712</v>
      </c>
      <c r="H1333" t="s">
        <v>231</v>
      </c>
      <c r="I1333" t="s">
        <v>62</v>
      </c>
      <c r="J1333">
        <v>4</v>
      </c>
      <c r="K1333" t="s">
        <v>103</v>
      </c>
      <c r="L1333" t="s">
        <v>124</v>
      </c>
      <c r="M1333">
        <f>orders[[#This Row],[Ship Date]]-orders[[#This Row],[Order Date]]</f>
        <v>4</v>
      </c>
      <c r="N1333">
        <f>WEEKNUM(orders[[#This Row],[Order Date]],1)</f>
        <v>8</v>
      </c>
      <c r="O1333" t="str">
        <f t="array" ref="O1333">_xlfn.IFS(orders[[#This Row],[Customer Gender]]="M","Male", orders[[#This Row],[Customer Gender]]="F","Female", orders[[#This Row],[Customer Gender]]="O","Other", TRUE(),"Unknown")</f>
        <v>Female</v>
      </c>
    </row>
    <row r="1334" spans="1:15" x14ac:dyDescent="0.25">
      <c r="A1334" t="s">
        <v>1562</v>
      </c>
      <c r="B1334" t="s">
        <v>88</v>
      </c>
      <c r="C1334">
        <v>21</v>
      </c>
      <c r="D1334">
        <v>86.9</v>
      </c>
      <c r="E1334">
        <v>1824.9</v>
      </c>
      <c r="F1334" s="58">
        <v>45708</v>
      </c>
      <c r="G1334" s="58">
        <v>45711</v>
      </c>
      <c r="H1334" t="s">
        <v>231</v>
      </c>
      <c r="I1334" t="s">
        <v>59</v>
      </c>
      <c r="J1334">
        <v>3</v>
      </c>
      <c r="K1334" t="s">
        <v>103</v>
      </c>
      <c r="L1334" t="s">
        <v>124</v>
      </c>
      <c r="M1334">
        <f>orders[[#This Row],[Ship Date]]-orders[[#This Row],[Order Date]]</f>
        <v>3</v>
      </c>
      <c r="N1334">
        <f>WEEKNUM(orders[[#This Row],[Order Date]],1)</f>
        <v>8</v>
      </c>
      <c r="O1334" t="str">
        <f t="array" ref="O1334">_xlfn.IFS(orders[[#This Row],[Customer Gender]]="M","Male", orders[[#This Row],[Customer Gender]]="F","Female", orders[[#This Row],[Customer Gender]]="O","Other", TRUE(),"Unknown")</f>
        <v>Female</v>
      </c>
    </row>
    <row r="1335" spans="1:15" x14ac:dyDescent="0.25">
      <c r="A1335" t="s">
        <v>1563</v>
      </c>
      <c r="B1335" t="s">
        <v>83</v>
      </c>
      <c r="C1335">
        <v>3</v>
      </c>
      <c r="D1335">
        <v>31.8</v>
      </c>
      <c r="E1335">
        <v>95.4</v>
      </c>
      <c r="F1335" s="58">
        <v>45708</v>
      </c>
      <c r="G1335" s="58">
        <v>45710</v>
      </c>
      <c r="H1335" t="s">
        <v>229</v>
      </c>
      <c r="I1335" t="s">
        <v>59</v>
      </c>
      <c r="J1335">
        <v>5</v>
      </c>
      <c r="K1335" t="s">
        <v>103</v>
      </c>
      <c r="L1335" t="s">
        <v>124</v>
      </c>
      <c r="M1335">
        <f>orders[[#This Row],[Ship Date]]-orders[[#This Row],[Order Date]]</f>
        <v>2</v>
      </c>
      <c r="N1335">
        <f>WEEKNUM(orders[[#This Row],[Order Date]],1)</f>
        <v>8</v>
      </c>
      <c r="O1335" t="str">
        <f t="array" ref="O1335">_xlfn.IFS(orders[[#This Row],[Customer Gender]]="M","Male", orders[[#This Row],[Customer Gender]]="F","Female", orders[[#This Row],[Customer Gender]]="O","Other", TRUE(),"Unknown")</f>
        <v>Male</v>
      </c>
    </row>
    <row r="1336" spans="1:15" x14ac:dyDescent="0.25">
      <c r="A1336" t="s">
        <v>1564</v>
      </c>
      <c r="B1336" t="s">
        <v>90</v>
      </c>
      <c r="C1336">
        <v>1</v>
      </c>
      <c r="D1336">
        <v>19</v>
      </c>
      <c r="E1336">
        <v>19</v>
      </c>
      <c r="F1336" s="58">
        <v>45708</v>
      </c>
      <c r="G1336" s="58">
        <v>45709</v>
      </c>
      <c r="H1336" t="s">
        <v>231</v>
      </c>
      <c r="I1336" t="s">
        <v>59</v>
      </c>
      <c r="J1336">
        <v>5</v>
      </c>
      <c r="K1336" t="s">
        <v>103</v>
      </c>
      <c r="L1336" t="s">
        <v>124</v>
      </c>
      <c r="M1336">
        <f>orders[[#This Row],[Ship Date]]-orders[[#This Row],[Order Date]]</f>
        <v>1</v>
      </c>
      <c r="N1336">
        <f>WEEKNUM(orders[[#This Row],[Order Date]],1)</f>
        <v>8</v>
      </c>
      <c r="O1336" t="str">
        <f t="array" ref="O1336">_xlfn.IFS(orders[[#This Row],[Customer Gender]]="M","Male", orders[[#This Row],[Customer Gender]]="F","Female", orders[[#This Row],[Customer Gender]]="O","Other", TRUE(),"Unknown")</f>
        <v>Female</v>
      </c>
    </row>
    <row r="1337" spans="1:15" x14ac:dyDescent="0.25">
      <c r="A1337" t="s">
        <v>1565</v>
      </c>
      <c r="B1337" t="s">
        <v>85</v>
      </c>
      <c r="C1337">
        <v>1</v>
      </c>
      <c r="D1337">
        <v>54.5</v>
      </c>
      <c r="E1337">
        <v>54.5</v>
      </c>
      <c r="F1337" s="58">
        <v>45708</v>
      </c>
      <c r="G1337" s="58">
        <v>45710</v>
      </c>
      <c r="H1337" t="s">
        <v>229</v>
      </c>
      <c r="I1337" t="s">
        <v>59</v>
      </c>
      <c r="J1337">
        <v>4</v>
      </c>
      <c r="K1337" t="s">
        <v>103</v>
      </c>
      <c r="L1337" t="s">
        <v>124</v>
      </c>
      <c r="M1337">
        <f>orders[[#This Row],[Ship Date]]-orders[[#This Row],[Order Date]]</f>
        <v>2</v>
      </c>
      <c r="N1337">
        <f>WEEKNUM(orders[[#This Row],[Order Date]],1)</f>
        <v>8</v>
      </c>
      <c r="O1337" t="str">
        <f t="array" ref="O1337">_xlfn.IFS(orders[[#This Row],[Customer Gender]]="M","Male", orders[[#This Row],[Customer Gender]]="F","Female", orders[[#This Row],[Customer Gender]]="O","Other", TRUE(),"Unknown")</f>
        <v>Male</v>
      </c>
    </row>
    <row r="1338" spans="1:15" x14ac:dyDescent="0.25">
      <c r="A1338" t="s">
        <v>1566</v>
      </c>
      <c r="B1338" t="s">
        <v>88</v>
      </c>
      <c r="C1338">
        <v>5</v>
      </c>
      <c r="D1338">
        <v>68.900000000000006</v>
      </c>
      <c r="E1338">
        <v>344.5</v>
      </c>
      <c r="F1338" s="58">
        <v>45708</v>
      </c>
      <c r="G1338" s="58">
        <v>45710</v>
      </c>
      <c r="H1338" t="s">
        <v>229</v>
      </c>
      <c r="I1338" t="s">
        <v>61</v>
      </c>
      <c r="J1338">
        <v>3</v>
      </c>
      <c r="K1338" t="s">
        <v>103</v>
      </c>
      <c r="L1338" t="s">
        <v>124</v>
      </c>
      <c r="M1338">
        <f>orders[[#This Row],[Ship Date]]-orders[[#This Row],[Order Date]]</f>
        <v>2</v>
      </c>
      <c r="N1338">
        <f>WEEKNUM(orders[[#This Row],[Order Date]],1)</f>
        <v>8</v>
      </c>
      <c r="O1338" t="str">
        <f t="array" ref="O1338">_xlfn.IFS(orders[[#This Row],[Customer Gender]]="M","Male", orders[[#This Row],[Customer Gender]]="F","Female", orders[[#This Row],[Customer Gender]]="O","Other", TRUE(),"Unknown")</f>
        <v>Male</v>
      </c>
    </row>
    <row r="1339" spans="1:15" x14ac:dyDescent="0.25">
      <c r="A1339" t="s">
        <v>1567</v>
      </c>
      <c r="B1339" t="s">
        <v>80</v>
      </c>
      <c r="C1339">
        <v>3</v>
      </c>
      <c r="D1339">
        <v>84</v>
      </c>
      <c r="E1339">
        <v>252</v>
      </c>
      <c r="F1339" s="58">
        <v>45708</v>
      </c>
      <c r="G1339" s="58">
        <v>45709</v>
      </c>
      <c r="H1339" t="s">
        <v>229</v>
      </c>
      <c r="I1339" t="s">
        <v>63</v>
      </c>
      <c r="J1339">
        <v>2</v>
      </c>
      <c r="K1339" t="s">
        <v>103</v>
      </c>
      <c r="L1339" t="s">
        <v>133</v>
      </c>
      <c r="M1339">
        <f>orders[[#This Row],[Ship Date]]-orders[[#This Row],[Order Date]]</f>
        <v>1</v>
      </c>
      <c r="N1339">
        <f>WEEKNUM(orders[[#This Row],[Order Date]],1)</f>
        <v>8</v>
      </c>
      <c r="O1339" t="str">
        <f t="array" ref="O1339">_xlfn.IFS(orders[[#This Row],[Customer Gender]]="M","Male", orders[[#This Row],[Customer Gender]]="F","Female", orders[[#This Row],[Customer Gender]]="O","Other", TRUE(),"Unknown")</f>
        <v>Male</v>
      </c>
    </row>
    <row r="1340" spans="1:15" x14ac:dyDescent="0.25">
      <c r="A1340" t="s">
        <v>1568</v>
      </c>
      <c r="B1340" t="s">
        <v>77</v>
      </c>
      <c r="C1340">
        <v>8</v>
      </c>
      <c r="D1340">
        <v>23.1</v>
      </c>
      <c r="E1340">
        <v>184.8</v>
      </c>
      <c r="F1340" s="58">
        <v>45708</v>
      </c>
      <c r="G1340" s="58">
        <v>45713</v>
      </c>
      <c r="H1340" t="s">
        <v>229</v>
      </c>
      <c r="I1340" t="s">
        <v>59</v>
      </c>
      <c r="J1340">
        <v>5</v>
      </c>
      <c r="K1340" t="s">
        <v>103</v>
      </c>
      <c r="L1340" t="s">
        <v>138</v>
      </c>
      <c r="M1340">
        <f>orders[[#This Row],[Ship Date]]-orders[[#This Row],[Order Date]]</f>
        <v>5</v>
      </c>
      <c r="N1340">
        <f>WEEKNUM(orders[[#This Row],[Order Date]],1)</f>
        <v>8</v>
      </c>
      <c r="O1340" t="str">
        <f t="array" ref="O1340">_xlfn.IFS(orders[[#This Row],[Customer Gender]]="M","Male", orders[[#This Row],[Customer Gender]]="F","Female", orders[[#This Row],[Customer Gender]]="O","Other", TRUE(),"Unknown")</f>
        <v>Male</v>
      </c>
    </row>
    <row r="1341" spans="1:15" x14ac:dyDescent="0.25">
      <c r="A1341" t="s">
        <v>1569</v>
      </c>
      <c r="B1341" t="s">
        <v>79</v>
      </c>
      <c r="C1341">
        <v>2</v>
      </c>
      <c r="D1341">
        <v>62.4</v>
      </c>
      <c r="E1341">
        <v>124.8</v>
      </c>
      <c r="F1341" s="58">
        <v>45708</v>
      </c>
      <c r="G1341" s="58">
        <v>45709</v>
      </c>
      <c r="H1341" t="s">
        <v>231</v>
      </c>
      <c r="I1341" t="s">
        <v>59</v>
      </c>
      <c r="J1341">
        <v>3</v>
      </c>
      <c r="K1341" t="s">
        <v>103</v>
      </c>
      <c r="L1341" t="s">
        <v>139</v>
      </c>
      <c r="M1341">
        <f>orders[[#This Row],[Ship Date]]-orders[[#This Row],[Order Date]]</f>
        <v>1</v>
      </c>
      <c r="N1341">
        <f>WEEKNUM(orders[[#This Row],[Order Date]],1)</f>
        <v>8</v>
      </c>
      <c r="O1341" t="str">
        <f t="array" ref="O1341">_xlfn.IFS(orders[[#This Row],[Customer Gender]]="M","Male", orders[[#This Row],[Customer Gender]]="F","Female", orders[[#This Row],[Customer Gender]]="O","Other", TRUE(),"Unknown")</f>
        <v>Female</v>
      </c>
    </row>
    <row r="1342" spans="1:15" x14ac:dyDescent="0.25">
      <c r="A1342" t="s">
        <v>1570</v>
      </c>
      <c r="B1342" t="s">
        <v>80</v>
      </c>
      <c r="C1342">
        <v>12</v>
      </c>
      <c r="D1342">
        <v>40.700000000000003</v>
      </c>
      <c r="E1342">
        <v>488.4</v>
      </c>
      <c r="F1342" s="58">
        <v>45708</v>
      </c>
      <c r="G1342" s="58">
        <v>45710</v>
      </c>
      <c r="H1342" t="s">
        <v>229</v>
      </c>
      <c r="I1342" t="s">
        <v>63</v>
      </c>
      <c r="J1342">
        <v>5</v>
      </c>
      <c r="K1342" t="s">
        <v>103</v>
      </c>
      <c r="L1342" t="s">
        <v>139</v>
      </c>
      <c r="M1342">
        <f>orders[[#This Row],[Ship Date]]-orders[[#This Row],[Order Date]]</f>
        <v>2</v>
      </c>
      <c r="N1342">
        <f>WEEKNUM(orders[[#This Row],[Order Date]],1)</f>
        <v>8</v>
      </c>
      <c r="O1342" t="str">
        <f t="array" ref="O1342">_xlfn.IFS(orders[[#This Row],[Customer Gender]]="M","Male", orders[[#This Row],[Customer Gender]]="F","Female", orders[[#This Row],[Customer Gender]]="O","Other", TRUE(),"Unknown")</f>
        <v>Male</v>
      </c>
    </row>
    <row r="1343" spans="1:15" x14ac:dyDescent="0.25">
      <c r="A1343" t="s">
        <v>1571</v>
      </c>
      <c r="B1343" t="s">
        <v>80</v>
      </c>
      <c r="C1343">
        <v>1</v>
      </c>
      <c r="D1343">
        <v>49.6</v>
      </c>
      <c r="E1343">
        <v>49.6</v>
      </c>
      <c r="F1343" s="58">
        <v>45708</v>
      </c>
      <c r="G1343" s="58">
        <v>45711</v>
      </c>
      <c r="H1343" t="s">
        <v>229</v>
      </c>
      <c r="I1343" t="s">
        <v>62</v>
      </c>
      <c r="J1343">
        <v>4</v>
      </c>
      <c r="K1343" t="s">
        <v>103</v>
      </c>
      <c r="L1343" t="s">
        <v>141</v>
      </c>
      <c r="M1343">
        <f>orders[[#This Row],[Ship Date]]-orders[[#This Row],[Order Date]]</f>
        <v>3</v>
      </c>
      <c r="N1343">
        <f>WEEKNUM(orders[[#This Row],[Order Date]],1)</f>
        <v>8</v>
      </c>
      <c r="O1343" t="str">
        <f t="array" ref="O1343">_xlfn.IFS(orders[[#This Row],[Customer Gender]]="M","Male", orders[[#This Row],[Customer Gender]]="F","Female", orders[[#This Row],[Customer Gender]]="O","Other", TRUE(),"Unknown")</f>
        <v>Male</v>
      </c>
    </row>
    <row r="1344" spans="1:15" x14ac:dyDescent="0.25">
      <c r="A1344" t="s">
        <v>1572</v>
      </c>
      <c r="B1344" t="s">
        <v>79</v>
      </c>
      <c r="C1344">
        <v>45</v>
      </c>
      <c r="D1344">
        <v>66.599999999999994</v>
      </c>
      <c r="E1344">
        <v>2997</v>
      </c>
      <c r="F1344" s="58">
        <v>45708</v>
      </c>
      <c r="G1344" s="58">
        <v>45711</v>
      </c>
      <c r="H1344" t="s">
        <v>229</v>
      </c>
      <c r="I1344" t="s">
        <v>62</v>
      </c>
      <c r="J1344">
        <v>4</v>
      </c>
      <c r="K1344" t="s">
        <v>103</v>
      </c>
      <c r="L1344" t="s">
        <v>142</v>
      </c>
      <c r="M1344">
        <f>orders[[#This Row],[Ship Date]]-orders[[#This Row],[Order Date]]</f>
        <v>3</v>
      </c>
      <c r="N1344">
        <f>WEEKNUM(orders[[#This Row],[Order Date]],1)</f>
        <v>8</v>
      </c>
      <c r="O1344" t="str">
        <f t="array" ref="O1344">_xlfn.IFS(orders[[#This Row],[Customer Gender]]="M","Male", orders[[#This Row],[Customer Gender]]="F","Female", orders[[#This Row],[Customer Gender]]="O","Other", TRUE(),"Unknown")</f>
        <v>Male</v>
      </c>
    </row>
    <row r="1345" spans="1:15" x14ac:dyDescent="0.25">
      <c r="A1345" t="s">
        <v>1573</v>
      </c>
      <c r="B1345" t="s">
        <v>90</v>
      </c>
      <c r="C1345">
        <v>3</v>
      </c>
      <c r="D1345">
        <v>26.4</v>
      </c>
      <c r="E1345">
        <v>79.2</v>
      </c>
      <c r="F1345" s="58">
        <v>45708</v>
      </c>
      <c r="G1345" s="58">
        <v>45709</v>
      </c>
      <c r="H1345" t="s">
        <v>231</v>
      </c>
      <c r="I1345" t="s">
        <v>63</v>
      </c>
      <c r="J1345">
        <v>3</v>
      </c>
      <c r="K1345" t="s">
        <v>103</v>
      </c>
      <c r="L1345" t="s">
        <v>142</v>
      </c>
      <c r="M1345">
        <f>orders[[#This Row],[Ship Date]]-orders[[#This Row],[Order Date]]</f>
        <v>1</v>
      </c>
      <c r="N1345">
        <f>WEEKNUM(orders[[#This Row],[Order Date]],1)</f>
        <v>8</v>
      </c>
      <c r="O1345" t="str">
        <f t="array" ref="O1345">_xlfn.IFS(orders[[#This Row],[Customer Gender]]="M","Male", orders[[#This Row],[Customer Gender]]="F","Female", orders[[#This Row],[Customer Gender]]="O","Other", TRUE(),"Unknown")</f>
        <v>Female</v>
      </c>
    </row>
    <row r="1346" spans="1:15" x14ac:dyDescent="0.25">
      <c r="A1346" t="s">
        <v>1574</v>
      </c>
      <c r="B1346" t="s">
        <v>86</v>
      </c>
      <c r="C1346">
        <v>2</v>
      </c>
      <c r="D1346">
        <v>17.2</v>
      </c>
      <c r="E1346">
        <v>34.4</v>
      </c>
      <c r="F1346" s="58">
        <v>45708</v>
      </c>
      <c r="G1346" s="58">
        <v>45711</v>
      </c>
      <c r="H1346" t="s">
        <v>229</v>
      </c>
      <c r="I1346" t="s">
        <v>62</v>
      </c>
      <c r="J1346">
        <v>3</v>
      </c>
      <c r="K1346" t="s">
        <v>103</v>
      </c>
      <c r="L1346" t="s">
        <v>142</v>
      </c>
      <c r="M1346">
        <f>orders[[#This Row],[Ship Date]]-orders[[#This Row],[Order Date]]</f>
        <v>3</v>
      </c>
      <c r="N1346">
        <f>WEEKNUM(orders[[#This Row],[Order Date]],1)</f>
        <v>8</v>
      </c>
      <c r="O1346" t="str">
        <f t="array" ref="O1346">_xlfn.IFS(orders[[#This Row],[Customer Gender]]="M","Male", orders[[#This Row],[Customer Gender]]="F","Female", orders[[#This Row],[Customer Gender]]="O","Other", TRUE(),"Unknown")</f>
        <v>Male</v>
      </c>
    </row>
    <row r="1347" spans="1:15" x14ac:dyDescent="0.25">
      <c r="A1347" t="s">
        <v>1575</v>
      </c>
      <c r="B1347" t="s">
        <v>85</v>
      </c>
      <c r="C1347">
        <v>8</v>
      </c>
      <c r="D1347">
        <v>58.1</v>
      </c>
      <c r="E1347">
        <v>464.8</v>
      </c>
      <c r="F1347" s="58">
        <v>45708</v>
      </c>
      <c r="G1347" s="58">
        <v>45711</v>
      </c>
      <c r="H1347" t="s">
        <v>231</v>
      </c>
      <c r="I1347" t="s">
        <v>61</v>
      </c>
      <c r="J1347">
        <v>4</v>
      </c>
      <c r="K1347" t="s">
        <v>103</v>
      </c>
      <c r="L1347" t="s">
        <v>142</v>
      </c>
      <c r="M1347">
        <f>orders[[#This Row],[Ship Date]]-orders[[#This Row],[Order Date]]</f>
        <v>3</v>
      </c>
      <c r="N1347">
        <f>WEEKNUM(orders[[#This Row],[Order Date]],1)</f>
        <v>8</v>
      </c>
      <c r="O1347" t="str">
        <f t="array" ref="O1347">_xlfn.IFS(orders[[#This Row],[Customer Gender]]="M","Male", orders[[#This Row],[Customer Gender]]="F","Female", orders[[#This Row],[Customer Gender]]="O","Other", TRUE(),"Unknown")</f>
        <v>Female</v>
      </c>
    </row>
    <row r="1348" spans="1:15" x14ac:dyDescent="0.25">
      <c r="A1348" t="s">
        <v>1576</v>
      </c>
      <c r="B1348" t="s">
        <v>77</v>
      </c>
      <c r="C1348">
        <v>4</v>
      </c>
      <c r="D1348">
        <v>31.5</v>
      </c>
      <c r="E1348">
        <v>126</v>
      </c>
      <c r="F1348" s="58">
        <v>45708</v>
      </c>
      <c r="G1348" s="58">
        <v>45711</v>
      </c>
      <c r="H1348" t="s">
        <v>231</v>
      </c>
      <c r="I1348" t="s">
        <v>61</v>
      </c>
      <c r="J1348">
        <v>2</v>
      </c>
      <c r="K1348" t="s">
        <v>103</v>
      </c>
      <c r="L1348" t="s">
        <v>142</v>
      </c>
      <c r="M1348">
        <f>orders[[#This Row],[Ship Date]]-orders[[#This Row],[Order Date]]</f>
        <v>3</v>
      </c>
      <c r="N1348">
        <f>WEEKNUM(orders[[#This Row],[Order Date]],1)</f>
        <v>8</v>
      </c>
      <c r="O1348" t="str">
        <f t="array" ref="O1348">_xlfn.IFS(orders[[#This Row],[Customer Gender]]="M","Male", orders[[#This Row],[Customer Gender]]="F","Female", orders[[#This Row],[Customer Gender]]="O","Other", TRUE(),"Unknown")</f>
        <v>Female</v>
      </c>
    </row>
    <row r="1349" spans="1:15" x14ac:dyDescent="0.25">
      <c r="A1349" t="s">
        <v>1577</v>
      </c>
      <c r="B1349" t="s">
        <v>86</v>
      </c>
      <c r="C1349">
        <v>1</v>
      </c>
      <c r="D1349">
        <v>27.1</v>
      </c>
      <c r="E1349">
        <v>27.1</v>
      </c>
      <c r="F1349" s="58">
        <v>45708</v>
      </c>
      <c r="G1349" s="58">
        <v>45710</v>
      </c>
      <c r="H1349" t="s">
        <v>231</v>
      </c>
      <c r="I1349" t="s">
        <v>59</v>
      </c>
      <c r="J1349">
        <v>3</v>
      </c>
      <c r="K1349" t="s">
        <v>103</v>
      </c>
      <c r="L1349" t="s">
        <v>143</v>
      </c>
      <c r="M1349">
        <f>orders[[#This Row],[Ship Date]]-orders[[#This Row],[Order Date]]</f>
        <v>2</v>
      </c>
      <c r="N1349">
        <f>WEEKNUM(orders[[#This Row],[Order Date]],1)</f>
        <v>8</v>
      </c>
      <c r="O1349" t="str">
        <f t="array" ref="O1349">_xlfn.IFS(orders[[#This Row],[Customer Gender]]="M","Male", orders[[#This Row],[Customer Gender]]="F","Female", orders[[#This Row],[Customer Gender]]="O","Other", TRUE(),"Unknown")</f>
        <v>Female</v>
      </c>
    </row>
    <row r="1350" spans="1:15" x14ac:dyDescent="0.25">
      <c r="A1350" t="s">
        <v>1578</v>
      </c>
      <c r="B1350" t="s">
        <v>82</v>
      </c>
      <c r="C1350">
        <v>4</v>
      </c>
      <c r="D1350">
        <v>28.5</v>
      </c>
      <c r="E1350">
        <v>114</v>
      </c>
      <c r="F1350" s="58">
        <v>45708</v>
      </c>
      <c r="G1350" s="58">
        <v>45710</v>
      </c>
      <c r="H1350" t="s">
        <v>229</v>
      </c>
      <c r="I1350" t="s">
        <v>63</v>
      </c>
      <c r="J1350">
        <v>5</v>
      </c>
      <c r="K1350" t="s">
        <v>103</v>
      </c>
      <c r="L1350" t="s">
        <v>146</v>
      </c>
      <c r="M1350">
        <f>orders[[#This Row],[Ship Date]]-orders[[#This Row],[Order Date]]</f>
        <v>2</v>
      </c>
      <c r="N1350">
        <f>WEEKNUM(orders[[#This Row],[Order Date]],1)</f>
        <v>8</v>
      </c>
      <c r="O1350" t="str">
        <f t="array" ref="O1350">_xlfn.IFS(orders[[#This Row],[Customer Gender]]="M","Male", orders[[#This Row],[Customer Gender]]="F","Female", orders[[#This Row],[Customer Gender]]="O","Other", TRUE(),"Unknown")</f>
        <v>Male</v>
      </c>
    </row>
    <row r="1351" spans="1:15" x14ac:dyDescent="0.25">
      <c r="A1351" t="s">
        <v>1579</v>
      </c>
      <c r="B1351" t="s">
        <v>75</v>
      </c>
      <c r="C1351">
        <v>1</v>
      </c>
      <c r="D1351">
        <v>40.5</v>
      </c>
      <c r="E1351">
        <v>40.5</v>
      </c>
      <c r="F1351" s="58">
        <v>45709</v>
      </c>
      <c r="G1351" s="58">
        <v>45711</v>
      </c>
      <c r="H1351" t="s">
        <v>263</v>
      </c>
      <c r="I1351" t="s">
        <v>62</v>
      </c>
      <c r="J1351">
        <v>4</v>
      </c>
      <c r="K1351" t="s">
        <v>103</v>
      </c>
      <c r="L1351" t="s">
        <v>146</v>
      </c>
      <c r="M1351">
        <f>orders[[#This Row],[Ship Date]]-orders[[#This Row],[Order Date]]</f>
        <v>2</v>
      </c>
      <c r="N1351">
        <f>WEEKNUM(orders[[#This Row],[Order Date]],1)</f>
        <v>8</v>
      </c>
      <c r="O1351" t="str">
        <f t="array" ref="O1351">_xlfn.IFS(orders[[#This Row],[Customer Gender]]="M","Male", orders[[#This Row],[Customer Gender]]="F","Female", orders[[#This Row],[Customer Gender]]="O","Other", TRUE(),"Unknown")</f>
        <v>Other</v>
      </c>
    </row>
    <row r="1352" spans="1:15" x14ac:dyDescent="0.25">
      <c r="A1352" t="s">
        <v>1580</v>
      </c>
      <c r="B1352" t="s">
        <v>87</v>
      </c>
      <c r="C1352">
        <v>3</v>
      </c>
      <c r="D1352">
        <v>77.900000000000006</v>
      </c>
      <c r="E1352">
        <v>233.7</v>
      </c>
      <c r="F1352" s="58">
        <v>45709</v>
      </c>
      <c r="G1352" s="58">
        <v>45713</v>
      </c>
      <c r="H1352" t="s">
        <v>231</v>
      </c>
      <c r="I1352" t="s">
        <v>63</v>
      </c>
      <c r="J1352">
        <v>5</v>
      </c>
      <c r="K1352" t="s">
        <v>103</v>
      </c>
      <c r="L1352" t="s">
        <v>155</v>
      </c>
      <c r="M1352">
        <f>orders[[#This Row],[Ship Date]]-orders[[#This Row],[Order Date]]</f>
        <v>4</v>
      </c>
      <c r="N1352">
        <f>WEEKNUM(orders[[#This Row],[Order Date]],1)</f>
        <v>8</v>
      </c>
      <c r="O1352" t="str">
        <f t="array" ref="O1352">_xlfn.IFS(orders[[#This Row],[Customer Gender]]="M","Male", orders[[#This Row],[Customer Gender]]="F","Female", orders[[#This Row],[Customer Gender]]="O","Other", TRUE(),"Unknown")</f>
        <v>Female</v>
      </c>
    </row>
    <row r="1353" spans="1:15" x14ac:dyDescent="0.25">
      <c r="A1353" t="s">
        <v>1581</v>
      </c>
      <c r="B1353" t="s">
        <v>82</v>
      </c>
      <c r="C1353">
        <v>4</v>
      </c>
      <c r="D1353">
        <v>37.1</v>
      </c>
      <c r="E1353">
        <v>148.4</v>
      </c>
      <c r="F1353" s="58">
        <v>45709</v>
      </c>
      <c r="G1353" s="58">
        <v>45711</v>
      </c>
      <c r="H1353" t="s">
        <v>229</v>
      </c>
      <c r="I1353" t="s">
        <v>61</v>
      </c>
      <c r="J1353">
        <v>5</v>
      </c>
      <c r="K1353" t="s">
        <v>103</v>
      </c>
      <c r="L1353" t="s">
        <v>155</v>
      </c>
      <c r="M1353">
        <f>orders[[#This Row],[Ship Date]]-orders[[#This Row],[Order Date]]</f>
        <v>2</v>
      </c>
      <c r="N1353">
        <f>WEEKNUM(orders[[#This Row],[Order Date]],1)</f>
        <v>8</v>
      </c>
      <c r="O1353" t="str">
        <f t="array" ref="O1353">_xlfn.IFS(orders[[#This Row],[Customer Gender]]="M","Male", orders[[#This Row],[Customer Gender]]="F","Female", orders[[#This Row],[Customer Gender]]="O","Other", TRUE(),"Unknown")</f>
        <v>Male</v>
      </c>
    </row>
    <row r="1354" spans="1:15" x14ac:dyDescent="0.25">
      <c r="A1354" t="s">
        <v>1582</v>
      </c>
      <c r="B1354" t="s">
        <v>89</v>
      </c>
      <c r="C1354">
        <v>3</v>
      </c>
      <c r="D1354">
        <v>51.6</v>
      </c>
      <c r="E1354">
        <v>154.80000000000001</v>
      </c>
      <c r="F1354" s="58">
        <v>45709</v>
      </c>
      <c r="G1354" s="58">
        <v>45717</v>
      </c>
      <c r="H1354" t="s">
        <v>231</v>
      </c>
      <c r="I1354" t="s">
        <v>59</v>
      </c>
      <c r="J1354">
        <v>2</v>
      </c>
      <c r="K1354" t="s">
        <v>103</v>
      </c>
      <c r="L1354" t="s">
        <v>155</v>
      </c>
      <c r="M1354">
        <f>orders[[#This Row],[Ship Date]]-orders[[#This Row],[Order Date]]</f>
        <v>8</v>
      </c>
      <c r="N1354">
        <f>WEEKNUM(orders[[#This Row],[Order Date]],1)</f>
        <v>8</v>
      </c>
      <c r="O1354" t="str">
        <f t="array" ref="O1354">_xlfn.IFS(orders[[#This Row],[Customer Gender]]="M","Male", orders[[#This Row],[Customer Gender]]="F","Female", orders[[#This Row],[Customer Gender]]="O","Other", TRUE(),"Unknown")</f>
        <v>Female</v>
      </c>
    </row>
    <row r="1355" spans="1:15" x14ac:dyDescent="0.25">
      <c r="A1355" t="s">
        <v>1583</v>
      </c>
      <c r="B1355" t="s">
        <v>79</v>
      </c>
      <c r="C1355">
        <v>3</v>
      </c>
      <c r="D1355">
        <v>98</v>
      </c>
      <c r="E1355">
        <v>294</v>
      </c>
      <c r="F1355" s="58">
        <v>45709</v>
      </c>
      <c r="G1355" s="58">
        <v>45710</v>
      </c>
      <c r="H1355" t="s">
        <v>229</v>
      </c>
      <c r="I1355" t="s">
        <v>63</v>
      </c>
      <c r="J1355">
        <v>3</v>
      </c>
      <c r="K1355" t="s">
        <v>103</v>
      </c>
      <c r="L1355" t="s">
        <v>155</v>
      </c>
      <c r="M1355">
        <f>orders[[#This Row],[Ship Date]]-orders[[#This Row],[Order Date]]</f>
        <v>1</v>
      </c>
      <c r="N1355">
        <f>WEEKNUM(orders[[#This Row],[Order Date]],1)</f>
        <v>8</v>
      </c>
      <c r="O1355" t="str">
        <f t="array" ref="O1355">_xlfn.IFS(orders[[#This Row],[Customer Gender]]="M","Male", orders[[#This Row],[Customer Gender]]="F","Female", orders[[#This Row],[Customer Gender]]="O","Other", TRUE(),"Unknown")</f>
        <v>Male</v>
      </c>
    </row>
    <row r="1356" spans="1:15" x14ac:dyDescent="0.25">
      <c r="A1356" t="s">
        <v>1584</v>
      </c>
      <c r="B1356" t="s">
        <v>80</v>
      </c>
      <c r="C1356">
        <v>7</v>
      </c>
      <c r="D1356">
        <v>41.4</v>
      </c>
      <c r="E1356">
        <v>289.8</v>
      </c>
      <c r="F1356" s="58">
        <v>45709</v>
      </c>
      <c r="G1356" s="58">
        <v>45710</v>
      </c>
      <c r="H1356" t="s">
        <v>229</v>
      </c>
      <c r="I1356" t="s">
        <v>63</v>
      </c>
      <c r="J1356">
        <v>4</v>
      </c>
      <c r="K1356" t="s">
        <v>103</v>
      </c>
      <c r="L1356" t="s">
        <v>159</v>
      </c>
      <c r="M1356">
        <f>orders[[#This Row],[Ship Date]]-orders[[#This Row],[Order Date]]</f>
        <v>1</v>
      </c>
      <c r="N1356">
        <f>WEEKNUM(orders[[#This Row],[Order Date]],1)</f>
        <v>8</v>
      </c>
      <c r="O1356" t="str">
        <f t="array" ref="O1356">_xlfn.IFS(orders[[#This Row],[Customer Gender]]="M","Male", orders[[#This Row],[Customer Gender]]="F","Female", orders[[#This Row],[Customer Gender]]="O","Other", TRUE(),"Unknown")</f>
        <v>Male</v>
      </c>
    </row>
    <row r="1357" spans="1:15" x14ac:dyDescent="0.25">
      <c r="A1357" t="s">
        <v>1585</v>
      </c>
      <c r="B1357" t="s">
        <v>83</v>
      </c>
      <c r="C1357">
        <v>8</v>
      </c>
      <c r="D1357">
        <v>34</v>
      </c>
      <c r="E1357">
        <v>272</v>
      </c>
      <c r="F1357" s="58">
        <v>45709</v>
      </c>
      <c r="G1357" s="58">
        <v>45714</v>
      </c>
      <c r="H1357" t="s">
        <v>231</v>
      </c>
      <c r="I1357" t="s">
        <v>59</v>
      </c>
      <c r="J1357">
        <v>5</v>
      </c>
      <c r="K1357" t="s">
        <v>103</v>
      </c>
      <c r="L1357" t="s">
        <v>160</v>
      </c>
      <c r="M1357">
        <f>orders[[#This Row],[Ship Date]]-orders[[#This Row],[Order Date]]</f>
        <v>5</v>
      </c>
      <c r="N1357">
        <f>WEEKNUM(orders[[#This Row],[Order Date]],1)</f>
        <v>8</v>
      </c>
      <c r="O1357" t="str">
        <f t="array" ref="O1357">_xlfn.IFS(orders[[#This Row],[Customer Gender]]="M","Male", orders[[#This Row],[Customer Gender]]="F","Female", orders[[#This Row],[Customer Gender]]="O","Other", TRUE(),"Unknown")</f>
        <v>Female</v>
      </c>
    </row>
    <row r="1358" spans="1:15" x14ac:dyDescent="0.25">
      <c r="A1358" t="s">
        <v>1586</v>
      </c>
      <c r="B1358" t="s">
        <v>80</v>
      </c>
      <c r="C1358">
        <v>1</v>
      </c>
      <c r="D1358">
        <v>66.3</v>
      </c>
      <c r="E1358">
        <v>66.3</v>
      </c>
      <c r="F1358" s="58">
        <v>45709</v>
      </c>
      <c r="G1358" s="58">
        <v>45710</v>
      </c>
      <c r="H1358" t="s">
        <v>231</v>
      </c>
      <c r="I1358" t="s">
        <v>63</v>
      </c>
      <c r="J1358">
        <v>4</v>
      </c>
      <c r="K1358" t="s">
        <v>103</v>
      </c>
      <c r="L1358" t="s">
        <v>161</v>
      </c>
      <c r="M1358">
        <f>orders[[#This Row],[Ship Date]]-orders[[#This Row],[Order Date]]</f>
        <v>1</v>
      </c>
      <c r="N1358">
        <f>WEEKNUM(orders[[#This Row],[Order Date]],1)</f>
        <v>8</v>
      </c>
      <c r="O1358" t="str">
        <f t="array" ref="O1358">_xlfn.IFS(orders[[#This Row],[Customer Gender]]="M","Male", orders[[#This Row],[Customer Gender]]="F","Female", orders[[#This Row],[Customer Gender]]="O","Other", TRUE(),"Unknown")</f>
        <v>Female</v>
      </c>
    </row>
    <row r="1359" spans="1:15" x14ac:dyDescent="0.25">
      <c r="A1359" t="s">
        <v>1587</v>
      </c>
      <c r="B1359" t="s">
        <v>79</v>
      </c>
      <c r="C1359">
        <v>1</v>
      </c>
      <c r="D1359">
        <v>33.5</v>
      </c>
      <c r="E1359">
        <v>33.5</v>
      </c>
      <c r="F1359" s="58">
        <v>45709</v>
      </c>
      <c r="G1359" s="58">
        <v>45713</v>
      </c>
      <c r="H1359" t="s">
        <v>229</v>
      </c>
      <c r="I1359" t="s">
        <v>62</v>
      </c>
      <c r="J1359">
        <v>4</v>
      </c>
      <c r="K1359" t="s">
        <v>103</v>
      </c>
      <c r="L1359" t="s">
        <v>161</v>
      </c>
      <c r="M1359">
        <f>orders[[#This Row],[Ship Date]]-orders[[#This Row],[Order Date]]</f>
        <v>4</v>
      </c>
      <c r="N1359">
        <f>WEEKNUM(orders[[#This Row],[Order Date]],1)</f>
        <v>8</v>
      </c>
      <c r="O1359" t="str">
        <f t="array" ref="O1359">_xlfn.IFS(orders[[#This Row],[Customer Gender]]="M","Male", orders[[#This Row],[Customer Gender]]="F","Female", orders[[#This Row],[Customer Gender]]="O","Other", TRUE(),"Unknown")</f>
        <v>Male</v>
      </c>
    </row>
    <row r="1360" spans="1:15" x14ac:dyDescent="0.25">
      <c r="A1360" t="s">
        <v>1588</v>
      </c>
      <c r="B1360" t="s">
        <v>76</v>
      </c>
      <c r="C1360">
        <v>2</v>
      </c>
      <c r="D1360">
        <v>70.8</v>
      </c>
      <c r="E1360">
        <v>141.6</v>
      </c>
      <c r="F1360" s="58">
        <v>45709</v>
      </c>
      <c r="G1360" s="58">
        <v>45710</v>
      </c>
      <c r="I1360" t="s">
        <v>59</v>
      </c>
      <c r="J1360">
        <v>4</v>
      </c>
      <c r="K1360" t="s">
        <v>103</v>
      </c>
      <c r="L1360" t="s">
        <v>162</v>
      </c>
      <c r="M1360">
        <f>orders[[#This Row],[Ship Date]]-orders[[#This Row],[Order Date]]</f>
        <v>1</v>
      </c>
      <c r="N1360">
        <f>WEEKNUM(orders[[#This Row],[Order Date]],1)</f>
        <v>8</v>
      </c>
      <c r="O1360" t="str">
        <f t="array" ref="O1360">_xlfn.IFS(orders[[#This Row],[Customer Gender]]="M","Male", orders[[#This Row],[Customer Gender]]="F","Female", orders[[#This Row],[Customer Gender]]="O","Other", TRUE(),"Unknown")</f>
        <v>Unknown</v>
      </c>
    </row>
    <row r="1361" spans="1:15" x14ac:dyDescent="0.25">
      <c r="A1361" t="s">
        <v>1589</v>
      </c>
      <c r="B1361" t="s">
        <v>80</v>
      </c>
      <c r="C1361">
        <v>2</v>
      </c>
      <c r="D1361">
        <v>127.6</v>
      </c>
      <c r="E1361">
        <v>255.2</v>
      </c>
      <c r="F1361" s="58">
        <v>45709</v>
      </c>
      <c r="G1361" s="58">
        <v>45710</v>
      </c>
      <c r="H1361" t="s">
        <v>229</v>
      </c>
      <c r="I1361" t="s">
        <v>59</v>
      </c>
      <c r="J1361">
        <v>4</v>
      </c>
      <c r="K1361" t="s">
        <v>103</v>
      </c>
      <c r="L1361" t="s">
        <v>106</v>
      </c>
      <c r="M1361">
        <f>orders[[#This Row],[Ship Date]]-orders[[#This Row],[Order Date]]</f>
        <v>1</v>
      </c>
      <c r="N1361">
        <f>WEEKNUM(orders[[#This Row],[Order Date]],1)</f>
        <v>8</v>
      </c>
      <c r="O1361" t="str">
        <f t="array" ref="O1361">_xlfn.IFS(orders[[#This Row],[Customer Gender]]="M","Male", orders[[#This Row],[Customer Gender]]="F","Female", orders[[#This Row],[Customer Gender]]="O","Other", TRUE(),"Unknown")</f>
        <v>Male</v>
      </c>
    </row>
    <row r="1362" spans="1:15" x14ac:dyDescent="0.25">
      <c r="A1362" t="s">
        <v>1590</v>
      </c>
      <c r="B1362" t="s">
        <v>80</v>
      </c>
      <c r="C1362">
        <v>3</v>
      </c>
      <c r="D1362">
        <v>95.9</v>
      </c>
      <c r="E1362">
        <v>287.7</v>
      </c>
      <c r="F1362" s="58">
        <v>45709</v>
      </c>
      <c r="G1362" s="58">
        <v>45710</v>
      </c>
      <c r="H1362" t="s">
        <v>231</v>
      </c>
      <c r="I1362" t="s">
        <v>63</v>
      </c>
      <c r="J1362">
        <v>3</v>
      </c>
      <c r="K1362" t="s">
        <v>103</v>
      </c>
      <c r="L1362" t="s">
        <v>106</v>
      </c>
      <c r="M1362">
        <f>orders[[#This Row],[Ship Date]]-orders[[#This Row],[Order Date]]</f>
        <v>1</v>
      </c>
      <c r="N1362">
        <f>WEEKNUM(orders[[#This Row],[Order Date]],1)</f>
        <v>8</v>
      </c>
      <c r="O1362" t="str">
        <f t="array" ref="O1362">_xlfn.IFS(orders[[#This Row],[Customer Gender]]="M","Male", orders[[#This Row],[Customer Gender]]="F","Female", orders[[#This Row],[Customer Gender]]="O","Other", TRUE(),"Unknown")</f>
        <v>Female</v>
      </c>
    </row>
    <row r="1363" spans="1:15" x14ac:dyDescent="0.25">
      <c r="A1363" t="s">
        <v>1591</v>
      </c>
      <c r="B1363" t="s">
        <v>87</v>
      </c>
      <c r="C1363">
        <v>2</v>
      </c>
      <c r="D1363">
        <v>78.099999999999994</v>
      </c>
      <c r="E1363">
        <v>156.19999999999999</v>
      </c>
      <c r="F1363" s="58">
        <v>45709</v>
      </c>
      <c r="G1363" s="58">
        <v>45710</v>
      </c>
      <c r="H1363" t="s">
        <v>229</v>
      </c>
      <c r="I1363" t="s">
        <v>59</v>
      </c>
      <c r="J1363">
        <v>4</v>
      </c>
      <c r="K1363" t="s">
        <v>103</v>
      </c>
      <c r="L1363" t="s">
        <v>112</v>
      </c>
      <c r="M1363">
        <f>orders[[#This Row],[Ship Date]]-orders[[#This Row],[Order Date]]</f>
        <v>1</v>
      </c>
      <c r="N1363">
        <f>WEEKNUM(orders[[#This Row],[Order Date]],1)</f>
        <v>8</v>
      </c>
      <c r="O1363" t="str">
        <f t="array" ref="O1363">_xlfn.IFS(orders[[#This Row],[Customer Gender]]="M","Male", orders[[#This Row],[Customer Gender]]="F","Female", orders[[#This Row],[Customer Gender]]="O","Other", TRUE(),"Unknown")</f>
        <v>Male</v>
      </c>
    </row>
    <row r="1364" spans="1:15" x14ac:dyDescent="0.25">
      <c r="A1364" t="s">
        <v>1592</v>
      </c>
      <c r="B1364" t="s">
        <v>92</v>
      </c>
      <c r="C1364">
        <v>2</v>
      </c>
      <c r="D1364">
        <v>43.2</v>
      </c>
      <c r="E1364">
        <v>86.4</v>
      </c>
      <c r="F1364" s="58">
        <v>45709</v>
      </c>
      <c r="G1364" s="58">
        <v>45710</v>
      </c>
      <c r="I1364" t="s">
        <v>63</v>
      </c>
      <c r="J1364">
        <v>3</v>
      </c>
      <c r="K1364" t="s">
        <v>103</v>
      </c>
      <c r="L1364" t="s">
        <v>112</v>
      </c>
      <c r="M1364">
        <f>orders[[#This Row],[Ship Date]]-orders[[#This Row],[Order Date]]</f>
        <v>1</v>
      </c>
      <c r="N1364">
        <f>WEEKNUM(orders[[#This Row],[Order Date]],1)</f>
        <v>8</v>
      </c>
      <c r="O1364" t="str">
        <f t="array" ref="O1364">_xlfn.IFS(orders[[#This Row],[Customer Gender]]="M","Male", orders[[#This Row],[Customer Gender]]="F","Female", orders[[#This Row],[Customer Gender]]="O","Other", TRUE(),"Unknown")</f>
        <v>Unknown</v>
      </c>
    </row>
    <row r="1365" spans="1:15" x14ac:dyDescent="0.25">
      <c r="A1365" t="s">
        <v>1593</v>
      </c>
      <c r="B1365" t="s">
        <v>90</v>
      </c>
      <c r="C1365">
        <v>4</v>
      </c>
      <c r="D1365">
        <v>28.4</v>
      </c>
      <c r="E1365">
        <v>113.6</v>
      </c>
      <c r="F1365" s="58">
        <v>45709</v>
      </c>
      <c r="G1365" s="58">
        <v>45715</v>
      </c>
      <c r="H1365" t="s">
        <v>229</v>
      </c>
      <c r="I1365" t="s">
        <v>62</v>
      </c>
      <c r="J1365">
        <v>4</v>
      </c>
      <c r="K1365" t="s">
        <v>103</v>
      </c>
      <c r="L1365" t="s">
        <v>124</v>
      </c>
      <c r="M1365">
        <f>orders[[#This Row],[Ship Date]]-orders[[#This Row],[Order Date]]</f>
        <v>6</v>
      </c>
      <c r="N1365">
        <f>WEEKNUM(orders[[#This Row],[Order Date]],1)</f>
        <v>8</v>
      </c>
      <c r="O1365" t="str">
        <f t="array" ref="O1365">_xlfn.IFS(orders[[#This Row],[Customer Gender]]="M","Male", orders[[#This Row],[Customer Gender]]="F","Female", orders[[#This Row],[Customer Gender]]="O","Other", TRUE(),"Unknown")</f>
        <v>Male</v>
      </c>
    </row>
    <row r="1366" spans="1:15" x14ac:dyDescent="0.25">
      <c r="A1366" t="s">
        <v>1594</v>
      </c>
      <c r="B1366" t="s">
        <v>87</v>
      </c>
      <c r="C1366">
        <v>2</v>
      </c>
      <c r="D1366">
        <v>81.7</v>
      </c>
      <c r="E1366">
        <v>163.4</v>
      </c>
      <c r="F1366" s="58">
        <v>45709</v>
      </c>
      <c r="G1366" s="58">
        <v>45709</v>
      </c>
      <c r="H1366" t="s">
        <v>229</v>
      </c>
      <c r="I1366" t="s">
        <v>59</v>
      </c>
      <c r="J1366">
        <v>4</v>
      </c>
      <c r="K1366" t="s">
        <v>103</v>
      </c>
      <c r="L1366" t="s">
        <v>124</v>
      </c>
      <c r="M1366">
        <f>orders[[#This Row],[Ship Date]]-orders[[#This Row],[Order Date]]</f>
        <v>0</v>
      </c>
      <c r="N1366">
        <f>WEEKNUM(orders[[#This Row],[Order Date]],1)</f>
        <v>8</v>
      </c>
      <c r="O1366" t="str">
        <f t="array" ref="O1366">_xlfn.IFS(orders[[#This Row],[Customer Gender]]="M","Male", orders[[#This Row],[Customer Gender]]="F","Female", orders[[#This Row],[Customer Gender]]="O","Other", TRUE(),"Unknown")</f>
        <v>Male</v>
      </c>
    </row>
    <row r="1367" spans="1:15" x14ac:dyDescent="0.25">
      <c r="A1367" t="s">
        <v>1595</v>
      </c>
      <c r="B1367" t="s">
        <v>82</v>
      </c>
      <c r="C1367">
        <v>2</v>
      </c>
      <c r="D1367">
        <v>56.7</v>
      </c>
      <c r="E1367">
        <v>113.4</v>
      </c>
      <c r="F1367" s="58">
        <v>45709</v>
      </c>
      <c r="G1367" s="58">
        <v>45711</v>
      </c>
      <c r="I1367" t="s">
        <v>59</v>
      </c>
      <c r="J1367">
        <v>5</v>
      </c>
      <c r="K1367" t="s">
        <v>103</v>
      </c>
      <c r="L1367" t="s">
        <v>124</v>
      </c>
      <c r="M1367">
        <f>orders[[#This Row],[Ship Date]]-orders[[#This Row],[Order Date]]</f>
        <v>2</v>
      </c>
      <c r="N1367">
        <f>WEEKNUM(orders[[#This Row],[Order Date]],1)</f>
        <v>8</v>
      </c>
      <c r="O1367" t="str">
        <f t="array" ref="O1367">_xlfn.IFS(orders[[#This Row],[Customer Gender]]="M","Male", orders[[#This Row],[Customer Gender]]="F","Female", orders[[#This Row],[Customer Gender]]="O","Other", TRUE(),"Unknown")</f>
        <v>Unknown</v>
      </c>
    </row>
    <row r="1368" spans="1:15" x14ac:dyDescent="0.25">
      <c r="A1368" t="s">
        <v>1596</v>
      </c>
      <c r="B1368" t="s">
        <v>93</v>
      </c>
      <c r="C1368">
        <v>4</v>
      </c>
      <c r="D1368">
        <v>66.5</v>
      </c>
      <c r="E1368">
        <v>266</v>
      </c>
      <c r="F1368" s="58">
        <v>45709</v>
      </c>
      <c r="G1368" s="58">
        <v>45709</v>
      </c>
      <c r="H1368" t="s">
        <v>231</v>
      </c>
      <c r="I1368" t="s">
        <v>59</v>
      </c>
      <c r="J1368">
        <v>5</v>
      </c>
      <c r="K1368" t="s">
        <v>103</v>
      </c>
      <c r="L1368" t="s">
        <v>124</v>
      </c>
      <c r="M1368">
        <f>orders[[#This Row],[Ship Date]]-orders[[#This Row],[Order Date]]</f>
        <v>0</v>
      </c>
      <c r="N1368">
        <f>WEEKNUM(orders[[#This Row],[Order Date]],1)</f>
        <v>8</v>
      </c>
      <c r="O1368" t="str">
        <f t="array" ref="O1368">_xlfn.IFS(orders[[#This Row],[Customer Gender]]="M","Male", orders[[#This Row],[Customer Gender]]="F","Female", orders[[#This Row],[Customer Gender]]="O","Other", TRUE(),"Unknown")</f>
        <v>Female</v>
      </c>
    </row>
    <row r="1369" spans="1:15" x14ac:dyDescent="0.25">
      <c r="A1369" t="s">
        <v>1597</v>
      </c>
      <c r="B1369" t="s">
        <v>91</v>
      </c>
      <c r="C1369">
        <v>2</v>
      </c>
      <c r="D1369">
        <v>105.3</v>
      </c>
      <c r="E1369">
        <v>210.6</v>
      </c>
      <c r="F1369" s="58">
        <v>45709</v>
      </c>
      <c r="G1369" s="58">
        <v>45713</v>
      </c>
      <c r="H1369" t="s">
        <v>229</v>
      </c>
      <c r="I1369" t="s">
        <v>59</v>
      </c>
      <c r="J1369">
        <v>3</v>
      </c>
      <c r="K1369" t="s">
        <v>103</v>
      </c>
      <c r="L1369" t="s">
        <v>124</v>
      </c>
      <c r="M1369">
        <f>orders[[#This Row],[Ship Date]]-orders[[#This Row],[Order Date]]</f>
        <v>4</v>
      </c>
      <c r="N1369">
        <f>WEEKNUM(orders[[#This Row],[Order Date]],1)</f>
        <v>8</v>
      </c>
      <c r="O1369" t="str">
        <f t="array" ref="O1369">_xlfn.IFS(orders[[#This Row],[Customer Gender]]="M","Male", orders[[#This Row],[Customer Gender]]="F","Female", orders[[#This Row],[Customer Gender]]="O","Other", TRUE(),"Unknown")</f>
        <v>Male</v>
      </c>
    </row>
    <row r="1370" spans="1:15" x14ac:dyDescent="0.25">
      <c r="A1370" t="s">
        <v>1598</v>
      </c>
      <c r="B1370" t="s">
        <v>75</v>
      </c>
      <c r="C1370">
        <v>5</v>
      </c>
      <c r="D1370">
        <v>33.799999999999997</v>
      </c>
      <c r="E1370">
        <v>169</v>
      </c>
      <c r="F1370" s="58">
        <v>45709</v>
      </c>
      <c r="G1370" s="58">
        <v>45714</v>
      </c>
      <c r="H1370" t="s">
        <v>229</v>
      </c>
      <c r="I1370" t="s">
        <v>59</v>
      </c>
      <c r="J1370">
        <v>4</v>
      </c>
      <c r="K1370" t="s">
        <v>103</v>
      </c>
      <c r="L1370" t="s">
        <v>124</v>
      </c>
      <c r="M1370">
        <f>orders[[#This Row],[Ship Date]]-orders[[#This Row],[Order Date]]</f>
        <v>5</v>
      </c>
      <c r="N1370">
        <f>WEEKNUM(orders[[#This Row],[Order Date]],1)</f>
        <v>8</v>
      </c>
      <c r="O1370" t="str">
        <f t="array" ref="O1370">_xlfn.IFS(orders[[#This Row],[Customer Gender]]="M","Male", orders[[#This Row],[Customer Gender]]="F","Female", orders[[#This Row],[Customer Gender]]="O","Other", TRUE(),"Unknown")</f>
        <v>Male</v>
      </c>
    </row>
    <row r="1371" spans="1:15" x14ac:dyDescent="0.25">
      <c r="A1371" t="s">
        <v>1599</v>
      </c>
      <c r="B1371" t="s">
        <v>80</v>
      </c>
      <c r="C1371">
        <v>3</v>
      </c>
      <c r="D1371">
        <v>63.4</v>
      </c>
      <c r="E1371">
        <v>190.2</v>
      </c>
      <c r="F1371" s="58">
        <v>45709</v>
      </c>
      <c r="G1371" s="58">
        <v>45714</v>
      </c>
      <c r="H1371" t="s">
        <v>229</v>
      </c>
      <c r="I1371" t="s">
        <v>60</v>
      </c>
      <c r="J1371">
        <v>3</v>
      </c>
      <c r="K1371" t="s">
        <v>103</v>
      </c>
      <c r="L1371" t="s">
        <v>129</v>
      </c>
      <c r="M1371">
        <f>orders[[#This Row],[Ship Date]]-orders[[#This Row],[Order Date]]</f>
        <v>5</v>
      </c>
      <c r="N1371">
        <f>WEEKNUM(orders[[#This Row],[Order Date]],1)</f>
        <v>8</v>
      </c>
      <c r="O1371" t="str">
        <f t="array" ref="O1371">_xlfn.IFS(orders[[#This Row],[Customer Gender]]="M","Male", orders[[#This Row],[Customer Gender]]="F","Female", orders[[#This Row],[Customer Gender]]="O","Other", TRUE(),"Unknown")</f>
        <v>Male</v>
      </c>
    </row>
    <row r="1372" spans="1:15" x14ac:dyDescent="0.25">
      <c r="A1372" t="s">
        <v>1600</v>
      </c>
      <c r="B1372" t="s">
        <v>80</v>
      </c>
      <c r="C1372">
        <v>3</v>
      </c>
      <c r="D1372">
        <v>49</v>
      </c>
      <c r="E1372">
        <v>147</v>
      </c>
      <c r="F1372" s="58">
        <v>45709</v>
      </c>
      <c r="G1372" s="58">
        <v>45713</v>
      </c>
      <c r="H1372" t="s">
        <v>229</v>
      </c>
      <c r="I1372" t="s">
        <v>60</v>
      </c>
      <c r="J1372">
        <v>4</v>
      </c>
      <c r="K1372" t="s">
        <v>103</v>
      </c>
      <c r="L1372" t="s">
        <v>132</v>
      </c>
      <c r="M1372">
        <f>orders[[#This Row],[Ship Date]]-orders[[#This Row],[Order Date]]</f>
        <v>4</v>
      </c>
      <c r="N1372">
        <f>WEEKNUM(orders[[#This Row],[Order Date]],1)</f>
        <v>8</v>
      </c>
      <c r="O1372" t="str">
        <f t="array" ref="O1372">_xlfn.IFS(orders[[#This Row],[Customer Gender]]="M","Male", orders[[#This Row],[Customer Gender]]="F","Female", orders[[#This Row],[Customer Gender]]="O","Other", TRUE(),"Unknown")</f>
        <v>Male</v>
      </c>
    </row>
    <row r="1373" spans="1:15" x14ac:dyDescent="0.25">
      <c r="A1373" t="s">
        <v>1601</v>
      </c>
      <c r="B1373" t="s">
        <v>91</v>
      </c>
      <c r="C1373">
        <v>2</v>
      </c>
      <c r="D1373">
        <v>40</v>
      </c>
      <c r="E1373">
        <v>80</v>
      </c>
      <c r="F1373" s="58">
        <v>45709</v>
      </c>
      <c r="G1373" s="58">
        <v>45710</v>
      </c>
      <c r="H1373" t="s">
        <v>231</v>
      </c>
      <c r="I1373" t="s">
        <v>61</v>
      </c>
      <c r="J1373">
        <v>3</v>
      </c>
      <c r="K1373" t="s">
        <v>103</v>
      </c>
      <c r="L1373" t="s">
        <v>138</v>
      </c>
      <c r="M1373">
        <f>orders[[#This Row],[Ship Date]]-orders[[#This Row],[Order Date]]</f>
        <v>1</v>
      </c>
      <c r="N1373">
        <f>WEEKNUM(orders[[#This Row],[Order Date]],1)</f>
        <v>8</v>
      </c>
      <c r="O1373" t="str">
        <f t="array" ref="O1373">_xlfn.IFS(orders[[#This Row],[Customer Gender]]="M","Male", orders[[#This Row],[Customer Gender]]="F","Female", orders[[#This Row],[Customer Gender]]="O","Other", TRUE(),"Unknown")</f>
        <v>Female</v>
      </c>
    </row>
    <row r="1374" spans="1:15" x14ac:dyDescent="0.25">
      <c r="A1374" t="s">
        <v>1602</v>
      </c>
      <c r="B1374" t="s">
        <v>80</v>
      </c>
      <c r="C1374">
        <v>4</v>
      </c>
      <c r="D1374">
        <v>86.3</v>
      </c>
      <c r="E1374">
        <v>345.2</v>
      </c>
      <c r="F1374" s="58">
        <v>45709</v>
      </c>
      <c r="G1374" s="58">
        <v>45710</v>
      </c>
      <c r="H1374" t="s">
        <v>263</v>
      </c>
      <c r="I1374" t="s">
        <v>59</v>
      </c>
      <c r="J1374">
        <v>4</v>
      </c>
      <c r="K1374" t="s">
        <v>103</v>
      </c>
      <c r="L1374" t="s">
        <v>139</v>
      </c>
      <c r="M1374">
        <f>orders[[#This Row],[Ship Date]]-orders[[#This Row],[Order Date]]</f>
        <v>1</v>
      </c>
      <c r="N1374">
        <f>WEEKNUM(orders[[#This Row],[Order Date]],1)</f>
        <v>8</v>
      </c>
      <c r="O1374" t="str">
        <f t="array" ref="O1374">_xlfn.IFS(orders[[#This Row],[Customer Gender]]="M","Male", orders[[#This Row],[Customer Gender]]="F","Female", orders[[#This Row],[Customer Gender]]="O","Other", TRUE(),"Unknown")</f>
        <v>Other</v>
      </c>
    </row>
    <row r="1375" spans="1:15" x14ac:dyDescent="0.25">
      <c r="A1375" t="s">
        <v>1603</v>
      </c>
      <c r="B1375" t="s">
        <v>80</v>
      </c>
      <c r="C1375">
        <v>1</v>
      </c>
      <c r="D1375">
        <v>51.6</v>
      </c>
      <c r="E1375">
        <v>51.6</v>
      </c>
      <c r="F1375" s="58">
        <v>45709</v>
      </c>
      <c r="G1375" s="58">
        <v>45711</v>
      </c>
      <c r="H1375" t="s">
        <v>231</v>
      </c>
      <c r="I1375" t="s">
        <v>62</v>
      </c>
      <c r="J1375">
        <v>5</v>
      </c>
      <c r="K1375" t="s">
        <v>103</v>
      </c>
      <c r="L1375" t="s">
        <v>139</v>
      </c>
      <c r="M1375">
        <f>orders[[#This Row],[Ship Date]]-orders[[#This Row],[Order Date]]</f>
        <v>2</v>
      </c>
      <c r="N1375">
        <f>WEEKNUM(orders[[#This Row],[Order Date]],1)</f>
        <v>8</v>
      </c>
      <c r="O1375" t="str">
        <f t="array" ref="O1375">_xlfn.IFS(orders[[#This Row],[Customer Gender]]="M","Male", orders[[#This Row],[Customer Gender]]="F","Female", orders[[#This Row],[Customer Gender]]="O","Other", TRUE(),"Unknown")</f>
        <v>Female</v>
      </c>
    </row>
    <row r="1376" spans="1:15" x14ac:dyDescent="0.25">
      <c r="A1376" t="s">
        <v>1604</v>
      </c>
      <c r="B1376" t="s">
        <v>75</v>
      </c>
      <c r="C1376">
        <v>3</v>
      </c>
      <c r="D1376">
        <v>26.7</v>
      </c>
      <c r="E1376">
        <v>80.099999999999994</v>
      </c>
      <c r="F1376" s="58">
        <v>45709</v>
      </c>
      <c r="G1376" s="58">
        <v>45714</v>
      </c>
      <c r="H1376" t="s">
        <v>231</v>
      </c>
      <c r="I1376" t="s">
        <v>62</v>
      </c>
      <c r="J1376">
        <v>3</v>
      </c>
      <c r="K1376" t="s">
        <v>103</v>
      </c>
      <c r="L1376" t="s">
        <v>139</v>
      </c>
      <c r="M1376">
        <f>orders[[#This Row],[Ship Date]]-orders[[#This Row],[Order Date]]</f>
        <v>5</v>
      </c>
      <c r="N1376">
        <f>WEEKNUM(orders[[#This Row],[Order Date]],1)</f>
        <v>8</v>
      </c>
      <c r="O1376" t="str">
        <f t="array" ref="O1376">_xlfn.IFS(orders[[#This Row],[Customer Gender]]="M","Male", orders[[#This Row],[Customer Gender]]="F","Female", orders[[#This Row],[Customer Gender]]="O","Other", TRUE(),"Unknown")</f>
        <v>Female</v>
      </c>
    </row>
    <row r="1377" spans="1:15" x14ac:dyDescent="0.25">
      <c r="A1377" t="s">
        <v>1605</v>
      </c>
      <c r="B1377" t="s">
        <v>82</v>
      </c>
      <c r="C1377">
        <v>2</v>
      </c>
      <c r="D1377">
        <v>68.099999999999994</v>
      </c>
      <c r="E1377">
        <v>136.19999999999999</v>
      </c>
      <c r="F1377" s="58">
        <v>45709</v>
      </c>
      <c r="G1377" s="58">
        <v>45710</v>
      </c>
      <c r="H1377" t="s">
        <v>229</v>
      </c>
      <c r="I1377" t="s">
        <v>59</v>
      </c>
      <c r="J1377">
        <v>3</v>
      </c>
      <c r="K1377" t="s">
        <v>103</v>
      </c>
      <c r="L1377" t="s">
        <v>139</v>
      </c>
      <c r="M1377">
        <f>orders[[#This Row],[Ship Date]]-orders[[#This Row],[Order Date]]</f>
        <v>1</v>
      </c>
      <c r="N1377">
        <f>WEEKNUM(orders[[#This Row],[Order Date]],1)</f>
        <v>8</v>
      </c>
      <c r="O1377" t="str">
        <f t="array" ref="O1377">_xlfn.IFS(orders[[#This Row],[Customer Gender]]="M","Male", orders[[#This Row],[Customer Gender]]="F","Female", orders[[#This Row],[Customer Gender]]="O","Other", TRUE(),"Unknown")</f>
        <v>Male</v>
      </c>
    </row>
    <row r="1378" spans="1:15" x14ac:dyDescent="0.25">
      <c r="A1378" t="s">
        <v>1606</v>
      </c>
      <c r="B1378" t="s">
        <v>91</v>
      </c>
      <c r="C1378">
        <v>1</v>
      </c>
      <c r="D1378">
        <v>81.7</v>
      </c>
      <c r="E1378">
        <v>81.7</v>
      </c>
      <c r="F1378" s="58">
        <v>45709</v>
      </c>
      <c r="G1378" s="58">
        <v>45710</v>
      </c>
      <c r="H1378" t="s">
        <v>229</v>
      </c>
      <c r="I1378" t="s">
        <v>59</v>
      </c>
      <c r="J1378">
        <v>4</v>
      </c>
      <c r="K1378" t="s">
        <v>103</v>
      </c>
      <c r="L1378" t="s">
        <v>141</v>
      </c>
      <c r="M1378">
        <f>orders[[#This Row],[Ship Date]]-orders[[#This Row],[Order Date]]</f>
        <v>1</v>
      </c>
      <c r="N1378">
        <f>WEEKNUM(orders[[#This Row],[Order Date]],1)</f>
        <v>8</v>
      </c>
      <c r="O1378" t="str">
        <f t="array" ref="O1378">_xlfn.IFS(orders[[#This Row],[Customer Gender]]="M","Male", orders[[#This Row],[Customer Gender]]="F","Female", orders[[#This Row],[Customer Gender]]="O","Other", TRUE(),"Unknown")</f>
        <v>Male</v>
      </c>
    </row>
    <row r="1379" spans="1:15" x14ac:dyDescent="0.25">
      <c r="A1379" t="s">
        <v>1607</v>
      </c>
      <c r="B1379" t="s">
        <v>82</v>
      </c>
      <c r="C1379">
        <v>10</v>
      </c>
      <c r="D1379">
        <v>25.1</v>
      </c>
      <c r="E1379">
        <v>251</v>
      </c>
      <c r="F1379" s="58">
        <v>45709</v>
      </c>
      <c r="G1379" s="58">
        <v>45712</v>
      </c>
      <c r="H1379" t="s">
        <v>229</v>
      </c>
      <c r="I1379" t="s">
        <v>60</v>
      </c>
      <c r="J1379">
        <v>3</v>
      </c>
      <c r="K1379" t="s">
        <v>103</v>
      </c>
      <c r="L1379" t="s">
        <v>142</v>
      </c>
      <c r="M1379">
        <f>orders[[#This Row],[Ship Date]]-orders[[#This Row],[Order Date]]</f>
        <v>3</v>
      </c>
      <c r="N1379">
        <f>WEEKNUM(orders[[#This Row],[Order Date]],1)</f>
        <v>8</v>
      </c>
      <c r="O1379" t="str">
        <f t="array" ref="O1379">_xlfn.IFS(orders[[#This Row],[Customer Gender]]="M","Male", orders[[#This Row],[Customer Gender]]="F","Female", orders[[#This Row],[Customer Gender]]="O","Other", TRUE(),"Unknown")</f>
        <v>Male</v>
      </c>
    </row>
    <row r="1380" spans="1:15" x14ac:dyDescent="0.25">
      <c r="A1380" t="s">
        <v>1608</v>
      </c>
      <c r="B1380" t="s">
        <v>90</v>
      </c>
      <c r="C1380">
        <v>1</v>
      </c>
      <c r="D1380">
        <v>20.2</v>
      </c>
      <c r="E1380">
        <v>20.2</v>
      </c>
      <c r="F1380" s="58">
        <v>45709</v>
      </c>
      <c r="G1380" s="58">
        <v>45713</v>
      </c>
      <c r="H1380" t="s">
        <v>231</v>
      </c>
      <c r="I1380" t="s">
        <v>59</v>
      </c>
      <c r="J1380">
        <v>4</v>
      </c>
      <c r="K1380" t="s">
        <v>103</v>
      </c>
      <c r="L1380" t="s">
        <v>142</v>
      </c>
      <c r="M1380">
        <f>orders[[#This Row],[Ship Date]]-orders[[#This Row],[Order Date]]</f>
        <v>4</v>
      </c>
      <c r="N1380">
        <f>WEEKNUM(orders[[#This Row],[Order Date]],1)</f>
        <v>8</v>
      </c>
      <c r="O1380" t="str">
        <f t="array" ref="O1380">_xlfn.IFS(orders[[#This Row],[Customer Gender]]="M","Male", orders[[#This Row],[Customer Gender]]="F","Female", orders[[#This Row],[Customer Gender]]="O","Other", TRUE(),"Unknown")</f>
        <v>Female</v>
      </c>
    </row>
    <row r="1381" spans="1:15" x14ac:dyDescent="0.25">
      <c r="A1381" t="s">
        <v>1609</v>
      </c>
      <c r="B1381" t="s">
        <v>90</v>
      </c>
      <c r="C1381">
        <v>3</v>
      </c>
      <c r="D1381">
        <v>15.4</v>
      </c>
      <c r="E1381">
        <v>46.2</v>
      </c>
      <c r="F1381" s="58">
        <v>45709</v>
      </c>
      <c r="G1381" s="58">
        <v>45710</v>
      </c>
      <c r="H1381" t="s">
        <v>229</v>
      </c>
      <c r="I1381" t="s">
        <v>63</v>
      </c>
      <c r="J1381">
        <v>5</v>
      </c>
      <c r="K1381" t="s">
        <v>103</v>
      </c>
      <c r="L1381" t="s">
        <v>142</v>
      </c>
      <c r="M1381">
        <f>orders[[#This Row],[Ship Date]]-orders[[#This Row],[Order Date]]</f>
        <v>1</v>
      </c>
      <c r="N1381">
        <f>WEEKNUM(orders[[#This Row],[Order Date]],1)</f>
        <v>8</v>
      </c>
      <c r="O1381" t="str">
        <f t="array" ref="O1381">_xlfn.IFS(orders[[#This Row],[Customer Gender]]="M","Male", orders[[#This Row],[Customer Gender]]="F","Female", orders[[#This Row],[Customer Gender]]="O","Other", TRUE(),"Unknown")</f>
        <v>Male</v>
      </c>
    </row>
    <row r="1382" spans="1:15" x14ac:dyDescent="0.25">
      <c r="A1382" t="s">
        <v>1610</v>
      </c>
      <c r="B1382" t="s">
        <v>75</v>
      </c>
      <c r="C1382">
        <v>1</v>
      </c>
      <c r="D1382">
        <v>59.2</v>
      </c>
      <c r="E1382">
        <v>59.2</v>
      </c>
      <c r="F1382" s="58">
        <v>45709</v>
      </c>
      <c r="G1382" s="58">
        <v>45710</v>
      </c>
      <c r="H1382" t="s">
        <v>229</v>
      </c>
      <c r="I1382" t="s">
        <v>62</v>
      </c>
      <c r="J1382">
        <v>5</v>
      </c>
      <c r="K1382" t="s">
        <v>103</v>
      </c>
      <c r="L1382" t="s">
        <v>143</v>
      </c>
      <c r="M1382">
        <f>orders[[#This Row],[Ship Date]]-orders[[#This Row],[Order Date]]</f>
        <v>1</v>
      </c>
      <c r="N1382">
        <f>WEEKNUM(orders[[#This Row],[Order Date]],1)</f>
        <v>8</v>
      </c>
      <c r="O1382" t="str">
        <f t="array" ref="O1382">_xlfn.IFS(orders[[#This Row],[Customer Gender]]="M","Male", orders[[#This Row],[Customer Gender]]="F","Female", orders[[#This Row],[Customer Gender]]="O","Other", TRUE(),"Unknown")</f>
        <v>Male</v>
      </c>
    </row>
    <row r="1383" spans="1:15" x14ac:dyDescent="0.25">
      <c r="A1383" t="s">
        <v>1611</v>
      </c>
      <c r="B1383" t="s">
        <v>86</v>
      </c>
      <c r="C1383">
        <v>1</v>
      </c>
      <c r="D1383">
        <v>46.7</v>
      </c>
      <c r="E1383">
        <v>46.7</v>
      </c>
      <c r="F1383" s="58">
        <v>45709</v>
      </c>
      <c r="G1383" s="58">
        <v>45714</v>
      </c>
      <c r="H1383" t="s">
        <v>229</v>
      </c>
      <c r="I1383" t="s">
        <v>59</v>
      </c>
      <c r="J1383">
        <v>4</v>
      </c>
      <c r="K1383" t="s">
        <v>103</v>
      </c>
      <c r="L1383" t="s">
        <v>143</v>
      </c>
      <c r="M1383">
        <f>orders[[#This Row],[Ship Date]]-orders[[#This Row],[Order Date]]</f>
        <v>5</v>
      </c>
      <c r="N1383">
        <f>WEEKNUM(orders[[#This Row],[Order Date]],1)</f>
        <v>8</v>
      </c>
      <c r="O1383" t="str">
        <f t="array" ref="O1383">_xlfn.IFS(orders[[#This Row],[Customer Gender]]="M","Male", orders[[#This Row],[Customer Gender]]="F","Female", orders[[#This Row],[Customer Gender]]="O","Other", TRUE(),"Unknown")</f>
        <v>Male</v>
      </c>
    </row>
    <row r="1384" spans="1:15" x14ac:dyDescent="0.25">
      <c r="A1384" t="s">
        <v>1612</v>
      </c>
      <c r="B1384" t="s">
        <v>80</v>
      </c>
      <c r="C1384">
        <v>15</v>
      </c>
      <c r="D1384">
        <v>41.6</v>
      </c>
      <c r="E1384">
        <v>624</v>
      </c>
      <c r="F1384" s="58">
        <v>45709</v>
      </c>
      <c r="G1384" s="58">
        <v>45711</v>
      </c>
      <c r="H1384" t="s">
        <v>229</v>
      </c>
      <c r="I1384" t="s">
        <v>63</v>
      </c>
      <c r="J1384">
        <v>4</v>
      </c>
      <c r="K1384" t="s">
        <v>103</v>
      </c>
      <c r="L1384" t="s">
        <v>144</v>
      </c>
      <c r="M1384">
        <f>orders[[#This Row],[Ship Date]]-orders[[#This Row],[Order Date]]</f>
        <v>2</v>
      </c>
      <c r="N1384">
        <f>WEEKNUM(orders[[#This Row],[Order Date]],1)</f>
        <v>8</v>
      </c>
      <c r="O1384" t="str">
        <f t="array" ref="O1384">_xlfn.IFS(orders[[#This Row],[Customer Gender]]="M","Male", orders[[#This Row],[Customer Gender]]="F","Female", orders[[#This Row],[Customer Gender]]="O","Other", TRUE(),"Unknown")</f>
        <v>Male</v>
      </c>
    </row>
    <row r="1385" spans="1:15" x14ac:dyDescent="0.25">
      <c r="A1385" t="s">
        <v>1613</v>
      </c>
      <c r="B1385" t="s">
        <v>90</v>
      </c>
      <c r="C1385">
        <v>2</v>
      </c>
      <c r="D1385">
        <v>19.2</v>
      </c>
      <c r="E1385">
        <v>38.4</v>
      </c>
      <c r="F1385" s="58">
        <v>45709</v>
      </c>
      <c r="G1385" s="58">
        <v>45712</v>
      </c>
      <c r="H1385" t="s">
        <v>229</v>
      </c>
      <c r="I1385" t="s">
        <v>61</v>
      </c>
      <c r="J1385">
        <v>5</v>
      </c>
      <c r="K1385" t="s">
        <v>103</v>
      </c>
      <c r="L1385" t="s">
        <v>146</v>
      </c>
      <c r="M1385">
        <f>orders[[#This Row],[Ship Date]]-orders[[#This Row],[Order Date]]</f>
        <v>3</v>
      </c>
      <c r="N1385">
        <f>WEEKNUM(orders[[#This Row],[Order Date]],1)</f>
        <v>8</v>
      </c>
      <c r="O1385" t="str">
        <f t="array" ref="O1385">_xlfn.IFS(orders[[#This Row],[Customer Gender]]="M","Male", orders[[#This Row],[Customer Gender]]="F","Female", orders[[#This Row],[Customer Gender]]="O","Other", TRUE(),"Unknown")</f>
        <v>Male</v>
      </c>
    </row>
    <row r="1386" spans="1:15" x14ac:dyDescent="0.25">
      <c r="A1386" t="s">
        <v>1614</v>
      </c>
      <c r="B1386" t="s">
        <v>84</v>
      </c>
      <c r="C1386">
        <v>7</v>
      </c>
      <c r="D1386">
        <v>41.8</v>
      </c>
      <c r="E1386">
        <v>292.60000000000002</v>
      </c>
      <c r="F1386" s="58">
        <v>45709</v>
      </c>
      <c r="G1386" s="58">
        <v>45711</v>
      </c>
      <c r="H1386" t="s">
        <v>231</v>
      </c>
      <c r="I1386" t="s">
        <v>62</v>
      </c>
      <c r="J1386">
        <v>4</v>
      </c>
      <c r="K1386" t="s">
        <v>103</v>
      </c>
      <c r="L1386" t="s">
        <v>148</v>
      </c>
      <c r="M1386">
        <f>orders[[#This Row],[Ship Date]]-orders[[#This Row],[Order Date]]</f>
        <v>2</v>
      </c>
      <c r="N1386">
        <f>WEEKNUM(orders[[#This Row],[Order Date]],1)</f>
        <v>8</v>
      </c>
      <c r="O1386" t="str">
        <f t="array" ref="O1386">_xlfn.IFS(orders[[#This Row],[Customer Gender]]="M","Male", orders[[#This Row],[Customer Gender]]="F","Female", orders[[#This Row],[Customer Gender]]="O","Other", TRUE(),"Unknown")</f>
        <v>Female</v>
      </c>
    </row>
    <row r="1387" spans="1:15" x14ac:dyDescent="0.25">
      <c r="A1387" t="s">
        <v>1615</v>
      </c>
      <c r="B1387" t="s">
        <v>90</v>
      </c>
      <c r="C1387">
        <v>6</v>
      </c>
      <c r="D1387">
        <v>37.4</v>
      </c>
      <c r="E1387">
        <v>224.4</v>
      </c>
      <c r="F1387" s="58">
        <v>45709</v>
      </c>
      <c r="G1387" s="58">
        <v>45711</v>
      </c>
      <c r="H1387" t="s">
        <v>229</v>
      </c>
      <c r="I1387" t="s">
        <v>59</v>
      </c>
      <c r="J1387">
        <v>5</v>
      </c>
      <c r="K1387" t="s">
        <v>103</v>
      </c>
      <c r="L1387" t="s">
        <v>148</v>
      </c>
      <c r="M1387">
        <f>orders[[#This Row],[Ship Date]]-orders[[#This Row],[Order Date]]</f>
        <v>2</v>
      </c>
      <c r="N1387">
        <f>WEEKNUM(orders[[#This Row],[Order Date]],1)</f>
        <v>8</v>
      </c>
      <c r="O1387" t="str">
        <f t="array" ref="O1387">_xlfn.IFS(orders[[#This Row],[Customer Gender]]="M","Male", orders[[#This Row],[Customer Gender]]="F","Female", orders[[#This Row],[Customer Gender]]="O","Other", TRUE(),"Unknown")</f>
        <v>Male</v>
      </c>
    </row>
    <row r="1388" spans="1:15" x14ac:dyDescent="0.25">
      <c r="A1388" t="s">
        <v>1616</v>
      </c>
      <c r="B1388" t="s">
        <v>75</v>
      </c>
      <c r="C1388">
        <v>3</v>
      </c>
      <c r="D1388">
        <v>60.2</v>
      </c>
      <c r="E1388">
        <v>180.6</v>
      </c>
      <c r="F1388" s="58">
        <v>45709</v>
      </c>
      <c r="G1388" s="58">
        <v>45712</v>
      </c>
      <c r="H1388" t="s">
        <v>229</v>
      </c>
      <c r="I1388" t="s">
        <v>61</v>
      </c>
      <c r="J1388">
        <v>3</v>
      </c>
      <c r="K1388" t="s">
        <v>103</v>
      </c>
      <c r="L1388" t="s">
        <v>153</v>
      </c>
      <c r="M1388">
        <f>orders[[#This Row],[Ship Date]]-orders[[#This Row],[Order Date]]</f>
        <v>3</v>
      </c>
      <c r="N1388">
        <f>WEEKNUM(orders[[#This Row],[Order Date]],1)</f>
        <v>8</v>
      </c>
      <c r="O1388" t="str">
        <f t="array" ref="O1388">_xlfn.IFS(orders[[#This Row],[Customer Gender]]="M","Male", orders[[#This Row],[Customer Gender]]="F","Female", orders[[#This Row],[Customer Gender]]="O","Other", TRUE(),"Unknown")</f>
        <v>Male</v>
      </c>
    </row>
    <row r="1389" spans="1:15" x14ac:dyDescent="0.25">
      <c r="A1389" t="s">
        <v>1617</v>
      </c>
      <c r="B1389" t="s">
        <v>88</v>
      </c>
      <c r="C1389">
        <v>2</v>
      </c>
      <c r="D1389">
        <v>91.5</v>
      </c>
      <c r="E1389">
        <v>183</v>
      </c>
      <c r="F1389" s="58">
        <v>45710</v>
      </c>
      <c r="G1389" s="58">
        <v>45711</v>
      </c>
      <c r="H1389" t="s">
        <v>229</v>
      </c>
      <c r="I1389" t="s">
        <v>59</v>
      </c>
      <c r="J1389">
        <v>4</v>
      </c>
      <c r="K1389" t="s">
        <v>103</v>
      </c>
      <c r="L1389" t="s">
        <v>161</v>
      </c>
      <c r="M1389">
        <f>orders[[#This Row],[Ship Date]]-orders[[#This Row],[Order Date]]</f>
        <v>1</v>
      </c>
      <c r="N1389">
        <f>WEEKNUM(orders[[#This Row],[Order Date]],1)</f>
        <v>8</v>
      </c>
      <c r="O1389" t="str">
        <f t="array" ref="O1389">_xlfn.IFS(orders[[#This Row],[Customer Gender]]="M","Male", orders[[#This Row],[Customer Gender]]="F","Female", orders[[#This Row],[Customer Gender]]="O","Other", TRUE(),"Unknown")</f>
        <v>Male</v>
      </c>
    </row>
    <row r="1390" spans="1:15" x14ac:dyDescent="0.25">
      <c r="A1390" t="s">
        <v>1618</v>
      </c>
      <c r="B1390" t="s">
        <v>93</v>
      </c>
      <c r="C1390">
        <v>5</v>
      </c>
      <c r="D1390">
        <v>55.7</v>
      </c>
      <c r="E1390">
        <v>278.5</v>
      </c>
      <c r="F1390" s="58">
        <v>45710</v>
      </c>
      <c r="G1390" s="58">
        <v>45712</v>
      </c>
      <c r="I1390" t="s">
        <v>63</v>
      </c>
      <c r="J1390">
        <v>5</v>
      </c>
      <c r="K1390" t="s">
        <v>103</v>
      </c>
      <c r="L1390" t="s">
        <v>106</v>
      </c>
      <c r="M1390">
        <f>orders[[#This Row],[Ship Date]]-orders[[#This Row],[Order Date]]</f>
        <v>2</v>
      </c>
      <c r="N1390">
        <f>WEEKNUM(orders[[#This Row],[Order Date]],1)</f>
        <v>8</v>
      </c>
      <c r="O1390" t="str">
        <f t="array" ref="O1390">_xlfn.IFS(orders[[#This Row],[Customer Gender]]="M","Male", orders[[#This Row],[Customer Gender]]="F","Female", orders[[#This Row],[Customer Gender]]="O","Other", TRUE(),"Unknown")</f>
        <v>Unknown</v>
      </c>
    </row>
    <row r="1391" spans="1:15" x14ac:dyDescent="0.25">
      <c r="A1391" t="s">
        <v>1619</v>
      </c>
      <c r="B1391" t="s">
        <v>79</v>
      </c>
      <c r="C1391">
        <v>2</v>
      </c>
      <c r="D1391">
        <v>76.7</v>
      </c>
      <c r="E1391">
        <v>153.4</v>
      </c>
      <c r="F1391" s="58">
        <v>45710</v>
      </c>
      <c r="G1391" s="58">
        <v>45712</v>
      </c>
      <c r="H1391" t="s">
        <v>229</v>
      </c>
      <c r="I1391" t="s">
        <v>59</v>
      </c>
      <c r="J1391">
        <v>3</v>
      </c>
      <c r="K1391" t="s">
        <v>103</v>
      </c>
      <c r="L1391" t="s">
        <v>106</v>
      </c>
      <c r="M1391">
        <f>orders[[#This Row],[Ship Date]]-orders[[#This Row],[Order Date]]</f>
        <v>2</v>
      </c>
      <c r="N1391">
        <f>WEEKNUM(orders[[#This Row],[Order Date]],1)</f>
        <v>8</v>
      </c>
      <c r="O1391" t="str">
        <f t="array" ref="O1391">_xlfn.IFS(orders[[#This Row],[Customer Gender]]="M","Male", orders[[#This Row],[Customer Gender]]="F","Female", orders[[#This Row],[Customer Gender]]="O","Other", TRUE(),"Unknown")</f>
        <v>Male</v>
      </c>
    </row>
    <row r="1392" spans="1:15" x14ac:dyDescent="0.25">
      <c r="A1392" t="s">
        <v>1620</v>
      </c>
      <c r="B1392" t="s">
        <v>90</v>
      </c>
      <c r="C1392">
        <v>21</v>
      </c>
      <c r="D1392">
        <v>28.2</v>
      </c>
      <c r="E1392">
        <v>592.20000000000005</v>
      </c>
      <c r="F1392" s="58">
        <v>45710</v>
      </c>
      <c r="G1392" s="58">
        <v>45715</v>
      </c>
      <c r="H1392" t="s">
        <v>229</v>
      </c>
      <c r="I1392" t="s">
        <v>62</v>
      </c>
      <c r="J1392">
        <v>4</v>
      </c>
      <c r="K1392" t="s">
        <v>103</v>
      </c>
      <c r="L1392" t="s">
        <v>112</v>
      </c>
      <c r="M1392">
        <f>orders[[#This Row],[Ship Date]]-orders[[#This Row],[Order Date]]</f>
        <v>5</v>
      </c>
      <c r="N1392">
        <f>WEEKNUM(orders[[#This Row],[Order Date]],1)</f>
        <v>8</v>
      </c>
      <c r="O1392" t="str">
        <f t="array" ref="O1392">_xlfn.IFS(orders[[#This Row],[Customer Gender]]="M","Male", orders[[#This Row],[Customer Gender]]="F","Female", orders[[#This Row],[Customer Gender]]="O","Other", TRUE(),"Unknown")</f>
        <v>Male</v>
      </c>
    </row>
    <row r="1393" spans="1:15" x14ac:dyDescent="0.25">
      <c r="A1393" t="s">
        <v>1621</v>
      </c>
      <c r="B1393" t="s">
        <v>79</v>
      </c>
      <c r="C1393">
        <v>5</v>
      </c>
      <c r="D1393">
        <v>93.2</v>
      </c>
      <c r="E1393">
        <v>466</v>
      </c>
      <c r="F1393" s="58">
        <v>45710</v>
      </c>
      <c r="G1393" s="58">
        <v>45712</v>
      </c>
      <c r="H1393" t="s">
        <v>231</v>
      </c>
      <c r="I1393" t="s">
        <v>61</v>
      </c>
      <c r="J1393">
        <v>5</v>
      </c>
      <c r="K1393" t="s">
        <v>103</v>
      </c>
      <c r="L1393" t="s">
        <v>112</v>
      </c>
      <c r="M1393">
        <f>orders[[#This Row],[Ship Date]]-orders[[#This Row],[Order Date]]</f>
        <v>2</v>
      </c>
      <c r="N1393">
        <f>WEEKNUM(orders[[#This Row],[Order Date]],1)</f>
        <v>8</v>
      </c>
      <c r="O1393" t="str">
        <f t="array" ref="O1393">_xlfn.IFS(orders[[#This Row],[Customer Gender]]="M","Male", orders[[#This Row],[Customer Gender]]="F","Female", orders[[#This Row],[Customer Gender]]="O","Other", TRUE(),"Unknown")</f>
        <v>Female</v>
      </c>
    </row>
    <row r="1394" spans="1:15" x14ac:dyDescent="0.25">
      <c r="A1394" t="s">
        <v>1622</v>
      </c>
      <c r="B1394" t="s">
        <v>84</v>
      </c>
      <c r="C1394">
        <v>1</v>
      </c>
      <c r="D1394">
        <v>33.299999999999997</v>
      </c>
      <c r="E1394">
        <v>33.299999999999997</v>
      </c>
      <c r="F1394" s="58">
        <v>45710</v>
      </c>
      <c r="G1394" s="58">
        <v>45711</v>
      </c>
      <c r="H1394" t="s">
        <v>229</v>
      </c>
      <c r="I1394" t="s">
        <v>61</v>
      </c>
      <c r="J1394">
        <v>4</v>
      </c>
      <c r="K1394" t="s">
        <v>103</v>
      </c>
      <c r="L1394" t="s">
        <v>115</v>
      </c>
      <c r="M1394">
        <f>orders[[#This Row],[Ship Date]]-orders[[#This Row],[Order Date]]</f>
        <v>1</v>
      </c>
      <c r="N1394">
        <f>WEEKNUM(orders[[#This Row],[Order Date]],1)</f>
        <v>8</v>
      </c>
      <c r="O1394" t="str">
        <f t="array" ref="O1394">_xlfn.IFS(orders[[#This Row],[Customer Gender]]="M","Male", orders[[#This Row],[Customer Gender]]="F","Female", orders[[#This Row],[Customer Gender]]="O","Other", TRUE(),"Unknown")</f>
        <v>Male</v>
      </c>
    </row>
    <row r="1395" spans="1:15" x14ac:dyDescent="0.25">
      <c r="A1395" t="s">
        <v>1623</v>
      </c>
      <c r="B1395" t="s">
        <v>75</v>
      </c>
      <c r="C1395">
        <v>2</v>
      </c>
      <c r="D1395">
        <v>39.1</v>
      </c>
      <c r="E1395">
        <v>78.2</v>
      </c>
      <c r="F1395" s="58">
        <v>45710</v>
      </c>
      <c r="G1395" s="58">
        <v>45713</v>
      </c>
      <c r="H1395" t="s">
        <v>229</v>
      </c>
      <c r="I1395" t="s">
        <v>59</v>
      </c>
      <c r="J1395">
        <v>4</v>
      </c>
      <c r="K1395" t="s">
        <v>103</v>
      </c>
      <c r="L1395" t="s">
        <v>117</v>
      </c>
      <c r="M1395">
        <f>orders[[#This Row],[Ship Date]]-orders[[#This Row],[Order Date]]</f>
        <v>3</v>
      </c>
      <c r="N1395">
        <f>WEEKNUM(orders[[#This Row],[Order Date]],1)</f>
        <v>8</v>
      </c>
      <c r="O1395" t="str">
        <f t="array" ref="O1395">_xlfn.IFS(orders[[#This Row],[Customer Gender]]="M","Male", orders[[#This Row],[Customer Gender]]="F","Female", orders[[#This Row],[Customer Gender]]="O","Other", TRUE(),"Unknown")</f>
        <v>Male</v>
      </c>
    </row>
    <row r="1396" spans="1:15" x14ac:dyDescent="0.25">
      <c r="A1396" t="s">
        <v>1624</v>
      </c>
      <c r="B1396" t="s">
        <v>79</v>
      </c>
      <c r="C1396">
        <v>12</v>
      </c>
      <c r="D1396">
        <v>45.3</v>
      </c>
      <c r="E1396">
        <v>543.6</v>
      </c>
      <c r="F1396" s="58">
        <v>45710</v>
      </c>
      <c r="G1396" s="58">
        <v>45711</v>
      </c>
      <c r="H1396" t="s">
        <v>229</v>
      </c>
      <c r="I1396" t="s">
        <v>62</v>
      </c>
      <c r="J1396">
        <v>4</v>
      </c>
      <c r="K1396" t="s">
        <v>103</v>
      </c>
      <c r="L1396" t="s">
        <v>118</v>
      </c>
      <c r="M1396">
        <f>orders[[#This Row],[Ship Date]]-orders[[#This Row],[Order Date]]</f>
        <v>1</v>
      </c>
      <c r="N1396">
        <f>WEEKNUM(orders[[#This Row],[Order Date]],1)</f>
        <v>8</v>
      </c>
      <c r="O1396" t="str">
        <f t="array" ref="O1396">_xlfn.IFS(orders[[#This Row],[Customer Gender]]="M","Male", orders[[#This Row],[Customer Gender]]="F","Female", orders[[#This Row],[Customer Gender]]="O","Other", TRUE(),"Unknown")</f>
        <v>Male</v>
      </c>
    </row>
    <row r="1397" spans="1:15" x14ac:dyDescent="0.25">
      <c r="A1397" t="s">
        <v>1625</v>
      </c>
      <c r="B1397" t="s">
        <v>88</v>
      </c>
      <c r="C1397">
        <v>7</v>
      </c>
      <c r="D1397">
        <v>33.9</v>
      </c>
      <c r="E1397">
        <v>237.3</v>
      </c>
      <c r="F1397" s="58">
        <v>45710</v>
      </c>
      <c r="G1397" s="58">
        <v>45711</v>
      </c>
      <c r="H1397" t="s">
        <v>229</v>
      </c>
      <c r="I1397" t="s">
        <v>61</v>
      </c>
      <c r="J1397">
        <v>4</v>
      </c>
      <c r="K1397" t="s">
        <v>103</v>
      </c>
      <c r="L1397" t="s">
        <v>118</v>
      </c>
      <c r="M1397">
        <f>orders[[#This Row],[Ship Date]]-orders[[#This Row],[Order Date]]</f>
        <v>1</v>
      </c>
      <c r="N1397">
        <f>WEEKNUM(orders[[#This Row],[Order Date]],1)</f>
        <v>8</v>
      </c>
      <c r="O1397" t="str">
        <f t="array" ref="O1397">_xlfn.IFS(orders[[#This Row],[Customer Gender]]="M","Male", orders[[#This Row],[Customer Gender]]="F","Female", orders[[#This Row],[Customer Gender]]="O","Other", TRUE(),"Unknown")</f>
        <v>Male</v>
      </c>
    </row>
    <row r="1398" spans="1:15" x14ac:dyDescent="0.25">
      <c r="A1398" t="s">
        <v>1626</v>
      </c>
      <c r="B1398" t="s">
        <v>90</v>
      </c>
      <c r="C1398">
        <v>3</v>
      </c>
      <c r="D1398">
        <v>19</v>
      </c>
      <c r="E1398">
        <v>57</v>
      </c>
      <c r="F1398" s="58">
        <v>45710</v>
      </c>
      <c r="G1398" s="58">
        <v>45711</v>
      </c>
      <c r="H1398" t="s">
        <v>229</v>
      </c>
      <c r="I1398" t="s">
        <v>59</v>
      </c>
      <c r="J1398">
        <v>5</v>
      </c>
      <c r="K1398" t="s">
        <v>103</v>
      </c>
      <c r="L1398" t="s">
        <v>119</v>
      </c>
      <c r="M1398">
        <f>orders[[#This Row],[Ship Date]]-orders[[#This Row],[Order Date]]</f>
        <v>1</v>
      </c>
      <c r="N1398">
        <f>WEEKNUM(orders[[#This Row],[Order Date]],1)</f>
        <v>8</v>
      </c>
      <c r="O1398" t="str">
        <f t="array" ref="O1398">_xlfn.IFS(orders[[#This Row],[Customer Gender]]="M","Male", orders[[#This Row],[Customer Gender]]="F","Female", orders[[#This Row],[Customer Gender]]="O","Other", TRUE(),"Unknown")</f>
        <v>Male</v>
      </c>
    </row>
    <row r="1399" spans="1:15" x14ac:dyDescent="0.25">
      <c r="A1399" t="s">
        <v>1627</v>
      </c>
      <c r="B1399" t="s">
        <v>78</v>
      </c>
      <c r="C1399">
        <v>1</v>
      </c>
      <c r="D1399">
        <v>41.9</v>
      </c>
      <c r="E1399">
        <v>41.9</v>
      </c>
      <c r="F1399" s="58">
        <v>45710</v>
      </c>
      <c r="G1399" s="58">
        <v>45713</v>
      </c>
      <c r="H1399" t="s">
        <v>231</v>
      </c>
      <c r="I1399" t="s">
        <v>62</v>
      </c>
      <c r="J1399">
        <v>4</v>
      </c>
      <c r="K1399" t="s">
        <v>103</v>
      </c>
      <c r="L1399" t="s">
        <v>120</v>
      </c>
      <c r="M1399">
        <f>orders[[#This Row],[Ship Date]]-orders[[#This Row],[Order Date]]</f>
        <v>3</v>
      </c>
      <c r="N1399">
        <f>WEEKNUM(orders[[#This Row],[Order Date]],1)</f>
        <v>8</v>
      </c>
      <c r="O1399" t="str">
        <f t="array" ref="O1399">_xlfn.IFS(orders[[#This Row],[Customer Gender]]="M","Male", orders[[#This Row],[Customer Gender]]="F","Female", orders[[#This Row],[Customer Gender]]="O","Other", TRUE(),"Unknown")</f>
        <v>Female</v>
      </c>
    </row>
    <row r="1400" spans="1:15" x14ac:dyDescent="0.25">
      <c r="A1400" t="s">
        <v>1628</v>
      </c>
      <c r="B1400" t="s">
        <v>91</v>
      </c>
      <c r="C1400">
        <v>4</v>
      </c>
      <c r="D1400">
        <v>37.5</v>
      </c>
      <c r="E1400">
        <v>150</v>
      </c>
      <c r="F1400" s="58">
        <v>45710</v>
      </c>
      <c r="G1400" s="58">
        <v>45710</v>
      </c>
      <c r="H1400" t="s">
        <v>231</v>
      </c>
      <c r="I1400" t="s">
        <v>59</v>
      </c>
      <c r="J1400">
        <v>4</v>
      </c>
      <c r="K1400" t="s">
        <v>103</v>
      </c>
      <c r="L1400" t="s">
        <v>124</v>
      </c>
      <c r="M1400">
        <f>orders[[#This Row],[Ship Date]]-orders[[#This Row],[Order Date]]</f>
        <v>0</v>
      </c>
      <c r="N1400">
        <f>WEEKNUM(orders[[#This Row],[Order Date]],1)</f>
        <v>8</v>
      </c>
      <c r="O1400" t="str">
        <f t="array" ref="O1400">_xlfn.IFS(orders[[#This Row],[Customer Gender]]="M","Male", orders[[#This Row],[Customer Gender]]="F","Female", orders[[#This Row],[Customer Gender]]="O","Other", TRUE(),"Unknown")</f>
        <v>Female</v>
      </c>
    </row>
    <row r="1401" spans="1:15" x14ac:dyDescent="0.25">
      <c r="A1401" t="s">
        <v>1629</v>
      </c>
      <c r="B1401" t="s">
        <v>86</v>
      </c>
      <c r="C1401">
        <v>2</v>
      </c>
      <c r="D1401">
        <v>40.799999999999997</v>
      </c>
      <c r="E1401">
        <v>81.599999999999994</v>
      </c>
      <c r="F1401" s="58">
        <v>45710</v>
      </c>
      <c r="G1401" s="58">
        <v>45713</v>
      </c>
      <c r="H1401" t="s">
        <v>229</v>
      </c>
      <c r="I1401" t="s">
        <v>59</v>
      </c>
      <c r="J1401">
        <v>4</v>
      </c>
      <c r="K1401" t="s">
        <v>103</v>
      </c>
      <c r="L1401" t="s">
        <v>124</v>
      </c>
      <c r="M1401">
        <f>orders[[#This Row],[Ship Date]]-orders[[#This Row],[Order Date]]</f>
        <v>3</v>
      </c>
      <c r="N1401">
        <f>WEEKNUM(orders[[#This Row],[Order Date]],1)</f>
        <v>8</v>
      </c>
      <c r="O1401" t="str">
        <f t="array" ref="O1401">_xlfn.IFS(orders[[#This Row],[Customer Gender]]="M","Male", orders[[#This Row],[Customer Gender]]="F","Female", orders[[#This Row],[Customer Gender]]="O","Other", TRUE(),"Unknown")</f>
        <v>Male</v>
      </c>
    </row>
    <row r="1402" spans="1:15" x14ac:dyDescent="0.25">
      <c r="A1402" t="s">
        <v>1630</v>
      </c>
      <c r="B1402" t="s">
        <v>86</v>
      </c>
      <c r="C1402">
        <v>4</v>
      </c>
      <c r="D1402">
        <v>23.1</v>
      </c>
      <c r="E1402">
        <v>92.4</v>
      </c>
      <c r="F1402" s="58">
        <v>45710</v>
      </c>
      <c r="G1402" s="58">
        <v>45711</v>
      </c>
      <c r="H1402" t="s">
        <v>231</v>
      </c>
      <c r="I1402" t="s">
        <v>61</v>
      </c>
      <c r="J1402">
        <v>4</v>
      </c>
      <c r="K1402" t="s">
        <v>103</v>
      </c>
      <c r="L1402" t="s">
        <v>124</v>
      </c>
      <c r="M1402">
        <f>orders[[#This Row],[Ship Date]]-orders[[#This Row],[Order Date]]</f>
        <v>1</v>
      </c>
      <c r="N1402">
        <f>WEEKNUM(orders[[#This Row],[Order Date]],1)</f>
        <v>8</v>
      </c>
      <c r="O1402" t="str">
        <f t="array" ref="O1402">_xlfn.IFS(orders[[#This Row],[Customer Gender]]="M","Male", orders[[#This Row],[Customer Gender]]="F","Female", orders[[#This Row],[Customer Gender]]="O","Other", TRUE(),"Unknown")</f>
        <v>Female</v>
      </c>
    </row>
    <row r="1403" spans="1:15" x14ac:dyDescent="0.25">
      <c r="A1403" t="s">
        <v>1631</v>
      </c>
      <c r="B1403" t="s">
        <v>90</v>
      </c>
      <c r="C1403">
        <v>5</v>
      </c>
      <c r="D1403">
        <v>39.299999999999997</v>
      </c>
      <c r="E1403">
        <v>196.5</v>
      </c>
      <c r="F1403" s="58">
        <v>45710</v>
      </c>
      <c r="G1403" s="58">
        <v>45711</v>
      </c>
      <c r="H1403" t="s">
        <v>231</v>
      </c>
      <c r="I1403" t="s">
        <v>59</v>
      </c>
      <c r="J1403">
        <v>4</v>
      </c>
      <c r="K1403" t="s">
        <v>103</v>
      </c>
      <c r="L1403" t="s">
        <v>124</v>
      </c>
      <c r="M1403">
        <f>orders[[#This Row],[Ship Date]]-orders[[#This Row],[Order Date]]</f>
        <v>1</v>
      </c>
      <c r="N1403">
        <f>WEEKNUM(orders[[#This Row],[Order Date]],1)</f>
        <v>8</v>
      </c>
      <c r="O1403" t="str">
        <f t="array" ref="O1403">_xlfn.IFS(orders[[#This Row],[Customer Gender]]="M","Male", orders[[#This Row],[Customer Gender]]="F","Female", orders[[#This Row],[Customer Gender]]="O","Other", TRUE(),"Unknown")</f>
        <v>Female</v>
      </c>
    </row>
    <row r="1404" spans="1:15" x14ac:dyDescent="0.25">
      <c r="A1404" t="s">
        <v>1632</v>
      </c>
      <c r="B1404" t="s">
        <v>87</v>
      </c>
      <c r="C1404">
        <v>4</v>
      </c>
      <c r="D1404">
        <v>85.2</v>
      </c>
      <c r="E1404">
        <v>340.8</v>
      </c>
      <c r="F1404" s="58">
        <v>45710</v>
      </c>
      <c r="G1404" s="58">
        <v>45715</v>
      </c>
      <c r="H1404" t="s">
        <v>229</v>
      </c>
      <c r="I1404" t="s">
        <v>62</v>
      </c>
      <c r="J1404">
        <v>4</v>
      </c>
      <c r="K1404" t="s">
        <v>103</v>
      </c>
      <c r="L1404" t="s">
        <v>124</v>
      </c>
      <c r="M1404">
        <f>orders[[#This Row],[Ship Date]]-orders[[#This Row],[Order Date]]</f>
        <v>5</v>
      </c>
      <c r="N1404">
        <f>WEEKNUM(orders[[#This Row],[Order Date]],1)</f>
        <v>8</v>
      </c>
      <c r="O1404" t="str">
        <f t="array" ref="O1404">_xlfn.IFS(orders[[#This Row],[Customer Gender]]="M","Male", orders[[#This Row],[Customer Gender]]="F","Female", orders[[#This Row],[Customer Gender]]="O","Other", TRUE(),"Unknown")</f>
        <v>Male</v>
      </c>
    </row>
    <row r="1405" spans="1:15" x14ac:dyDescent="0.25">
      <c r="A1405" t="s">
        <v>1633</v>
      </c>
      <c r="B1405" t="s">
        <v>90</v>
      </c>
      <c r="C1405">
        <v>6</v>
      </c>
      <c r="D1405">
        <v>16</v>
      </c>
      <c r="E1405">
        <v>96</v>
      </c>
      <c r="F1405" s="58">
        <v>45710</v>
      </c>
      <c r="G1405" s="58">
        <v>45713</v>
      </c>
      <c r="H1405" t="s">
        <v>229</v>
      </c>
      <c r="I1405" t="s">
        <v>63</v>
      </c>
      <c r="J1405">
        <v>4</v>
      </c>
      <c r="K1405" t="s">
        <v>103</v>
      </c>
      <c r="L1405" t="s">
        <v>124</v>
      </c>
      <c r="M1405">
        <f>orders[[#This Row],[Ship Date]]-orders[[#This Row],[Order Date]]</f>
        <v>3</v>
      </c>
      <c r="N1405">
        <f>WEEKNUM(orders[[#This Row],[Order Date]],1)</f>
        <v>8</v>
      </c>
      <c r="O1405" t="str">
        <f t="array" ref="O1405">_xlfn.IFS(orders[[#This Row],[Customer Gender]]="M","Male", orders[[#This Row],[Customer Gender]]="F","Female", orders[[#This Row],[Customer Gender]]="O","Other", TRUE(),"Unknown")</f>
        <v>Male</v>
      </c>
    </row>
    <row r="1406" spans="1:15" x14ac:dyDescent="0.25">
      <c r="A1406" t="s">
        <v>1634</v>
      </c>
      <c r="B1406" t="s">
        <v>91</v>
      </c>
      <c r="C1406">
        <v>2</v>
      </c>
      <c r="D1406">
        <v>33.799999999999997</v>
      </c>
      <c r="E1406">
        <v>67.599999999999994</v>
      </c>
      <c r="F1406" s="58">
        <v>45710</v>
      </c>
      <c r="G1406" s="58">
        <v>45714</v>
      </c>
      <c r="H1406" t="s">
        <v>231</v>
      </c>
      <c r="I1406" t="s">
        <v>63</v>
      </c>
      <c r="J1406">
        <v>4</v>
      </c>
      <c r="K1406" t="s">
        <v>103</v>
      </c>
      <c r="L1406" t="s">
        <v>124</v>
      </c>
      <c r="M1406">
        <f>orders[[#This Row],[Ship Date]]-orders[[#This Row],[Order Date]]</f>
        <v>4</v>
      </c>
      <c r="N1406">
        <f>WEEKNUM(orders[[#This Row],[Order Date]],1)</f>
        <v>8</v>
      </c>
      <c r="O1406" t="str">
        <f t="array" ref="O1406">_xlfn.IFS(orders[[#This Row],[Customer Gender]]="M","Male", orders[[#This Row],[Customer Gender]]="F","Female", orders[[#This Row],[Customer Gender]]="O","Other", TRUE(),"Unknown")</f>
        <v>Female</v>
      </c>
    </row>
    <row r="1407" spans="1:15" x14ac:dyDescent="0.25">
      <c r="A1407" t="s">
        <v>1635</v>
      </c>
      <c r="B1407" t="s">
        <v>93</v>
      </c>
      <c r="C1407">
        <v>1</v>
      </c>
      <c r="D1407">
        <v>70</v>
      </c>
      <c r="E1407">
        <v>70</v>
      </c>
      <c r="F1407" s="58">
        <v>45710</v>
      </c>
      <c r="G1407" s="58">
        <v>45711</v>
      </c>
      <c r="H1407" t="s">
        <v>231</v>
      </c>
      <c r="I1407" t="s">
        <v>59</v>
      </c>
      <c r="J1407">
        <v>4</v>
      </c>
      <c r="K1407" t="s">
        <v>103</v>
      </c>
      <c r="L1407" t="s">
        <v>124</v>
      </c>
      <c r="M1407">
        <f>orders[[#This Row],[Ship Date]]-orders[[#This Row],[Order Date]]</f>
        <v>1</v>
      </c>
      <c r="N1407">
        <f>WEEKNUM(orders[[#This Row],[Order Date]],1)</f>
        <v>8</v>
      </c>
      <c r="O1407" t="str">
        <f t="array" ref="O1407">_xlfn.IFS(orders[[#This Row],[Customer Gender]]="M","Male", orders[[#This Row],[Customer Gender]]="F","Female", orders[[#This Row],[Customer Gender]]="O","Other", TRUE(),"Unknown")</f>
        <v>Female</v>
      </c>
    </row>
    <row r="1408" spans="1:15" x14ac:dyDescent="0.25">
      <c r="A1408" t="s">
        <v>1636</v>
      </c>
      <c r="B1408" t="s">
        <v>88</v>
      </c>
      <c r="C1408">
        <v>1</v>
      </c>
      <c r="D1408">
        <v>88</v>
      </c>
      <c r="E1408">
        <v>88</v>
      </c>
      <c r="F1408" s="58">
        <v>45710</v>
      </c>
      <c r="G1408" s="58">
        <v>45715</v>
      </c>
      <c r="H1408" t="s">
        <v>231</v>
      </c>
      <c r="I1408" t="s">
        <v>60</v>
      </c>
      <c r="J1408">
        <v>4</v>
      </c>
      <c r="K1408" t="s">
        <v>103</v>
      </c>
      <c r="L1408" t="s">
        <v>124</v>
      </c>
      <c r="M1408">
        <f>orders[[#This Row],[Ship Date]]-orders[[#This Row],[Order Date]]</f>
        <v>5</v>
      </c>
      <c r="N1408">
        <f>WEEKNUM(orders[[#This Row],[Order Date]],1)</f>
        <v>8</v>
      </c>
      <c r="O1408" t="str">
        <f t="array" ref="O1408">_xlfn.IFS(orders[[#This Row],[Customer Gender]]="M","Male", orders[[#This Row],[Customer Gender]]="F","Female", orders[[#This Row],[Customer Gender]]="O","Other", TRUE(),"Unknown")</f>
        <v>Female</v>
      </c>
    </row>
    <row r="1409" spans="1:15" x14ac:dyDescent="0.25">
      <c r="A1409" t="s">
        <v>1637</v>
      </c>
      <c r="B1409" t="s">
        <v>87</v>
      </c>
      <c r="C1409">
        <v>3</v>
      </c>
      <c r="D1409">
        <v>74.099999999999994</v>
      </c>
      <c r="E1409">
        <v>222.3</v>
      </c>
      <c r="F1409" s="58">
        <v>45710</v>
      </c>
      <c r="G1409" s="58">
        <v>45710</v>
      </c>
      <c r="H1409" t="s">
        <v>229</v>
      </c>
      <c r="I1409" t="s">
        <v>61</v>
      </c>
      <c r="J1409">
        <v>3</v>
      </c>
      <c r="K1409" t="s">
        <v>103</v>
      </c>
      <c r="L1409" t="s">
        <v>124</v>
      </c>
      <c r="M1409">
        <f>orders[[#This Row],[Ship Date]]-orders[[#This Row],[Order Date]]</f>
        <v>0</v>
      </c>
      <c r="N1409">
        <f>WEEKNUM(orders[[#This Row],[Order Date]],1)</f>
        <v>8</v>
      </c>
      <c r="O1409" t="str">
        <f t="array" ref="O1409">_xlfn.IFS(orders[[#This Row],[Customer Gender]]="M","Male", orders[[#This Row],[Customer Gender]]="F","Female", orders[[#This Row],[Customer Gender]]="O","Other", TRUE(),"Unknown")</f>
        <v>Male</v>
      </c>
    </row>
    <row r="1410" spans="1:15" x14ac:dyDescent="0.25">
      <c r="A1410" t="s">
        <v>1638</v>
      </c>
      <c r="B1410" t="s">
        <v>87</v>
      </c>
      <c r="C1410">
        <v>1</v>
      </c>
      <c r="D1410">
        <v>161.9</v>
      </c>
      <c r="E1410">
        <v>161.9</v>
      </c>
      <c r="F1410" s="58">
        <v>45710</v>
      </c>
      <c r="G1410" s="58">
        <v>45712</v>
      </c>
      <c r="H1410" t="s">
        <v>229</v>
      </c>
      <c r="I1410" t="s">
        <v>62</v>
      </c>
      <c r="J1410">
        <v>4</v>
      </c>
      <c r="K1410" t="s">
        <v>103</v>
      </c>
      <c r="L1410" t="s">
        <v>124</v>
      </c>
      <c r="M1410">
        <f>orders[[#This Row],[Ship Date]]-orders[[#This Row],[Order Date]]</f>
        <v>2</v>
      </c>
      <c r="N1410">
        <f>WEEKNUM(orders[[#This Row],[Order Date]],1)</f>
        <v>8</v>
      </c>
      <c r="O1410" t="str">
        <f t="array" ref="O1410">_xlfn.IFS(orders[[#This Row],[Customer Gender]]="M","Male", orders[[#This Row],[Customer Gender]]="F","Female", orders[[#This Row],[Customer Gender]]="O","Other", TRUE(),"Unknown")</f>
        <v>Male</v>
      </c>
    </row>
    <row r="1411" spans="1:15" x14ac:dyDescent="0.25">
      <c r="A1411" t="s">
        <v>1639</v>
      </c>
      <c r="B1411" t="s">
        <v>78</v>
      </c>
      <c r="C1411">
        <v>2</v>
      </c>
      <c r="D1411">
        <v>44</v>
      </c>
      <c r="E1411">
        <v>88</v>
      </c>
      <c r="F1411" s="58">
        <v>45710</v>
      </c>
      <c r="G1411" s="58">
        <v>45711</v>
      </c>
      <c r="H1411" t="s">
        <v>263</v>
      </c>
      <c r="I1411" t="s">
        <v>61</v>
      </c>
      <c r="J1411">
        <v>3</v>
      </c>
      <c r="K1411" t="s">
        <v>103</v>
      </c>
      <c r="L1411" t="s">
        <v>124</v>
      </c>
      <c r="M1411">
        <f>orders[[#This Row],[Ship Date]]-orders[[#This Row],[Order Date]]</f>
        <v>1</v>
      </c>
      <c r="N1411">
        <f>WEEKNUM(orders[[#This Row],[Order Date]],1)</f>
        <v>8</v>
      </c>
      <c r="O1411" t="str">
        <f t="array" ref="O1411">_xlfn.IFS(orders[[#This Row],[Customer Gender]]="M","Male", orders[[#This Row],[Customer Gender]]="F","Female", orders[[#This Row],[Customer Gender]]="O","Other", TRUE(),"Unknown")</f>
        <v>Other</v>
      </c>
    </row>
    <row r="1412" spans="1:15" x14ac:dyDescent="0.25">
      <c r="A1412" t="s">
        <v>1640</v>
      </c>
      <c r="B1412" t="s">
        <v>83</v>
      </c>
      <c r="C1412">
        <v>1</v>
      </c>
      <c r="D1412">
        <v>32.1</v>
      </c>
      <c r="E1412">
        <v>32.1</v>
      </c>
      <c r="F1412" s="58">
        <v>45710</v>
      </c>
      <c r="G1412" s="58">
        <v>45710</v>
      </c>
      <c r="H1412" t="s">
        <v>231</v>
      </c>
      <c r="I1412" t="s">
        <v>60</v>
      </c>
      <c r="J1412">
        <v>1</v>
      </c>
      <c r="K1412" t="s">
        <v>103</v>
      </c>
      <c r="L1412" t="s">
        <v>124</v>
      </c>
      <c r="M1412">
        <f>orders[[#This Row],[Ship Date]]-orders[[#This Row],[Order Date]]</f>
        <v>0</v>
      </c>
      <c r="N1412">
        <f>WEEKNUM(orders[[#This Row],[Order Date]],1)</f>
        <v>8</v>
      </c>
      <c r="O1412" t="str">
        <f t="array" ref="O1412">_xlfn.IFS(orders[[#This Row],[Customer Gender]]="M","Male", orders[[#This Row],[Customer Gender]]="F","Female", orders[[#This Row],[Customer Gender]]="O","Other", TRUE(),"Unknown")</f>
        <v>Female</v>
      </c>
    </row>
    <row r="1413" spans="1:15" x14ac:dyDescent="0.25">
      <c r="A1413" t="s">
        <v>1641</v>
      </c>
      <c r="B1413" t="s">
        <v>87</v>
      </c>
      <c r="C1413">
        <v>4</v>
      </c>
      <c r="D1413">
        <v>104.8</v>
      </c>
      <c r="E1413">
        <v>419.2</v>
      </c>
      <c r="F1413" s="58">
        <v>45711</v>
      </c>
      <c r="G1413" s="58">
        <v>45713</v>
      </c>
      <c r="H1413" t="s">
        <v>263</v>
      </c>
      <c r="I1413" t="s">
        <v>59</v>
      </c>
      <c r="J1413">
        <v>4</v>
      </c>
      <c r="K1413" t="s">
        <v>103</v>
      </c>
      <c r="L1413" t="s">
        <v>124</v>
      </c>
      <c r="M1413">
        <f>orders[[#This Row],[Ship Date]]-orders[[#This Row],[Order Date]]</f>
        <v>2</v>
      </c>
      <c r="N1413">
        <f>WEEKNUM(orders[[#This Row],[Order Date]],1)</f>
        <v>9</v>
      </c>
      <c r="O1413" t="str">
        <f t="array" ref="O1413">_xlfn.IFS(orders[[#This Row],[Customer Gender]]="M","Male", orders[[#This Row],[Customer Gender]]="F","Female", orders[[#This Row],[Customer Gender]]="O","Other", TRUE(),"Unknown")</f>
        <v>Other</v>
      </c>
    </row>
    <row r="1414" spans="1:15" x14ac:dyDescent="0.25">
      <c r="A1414" t="s">
        <v>1642</v>
      </c>
      <c r="B1414" t="s">
        <v>88</v>
      </c>
      <c r="C1414">
        <v>6</v>
      </c>
      <c r="D1414">
        <v>67.400000000000006</v>
      </c>
      <c r="E1414">
        <v>404.4</v>
      </c>
      <c r="F1414" s="58">
        <v>45711</v>
      </c>
      <c r="G1414" s="58">
        <v>45712</v>
      </c>
      <c r="H1414" t="s">
        <v>231</v>
      </c>
      <c r="I1414" t="s">
        <v>60</v>
      </c>
      <c r="J1414">
        <v>4</v>
      </c>
      <c r="K1414" t="s">
        <v>103</v>
      </c>
      <c r="L1414" t="s">
        <v>124</v>
      </c>
      <c r="M1414">
        <f>orders[[#This Row],[Ship Date]]-orders[[#This Row],[Order Date]]</f>
        <v>1</v>
      </c>
      <c r="N1414">
        <f>WEEKNUM(orders[[#This Row],[Order Date]],1)</f>
        <v>9</v>
      </c>
      <c r="O1414" t="str">
        <f t="array" ref="O1414">_xlfn.IFS(orders[[#This Row],[Customer Gender]]="M","Male", orders[[#This Row],[Customer Gender]]="F","Female", orders[[#This Row],[Customer Gender]]="O","Other", TRUE(),"Unknown")</f>
        <v>Female</v>
      </c>
    </row>
    <row r="1415" spans="1:15" x14ac:dyDescent="0.25">
      <c r="A1415" t="s">
        <v>1643</v>
      </c>
      <c r="B1415" t="s">
        <v>80</v>
      </c>
      <c r="C1415">
        <v>2</v>
      </c>
      <c r="D1415">
        <v>115.2</v>
      </c>
      <c r="E1415">
        <v>230.4</v>
      </c>
      <c r="F1415" s="58">
        <v>45711</v>
      </c>
      <c r="G1415" s="58">
        <v>45712</v>
      </c>
      <c r="H1415" t="s">
        <v>231</v>
      </c>
      <c r="I1415" t="s">
        <v>63</v>
      </c>
      <c r="J1415">
        <v>4</v>
      </c>
      <c r="K1415" t="s">
        <v>103</v>
      </c>
      <c r="L1415" t="s">
        <v>134</v>
      </c>
      <c r="M1415">
        <f>orders[[#This Row],[Ship Date]]-orders[[#This Row],[Order Date]]</f>
        <v>1</v>
      </c>
      <c r="N1415">
        <f>WEEKNUM(orders[[#This Row],[Order Date]],1)</f>
        <v>9</v>
      </c>
      <c r="O1415" t="str">
        <f t="array" ref="O1415">_xlfn.IFS(orders[[#This Row],[Customer Gender]]="M","Male", orders[[#This Row],[Customer Gender]]="F","Female", orders[[#This Row],[Customer Gender]]="O","Other", TRUE(),"Unknown")</f>
        <v>Female</v>
      </c>
    </row>
    <row r="1416" spans="1:15" x14ac:dyDescent="0.25">
      <c r="A1416" t="s">
        <v>1644</v>
      </c>
      <c r="B1416" t="s">
        <v>90</v>
      </c>
      <c r="C1416">
        <v>29</v>
      </c>
      <c r="D1416">
        <v>15.5</v>
      </c>
      <c r="E1416">
        <v>449.5</v>
      </c>
      <c r="F1416" s="58">
        <v>45711</v>
      </c>
      <c r="G1416" s="58">
        <v>45713</v>
      </c>
      <c r="H1416" t="s">
        <v>231</v>
      </c>
      <c r="I1416" t="s">
        <v>59</v>
      </c>
      <c r="J1416">
        <v>3</v>
      </c>
      <c r="K1416" t="s">
        <v>103</v>
      </c>
      <c r="L1416" t="s">
        <v>138</v>
      </c>
      <c r="M1416">
        <f>orders[[#This Row],[Ship Date]]-orders[[#This Row],[Order Date]]</f>
        <v>2</v>
      </c>
      <c r="N1416">
        <f>WEEKNUM(orders[[#This Row],[Order Date]],1)</f>
        <v>9</v>
      </c>
      <c r="O1416" t="str">
        <f t="array" ref="O1416">_xlfn.IFS(orders[[#This Row],[Customer Gender]]="M","Male", orders[[#This Row],[Customer Gender]]="F","Female", orders[[#This Row],[Customer Gender]]="O","Other", TRUE(),"Unknown")</f>
        <v>Female</v>
      </c>
    </row>
    <row r="1417" spans="1:15" x14ac:dyDescent="0.25">
      <c r="A1417" t="s">
        <v>1645</v>
      </c>
      <c r="B1417" t="s">
        <v>80</v>
      </c>
      <c r="C1417">
        <v>11</v>
      </c>
      <c r="D1417">
        <v>66.400000000000006</v>
      </c>
      <c r="E1417">
        <v>730.4</v>
      </c>
      <c r="F1417" s="58">
        <v>45711</v>
      </c>
      <c r="G1417" s="58">
        <v>45713</v>
      </c>
      <c r="H1417" t="s">
        <v>231</v>
      </c>
      <c r="I1417" t="s">
        <v>59</v>
      </c>
      <c r="J1417">
        <v>4</v>
      </c>
      <c r="K1417" t="s">
        <v>103</v>
      </c>
      <c r="L1417" t="s">
        <v>139</v>
      </c>
      <c r="M1417">
        <f>orders[[#This Row],[Ship Date]]-orders[[#This Row],[Order Date]]</f>
        <v>2</v>
      </c>
      <c r="N1417">
        <f>WEEKNUM(orders[[#This Row],[Order Date]],1)</f>
        <v>9</v>
      </c>
      <c r="O1417" t="str">
        <f t="array" ref="O1417">_xlfn.IFS(orders[[#This Row],[Customer Gender]]="M","Male", orders[[#This Row],[Customer Gender]]="F","Female", orders[[#This Row],[Customer Gender]]="O","Other", TRUE(),"Unknown")</f>
        <v>Female</v>
      </c>
    </row>
    <row r="1418" spans="1:15" x14ac:dyDescent="0.25">
      <c r="A1418" t="s">
        <v>1646</v>
      </c>
      <c r="B1418" t="s">
        <v>88</v>
      </c>
      <c r="C1418">
        <v>12</v>
      </c>
      <c r="D1418">
        <v>68.099999999999994</v>
      </c>
      <c r="E1418">
        <v>817.2</v>
      </c>
      <c r="F1418" s="58">
        <v>45711</v>
      </c>
      <c r="G1418" s="58">
        <v>45712</v>
      </c>
      <c r="H1418" t="s">
        <v>231</v>
      </c>
      <c r="I1418" t="s">
        <v>62</v>
      </c>
      <c r="J1418">
        <v>4</v>
      </c>
      <c r="K1418" t="s">
        <v>103</v>
      </c>
      <c r="L1418" t="s">
        <v>142</v>
      </c>
      <c r="M1418">
        <f>orders[[#This Row],[Ship Date]]-orders[[#This Row],[Order Date]]</f>
        <v>1</v>
      </c>
      <c r="N1418">
        <f>WEEKNUM(orders[[#This Row],[Order Date]],1)</f>
        <v>9</v>
      </c>
      <c r="O1418" t="str">
        <f t="array" ref="O1418">_xlfn.IFS(orders[[#This Row],[Customer Gender]]="M","Male", orders[[#This Row],[Customer Gender]]="F","Female", orders[[#This Row],[Customer Gender]]="O","Other", TRUE(),"Unknown")</f>
        <v>Female</v>
      </c>
    </row>
    <row r="1419" spans="1:15" x14ac:dyDescent="0.25">
      <c r="A1419" t="s">
        <v>1647</v>
      </c>
      <c r="B1419" t="s">
        <v>90</v>
      </c>
      <c r="C1419">
        <v>5</v>
      </c>
      <c r="D1419">
        <v>32.5</v>
      </c>
      <c r="E1419">
        <v>162.5</v>
      </c>
      <c r="F1419" s="58">
        <v>45711</v>
      </c>
      <c r="G1419" s="58">
        <v>45715</v>
      </c>
      <c r="H1419" t="s">
        <v>229</v>
      </c>
      <c r="I1419" t="s">
        <v>62</v>
      </c>
      <c r="J1419">
        <v>3</v>
      </c>
      <c r="K1419" t="s">
        <v>103</v>
      </c>
      <c r="L1419" t="s">
        <v>142</v>
      </c>
      <c r="M1419">
        <f>orders[[#This Row],[Ship Date]]-orders[[#This Row],[Order Date]]</f>
        <v>4</v>
      </c>
      <c r="N1419">
        <f>WEEKNUM(orders[[#This Row],[Order Date]],1)</f>
        <v>9</v>
      </c>
      <c r="O1419" t="str">
        <f t="array" ref="O1419">_xlfn.IFS(orders[[#This Row],[Customer Gender]]="M","Male", orders[[#This Row],[Customer Gender]]="F","Female", orders[[#This Row],[Customer Gender]]="O","Other", TRUE(),"Unknown")</f>
        <v>Male</v>
      </c>
    </row>
    <row r="1420" spans="1:15" x14ac:dyDescent="0.25">
      <c r="A1420" t="s">
        <v>1648</v>
      </c>
      <c r="B1420" t="s">
        <v>77</v>
      </c>
      <c r="C1420">
        <v>3</v>
      </c>
      <c r="D1420">
        <v>61.2</v>
      </c>
      <c r="E1420">
        <v>183.6</v>
      </c>
      <c r="F1420" s="58">
        <v>45711</v>
      </c>
      <c r="G1420" s="58">
        <v>45713</v>
      </c>
      <c r="H1420" t="s">
        <v>231</v>
      </c>
      <c r="I1420" t="s">
        <v>63</v>
      </c>
      <c r="J1420">
        <v>3</v>
      </c>
      <c r="K1420" t="s">
        <v>103</v>
      </c>
      <c r="L1420" t="s">
        <v>142</v>
      </c>
      <c r="M1420">
        <f>orders[[#This Row],[Ship Date]]-orders[[#This Row],[Order Date]]</f>
        <v>2</v>
      </c>
      <c r="N1420">
        <f>WEEKNUM(orders[[#This Row],[Order Date]],1)</f>
        <v>9</v>
      </c>
      <c r="O1420" t="str">
        <f t="array" ref="O1420">_xlfn.IFS(orders[[#This Row],[Customer Gender]]="M","Male", orders[[#This Row],[Customer Gender]]="F","Female", orders[[#This Row],[Customer Gender]]="O","Other", TRUE(),"Unknown")</f>
        <v>Female</v>
      </c>
    </row>
    <row r="1421" spans="1:15" x14ac:dyDescent="0.25">
      <c r="A1421" t="s">
        <v>1649</v>
      </c>
      <c r="B1421" t="s">
        <v>88</v>
      </c>
      <c r="C1421">
        <v>2</v>
      </c>
      <c r="D1421">
        <v>54.2</v>
      </c>
      <c r="E1421">
        <v>108.4</v>
      </c>
      <c r="F1421" s="58">
        <v>45711</v>
      </c>
      <c r="G1421" s="58">
        <v>45712</v>
      </c>
      <c r="H1421" t="s">
        <v>231</v>
      </c>
      <c r="I1421" t="s">
        <v>63</v>
      </c>
      <c r="J1421">
        <v>4</v>
      </c>
      <c r="K1421" t="s">
        <v>103</v>
      </c>
      <c r="L1421" t="s">
        <v>142</v>
      </c>
      <c r="M1421">
        <f>orders[[#This Row],[Ship Date]]-orders[[#This Row],[Order Date]]</f>
        <v>1</v>
      </c>
      <c r="N1421">
        <f>WEEKNUM(orders[[#This Row],[Order Date]],1)</f>
        <v>9</v>
      </c>
      <c r="O1421" t="str">
        <f t="array" ref="O1421">_xlfn.IFS(orders[[#This Row],[Customer Gender]]="M","Male", orders[[#This Row],[Customer Gender]]="F","Female", orders[[#This Row],[Customer Gender]]="O","Other", TRUE(),"Unknown")</f>
        <v>Female</v>
      </c>
    </row>
    <row r="1422" spans="1:15" x14ac:dyDescent="0.25">
      <c r="A1422" t="s">
        <v>1650</v>
      </c>
      <c r="B1422" t="s">
        <v>83</v>
      </c>
      <c r="C1422">
        <v>8</v>
      </c>
      <c r="D1422">
        <v>28.7</v>
      </c>
      <c r="E1422">
        <v>229.6</v>
      </c>
      <c r="F1422" s="58">
        <v>45711</v>
      </c>
      <c r="G1422" s="58">
        <v>45713</v>
      </c>
      <c r="H1422" t="s">
        <v>229</v>
      </c>
      <c r="I1422" t="s">
        <v>63</v>
      </c>
      <c r="J1422">
        <v>4</v>
      </c>
      <c r="K1422" t="s">
        <v>103</v>
      </c>
      <c r="L1422" t="s">
        <v>146</v>
      </c>
      <c r="M1422">
        <f>orders[[#This Row],[Ship Date]]-orders[[#This Row],[Order Date]]</f>
        <v>2</v>
      </c>
      <c r="N1422">
        <f>WEEKNUM(orders[[#This Row],[Order Date]],1)</f>
        <v>9</v>
      </c>
      <c r="O1422" t="str">
        <f t="array" ref="O1422">_xlfn.IFS(orders[[#This Row],[Customer Gender]]="M","Male", orders[[#This Row],[Customer Gender]]="F","Female", orders[[#This Row],[Customer Gender]]="O","Other", TRUE(),"Unknown")</f>
        <v>Male</v>
      </c>
    </row>
    <row r="1423" spans="1:15" x14ac:dyDescent="0.25">
      <c r="A1423" t="s">
        <v>1651</v>
      </c>
      <c r="B1423" t="s">
        <v>76</v>
      </c>
      <c r="C1423">
        <v>6</v>
      </c>
      <c r="D1423">
        <v>38.200000000000003</v>
      </c>
      <c r="E1423">
        <v>229.2</v>
      </c>
      <c r="F1423" s="58">
        <v>45711</v>
      </c>
      <c r="G1423" s="58">
        <v>45715</v>
      </c>
      <c r="H1423" t="s">
        <v>231</v>
      </c>
      <c r="I1423" t="s">
        <v>59</v>
      </c>
      <c r="J1423">
        <v>3</v>
      </c>
      <c r="K1423" t="s">
        <v>103</v>
      </c>
      <c r="L1423" t="s">
        <v>146</v>
      </c>
      <c r="M1423">
        <f>orders[[#This Row],[Ship Date]]-orders[[#This Row],[Order Date]]</f>
        <v>4</v>
      </c>
      <c r="N1423">
        <f>WEEKNUM(orders[[#This Row],[Order Date]],1)</f>
        <v>9</v>
      </c>
      <c r="O1423" t="str">
        <f t="array" ref="O1423">_xlfn.IFS(orders[[#This Row],[Customer Gender]]="M","Male", orders[[#This Row],[Customer Gender]]="F","Female", orders[[#This Row],[Customer Gender]]="O","Other", TRUE(),"Unknown")</f>
        <v>Female</v>
      </c>
    </row>
    <row r="1424" spans="1:15" x14ac:dyDescent="0.25">
      <c r="A1424" t="s">
        <v>1652</v>
      </c>
      <c r="B1424" t="s">
        <v>90</v>
      </c>
      <c r="C1424">
        <v>12</v>
      </c>
      <c r="D1424">
        <v>17.600000000000001</v>
      </c>
      <c r="E1424">
        <v>211.2</v>
      </c>
      <c r="F1424" s="58">
        <v>45711</v>
      </c>
      <c r="G1424" s="58">
        <v>45712</v>
      </c>
      <c r="H1424" t="s">
        <v>231</v>
      </c>
      <c r="I1424" t="s">
        <v>62</v>
      </c>
      <c r="J1424">
        <v>3</v>
      </c>
      <c r="K1424" t="s">
        <v>103</v>
      </c>
      <c r="L1424" t="s">
        <v>146</v>
      </c>
      <c r="M1424">
        <f>orders[[#This Row],[Ship Date]]-orders[[#This Row],[Order Date]]</f>
        <v>1</v>
      </c>
      <c r="N1424">
        <f>WEEKNUM(orders[[#This Row],[Order Date]],1)</f>
        <v>9</v>
      </c>
      <c r="O1424" t="str">
        <f t="array" ref="O1424">_xlfn.IFS(orders[[#This Row],[Customer Gender]]="M","Male", orders[[#This Row],[Customer Gender]]="F","Female", orders[[#This Row],[Customer Gender]]="O","Other", TRUE(),"Unknown")</f>
        <v>Female</v>
      </c>
    </row>
    <row r="1425" spans="1:15" x14ac:dyDescent="0.25">
      <c r="A1425" t="s">
        <v>1653</v>
      </c>
      <c r="B1425" t="s">
        <v>75</v>
      </c>
      <c r="C1425">
        <v>3</v>
      </c>
      <c r="D1425">
        <v>74.599999999999994</v>
      </c>
      <c r="E1425">
        <v>223.8</v>
      </c>
      <c r="F1425" s="58">
        <v>45711</v>
      </c>
      <c r="G1425" s="58">
        <v>45711</v>
      </c>
      <c r="H1425" t="s">
        <v>231</v>
      </c>
      <c r="I1425" t="s">
        <v>62</v>
      </c>
      <c r="J1425">
        <v>4</v>
      </c>
      <c r="K1425" t="s">
        <v>103</v>
      </c>
      <c r="L1425" t="s">
        <v>148</v>
      </c>
      <c r="M1425">
        <f>orders[[#This Row],[Ship Date]]-orders[[#This Row],[Order Date]]</f>
        <v>0</v>
      </c>
      <c r="N1425">
        <f>WEEKNUM(orders[[#This Row],[Order Date]],1)</f>
        <v>9</v>
      </c>
      <c r="O1425" t="str">
        <f t="array" ref="O1425">_xlfn.IFS(orders[[#This Row],[Customer Gender]]="M","Male", orders[[#This Row],[Customer Gender]]="F","Female", orders[[#This Row],[Customer Gender]]="O","Other", TRUE(),"Unknown")</f>
        <v>Female</v>
      </c>
    </row>
    <row r="1426" spans="1:15" x14ac:dyDescent="0.25">
      <c r="A1426" t="s">
        <v>1654</v>
      </c>
      <c r="B1426" t="s">
        <v>89</v>
      </c>
      <c r="C1426">
        <v>15</v>
      </c>
      <c r="D1426">
        <v>72.599999999999994</v>
      </c>
      <c r="E1426">
        <v>1089</v>
      </c>
      <c r="F1426" s="58">
        <v>45711</v>
      </c>
      <c r="G1426" s="58">
        <v>45711</v>
      </c>
      <c r="I1426" t="s">
        <v>63</v>
      </c>
      <c r="J1426">
        <v>3</v>
      </c>
      <c r="K1426" t="s">
        <v>103</v>
      </c>
      <c r="L1426" t="s">
        <v>148</v>
      </c>
      <c r="M1426">
        <f>orders[[#This Row],[Ship Date]]-orders[[#This Row],[Order Date]]</f>
        <v>0</v>
      </c>
      <c r="N1426">
        <f>WEEKNUM(orders[[#This Row],[Order Date]],1)</f>
        <v>9</v>
      </c>
      <c r="O1426" t="str">
        <f t="array" ref="O1426">_xlfn.IFS(orders[[#This Row],[Customer Gender]]="M","Male", orders[[#This Row],[Customer Gender]]="F","Female", orders[[#This Row],[Customer Gender]]="O","Other", TRUE(),"Unknown")</f>
        <v>Unknown</v>
      </c>
    </row>
    <row r="1427" spans="1:15" x14ac:dyDescent="0.25">
      <c r="A1427" t="s">
        <v>1655</v>
      </c>
      <c r="B1427" t="s">
        <v>79</v>
      </c>
      <c r="C1427">
        <v>1</v>
      </c>
      <c r="D1427">
        <v>62.3</v>
      </c>
      <c r="E1427">
        <v>62.3</v>
      </c>
      <c r="F1427" s="58">
        <v>45711</v>
      </c>
      <c r="G1427" s="58">
        <v>45712</v>
      </c>
      <c r="H1427" t="s">
        <v>231</v>
      </c>
      <c r="I1427" t="s">
        <v>63</v>
      </c>
      <c r="J1427">
        <v>4</v>
      </c>
      <c r="K1427" t="s">
        <v>103</v>
      </c>
      <c r="L1427" t="s">
        <v>148</v>
      </c>
      <c r="M1427">
        <f>orders[[#This Row],[Ship Date]]-orders[[#This Row],[Order Date]]</f>
        <v>1</v>
      </c>
      <c r="N1427">
        <f>WEEKNUM(orders[[#This Row],[Order Date]],1)</f>
        <v>9</v>
      </c>
      <c r="O1427" t="str">
        <f t="array" ref="O1427">_xlfn.IFS(orders[[#This Row],[Customer Gender]]="M","Male", orders[[#This Row],[Customer Gender]]="F","Female", orders[[#This Row],[Customer Gender]]="O","Other", TRUE(),"Unknown")</f>
        <v>Female</v>
      </c>
    </row>
    <row r="1428" spans="1:15" x14ac:dyDescent="0.25">
      <c r="A1428" t="s">
        <v>1656</v>
      </c>
      <c r="B1428" t="s">
        <v>93</v>
      </c>
      <c r="C1428">
        <v>3</v>
      </c>
      <c r="D1428">
        <v>33.799999999999997</v>
      </c>
      <c r="E1428">
        <v>101.4</v>
      </c>
      <c r="F1428" s="58">
        <v>45711</v>
      </c>
      <c r="G1428" s="58">
        <v>45713</v>
      </c>
      <c r="H1428" t="s">
        <v>229</v>
      </c>
      <c r="I1428" t="s">
        <v>59</v>
      </c>
      <c r="J1428">
        <v>5</v>
      </c>
      <c r="K1428" t="s">
        <v>103</v>
      </c>
      <c r="L1428" t="s">
        <v>159</v>
      </c>
      <c r="M1428">
        <f>orders[[#This Row],[Ship Date]]-orders[[#This Row],[Order Date]]</f>
        <v>2</v>
      </c>
      <c r="N1428">
        <f>WEEKNUM(orders[[#This Row],[Order Date]],1)</f>
        <v>9</v>
      </c>
      <c r="O1428" t="str">
        <f t="array" ref="O1428">_xlfn.IFS(orders[[#This Row],[Customer Gender]]="M","Male", orders[[#This Row],[Customer Gender]]="F","Female", orders[[#This Row],[Customer Gender]]="O","Other", TRUE(),"Unknown")</f>
        <v>Male</v>
      </c>
    </row>
    <row r="1429" spans="1:15" x14ac:dyDescent="0.25">
      <c r="A1429" t="s">
        <v>1657</v>
      </c>
      <c r="B1429" t="s">
        <v>88</v>
      </c>
      <c r="C1429">
        <v>1</v>
      </c>
      <c r="D1429">
        <v>85.7</v>
      </c>
      <c r="E1429">
        <v>85.7</v>
      </c>
      <c r="F1429" s="58">
        <v>45711</v>
      </c>
      <c r="G1429" s="58">
        <v>45714</v>
      </c>
      <c r="H1429" t="s">
        <v>229</v>
      </c>
      <c r="I1429" t="s">
        <v>60</v>
      </c>
      <c r="J1429">
        <v>3</v>
      </c>
      <c r="K1429" t="s">
        <v>103</v>
      </c>
      <c r="L1429" t="s">
        <v>106</v>
      </c>
      <c r="M1429">
        <f>orders[[#This Row],[Ship Date]]-orders[[#This Row],[Order Date]]</f>
        <v>3</v>
      </c>
      <c r="N1429">
        <f>WEEKNUM(orders[[#This Row],[Order Date]],1)</f>
        <v>9</v>
      </c>
      <c r="O1429" t="str">
        <f t="array" ref="O1429">_xlfn.IFS(orders[[#This Row],[Customer Gender]]="M","Male", orders[[#This Row],[Customer Gender]]="F","Female", orders[[#This Row],[Customer Gender]]="O","Other", TRUE(),"Unknown")</f>
        <v>Male</v>
      </c>
    </row>
    <row r="1430" spans="1:15" x14ac:dyDescent="0.25">
      <c r="A1430" t="s">
        <v>1658</v>
      </c>
      <c r="B1430" t="s">
        <v>80</v>
      </c>
      <c r="C1430">
        <v>2</v>
      </c>
      <c r="D1430">
        <v>92.1</v>
      </c>
      <c r="E1430">
        <v>184.2</v>
      </c>
      <c r="F1430" s="58">
        <v>45711</v>
      </c>
      <c r="G1430" s="58">
        <v>45713</v>
      </c>
      <c r="H1430" t="s">
        <v>229</v>
      </c>
      <c r="I1430" t="s">
        <v>63</v>
      </c>
      <c r="J1430">
        <v>4</v>
      </c>
      <c r="K1430" t="s">
        <v>103</v>
      </c>
      <c r="L1430" t="s">
        <v>106</v>
      </c>
      <c r="M1430">
        <f>orders[[#This Row],[Ship Date]]-orders[[#This Row],[Order Date]]</f>
        <v>2</v>
      </c>
      <c r="N1430">
        <f>WEEKNUM(orders[[#This Row],[Order Date]],1)</f>
        <v>9</v>
      </c>
      <c r="O1430" t="str">
        <f t="array" ref="O1430">_xlfn.IFS(orders[[#This Row],[Customer Gender]]="M","Male", orders[[#This Row],[Customer Gender]]="F","Female", orders[[#This Row],[Customer Gender]]="O","Other", TRUE(),"Unknown")</f>
        <v>Male</v>
      </c>
    </row>
    <row r="1431" spans="1:15" x14ac:dyDescent="0.25">
      <c r="A1431" t="s">
        <v>1659</v>
      </c>
      <c r="B1431" t="s">
        <v>89</v>
      </c>
      <c r="C1431">
        <v>3</v>
      </c>
      <c r="D1431">
        <v>65.099999999999994</v>
      </c>
      <c r="E1431">
        <v>195.3</v>
      </c>
      <c r="F1431" s="58">
        <v>45711</v>
      </c>
      <c r="G1431" s="58">
        <v>45714</v>
      </c>
      <c r="H1431" t="s">
        <v>229</v>
      </c>
      <c r="I1431" t="s">
        <v>59</v>
      </c>
      <c r="J1431">
        <v>4</v>
      </c>
      <c r="K1431" t="s">
        <v>103</v>
      </c>
      <c r="L1431" t="s">
        <v>112</v>
      </c>
      <c r="M1431">
        <f>orders[[#This Row],[Ship Date]]-orders[[#This Row],[Order Date]]</f>
        <v>3</v>
      </c>
      <c r="N1431">
        <f>WEEKNUM(orders[[#This Row],[Order Date]],1)</f>
        <v>9</v>
      </c>
      <c r="O1431" t="str">
        <f t="array" ref="O1431">_xlfn.IFS(orders[[#This Row],[Customer Gender]]="M","Male", orders[[#This Row],[Customer Gender]]="F","Female", orders[[#This Row],[Customer Gender]]="O","Other", TRUE(),"Unknown")</f>
        <v>Male</v>
      </c>
    </row>
    <row r="1432" spans="1:15" x14ac:dyDescent="0.25">
      <c r="A1432" t="s">
        <v>1660</v>
      </c>
      <c r="B1432" t="s">
        <v>88</v>
      </c>
      <c r="C1432">
        <v>7</v>
      </c>
      <c r="D1432">
        <v>20.3</v>
      </c>
      <c r="E1432">
        <v>142.1</v>
      </c>
      <c r="F1432" s="58">
        <v>45711</v>
      </c>
      <c r="G1432" s="58">
        <v>45712</v>
      </c>
      <c r="H1432" t="s">
        <v>231</v>
      </c>
      <c r="I1432" t="s">
        <v>62</v>
      </c>
      <c r="J1432">
        <v>5</v>
      </c>
      <c r="K1432" t="s">
        <v>103</v>
      </c>
      <c r="L1432" t="s">
        <v>115</v>
      </c>
      <c r="M1432">
        <f>orders[[#This Row],[Ship Date]]-orders[[#This Row],[Order Date]]</f>
        <v>1</v>
      </c>
      <c r="N1432">
        <f>WEEKNUM(orders[[#This Row],[Order Date]],1)</f>
        <v>9</v>
      </c>
      <c r="O1432" t="str">
        <f t="array" ref="O1432">_xlfn.IFS(orders[[#This Row],[Customer Gender]]="M","Male", orders[[#This Row],[Customer Gender]]="F","Female", orders[[#This Row],[Customer Gender]]="O","Other", TRUE(),"Unknown")</f>
        <v>Female</v>
      </c>
    </row>
    <row r="1433" spans="1:15" x14ac:dyDescent="0.25">
      <c r="A1433" t="s">
        <v>1661</v>
      </c>
      <c r="B1433" t="s">
        <v>81</v>
      </c>
      <c r="C1433">
        <v>2</v>
      </c>
      <c r="D1433">
        <v>29.8</v>
      </c>
      <c r="E1433">
        <v>59.6</v>
      </c>
      <c r="F1433" s="58">
        <v>45711</v>
      </c>
      <c r="G1433" s="58">
        <v>45713</v>
      </c>
      <c r="H1433" t="s">
        <v>231</v>
      </c>
      <c r="I1433" t="s">
        <v>63</v>
      </c>
      <c r="J1433">
        <v>5</v>
      </c>
      <c r="K1433" t="s">
        <v>103</v>
      </c>
      <c r="L1433" t="s">
        <v>121</v>
      </c>
      <c r="M1433">
        <f>orders[[#This Row],[Ship Date]]-orders[[#This Row],[Order Date]]</f>
        <v>2</v>
      </c>
      <c r="N1433">
        <f>WEEKNUM(orders[[#This Row],[Order Date]],1)</f>
        <v>9</v>
      </c>
      <c r="O1433" t="str">
        <f t="array" ref="O1433">_xlfn.IFS(orders[[#This Row],[Customer Gender]]="M","Male", orders[[#This Row],[Customer Gender]]="F","Female", orders[[#This Row],[Customer Gender]]="O","Other", TRUE(),"Unknown")</f>
        <v>Female</v>
      </c>
    </row>
    <row r="1434" spans="1:15" x14ac:dyDescent="0.25">
      <c r="A1434" t="s">
        <v>1662</v>
      </c>
      <c r="B1434" t="s">
        <v>86</v>
      </c>
      <c r="C1434">
        <v>2</v>
      </c>
      <c r="D1434">
        <v>24.2</v>
      </c>
      <c r="E1434">
        <v>48.4</v>
      </c>
      <c r="F1434" s="58">
        <v>45711</v>
      </c>
      <c r="G1434" s="58">
        <v>45713</v>
      </c>
      <c r="H1434" t="s">
        <v>231</v>
      </c>
      <c r="I1434" t="s">
        <v>60</v>
      </c>
      <c r="J1434">
        <v>5</v>
      </c>
      <c r="K1434" t="s">
        <v>103</v>
      </c>
      <c r="L1434" t="s">
        <v>124</v>
      </c>
      <c r="M1434">
        <f>orders[[#This Row],[Ship Date]]-orders[[#This Row],[Order Date]]</f>
        <v>2</v>
      </c>
      <c r="N1434">
        <f>WEEKNUM(orders[[#This Row],[Order Date]],1)</f>
        <v>9</v>
      </c>
      <c r="O1434" t="str">
        <f t="array" ref="O1434">_xlfn.IFS(orders[[#This Row],[Customer Gender]]="M","Male", orders[[#This Row],[Customer Gender]]="F","Female", orders[[#This Row],[Customer Gender]]="O","Other", TRUE(),"Unknown")</f>
        <v>Female</v>
      </c>
    </row>
    <row r="1435" spans="1:15" x14ac:dyDescent="0.25">
      <c r="A1435" t="s">
        <v>1663</v>
      </c>
      <c r="B1435" t="s">
        <v>93</v>
      </c>
      <c r="C1435">
        <v>1</v>
      </c>
      <c r="D1435">
        <v>57.3</v>
      </c>
      <c r="E1435">
        <v>57.3</v>
      </c>
      <c r="F1435" s="58">
        <v>45711</v>
      </c>
      <c r="G1435" s="58">
        <v>45713</v>
      </c>
      <c r="H1435" t="s">
        <v>229</v>
      </c>
      <c r="I1435" t="s">
        <v>59</v>
      </c>
      <c r="J1435">
        <v>4</v>
      </c>
      <c r="K1435" t="s">
        <v>103</v>
      </c>
      <c r="L1435" t="s">
        <v>124</v>
      </c>
      <c r="M1435">
        <f>orders[[#This Row],[Ship Date]]-orders[[#This Row],[Order Date]]</f>
        <v>2</v>
      </c>
      <c r="N1435">
        <f>WEEKNUM(orders[[#This Row],[Order Date]],1)</f>
        <v>9</v>
      </c>
      <c r="O1435" t="str">
        <f t="array" ref="O1435">_xlfn.IFS(orders[[#This Row],[Customer Gender]]="M","Male", orders[[#This Row],[Customer Gender]]="F","Female", orders[[#This Row],[Customer Gender]]="O","Other", TRUE(),"Unknown")</f>
        <v>Male</v>
      </c>
    </row>
    <row r="1436" spans="1:15" x14ac:dyDescent="0.25">
      <c r="A1436" t="s">
        <v>1664</v>
      </c>
      <c r="B1436" t="s">
        <v>87</v>
      </c>
      <c r="C1436">
        <v>1</v>
      </c>
      <c r="D1436">
        <v>108.9</v>
      </c>
      <c r="E1436">
        <v>108.9</v>
      </c>
      <c r="F1436" s="58">
        <v>45711</v>
      </c>
      <c r="G1436" s="58">
        <v>45713</v>
      </c>
      <c r="H1436" t="s">
        <v>231</v>
      </c>
      <c r="I1436" t="s">
        <v>63</v>
      </c>
      <c r="J1436">
        <v>4</v>
      </c>
      <c r="K1436" t="s">
        <v>103</v>
      </c>
      <c r="L1436" t="s">
        <v>124</v>
      </c>
      <c r="M1436">
        <f>orders[[#This Row],[Ship Date]]-orders[[#This Row],[Order Date]]</f>
        <v>2</v>
      </c>
      <c r="N1436">
        <f>WEEKNUM(orders[[#This Row],[Order Date]],1)</f>
        <v>9</v>
      </c>
      <c r="O1436" t="str">
        <f t="array" ref="O1436">_xlfn.IFS(orders[[#This Row],[Customer Gender]]="M","Male", orders[[#This Row],[Customer Gender]]="F","Female", orders[[#This Row],[Customer Gender]]="O","Other", TRUE(),"Unknown")</f>
        <v>Female</v>
      </c>
    </row>
    <row r="1437" spans="1:15" x14ac:dyDescent="0.25">
      <c r="A1437" t="s">
        <v>1665</v>
      </c>
      <c r="B1437" t="s">
        <v>79</v>
      </c>
      <c r="C1437">
        <v>5</v>
      </c>
      <c r="D1437">
        <v>50.7</v>
      </c>
      <c r="E1437">
        <v>253.5</v>
      </c>
      <c r="F1437" s="58">
        <v>45711</v>
      </c>
      <c r="G1437" s="58">
        <v>45712</v>
      </c>
      <c r="H1437" t="s">
        <v>231</v>
      </c>
      <c r="I1437" t="s">
        <v>59</v>
      </c>
      <c r="J1437">
        <v>4</v>
      </c>
      <c r="K1437" t="s">
        <v>103</v>
      </c>
      <c r="L1437" t="s">
        <v>124</v>
      </c>
      <c r="M1437">
        <f>orders[[#This Row],[Ship Date]]-orders[[#This Row],[Order Date]]</f>
        <v>1</v>
      </c>
      <c r="N1437">
        <f>WEEKNUM(orders[[#This Row],[Order Date]],1)</f>
        <v>9</v>
      </c>
      <c r="O1437" t="str">
        <f t="array" ref="O1437">_xlfn.IFS(orders[[#This Row],[Customer Gender]]="M","Male", orders[[#This Row],[Customer Gender]]="F","Female", orders[[#This Row],[Customer Gender]]="O","Other", TRUE(),"Unknown")</f>
        <v>Female</v>
      </c>
    </row>
    <row r="1438" spans="1:15" x14ac:dyDescent="0.25">
      <c r="A1438" t="s">
        <v>1666</v>
      </c>
      <c r="B1438" t="s">
        <v>79</v>
      </c>
      <c r="C1438">
        <v>9</v>
      </c>
      <c r="D1438">
        <v>66.099999999999994</v>
      </c>
      <c r="E1438">
        <v>594.9</v>
      </c>
      <c r="F1438" s="58">
        <v>45711</v>
      </c>
      <c r="G1438" s="58">
        <v>45725</v>
      </c>
      <c r="H1438" t="s">
        <v>231</v>
      </c>
      <c r="I1438" t="s">
        <v>63</v>
      </c>
      <c r="J1438">
        <v>4</v>
      </c>
      <c r="K1438" t="s">
        <v>103</v>
      </c>
      <c r="L1438" t="s">
        <v>124</v>
      </c>
      <c r="M1438">
        <f>orders[[#This Row],[Ship Date]]-orders[[#This Row],[Order Date]]</f>
        <v>14</v>
      </c>
      <c r="N1438">
        <f>WEEKNUM(orders[[#This Row],[Order Date]],1)</f>
        <v>9</v>
      </c>
      <c r="O1438" t="str">
        <f t="array" ref="O1438">_xlfn.IFS(orders[[#This Row],[Customer Gender]]="M","Male", orders[[#This Row],[Customer Gender]]="F","Female", orders[[#This Row],[Customer Gender]]="O","Other", TRUE(),"Unknown")</f>
        <v>Female</v>
      </c>
    </row>
    <row r="1439" spans="1:15" x14ac:dyDescent="0.25">
      <c r="A1439" t="s">
        <v>1667</v>
      </c>
      <c r="B1439" t="s">
        <v>76</v>
      </c>
      <c r="C1439">
        <v>5</v>
      </c>
      <c r="D1439">
        <v>36.700000000000003</v>
      </c>
      <c r="E1439">
        <v>183.5</v>
      </c>
      <c r="F1439" s="58">
        <v>45711</v>
      </c>
      <c r="G1439" s="58">
        <v>45715</v>
      </c>
      <c r="H1439" t="s">
        <v>231</v>
      </c>
      <c r="I1439" t="s">
        <v>61</v>
      </c>
      <c r="J1439">
        <v>4</v>
      </c>
      <c r="K1439" t="s">
        <v>103</v>
      </c>
      <c r="L1439" t="s">
        <v>124</v>
      </c>
      <c r="M1439">
        <f>orders[[#This Row],[Ship Date]]-orders[[#This Row],[Order Date]]</f>
        <v>4</v>
      </c>
      <c r="N1439">
        <f>WEEKNUM(orders[[#This Row],[Order Date]],1)</f>
        <v>9</v>
      </c>
      <c r="O1439" t="str">
        <f t="array" ref="O1439">_xlfn.IFS(orders[[#This Row],[Customer Gender]]="M","Male", orders[[#This Row],[Customer Gender]]="F","Female", orders[[#This Row],[Customer Gender]]="O","Other", TRUE(),"Unknown")</f>
        <v>Female</v>
      </c>
    </row>
    <row r="1440" spans="1:15" x14ac:dyDescent="0.25">
      <c r="A1440" t="s">
        <v>1668</v>
      </c>
      <c r="B1440" t="s">
        <v>90</v>
      </c>
      <c r="C1440">
        <v>17</v>
      </c>
      <c r="D1440">
        <v>19.3</v>
      </c>
      <c r="E1440">
        <v>328.1</v>
      </c>
      <c r="F1440" s="58">
        <v>45711</v>
      </c>
      <c r="G1440" s="58">
        <v>45713</v>
      </c>
      <c r="H1440" t="s">
        <v>229</v>
      </c>
      <c r="I1440" t="s">
        <v>59</v>
      </c>
      <c r="J1440">
        <v>4</v>
      </c>
      <c r="K1440" t="s">
        <v>103</v>
      </c>
      <c r="L1440" t="s">
        <v>126</v>
      </c>
      <c r="M1440">
        <f>orders[[#This Row],[Ship Date]]-orders[[#This Row],[Order Date]]</f>
        <v>2</v>
      </c>
      <c r="N1440">
        <f>WEEKNUM(orders[[#This Row],[Order Date]],1)</f>
        <v>9</v>
      </c>
      <c r="O1440" t="str">
        <f t="array" ref="O1440">_xlfn.IFS(orders[[#This Row],[Customer Gender]]="M","Male", orders[[#This Row],[Customer Gender]]="F","Female", orders[[#This Row],[Customer Gender]]="O","Other", TRUE(),"Unknown")</f>
        <v>Male</v>
      </c>
    </row>
    <row r="1441" spans="1:15" x14ac:dyDescent="0.25">
      <c r="A1441" t="s">
        <v>1669</v>
      </c>
      <c r="B1441" t="s">
        <v>90</v>
      </c>
      <c r="C1441">
        <v>4</v>
      </c>
      <c r="D1441">
        <v>20.7</v>
      </c>
      <c r="E1441">
        <v>82.8</v>
      </c>
      <c r="F1441" s="58">
        <v>45711</v>
      </c>
      <c r="G1441" s="58">
        <v>45712</v>
      </c>
      <c r="H1441" t="s">
        <v>229</v>
      </c>
      <c r="I1441" t="s">
        <v>63</v>
      </c>
      <c r="J1441">
        <v>5</v>
      </c>
      <c r="K1441" t="s">
        <v>103</v>
      </c>
      <c r="L1441" t="s">
        <v>139</v>
      </c>
      <c r="M1441">
        <f>orders[[#This Row],[Ship Date]]-orders[[#This Row],[Order Date]]</f>
        <v>1</v>
      </c>
      <c r="N1441">
        <f>WEEKNUM(orders[[#This Row],[Order Date]],1)</f>
        <v>9</v>
      </c>
      <c r="O1441" t="str">
        <f t="array" ref="O1441">_xlfn.IFS(orders[[#This Row],[Customer Gender]]="M","Male", orders[[#This Row],[Customer Gender]]="F","Female", orders[[#This Row],[Customer Gender]]="O","Other", TRUE(),"Unknown")</f>
        <v>Male</v>
      </c>
    </row>
    <row r="1442" spans="1:15" x14ac:dyDescent="0.25">
      <c r="A1442" t="s">
        <v>1670</v>
      </c>
      <c r="B1442" t="s">
        <v>85</v>
      </c>
      <c r="C1442">
        <v>3</v>
      </c>
      <c r="D1442">
        <v>54.7</v>
      </c>
      <c r="E1442">
        <v>164.1</v>
      </c>
      <c r="F1442" s="58">
        <v>45711</v>
      </c>
      <c r="G1442" s="58">
        <v>45711</v>
      </c>
      <c r="H1442" t="s">
        <v>263</v>
      </c>
      <c r="I1442" t="s">
        <v>63</v>
      </c>
      <c r="J1442">
        <v>2</v>
      </c>
      <c r="K1442" t="s">
        <v>103</v>
      </c>
      <c r="L1442" t="s">
        <v>139</v>
      </c>
      <c r="M1442">
        <f>orders[[#This Row],[Ship Date]]-orders[[#This Row],[Order Date]]</f>
        <v>0</v>
      </c>
      <c r="N1442">
        <f>WEEKNUM(orders[[#This Row],[Order Date]],1)</f>
        <v>9</v>
      </c>
      <c r="O1442" t="str">
        <f t="array" ref="O1442">_xlfn.IFS(orders[[#This Row],[Customer Gender]]="M","Male", orders[[#This Row],[Customer Gender]]="F","Female", orders[[#This Row],[Customer Gender]]="O","Other", TRUE(),"Unknown")</f>
        <v>Other</v>
      </c>
    </row>
    <row r="1443" spans="1:15" x14ac:dyDescent="0.25">
      <c r="A1443" t="s">
        <v>1671</v>
      </c>
      <c r="B1443" t="s">
        <v>78</v>
      </c>
      <c r="C1443">
        <v>2</v>
      </c>
      <c r="D1443">
        <v>19.8</v>
      </c>
      <c r="E1443">
        <v>39.6</v>
      </c>
      <c r="F1443" s="58">
        <v>45711</v>
      </c>
      <c r="G1443" s="58">
        <v>45715</v>
      </c>
      <c r="H1443" t="s">
        <v>231</v>
      </c>
      <c r="I1443" t="s">
        <v>61</v>
      </c>
      <c r="J1443">
        <v>3</v>
      </c>
      <c r="K1443" t="s">
        <v>103</v>
      </c>
      <c r="L1443" t="s">
        <v>142</v>
      </c>
      <c r="M1443">
        <f>orders[[#This Row],[Ship Date]]-orders[[#This Row],[Order Date]]</f>
        <v>4</v>
      </c>
      <c r="N1443">
        <f>WEEKNUM(orders[[#This Row],[Order Date]],1)</f>
        <v>9</v>
      </c>
      <c r="O1443" t="str">
        <f t="array" ref="O1443">_xlfn.IFS(orders[[#This Row],[Customer Gender]]="M","Male", orders[[#This Row],[Customer Gender]]="F","Female", orders[[#This Row],[Customer Gender]]="O","Other", TRUE(),"Unknown")</f>
        <v>Female</v>
      </c>
    </row>
    <row r="1444" spans="1:15" x14ac:dyDescent="0.25">
      <c r="A1444" t="s">
        <v>1672</v>
      </c>
      <c r="B1444" t="s">
        <v>79</v>
      </c>
      <c r="C1444">
        <v>1</v>
      </c>
      <c r="D1444">
        <v>41.1</v>
      </c>
      <c r="E1444">
        <v>41.1</v>
      </c>
      <c r="F1444" s="58">
        <v>45711</v>
      </c>
      <c r="G1444" s="58">
        <v>45713</v>
      </c>
      <c r="H1444" t="s">
        <v>231</v>
      </c>
      <c r="I1444" t="s">
        <v>59</v>
      </c>
      <c r="J1444">
        <v>5</v>
      </c>
      <c r="K1444" t="s">
        <v>103</v>
      </c>
      <c r="L1444" t="s">
        <v>142</v>
      </c>
      <c r="M1444">
        <f>orders[[#This Row],[Ship Date]]-orders[[#This Row],[Order Date]]</f>
        <v>2</v>
      </c>
      <c r="N1444">
        <f>WEEKNUM(orders[[#This Row],[Order Date]],1)</f>
        <v>9</v>
      </c>
      <c r="O1444" t="str">
        <f t="array" ref="O1444">_xlfn.IFS(orders[[#This Row],[Customer Gender]]="M","Male", orders[[#This Row],[Customer Gender]]="F","Female", orders[[#This Row],[Customer Gender]]="O","Other", TRUE(),"Unknown")</f>
        <v>Female</v>
      </c>
    </row>
    <row r="1445" spans="1:15" x14ac:dyDescent="0.25">
      <c r="A1445" t="s">
        <v>1673</v>
      </c>
      <c r="B1445" t="s">
        <v>83</v>
      </c>
      <c r="C1445">
        <v>8</v>
      </c>
      <c r="D1445">
        <v>43.5</v>
      </c>
      <c r="E1445">
        <v>348</v>
      </c>
      <c r="F1445" s="58">
        <v>45711</v>
      </c>
      <c r="G1445" s="58">
        <v>45715</v>
      </c>
      <c r="H1445" t="s">
        <v>231</v>
      </c>
      <c r="I1445" t="s">
        <v>60</v>
      </c>
      <c r="J1445">
        <v>4</v>
      </c>
      <c r="K1445" t="s">
        <v>103</v>
      </c>
      <c r="L1445" t="s">
        <v>142</v>
      </c>
      <c r="M1445">
        <f>orders[[#This Row],[Ship Date]]-orders[[#This Row],[Order Date]]</f>
        <v>4</v>
      </c>
      <c r="N1445">
        <f>WEEKNUM(orders[[#This Row],[Order Date]],1)</f>
        <v>9</v>
      </c>
      <c r="O1445" t="str">
        <f t="array" ref="O1445">_xlfn.IFS(orders[[#This Row],[Customer Gender]]="M","Male", orders[[#This Row],[Customer Gender]]="F","Female", orders[[#This Row],[Customer Gender]]="O","Other", TRUE(),"Unknown")</f>
        <v>Female</v>
      </c>
    </row>
    <row r="1446" spans="1:15" x14ac:dyDescent="0.25">
      <c r="A1446" t="s">
        <v>1674</v>
      </c>
      <c r="B1446" t="s">
        <v>90</v>
      </c>
      <c r="C1446">
        <v>14</v>
      </c>
      <c r="D1446">
        <v>19</v>
      </c>
      <c r="E1446">
        <v>266</v>
      </c>
      <c r="F1446" s="58">
        <v>45711</v>
      </c>
      <c r="G1446" s="58">
        <v>45712</v>
      </c>
      <c r="H1446" t="s">
        <v>229</v>
      </c>
      <c r="I1446" t="s">
        <v>59</v>
      </c>
      <c r="J1446">
        <v>4</v>
      </c>
      <c r="K1446" t="s">
        <v>103</v>
      </c>
      <c r="L1446" t="s">
        <v>144</v>
      </c>
      <c r="M1446">
        <f>orders[[#This Row],[Ship Date]]-orders[[#This Row],[Order Date]]</f>
        <v>1</v>
      </c>
      <c r="N1446">
        <f>WEEKNUM(orders[[#This Row],[Order Date]],1)</f>
        <v>9</v>
      </c>
      <c r="O1446" t="str">
        <f t="array" ref="O1446">_xlfn.IFS(orders[[#This Row],[Customer Gender]]="M","Male", orders[[#This Row],[Customer Gender]]="F","Female", orders[[#This Row],[Customer Gender]]="O","Other", TRUE(),"Unknown")</f>
        <v>Male</v>
      </c>
    </row>
    <row r="1447" spans="1:15" x14ac:dyDescent="0.25">
      <c r="A1447" t="s">
        <v>1675</v>
      </c>
      <c r="B1447" t="s">
        <v>87</v>
      </c>
      <c r="C1447">
        <v>4</v>
      </c>
      <c r="D1447">
        <v>51.4</v>
      </c>
      <c r="E1447">
        <v>205.6</v>
      </c>
      <c r="F1447" s="58">
        <v>45711</v>
      </c>
      <c r="G1447" s="58">
        <v>45711</v>
      </c>
      <c r="H1447" t="s">
        <v>231</v>
      </c>
      <c r="I1447" t="s">
        <v>59</v>
      </c>
      <c r="J1447">
        <v>4</v>
      </c>
      <c r="K1447" t="s">
        <v>103</v>
      </c>
      <c r="L1447" t="s">
        <v>144</v>
      </c>
      <c r="M1447">
        <f>orders[[#This Row],[Ship Date]]-orders[[#This Row],[Order Date]]</f>
        <v>0</v>
      </c>
      <c r="N1447">
        <f>WEEKNUM(orders[[#This Row],[Order Date]],1)</f>
        <v>9</v>
      </c>
      <c r="O1447" t="str">
        <f t="array" ref="O1447">_xlfn.IFS(orders[[#This Row],[Customer Gender]]="M","Male", orders[[#This Row],[Customer Gender]]="F","Female", orders[[#This Row],[Customer Gender]]="O","Other", TRUE(),"Unknown")</f>
        <v>Female</v>
      </c>
    </row>
    <row r="1448" spans="1:15" x14ac:dyDescent="0.25">
      <c r="A1448" t="s">
        <v>1676</v>
      </c>
      <c r="B1448" t="s">
        <v>75</v>
      </c>
      <c r="C1448">
        <v>2</v>
      </c>
      <c r="D1448">
        <v>39.799999999999997</v>
      </c>
      <c r="E1448">
        <v>79.599999999999994</v>
      </c>
      <c r="F1448" s="58">
        <v>45711</v>
      </c>
      <c r="G1448" s="58">
        <v>45714</v>
      </c>
      <c r="H1448" t="s">
        <v>229</v>
      </c>
      <c r="I1448" t="s">
        <v>60</v>
      </c>
      <c r="J1448">
        <v>3</v>
      </c>
      <c r="K1448" t="s">
        <v>103</v>
      </c>
      <c r="L1448" t="s">
        <v>161</v>
      </c>
      <c r="M1448">
        <f>orders[[#This Row],[Ship Date]]-orders[[#This Row],[Order Date]]</f>
        <v>3</v>
      </c>
      <c r="N1448">
        <f>WEEKNUM(orders[[#This Row],[Order Date]],1)</f>
        <v>9</v>
      </c>
      <c r="O1448" t="str">
        <f t="array" ref="O1448">_xlfn.IFS(orders[[#This Row],[Customer Gender]]="M","Male", orders[[#This Row],[Customer Gender]]="F","Female", orders[[#This Row],[Customer Gender]]="O","Other", TRUE(),"Unknown")</f>
        <v>Male</v>
      </c>
    </row>
    <row r="1449" spans="1:15" x14ac:dyDescent="0.25">
      <c r="A1449" t="s">
        <v>1677</v>
      </c>
      <c r="B1449" t="s">
        <v>80</v>
      </c>
      <c r="C1449">
        <v>5</v>
      </c>
      <c r="D1449">
        <v>61</v>
      </c>
      <c r="E1449">
        <v>305</v>
      </c>
      <c r="F1449" s="58">
        <v>45711</v>
      </c>
      <c r="G1449" s="58">
        <v>45712</v>
      </c>
      <c r="I1449" t="s">
        <v>59</v>
      </c>
      <c r="J1449">
        <v>5</v>
      </c>
      <c r="K1449" t="s">
        <v>103</v>
      </c>
      <c r="L1449" t="s">
        <v>106</v>
      </c>
      <c r="M1449">
        <f>orders[[#This Row],[Ship Date]]-orders[[#This Row],[Order Date]]</f>
        <v>1</v>
      </c>
      <c r="N1449">
        <f>WEEKNUM(orders[[#This Row],[Order Date]],1)</f>
        <v>9</v>
      </c>
      <c r="O1449" t="str">
        <f t="array" ref="O1449">_xlfn.IFS(orders[[#This Row],[Customer Gender]]="M","Male", orders[[#This Row],[Customer Gender]]="F","Female", orders[[#This Row],[Customer Gender]]="O","Other", TRUE(),"Unknown")</f>
        <v>Unknown</v>
      </c>
    </row>
    <row r="1450" spans="1:15" x14ac:dyDescent="0.25">
      <c r="A1450" t="s">
        <v>1678</v>
      </c>
      <c r="B1450" t="s">
        <v>90</v>
      </c>
      <c r="C1450">
        <v>11</v>
      </c>
      <c r="D1450">
        <v>15.1</v>
      </c>
      <c r="E1450">
        <v>166.1</v>
      </c>
      <c r="F1450" s="58">
        <v>45712</v>
      </c>
      <c r="G1450" s="58">
        <v>45717</v>
      </c>
      <c r="H1450" t="s">
        <v>229</v>
      </c>
      <c r="I1450" t="s">
        <v>60</v>
      </c>
      <c r="J1450">
        <v>5</v>
      </c>
      <c r="K1450" t="s">
        <v>103</v>
      </c>
      <c r="L1450" t="s">
        <v>115</v>
      </c>
      <c r="M1450">
        <f>orders[[#This Row],[Ship Date]]-orders[[#This Row],[Order Date]]</f>
        <v>5</v>
      </c>
      <c r="N1450">
        <f>WEEKNUM(orders[[#This Row],[Order Date]],1)</f>
        <v>9</v>
      </c>
      <c r="O1450" t="str">
        <f t="array" ref="O1450">_xlfn.IFS(orders[[#This Row],[Customer Gender]]="M","Male", orders[[#This Row],[Customer Gender]]="F","Female", orders[[#This Row],[Customer Gender]]="O","Other", TRUE(),"Unknown")</f>
        <v>Male</v>
      </c>
    </row>
    <row r="1451" spans="1:15" x14ac:dyDescent="0.25">
      <c r="A1451" t="s">
        <v>1679</v>
      </c>
      <c r="B1451" t="s">
        <v>91</v>
      </c>
      <c r="C1451">
        <v>7</v>
      </c>
      <c r="D1451">
        <v>71.3</v>
      </c>
      <c r="E1451">
        <v>499.1</v>
      </c>
      <c r="F1451" s="58">
        <v>45712</v>
      </c>
      <c r="G1451" s="58">
        <v>45713</v>
      </c>
      <c r="H1451" t="s">
        <v>229</v>
      </c>
      <c r="I1451" t="s">
        <v>61</v>
      </c>
      <c r="J1451">
        <v>4</v>
      </c>
      <c r="K1451" t="s">
        <v>103</v>
      </c>
      <c r="L1451" t="s">
        <v>124</v>
      </c>
      <c r="M1451">
        <f>orders[[#This Row],[Ship Date]]-orders[[#This Row],[Order Date]]</f>
        <v>1</v>
      </c>
      <c r="N1451">
        <f>WEEKNUM(orders[[#This Row],[Order Date]],1)</f>
        <v>9</v>
      </c>
      <c r="O1451" t="str">
        <f t="array" ref="O1451">_xlfn.IFS(orders[[#This Row],[Customer Gender]]="M","Male", orders[[#This Row],[Customer Gender]]="F","Female", orders[[#This Row],[Customer Gender]]="O","Other", TRUE(),"Unknown")</f>
        <v>Male</v>
      </c>
    </row>
    <row r="1452" spans="1:15" x14ac:dyDescent="0.25">
      <c r="A1452" t="s">
        <v>1680</v>
      </c>
      <c r="B1452" t="s">
        <v>75</v>
      </c>
      <c r="C1452">
        <v>1</v>
      </c>
      <c r="D1452">
        <v>25.8</v>
      </c>
      <c r="E1452">
        <v>25.8</v>
      </c>
      <c r="F1452" s="58">
        <v>45712</v>
      </c>
      <c r="G1452" s="58">
        <v>45714</v>
      </c>
      <c r="H1452" t="s">
        <v>231</v>
      </c>
      <c r="I1452" t="s">
        <v>59</v>
      </c>
      <c r="J1452">
        <v>5</v>
      </c>
      <c r="K1452" t="s">
        <v>103</v>
      </c>
      <c r="L1452" t="s">
        <v>124</v>
      </c>
      <c r="M1452">
        <f>orders[[#This Row],[Ship Date]]-orders[[#This Row],[Order Date]]</f>
        <v>2</v>
      </c>
      <c r="N1452">
        <f>WEEKNUM(orders[[#This Row],[Order Date]],1)</f>
        <v>9</v>
      </c>
      <c r="O1452" t="str">
        <f t="array" ref="O1452">_xlfn.IFS(orders[[#This Row],[Customer Gender]]="M","Male", orders[[#This Row],[Customer Gender]]="F","Female", orders[[#This Row],[Customer Gender]]="O","Other", TRUE(),"Unknown")</f>
        <v>Female</v>
      </c>
    </row>
    <row r="1453" spans="1:15" x14ac:dyDescent="0.25">
      <c r="A1453" t="s">
        <v>1681</v>
      </c>
      <c r="B1453" t="s">
        <v>90</v>
      </c>
      <c r="C1453">
        <v>5</v>
      </c>
      <c r="D1453">
        <v>39.6</v>
      </c>
      <c r="E1453">
        <v>198</v>
      </c>
      <c r="F1453" s="58">
        <v>45712</v>
      </c>
      <c r="G1453" s="58">
        <v>45714</v>
      </c>
      <c r="H1453" t="s">
        <v>229</v>
      </c>
      <c r="I1453" t="s">
        <v>63</v>
      </c>
      <c r="J1453">
        <v>5</v>
      </c>
      <c r="K1453" t="s">
        <v>103</v>
      </c>
      <c r="L1453" t="s">
        <v>124</v>
      </c>
      <c r="M1453">
        <f>orders[[#This Row],[Ship Date]]-orders[[#This Row],[Order Date]]</f>
        <v>2</v>
      </c>
      <c r="N1453">
        <f>WEEKNUM(orders[[#This Row],[Order Date]],1)</f>
        <v>9</v>
      </c>
      <c r="O1453" t="str">
        <f t="array" ref="O1453">_xlfn.IFS(orders[[#This Row],[Customer Gender]]="M","Male", orders[[#This Row],[Customer Gender]]="F","Female", orders[[#This Row],[Customer Gender]]="O","Other", TRUE(),"Unknown")</f>
        <v>Male</v>
      </c>
    </row>
    <row r="1454" spans="1:15" x14ac:dyDescent="0.25">
      <c r="A1454" t="s">
        <v>1682</v>
      </c>
      <c r="B1454" t="s">
        <v>85</v>
      </c>
      <c r="C1454">
        <v>2</v>
      </c>
      <c r="D1454">
        <v>64</v>
      </c>
      <c r="E1454">
        <v>128</v>
      </c>
      <c r="F1454" s="58">
        <v>45712</v>
      </c>
      <c r="G1454" s="58">
        <v>45712</v>
      </c>
      <c r="H1454" t="s">
        <v>229</v>
      </c>
      <c r="I1454" t="s">
        <v>63</v>
      </c>
      <c r="J1454">
        <v>3</v>
      </c>
      <c r="K1454" t="s">
        <v>103</v>
      </c>
      <c r="L1454" t="s">
        <v>124</v>
      </c>
      <c r="M1454">
        <f>orders[[#This Row],[Ship Date]]-orders[[#This Row],[Order Date]]</f>
        <v>0</v>
      </c>
      <c r="N1454">
        <f>WEEKNUM(orders[[#This Row],[Order Date]],1)</f>
        <v>9</v>
      </c>
      <c r="O1454" t="str">
        <f t="array" ref="O1454">_xlfn.IFS(orders[[#This Row],[Customer Gender]]="M","Male", orders[[#This Row],[Customer Gender]]="F","Female", orders[[#This Row],[Customer Gender]]="O","Other", TRUE(),"Unknown")</f>
        <v>Male</v>
      </c>
    </row>
    <row r="1455" spans="1:15" x14ac:dyDescent="0.25">
      <c r="A1455" t="s">
        <v>1683</v>
      </c>
      <c r="B1455" t="s">
        <v>90</v>
      </c>
      <c r="C1455">
        <v>2</v>
      </c>
      <c r="D1455">
        <v>30.6</v>
      </c>
      <c r="E1455">
        <v>61.2</v>
      </c>
      <c r="F1455" s="58">
        <v>45712</v>
      </c>
      <c r="G1455" s="58">
        <v>45715</v>
      </c>
      <c r="H1455" t="s">
        <v>229</v>
      </c>
      <c r="I1455" t="s">
        <v>59</v>
      </c>
      <c r="J1455">
        <v>5</v>
      </c>
      <c r="K1455" t="s">
        <v>103</v>
      </c>
      <c r="L1455" t="s">
        <v>124</v>
      </c>
      <c r="M1455">
        <f>orders[[#This Row],[Ship Date]]-orders[[#This Row],[Order Date]]</f>
        <v>3</v>
      </c>
      <c r="N1455">
        <f>WEEKNUM(orders[[#This Row],[Order Date]],1)</f>
        <v>9</v>
      </c>
      <c r="O1455" t="str">
        <f t="array" ref="O1455">_xlfn.IFS(orders[[#This Row],[Customer Gender]]="M","Male", orders[[#This Row],[Customer Gender]]="F","Female", orders[[#This Row],[Customer Gender]]="O","Other", TRUE(),"Unknown")</f>
        <v>Male</v>
      </c>
    </row>
    <row r="1456" spans="1:15" x14ac:dyDescent="0.25">
      <c r="A1456" t="s">
        <v>1684</v>
      </c>
      <c r="B1456" t="s">
        <v>90</v>
      </c>
      <c r="C1456">
        <v>2</v>
      </c>
      <c r="D1456">
        <v>21.3</v>
      </c>
      <c r="E1456">
        <v>42.6</v>
      </c>
      <c r="F1456" s="58">
        <v>45712</v>
      </c>
      <c r="G1456" s="58">
        <v>45713</v>
      </c>
      <c r="H1456" t="s">
        <v>229</v>
      </c>
      <c r="I1456" t="s">
        <v>59</v>
      </c>
      <c r="J1456">
        <v>3</v>
      </c>
      <c r="K1456" t="s">
        <v>103</v>
      </c>
      <c r="L1456" t="s">
        <v>124</v>
      </c>
      <c r="M1456">
        <f>orders[[#This Row],[Ship Date]]-orders[[#This Row],[Order Date]]</f>
        <v>1</v>
      </c>
      <c r="N1456">
        <f>WEEKNUM(orders[[#This Row],[Order Date]],1)</f>
        <v>9</v>
      </c>
      <c r="O1456" t="str">
        <f t="array" ref="O1456">_xlfn.IFS(orders[[#This Row],[Customer Gender]]="M","Male", orders[[#This Row],[Customer Gender]]="F","Female", orders[[#This Row],[Customer Gender]]="O","Other", TRUE(),"Unknown")</f>
        <v>Male</v>
      </c>
    </row>
    <row r="1457" spans="1:15" x14ac:dyDescent="0.25">
      <c r="A1457" t="s">
        <v>1685</v>
      </c>
      <c r="B1457" t="s">
        <v>79</v>
      </c>
      <c r="C1457">
        <v>1</v>
      </c>
      <c r="D1457">
        <v>40.799999999999997</v>
      </c>
      <c r="E1457">
        <v>40.799999999999997</v>
      </c>
      <c r="F1457" s="58">
        <v>45712</v>
      </c>
      <c r="G1457" s="58">
        <v>45714</v>
      </c>
      <c r="H1457" t="s">
        <v>231</v>
      </c>
      <c r="I1457" t="s">
        <v>61</v>
      </c>
      <c r="J1457">
        <v>4</v>
      </c>
      <c r="K1457" t="s">
        <v>103</v>
      </c>
      <c r="L1457" t="s">
        <v>124</v>
      </c>
      <c r="M1457">
        <f>orders[[#This Row],[Ship Date]]-orders[[#This Row],[Order Date]]</f>
        <v>2</v>
      </c>
      <c r="N1457">
        <f>WEEKNUM(orders[[#This Row],[Order Date]],1)</f>
        <v>9</v>
      </c>
      <c r="O1457" t="str">
        <f t="array" ref="O1457">_xlfn.IFS(orders[[#This Row],[Customer Gender]]="M","Male", orders[[#This Row],[Customer Gender]]="F","Female", orders[[#This Row],[Customer Gender]]="O","Other", TRUE(),"Unknown")</f>
        <v>Female</v>
      </c>
    </row>
    <row r="1458" spans="1:15" x14ac:dyDescent="0.25">
      <c r="A1458" t="s">
        <v>1686</v>
      </c>
      <c r="B1458" t="s">
        <v>88</v>
      </c>
      <c r="C1458">
        <v>4</v>
      </c>
      <c r="D1458">
        <v>27.7</v>
      </c>
      <c r="E1458">
        <v>110.8</v>
      </c>
      <c r="F1458" s="58">
        <v>45712</v>
      </c>
      <c r="G1458" s="58">
        <v>45713</v>
      </c>
      <c r="H1458" t="s">
        <v>231</v>
      </c>
      <c r="I1458" t="s">
        <v>59</v>
      </c>
      <c r="J1458">
        <v>3</v>
      </c>
      <c r="K1458" t="s">
        <v>103</v>
      </c>
      <c r="L1458" t="s">
        <v>124</v>
      </c>
      <c r="M1458">
        <f>orders[[#This Row],[Ship Date]]-orders[[#This Row],[Order Date]]</f>
        <v>1</v>
      </c>
      <c r="N1458">
        <f>WEEKNUM(orders[[#This Row],[Order Date]],1)</f>
        <v>9</v>
      </c>
      <c r="O1458" t="str">
        <f t="array" ref="O1458">_xlfn.IFS(orders[[#This Row],[Customer Gender]]="M","Male", orders[[#This Row],[Customer Gender]]="F","Female", orders[[#This Row],[Customer Gender]]="O","Other", TRUE(),"Unknown")</f>
        <v>Female</v>
      </c>
    </row>
    <row r="1459" spans="1:15" x14ac:dyDescent="0.25">
      <c r="A1459" t="s">
        <v>1687</v>
      </c>
      <c r="B1459" t="s">
        <v>80</v>
      </c>
      <c r="C1459">
        <v>2</v>
      </c>
      <c r="D1459">
        <v>64.599999999999994</v>
      </c>
      <c r="E1459">
        <v>129.19999999999999</v>
      </c>
      <c r="F1459" s="58">
        <v>45712</v>
      </c>
      <c r="G1459" s="58">
        <v>45713</v>
      </c>
      <c r="H1459" t="s">
        <v>229</v>
      </c>
      <c r="I1459" t="s">
        <v>59</v>
      </c>
      <c r="J1459">
        <v>3</v>
      </c>
      <c r="K1459" t="s">
        <v>103</v>
      </c>
      <c r="L1459" t="s">
        <v>124</v>
      </c>
      <c r="M1459">
        <f>orders[[#This Row],[Ship Date]]-orders[[#This Row],[Order Date]]</f>
        <v>1</v>
      </c>
      <c r="N1459">
        <f>WEEKNUM(orders[[#This Row],[Order Date]],1)</f>
        <v>9</v>
      </c>
      <c r="O1459" t="str">
        <f t="array" ref="O1459">_xlfn.IFS(orders[[#This Row],[Customer Gender]]="M","Male", orders[[#This Row],[Customer Gender]]="F","Female", orders[[#This Row],[Customer Gender]]="O","Other", TRUE(),"Unknown")</f>
        <v>Male</v>
      </c>
    </row>
    <row r="1460" spans="1:15" x14ac:dyDescent="0.25">
      <c r="A1460" t="s">
        <v>1688</v>
      </c>
      <c r="B1460" t="s">
        <v>80</v>
      </c>
      <c r="C1460">
        <v>16</v>
      </c>
      <c r="D1460">
        <v>91.1</v>
      </c>
      <c r="E1460">
        <v>1457.6</v>
      </c>
      <c r="F1460" s="58">
        <v>45712</v>
      </c>
      <c r="G1460" s="58">
        <v>45713</v>
      </c>
      <c r="H1460" t="s">
        <v>231</v>
      </c>
      <c r="I1460" t="s">
        <v>63</v>
      </c>
      <c r="J1460">
        <v>5</v>
      </c>
      <c r="K1460" t="s">
        <v>103</v>
      </c>
      <c r="L1460" t="s">
        <v>124</v>
      </c>
      <c r="M1460">
        <f>orders[[#This Row],[Ship Date]]-orders[[#This Row],[Order Date]]</f>
        <v>1</v>
      </c>
      <c r="N1460">
        <f>WEEKNUM(orders[[#This Row],[Order Date]],1)</f>
        <v>9</v>
      </c>
      <c r="O1460" t="str">
        <f t="array" ref="O1460">_xlfn.IFS(orders[[#This Row],[Customer Gender]]="M","Male", orders[[#This Row],[Customer Gender]]="F","Female", orders[[#This Row],[Customer Gender]]="O","Other", TRUE(),"Unknown")</f>
        <v>Female</v>
      </c>
    </row>
    <row r="1461" spans="1:15" x14ac:dyDescent="0.25">
      <c r="A1461" t="s">
        <v>1689</v>
      </c>
      <c r="B1461" t="s">
        <v>91</v>
      </c>
      <c r="C1461">
        <v>1</v>
      </c>
      <c r="D1461">
        <v>39.5</v>
      </c>
      <c r="E1461">
        <v>39.5</v>
      </c>
      <c r="F1461" s="58">
        <v>45712</v>
      </c>
      <c r="G1461" s="58">
        <v>45720</v>
      </c>
      <c r="H1461" t="s">
        <v>231</v>
      </c>
      <c r="I1461" t="s">
        <v>59</v>
      </c>
      <c r="J1461">
        <v>4</v>
      </c>
      <c r="K1461" t="s">
        <v>103</v>
      </c>
      <c r="L1461" t="s">
        <v>124</v>
      </c>
      <c r="M1461">
        <f>orders[[#This Row],[Ship Date]]-orders[[#This Row],[Order Date]]</f>
        <v>8</v>
      </c>
      <c r="N1461">
        <f>WEEKNUM(orders[[#This Row],[Order Date]],1)</f>
        <v>9</v>
      </c>
      <c r="O1461" t="str">
        <f t="array" ref="O1461">_xlfn.IFS(orders[[#This Row],[Customer Gender]]="M","Male", orders[[#This Row],[Customer Gender]]="F","Female", orders[[#This Row],[Customer Gender]]="O","Other", TRUE(),"Unknown")</f>
        <v>Female</v>
      </c>
    </row>
    <row r="1462" spans="1:15" x14ac:dyDescent="0.25">
      <c r="A1462" t="s">
        <v>1690</v>
      </c>
      <c r="B1462" t="s">
        <v>88</v>
      </c>
      <c r="C1462">
        <v>2</v>
      </c>
      <c r="D1462">
        <v>21.8</v>
      </c>
      <c r="E1462">
        <v>43.6</v>
      </c>
      <c r="F1462" s="58">
        <v>45712</v>
      </c>
      <c r="G1462" s="58">
        <v>45716</v>
      </c>
      <c r="H1462" t="s">
        <v>229</v>
      </c>
      <c r="I1462" t="s">
        <v>61</v>
      </c>
      <c r="J1462">
        <v>5</v>
      </c>
      <c r="K1462" t="s">
        <v>103</v>
      </c>
      <c r="L1462" t="s">
        <v>124</v>
      </c>
      <c r="M1462">
        <f>orders[[#This Row],[Ship Date]]-orders[[#This Row],[Order Date]]</f>
        <v>4</v>
      </c>
      <c r="N1462">
        <f>WEEKNUM(orders[[#This Row],[Order Date]],1)</f>
        <v>9</v>
      </c>
      <c r="O1462" t="str">
        <f t="array" ref="O1462">_xlfn.IFS(orders[[#This Row],[Customer Gender]]="M","Male", orders[[#This Row],[Customer Gender]]="F","Female", orders[[#This Row],[Customer Gender]]="O","Other", TRUE(),"Unknown")</f>
        <v>Male</v>
      </c>
    </row>
    <row r="1463" spans="1:15" x14ac:dyDescent="0.25">
      <c r="A1463" t="s">
        <v>1691</v>
      </c>
      <c r="B1463" t="s">
        <v>90</v>
      </c>
      <c r="C1463">
        <v>2</v>
      </c>
      <c r="D1463">
        <v>51</v>
      </c>
      <c r="E1463">
        <v>102</v>
      </c>
      <c r="F1463" s="58">
        <v>45712</v>
      </c>
      <c r="G1463" s="58">
        <v>45715</v>
      </c>
      <c r="H1463" t="s">
        <v>229</v>
      </c>
      <c r="I1463" t="s">
        <v>60</v>
      </c>
      <c r="J1463">
        <v>5</v>
      </c>
      <c r="K1463" t="s">
        <v>103</v>
      </c>
      <c r="L1463" t="s">
        <v>124</v>
      </c>
      <c r="M1463">
        <f>orders[[#This Row],[Ship Date]]-orders[[#This Row],[Order Date]]</f>
        <v>3</v>
      </c>
      <c r="N1463">
        <f>WEEKNUM(orders[[#This Row],[Order Date]],1)</f>
        <v>9</v>
      </c>
      <c r="O1463" t="str">
        <f t="array" ref="O1463">_xlfn.IFS(orders[[#This Row],[Customer Gender]]="M","Male", orders[[#This Row],[Customer Gender]]="F","Female", orders[[#This Row],[Customer Gender]]="O","Other", TRUE(),"Unknown")</f>
        <v>Male</v>
      </c>
    </row>
    <row r="1464" spans="1:15" x14ac:dyDescent="0.25">
      <c r="A1464" t="s">
        <v>1692</v>
      </c>
      <c r="B1464" t="s">
        <v>87</v>
      </c>
      <c r="C1464">
        <v>1</v>
      </c>
      <c r="D1464">
        <v>92.6</v>
      </c>
      <c r="E1464">
        <v>92.6</v>
      </c>
      <c r="F1464" s="58">
        <v>45712</v>
      </c>
      <c r="G1464" s="58">
        <v>45715</v>
      </c>
      <c r="H1464" t="s">
        <v>231</v>
      </c>
      <c r="I1464" t="s">
        <v>59</v>
      </c>
      <c r="J1464">
        <v>5</v>
      </c>
      <c r="K1464" t="s">
        <v>103</v>
      </c>
      <c r="L1464" t="s">
        <v>137</v>
      </c>
      <c r="M1464">
        <f>orders[[#This Row],[Ship Date]]-orders[[#This Row],[Order Date]]</f>
        <v>3</v>
      </c>
      <c r="N1464">
        <f>WEEKNUM(orders[[#This Row],[Order Date]],1)</f>
        <v>9</v>
      </c>
      <c r="O1464" t="str">
        <f t="array" ref="O1464">_xlfn.IFS(orders[[#This Row],[Customer Gender]]="M","Male", orders[[#This Row],[Customer Gender]]="F","Female", orders[[#This Row],[Customer Gender]]="O","Other", TRUE(),"Unknown")</f>
        <v>Female</v>
      </c>
    </row>
    <row r="1465" spans="1:15" x14ac:dyDescent="0.25">
      <c r="A1465" t="s">
        <v>1693</v>
      </c>
      <c r="B1465" t="s">
        <v>88</v>
      </c>
      <c r="C1465">
        <v>2</v>
      </c>
      <c r="D1465">
        <v>31.1</v>
      </c>
      <c r="E1465">
        <v>62.2</v>
      </c>
      <c r="F1465" s="58">
        <v>45712</v>
      </c>
      <c r="G1465" s="58">
        <v>45717</v>
      </c>
      <c r="I1465" t="s">
        <v>63</v>
      </c>
      <c r="J1465">
        <v>1</v>
      </c>
      <c r="K1465" t="s">
        <v>103</v>
      </c>
      <c r="L1465" t="s">
        <v>138</v>
      </c>
      <c r="M1465">
        <f>orders[[#This Row],[Ship Date]]-orders[[#This Row],[Order Date]]</f>
        <v>5</v>
      </c>
      <c r="N1465">
        <f>WEEKNUM(orders[[#This Row],[Order Date]],1)</f>
        <v>9</v>
      </c>
      <c r="O1465" t="str">
        <f t="array" ref="O1465">_xlfn.IFS(orders[[#This Row],[Customer Gender]]="M","Male", orders[[#This Row],[Customer Gender]]="F","Female", orders[[#This Row],[Customer Gender]]="O","Other", TRUE(),"Unknown")</f>
        <v>Unknown</v>
      </c>
    </row>
    <row r="1466" spans="1:15" x14ac:dyDescent="0.25">
      <c r="A1466" t="s">
        <v>1694</v>
      </c>
      <c r="B1466" t="s">
        <v>85</v>
      </c>
      <c r="C1466">
        <v>3</v>
      </c>
      <c r="D1466">
        <v>56.4</v>
      </c>
      <c r="E1466">
        <v>169.2</v>
      </c>
      <c r="F1466" s="58">
        <v>45712</v>
      </c>
      <c r="G1466" s="58">
        <v>45713</v>
      </c>
      <c r="I1466" t="s">
        <v>63</v>
      </c>
      <c r="J1466">
        <v>4</v>
      </c>
      <c r="K1466" t="s">
        <v>103</v>
      </c>
      <c r="L1466" t="s">
        <v>139</v>
      </c>
      <c r="M1466">
        <f>orders[[#This Row],[Ship Date]]-orders[[#This Row],[Order Date]]</f>
        <v>1</v>
      </c>
      <c r="N1466">
        <f>WEEKNUM(orders[[#This Row],[Order Date]],1)</f>
        <v>9</v>
      </c>
      <c r="O1466" t="str">
        <f t="array" ref="O1466">_xlfn.IFS(orders[[#This Row],[Customer Gender]]="M","Male", orders[[#This Row],[Customer Gender]]="F","Female", orders[[#This Row],[Customer Gender]]="O","Other", TRUE(),"Unknown")</f>
        <v>Unknown</v>
      </c>
    </row>
    <row r="1467" spans="1:15" x14ac:dyDescent="0.25">
      <c r="A1467" t="s">
        <v>1695</v>
      </c>
      <c r="B1467" t="s">
        <v>88</v>
      </c>
      <c r="C1467">
        <v>1</v>
      </c>
      <c r="D1467">
        <v>41.9</v>
      </c>
      <c r="E1467">
        <v>41.9</v>
      </c>
      <c r="F1467" s="58">
        <v>45712</v>
      </c>
      <c r="G1467" s="58">
        <v>45712</v>
      </c>
      <c r="H1467" t="s">
        <v>229</v>
      </c>
      <c r="I1467" t="s">
        <v>63</v>
      </c>
      <c r="J1467">
        <v>4</v>
      </c>
      <c r="K1467" t="s">
        <v>103</v>
      </c>
      <c r="L1467" t="s">
        <v>139</v>
      </c>
      <c r="M1467">
        <f>orders[[#This Row],[Ship Date]]-orders[[#This Row],[Order Date]]</f>
        <v>0</v>
      </c>
      <c r="N1467">
        <f>WEEKNUM(orders[[#This Row],[Order Date]],1)</f>
        <v>9</v>
      </c>
      <c r="O1467" t="str">
        <f t="array" ref="O1467">_xlfn.IFS(orders[[#This Row],[Customer Gender]]="M","Male", orders[[#This Row],[Customer Gender]]="F","Female", orders[[#This Row],[Customer Gender]]="O","Other", TRUE(),"Unknown")</f>
        <v>Male</v>
      </c>
    </row>
    <row r="1468" spans="1:15" x14ac:dyDescent="0.25">
      <c r="A1468" t="s">
        <v>1696</v>
      </c>
      <c r="B1468" t="s">
        <v>75</v>
      </c>
      <c r="C1468">
        <v>7</v>
      </c>
      <c r="D1468">
        <v>45.9</v>
      </c>
      <c r="E1468">
        <v>321.3</v>
      </c>
      <c r="F1468" s="58">
        <v>45712</v>
      </c>
      <c r="G1468" s="58">
        <v>45713</v>
      </c>
      <c r="H1468" t="s">
        <v>229</v>
      </c>
      <c r="I1468" t="s">
        <v>60</v>
      </c>
      <c r="J1468">
        <v>5</v>
      </c>
      <c r="K1468" t="s">
        <v>103</v>
      </c>
      <c r="L1468" t="s">
        <v>142</v>
      </c>
      <c r="M1468">
        <f>orders[[#This Row],[Ship Date]]-orders[[#This Row],[Order Date]]</f>
        <v>1</v>
      </c>
      <c r="N1468">
        <f>WEEKNUM(orders[[#This Row],[Order Date]],1)</f>
        <v>9</v>
      </c>
      <c r="O1468" t="str">
        <f t="array" ref="O1468">_xlfn.IFS(orders[[#This Row],[Customer Gender]]="M","Male", orders[[#This Row],[Customer Gender]]="F","Female", orders[[#This Row],[Customer Gender]]="O","Other", TRUE(),"Unknown")</f>
        <v>Male</v>
      </c>
    </row>
    <row r="1469" spans="1:15" x14ac:dyDescent="0.25">
      <c r="A1469" t="s">
        <v>1697</v>
      </c>
      <c r="B1469" t="s">
        <v>74</v>
      </c>
      <c r="C1469">
        <v>9</v>
      </c>
      <c r="D1469">
        <v>24.4</v>
      </c>
      <c r="E1469">
        <v>219.6</v>
      </c>
      <c r="F1469" s="58">
        <v>45712</v>
      </c>
      <c r="G1469" s="58">
        <v>45716</v>
      </c>
      <c r="H1469" t="s">
        <v>229</v>
      </c>
      <c r="I1469" t="s">
        <v>60</v>
      </c>
      <c r="J1469">
        <v>5</v>
      </c>
      <c r="K1469" t="s">
        <v>103</v>
      </c>
      <c r="L1469" t="s">
        <v>142</v>
      </c>
      <c r="M1469">
        <f>orders[[#This Row],[Ship Date]]-orders[[#This Row],[Order Date]]</f>
        <v>4</v>
      </c>
      <c r="N1469">
        <f>WEEKNUM(orders[[#This Row],[Order Date]],1)</f>
        <v>9</v>
      </c>
      <c r="O1469" t="str">
        <f t="array" ref="O1469">_xlfn.IFS(orders[[#This Row],[Customer Gender]]="M","Male", orders[[#This Row],[Customer Gender]]="F","Female", orders[[#This Row],[Customer Gender]]="O","Other", TRUE(),"Unknown")</f>
        <v>Male</v>
      </c>
    </row>
    <row r="1470" spans="1:15" x14ac:dyDescent="0.25">
      <c r="A1470" t="s">
        <v>1698</v>
      </c>
      <c r="B1470" t="s">
        <v>90</v>
      </c>
      <c r="C1470">
        <v>1</v>
      </c>
      <c r="D1470">
        <v>18.2</v>
      </c>
      <c r="E1470">
        <v>18.2</v>
      </c>
      <c r="F1470" s="58">
        <v>45712</v>
      </c>
      <c r="G1470" s="58">
        <v>45713</v>
      </c>
      <c r="H1470" t="s">
        <v>231</v>
      </c>
      <c r="I1470" t="s">
        <v>62</v>
      </c>
      <c r="J1470">
        <v>5</v>
      </c>
      <c r="K1470" t="s">
        <v>103</v>
      </c>
      <c r="L1470" t="s">
        <v>142</v>
      </c>
      <c r="M1470">
        <f>orders[[#This Row],[Ship Date]]-orders[[#This Row],[Order Date]]</f>
        <v>1</v>
      </c>
      <c r="N1470">
        <f>WEEKNUM(orders[[#This Row],[Order Date]],1)</f>
        <v>9</v>
      </c>
      <c r="O1470" t="str">
        <f t="array" ref="O1470">_xlfn.IFS(orders[[#This Row],[Customer Gender]]="M","Male", orders[[#This Row],[Customer Gender]]="F","Female", orders[[#This Row],[Customer Gender]]="O","Other", TRUE(),"Unknown")</f>
        <v>Female</v>
      </c>
    </row>
    <row r="1471" spans="1:15" x14ac:dyDescent="0.25">
      <c r="A1471" t="s">
        <v>1699</v>
      </c>
      <c r="B1471" t="s">
        <v>90</v>
      </c>
      <c r="C1471">
        <v>4</v>
      </c>
      <c r="D1471">
        <v>51.2</v>
      </c>
      <c r="E1471">
        <v>204.8</v>
      </c>
      <c r="F1471" s="58">
        <v>45712</v>
      </c>
      <c r="G1471" s="58">
        <v>45713</v>
      </c>
      <c r="H1471" t="s">
        <v>231</v>
      </c>
      <c r="I1471" t="s">
        <v>59</v>
      </c>
      <c r="J1471">
        <v>4</v>
      </c>
      <c r="K1471" t="s">
        <v>103</v>
      </c>
      <c r="L1471" t="s">
        <v>142</v>
      </c>
      <c r="M1471">
        <f>orders[[#This Row],[Ship Date]]-orders[[#This Row],[Order Date]]</f>
        <v>1</v>
      </c>
      <c r="N1471">
        <f>WEEKNUM(orders[[#This Row],[Order Date]],1)</f>
        <v>9</v>
      </c>
      <c r="O1471" t="str">
        <f t="array" ref="O1471">_xlfn.IFS(orders[[#This Row],[Customer Gender]]="M","Male", orders[[#This Row],[Customer Gender]]="F","Female", orders[[#This Row],[Customer Gender]]="O","Other", TRUE(),"Unknown")</f>
        <v>Female</v>
      </c>
    </row>
    <row r="1472" spans="1:15" x14ac:dyDescent="0.25">
      <c r="A1472" t="s">
        <v>1700</v>
      </c>
      <c r="B1472" t="s">
        <v>80</v>
      </c>
      <c r="C1472">
        <v>1</v>
      </c>
      <c r="D1472">
        <v>59.7</v>
      </c>
      <c r="E1472">
        <v>59.7</v>
      </c>
      <c r="F1472" s="58">
        <v>45712</v>
      </c>
      <c r="G1472" s="58">
        <v>45715</v>
      </c>
      <c r="H1472" t="s">
        <v>229</v>
      </c>
      <c r="I1472" t="s">
        <v>59</v>
      </c>
      <c r="J1472">
        <v>5</v>
      </c>
      <c r="K1472" t="s">
        <v>103</v>
      </c>
      <c r="L1472" t="s">
        <v>142</v>
      </c>
      <c r="M1472">
        <f>orders[[#This Row],[Ship Date]]-orders[[#This Row],[Order Date]]</f>
        <v>3</v>
      </c>
      <c r="N1472">
        <f>WEEKNUM(orders[[#This Row],[Order Date]],1)</f>
        <v>9</v>
      </c>
      <c r="O1472" t="str">
        <f t="array" ref="O1472">_xlfn.IFS(orders[[#This Row],[Customer Gender]]="M","Male", orders[[#This Row],[Customer Gender]]="F","Female", orders[[#This Row],[Customer Gender]]="O","Other", TRUE(),"Unknown")</f>
        <v>Male</v>
      </c>
    </row>
    <row r="1473" spans="1:15" x14ac:dyDescent="0.25">
      <c r="A1473" t="s">
        <v>1701</v>
      </c>
      <c r="B1473" t="s">
        <v>78</v>
      </c>
      <c r="C1473">
        <v>2</v>
      </c>
      <c r="D1473">
        <v>33.6</v>
      </c>
      <c r="E1473">
        <v>67.2</v>
      </c>
      <c r="F1473" s="58">
        <v>45712</v>
      </c>
      <c r="G1473" s="58">
        <v>45714</v>
      </c>
      <c r="H1473" t="s">
        <v>231</v>
      </c>
      <c r="I1473" t="s">
        <v>59</v>
      </c>
      <c r="J1473">
        <v>4</v>
      </c>
      <c r="K1473" t="s">
        <v>103</v>
      </c>
      <c r="L1473" t="s">
        <v>143</v>
      </c>
      <c r="M1473">
        <f>orders[[#This Row],[Ship Date]]-orders[[#This Row],[Order Date]]</f>
        <v>2</v>
      </c>
      <c r="N1473">
        <f>WEEKNUM(orders[[#This Row],[Order Date]],1)</f>
        <v>9</v>
      </c>
      <c r="O1473" t="str">
        <f t="array" ref="O1473">_xlfn.IFS(orders[[#This Row],[Customer Gender]]="M","Male", orders[[#This Row],[Customer Gender]]="F","Female", orders[[#This Row],[Customer Gender]]="O","Other", TRUE(),"Unknown")</f>
        <v>Female</v>
      </c>
    </row>
    <row r="1474" spans="1:15" x14ac:dyDescent="0.25">
      <c r="A1474" t="s">
        <v>1702</v>
      </c>
      <c r="B1474" t="s">
        <v>76</v>
      </c>
      <c r="C1474">
        <v>1</v>
      </c>
      <c r="D1474">
        <v>90.4</v>
      </c>
      <c r="E1474">
        <v>90.4</v>
      </c>
      <c r="F1474" s="58">
        <v>45712</v>
      </c>
      <c r="G1474" s="58">
        <v>45716</v>
      </c>
      <c r="H1474" t="s">
        <v>229</v>
      </c>
      <c r="I1474" t="s">
        <v>63</v>
      </c>
      <c r="J1474">
        <v>5</v>
      </c>
      <c r="K1474" t="s">
        <v>103</v>
      </c>
      <c r="L1474" t="s">
        <v>147</v>
      </c>
      <c r="M1474">
        <f>orders[[#This Row],[Ship Date]]-orders[[#This Row],[Order Date]]</f>
        <v>4</v>
      </c>
      <c r="N1474">
        <f>WEEKNUM(orders[[#This Row],[Order Date]],1)</f>
        <v>9</v>
      </c>
      <c r="O1474" t="str">
        <f t="array" ref="O1474">_xlfn.IFS(orders[[#This Row],[Customer Gender]]="M","Male", orders[[#This Row],[Customer Gender]]="F","Female", orders[[#This Row],[Customer Gender]]="O","Other", TRUE(),"Unknown")</f>
        <v>Male</v>
      </c>
    </row>
    <row r="1475" spans="1:15" x14ac:dyDescent="0.25">
      <c r="A1475" t="s">
        <v>1703</v>
      </c>
      <c r="B1475" t="s">
        <v>83</v>
      </c>
      <c r="C1475">
        <v>3</v>
      </c>
      <c r="D1475">
        <v>70.3</v>
      </c>
      <c r="E1475">
        <v>210.9</v>
      </c>
      <c r="F1475" s="58">
        <v>45712</v>
      </c>
      <c r="G1475" s="58">
        <v>45712</v>
      </c>
      <c r="H1475" t="s">
        <v>229</v>
      </c>
      <c r="I1475" t="s">
        <v>63</v>
      </c>
      <c r="J1475">
        <v>5</v>
      </c>
      <c r="K1475" t="s">
        <v>103</v>
      </c>
      <c r="L1475" t="s">
        <v>148</v>
      </c>
      <c r="M1475">
        <f>orders[[#This Row],[Ship Date]]-orders[[#This Row],[Order Date]]</f>
        <v>0</v>
      </c>
      <c r="N1475">
        <f>WEEKNUM(orders[[#This Row],[Order Date]],1)</f>
        <v>9</v>
      </c>
      <c r="O1475" t="str">
        <f t="array" ref="O1475">_xlfn.IFS(orders[[#This Row],[Customer Gender]]="M","Male", orders[[#This Row],[Customer Gender]]="F","Female", orders[[#This Row],[Customer Gender]]="O","Other", TRUE(),"Unknown")</f>
        <v>Male</v>
      </c>
    </row>
    <row r="1476" spans="1:15" x14ac:dyDescent="0.25">
      <c r="A1476" t="s">
        <v>1704</v>
      </c>
      <c r="B1476" t="s">
        <v>78</v>
      </c>
      <c r="C1476">
        <v>2</v>
      </c>
      <c r="D1476">
        <v>20.5</v>
      </c>
      <c r="E1476">
        <v>41</v>
      </c>
      <c r="F1476" s="58">
        <v>45712</v>
      </c>
      <c r="G1476" s="58">
        <v>45715</v>
      </c>
      <c r="H1476" t="s">
        <v>231</v>
      </c>
      <c r="I1476" t="s">
        <v>59</v>
      </c>
      <c r="J1476">
        <v>3</v>
      </c>
      <c r="K1476" t="s">
        <v>103</v>
      </c>
      <c r="L1476" t="s">
        <v>148</v>
      </c>
      <c r="M1476">
        <f>orders[[#This Row],[Ship Date]]-orders[[#This Row],[Order Date]]</f>
        <v>3</v>
      </c>
      <c r="N1476">
        <f>WEEKNUM(orders[[#This Row],[Order Date]],1)</f>
        <v>9</v>
      </c>
      <c r="O1476" t="str">
        <f t="array" ref="O1476">_xlfn.IFS(orders[[#This Row],[Customer Gender]]="M","Male", orders[[#This Row],[Customer Gender]]="F","Female", orders[[#This Row],[Customer Gender]]="O","Other", TRUE(),"Unknown")</f>
        <v>Female</v>
      </c>
    </row>
    <row r="1477" spans="1:15" x14ac:dyDescent="0.25">
      <c r="A1477" t="s">
        <v>1705</v>
      </c>
      <c r="B1477" t="s">
        <v>85</v>
      </c>
      <c r="C1477">
        <v>11</v>
      </c>
      <c r="D1477">
        <v>37.6</v>
      </c>
      <c r="E1477">
        <v>413.6</v>
      </c>
      <c r="F1477" s="58">
        <v>45712</v>
      </c>
      <c r="G1477" s="58">
        <v>45713</v>
      </c>
      <c r="H1477" t="s">
        <v>229</v>
      </c>
      <c r="I1477" t="s">
        <v>59</v>
      </c>
      <c r="J1477">
        <v>4</v>
      </c>
      <c r="K1477" t="s">
        <v>103</v>
      </c>
      <c r="L1477" t="s">
        <v>153</v>
      </c>
      <c r="M1477">
        <f>orders[[#This Row],[Ship Date]]-orders[[#This Row],[Order Date]]</f>
        <v>1</v>
      </c>
      <c r="N1477">
        <f>WEEKNUM(orders[[#This Row],[Order Date]],1)</f>
        <v>9</v>
      </c>
      <c r="O1477" t="str">
        <f t="array" ref="O1477">_xlfn.IFS(orders[[#This Row],[Customer Gender]]="M","Male", orders[[#This Row],[Customer Gender]]="F","Female", orders[[#This Row],[Customer Gender]]="O","Other", TRUE(),"Unknown")</f>
        <v>Male</v>
      </c>
    </row>
    <row r="1478" spans="1:15" x14ac:dyDescent="0.25">
      <c r="A1478" t="s">
        <v>1706</v>
      </c>
      <c r="B1478" t="s">
        <v>85</v>
      </c>
      <c r="C1478">
        <v>4</v>
      </c>
      <c r="D1478">
        <v>61.5</v>
      </c>
      <c r="E1478">
        <v>246</v>
      </c>
      <c r="F1478" s="58">
        <v>45712</v>
      </c>
      <c r="G1478" s="58">
        <v>45719</v>
      </c>
      <c r="H1478" t="s">
        <v>231</v>
      </c>
      <c r="I1478" t="s">
        <v>63</v>
      </c>
      <c r="J1478">
        <v>2</v>
      </c>
      <c r="K1478" t="s">
        <v>103</v>
      </c>
      <c r="L1478" t="s">
        <v>161</v>
      </c>
      <c r="M1478">
        <f>orders[[#This Row],[Ship Date]]-orders[[#This Row],[Order Date]]</f>
        <v>7</v>
      </c>
      <c r="N1478">
        <f>WEEKNUM(orders[[#This Row],[Order Date]],1)</f>
        <v>9</v>
      </c>
      <c r="O1478" t="str">
        <f t="array" ref="O1478">_xlfn.IFS(orders[[#This Row],[Customer Gender]]="M","Male", orders[[#This Row],[Customer Gender]]="F","Female", orders[[#This Row],[Customer Gender]]="O","Other", TRUE(),"Unknown")</f>
        <v>Female</v>
      </c>
    </row>
    <row r="1479" spans="1:15" x14ac:dyDescent="0.25">
      <c r="A1479" t="s">
        <v>1707</v>
      </c>
      <c r="B1479" t="s">
        <v>88</v>
      </c>
      <c r="C1479">
        <v>1</v>
      </c>
      <c r="D1479">
        <v>33.5</v>
      </c>
      <c r="E1479">
        <v>33.5</v>
      </c>
      <c r="F1479" s="58">
        <v>45713</v>
      </c>
      <c r="G1479" s="58">
        <v>45717</v>
      </c>
      <c r="H1479" t="s">
        <v>229</v>
      </c>
      <c r="I1479" t="s">
        <v>61</v>
      </c>
      <c r="J1479">
        <v>3</v>
      </c>
      <c r="K1479" t="s">
        <v>103</v>
      </c>
      <c r="L1479" t="s">
        <v>106</v>
      </c>
      <c r="M1479">
        <f>orders[[#This Row],[Ship Date]]-orders[[#This Row],[Order Date]]</f>
        <v>4</v>
      </c>
      <c r="N1479">
        <f>WEEKNUM(orders[[#This Row],[Order Date]],1)</f>
        <v>9</v>
      </c>
      <c r="O1479" t="str">
        <f t="array" ref="O1479">_xlfn.IFS(orders[[#This Row],[Customer Gender]]="M","Male", orders[[#This Row],[Customer Gender]]="F","Female", orders[[#This Row],[Customer Gender]]="O","Other", TRUE(),"Unknown")</f>
        <v>Male</v>
      </c>
    </row>
    <row r="1480" spans="1:15" x14ac:dyDescent="0.25">
      <c r="A1480" t="s">
        <v>1708</v>
      </c>
      <c r="B1480" t="s">
        <v>78</v>
      </c>
      <c r="C1480">
        <v>3</v>
      </c>
      <c r="D1480">
        <v>29.3</v>
      </c>
      <c r="E1480">
        <v>87.9</v>
      </c>
      <c r="F1480" s="58">
        <v>45713</v>
      </c>
      <c r="G1480" s="58">
        <v>45715</v>
      </c>
      <c r="H1480" t="s">
        <v>231</v>
      </c>
      <c r="I1480" t="s">
        <v>63</v>
      </c>
      <c r="J1480">
        <v>5</v>
      </c>
      <c r="K1480" t="s">
        <v>103</v>
      </c>
      <c r="L1480" t="s">
        <v>112</v>
      </c>
      <c r="M1480">
        <f>orders[[#This Row],[Ship Date]]-orders[[#This Row],[Order Date]]</f>
        <v>2</v>
      </c>
      <c r="N1480">
        <f>WEEKNUM(orders[[#This Row],[Order Date]],1)</f>
        <v>9</v>
      </c>
      <c r="O1480" t="str">
        <f t="array" ref="O1480">_xlfn.IFS(orders[[#This Row],[Customer Gender]]="M","Male", orders[[#This Row],[Customer Gender]]="F","Female", orders[[#This Row],[Customer Gender]]="O","Other", TRUE(),"Unknown")</f>
        <v>Female</v>
      </c>
    </row>
    <row r="1481" spans="1:15" x14ac:dyDescent="0.25">
      <c r="A1481" t="s">
        <v>1709</v>
      </c>
      <c r="B1481" t="s">
        <v>87</v>
      </c>
      <c r="C1481">
        <v>2</v>
      </c>
      <c r="D1481">
        <v>125.9</v>
      </c>
      <c r="E1481">
        <v>251.8</v>
      </c>
      <c r="F1481" s="58">
        <v>45713</v>
      </c>
      <c r="G1481" s="58">
        <v>45718</v>
      </c>
      <c r="H1481" t="s">
        <v>231</v>
      </c>
      <c r="I1481" t="s">
        <v>61</v>
      </c>
      <c r="J1481">
        <v>3</v>
      </c>
      <c r="K1481" t="s">
        <v>103</v>
      </c>
      <c r="L1481" t="s">
        <v>112</v>
      </c>
      <c r="M1481">
        <f>orders[[#This Row],[Ship Date]]-orders[[#This Row],[Order Date]]</f>
        <v>5</v>
      </c>
      <c r="N1481">
        <f>WEEKNUM(orders[[#This Row],[Order Date]],1)</f>
        <v>9</v>
      </c>
      <c r="O1481" t="str">
        <f t="array" ref="O1481">_xlfn.IFS(orders[[#This Row],[Customer Gender]]="M","Male", orders[[#This Row],[Customer Gender]]="F","Female", orders[[#This Row],[Customer Gender]]="O","Other", TRUE(),"Unknown")</f>
        <v>Female</v>
      </c>
    </row>
    <row r="1482" spans="1:15" x14ac:dyDescent="0.25">
      <c r="A1482" t="s">
        <v>1710</v>
      </c>
      <c r="B1482" t="s">
        <v>85</v>
      </c>
      <c r="C1482">
        <v>5</v>
      </c>
      <c r="D1482">
        <v>29.3</v>
      </c>
      <c r="E1482">
        <v>146.5</v>
      </c>
      <c r="F1482" s="58">
        <v>45713</v>
      </c>
      <c r="G1482" s="58">
        <v>45713</v>
      </c>
      <c r="H1482" t="s">
        <v>229</v>
      </c>
      <c r="I1482" t="s">
        <v>62</v>
      </c>
      <c r="J1482">
        <v>4</v>
      </c>
      <c r="K1482" t="s">
        <v>103</v>
      </c>
      <c r="L1482" t="s">
        <v>117</v>
      </c>
      <c r="M1482">
        <f>orders[[#This Row],[Ship Date]]-orders[[#This Row],[Order Date]]</f>
        <v>0</v>
      </c>
      <c r="N1482">
        <f>WEEKNUM(orders[[#This Row],[Order Date]],1)</f>
        <v>9</v>
      </c>
      <c r="O1482" t="str">
        <f t="array" ref="O1482">_xlfn.IFS(orders[[#This Row],[Customer Gender]]="M","Male", orders[[#This Row],[Customer Gender]]="F","Female", orders[[#This Row],[Customer Gender]]="O","Other", TRUE(),"Unknown")</f>
        <v>Male</v>
      </c>
    </row>
    <row r="1483" spans="1:15" x14ac:dyDescent="0.25">
      <c r="A1483" t="s">
        <v>1711</v>
      </c>
      <c r="B1483" t="s">
        <v>88</v>
      </c>
      <c r="C1483">
        <v>1</v>
      </c>
      <c r="D1483">
        <v>37.799999999999997</v>
      </c>
      <c r="E1483">
        <v>37.799999999999997</v>
      </c>
      <c r="F1483" s="58">
        <v>45713</v>
      </c>
      <c r="G1483" s="58">
        <v>45716</v>
      </c>
      <c r="H1483" t="s">
        <v>231</v>
      </c>
      <c r="I1483" t="s">
        <v>59</v>
      </c>
      <c r="J1483">
        <v>5</v>
      </c>
      <c r="K1483" t="s">
        <v>103</v>
      </c>
      <c r="L1483" t="s">
        <v>124</v>
      </c>
      <c r="M1483">
        <f>orders[[#This Row],[Ship Date]]-orders[[#This Row],[Order Date]]</f>
        <v>3</v>
      </c>
      <c r="N1483">
        <f>WEEKNUM(orders[[#This Row],[Order Date]],1)</f>
        <v>9</v>
      </c>
      <c r="O1483" t="str">
        <f t="array" ref="O1483">_xlfn.IFS(orders[[#This Row],[Customer Gender]]="M","Male", orders[[#This Row],[Customer Gender]]="F","Female", orders[[#This Row],[Customer Gender]]="O","Other", TRUE(),"Unknown")</f>
        <v>Female</v>
      </c>
    </row>
    <row r="1484" spans="1:15" x14ac:dyDescent="0.25">
      <c r="A1484" t="s">
        <v>1712</v>
      </c>
      <c r="B1484" t="s">
        <v>86</v>
      </c>
      <c r="C1484">
        <v>4</v>
      </c>
      <c r="D1484">
        <v>31.7</v>
      </c>
      <c r="E1484">
        <v>126.8</v>
      </c>
      <c r="F1484" s="58">
        <v>45713</v>
      </c>
      <c r="G1484" s="58">
        <v>45714</v>
      </c>
      <c r="H1484" t="s">
        <v>229</v>
      </c>
      <c r="I1484" t="s">
        <v>62</v>
      </c>
      <c r="J1484">
        <v>5</v>
      </c>
      <c r="K1484" t="s">
        <v>103</v>
      </c>
      <c r="L1484" t="s">
        <v>124</v>
      </c>
      <c r="M1484">
        <f>orders[[#This Row],[Ship Date]]-orders[[#This Row],[Order Date]]</f>
        <v>1</v>
      </c>
      <c r="N1484">
        <f>WEEKNUM(orders[[#This Row],[Order Date]],1)</f>
        <v>9</v>
      </c>
      <c r="O1484" t="str">
        <f t="array" ref="O1484">_xlfn.IFS(orders[[#This Row],[Customer Gender]]="M","Male", orders[[#This Row],[Customer Gender]]="F","Female", orders[[#This Row],[Customer Gender]]="O","Other", TRUE(),"Unknown")</f>
        <v>Male</v>
      </c>
    </row>
    <row r="1485" spans="1:15" x14ac:dyDescent="0.25">
      <c r="A1485" t="s">
        <v>1713</v>
      </c>
      <c r="B1485" t="s">
        <v>90</v>
      </c>
      <c r="C1485">
        <v>5</v>
      </c>
      <c r="D1485">
        <v>26.3</v>
      </c>
      <c r="E1485">
        <v>131.5</v>
      </c>
      <c r="F1485" s="58">
        <v>45713</v>
      </c>
      <c r="G1485" s="58">
        <v>45714</v>
      </c>
      <c r="H1485" t="s">
        <v>231</v>
      </c>
      <c r="I1485" t="s">
        <v>60</v>
      </c>
      <c r="J1485">
        <v>5</v>
      </c>
      <c r="K1485" t="s">
        <v>103</v>
      </c>
      <c r="L1485" t="s">
        <v>124</v>
      </c>
      <c r="M1485">
        <f>orders[[#This Row],[Ship Date]]-orders[[#This Row],[Order Date]]</f>
        <v>1</v>
      </c>
      <c r="N1485">
        <f>WEEKNUM(orders[[#This Row],[Order Date]],1)</f>
        <v>9</v>
      </c>
      <c r="O1485" t="str">
        <f t="array" ref="O1485">_xlfn.IFS(orders[[#This Row],[Customer Gender]]="M","Male", orders[[#This Row],[Customer Gender]]="F","Female", orders[[#This Row],[Customer Gender]]="O","Other", TRUE(),"Unknown")</f>
        <v>Female</v>
      </c>
    </row>
    <row r="1486" spans="1:15" x14ac:dyDescent="0.25">
      <c r="A1486" t="s">
        <v>1714</v>
      </c>
      <c r="B1486" t="s">
        <v>90</v>
      </c>
      <c r="C1486">
        <v>3</v>
      </c>
      <c r="D1486">
        <v>23.1</v>
      </c>
      <c r="E1486">
        <v>69.3</v>
      </c>
      <c r="F1486" s="58">
        <v>45713</v>
      </c>
      <c r="G1486" s="58">
        <v>45714</v>
      </c>
      <c r="H1486" t="s">
        <v>263</v>
      </c>
      <c r="I1486" t="s">
        <v>62</v>
      </c>
      <c r="J1486">
        <v>3</v>
      </c>
      <c r="K1486" t="s">
        <v>103</v>
      </c>
      <c r="L1486" t="s">
        <v>124</v>
      </c>
      <c r="M1486">
        <f>orders[[#This Row],[Ship Date]]-orders[[#This Row],[Order Date]]</f>
        <v>1</v>
      </c>
      <c r="N1486">
        <f>WEEKNUM(orders[[#This Row],[Order Date]],1)</f>
        <v>9</v>
      </c>
      <c r="O1486" t="str">
        <f t="array" ref="O1486">_xlfn.IFS(orders[[#This Row],[Customer Gender]]="M","Male", orders[[#This Row],[Customer Gender]]="F","Female", orders[[#This Row],[Customer Gender]]="O","Other", TRUE(),"Unknown")</f>
        <v>Other</v>
      </c>
    </row>
    <row r="1487" spans="1:15" x14ac:dyDescent="0.25">
      <c r="A1487" t="s">
        <v>1715</v>
      </c>
      <c r="B1487" t="s">
        <v>78</v>
      </c>
      <c r="C1487">
        <v>1</v>
      </c>
      <c r="D1487">
        <v>22.3</v>
      </c>
      <c r="E1487">
        <v>22.3</v>
      </c>
      <c r="F1487" s="58">
        <v>45713</v>
      </c>
      <c r="G1487" s="58">
        <v>45715</v>
      </c>
      <c r="H1487" t="s">
        <v>231</v>
      </c>
      <c r="I1487" t="s">
        <v>62</v>
      </c>
      <c r="J1487">
        <v>4</v>
      </c>
      <c r="K1487" t="s">
        <v>103</v>
      </c>
      <c r="L1487" t="s">
        <v>124</v>
      </c>
      <c r="M1487">
        <f>orders[[#This Row],[Ship Date]]-orders[[#This Row],[Order Date]]</f>
        <v>2</v>
      </c>
      <c r="N1487">
        <f>WEEKNUM(orders[[#This Row],[Order Date]],1)</f>
        <v>9</v>
      </c>
      <c r="O1487" t="str">
        <f t="array" ref="O1487">_xlfn.IFS(orders[[#This Row],[Customer Gender]]="M","Male", orders[[#This Row],[Customer Gender]]="F","Female", orders[[#This Row],[Customer Gender]]="O","Other", TRUE(),"Unknown")</f>
        <v>Female</v>
      </c>
    </row>
    <row r="1488" spans="1:15" x14ac:dyDescent="0.25">
      <c r="A1488" t="s">
        <v>1716</v>
      </c>
      <c r="B1488" t="s">
        <v>76</v>
      </c>
      <c r="C1488">
        <v>2</v>
      </c>
      <c r="D1488">
        <v>99.5</v>
      </c>
      <c r="E1488">
        <v>199</v>
      </c>
      <c r="F1488" s="58">
        <v>45713</v>
      </c>
      <c r="G1488" s="58">
        <v>45715</v>
      </c>
      <c r="H1488" t="s">
        <v>231</v>
      </c>
      <c r="I1488" t="s">
        <v>62</v>
      </c>
      <c r="J1488">
        <v>4</v>
      </c>
      <c r="K1488" t="s">
        <v>103</v>
      </c>
      <c r="L1488" t="s">
        <v>124</v>
      </c>
      <c r="M1488">
        <f>orders[[#This Row],[Ship Date]]-orders[[#This Row],[Order Date]]</f>
        <v>2</v>
      </c>
      <c r="N1488">
        <f>WEEKNUM(orders[[#This Row],[Order Date]],1)</f>
        <v>9</v>
      </c>
      <c r="O1488" t="str">
        <f t="array" ref="O1488">_xlfn.IFS(orders[[#This Row],[Customer Gender]]="M","Male", orders[[#This Row],[Customer Gender]]="F","Female", orders[[#This Row],[Customer Gender]]="O","Other", TRUE(),"Unknown")</f>
        <v>Female</v>
      </c>
    </row>
    <row r="1489" spans="1:15" x14ac:dyDescent="0.25">
      <c r="A1489" t="s">
        <v>1717</v>
      </c>
      <c r="B1489" t="s">
        <v>76</v>
      </c>
      <c r="C1489">
        <v>4</v>
      </c>
      <c r="D1489">
        <v>47.4</v>
      </c>
      <c r="E1489">
        <v>189.6</v>
      </c>
      <c r="F1489" s="58">
        <v>45713</v>
      </c>
      <c r="G1489" s="58">
        <v>45716</v>
      </c>
      <c r="H1489" t="s">
        <v>231</v>
      </c>
      <c r="I1489" t="s">
        <v>63</v>
      </c>
      <c r="J1489">
        <v>4</v>
      </c>
      <c r="K1489" t="s">
        <v>103</v>
      </c>
      <c r="L1489" t="s">
        <v>124</v>
      </c>
      <c r="M1489">
        <f>orders[[#This Row],[Ship Date]]-orders[[#This Row],[Order Date]]</f>
        <v>3</v>
      </c>
      <c r="N1489">
        <f>WEEKNUM(orders[[#This Row],[Order Date]],1)</f>
        <v>9</v>
      </c>
      <c r="O1489" t="str">
        <f t="array" ref="O1489">_xlfn.IFS(orders[[#This Row],[Customer Gender]]="M","Male", orders[[#This Row],[Customer Gender]]="F","Female", orders[[#This Row],[Customer Gender]]="O","Other", TRUE(),"Unknown")</f>
        <v>Female</v>
      </c>
    </row>
    <row r="1490" spans="1:15" x14ac:dyDescent="0.25">
      <c r="A1490" t="s">
        <v>1718</v>
      </c>
      <c r="B1490" t="s">
        <v>86</v>
      </c>
      <c r="C1490">
        <v>11</v>
      </c>
      <c r="D1490">
        <v>37.5</v>
      </c>
      <c r="E1490">
        <v>412.5</v>
      </c>
      <c r="F1490" s="58">
        <v>45713</v>
      </c>
      <c r="G1490" s="58">
        <v>45715</v>
      </c>
      <c r="H1490" t="s">
        <v>231</v>
      </c>
      <c r="I1490" t="s">
        <v>59</v>
      </c>
      <c r="J1490">
        <v>1</v>
      </c>
      <c r="K1490" t="s">
        <v>103</v>
      </c>
      <c r="L1490" t="s">
        <v>124</v>
      </c>
      <c r="M1490">
        <f>orders[[#This Row],[Ship Date]]-orders[[#This Row],[Order Date]]</f>
        <v>2</v>
      </c>
      <c r="N1490">
        <f>WEEKNUM(orders[[#This Row],[Order Date]],1)</f>
        <v>9</v>
      </c>
      <c r="O1490" t="str">
        <f t="array" ref="O1490">_xlfn.IFS(orders[[#This Row],[Customer Gender]]="M","Male", orders[[#This Row],[Customer Gender]]="F","Female", orders[[#This Row],[Customer Gender]]="O","Other", TRUE(),"Unknown")</f>
        <v>Female</v>
      </c>
    </row>
    <row r="1491" spans="1:15" x14ac:dyDescent="0.25">
      <c r="A1491" t="s">
        <v>1719</v>
      </c>
      <c r="B1491" t="s">
        <v>75</v>
      </c>
      <c r="C1491">
        <v>1</v>
      </c>
      <c r="D1491">
        <v>45.1</v>
      </c>
      <c r="E1491">
        <v>45.1</v>
      </c>
      <c r="F1491" s="58">
        <v>45713</v>
      </c>
      <c r="G1491" s="58">
        <v>45718</v>
      </c>
      <c r="H1491" t="s">
        <v>229</v>
      </c>
      <c r="I1491" t="s">
        <v>60</v>
      </c>
      <c r="J1491">
        <v>5</v>
      </c>
      <c r="K1491" t="s">
        <v>103</v>
      </c>
      <c r="L1491" t="s">
        <v>129</v>
      </c>
      <c r="M1491">
        <f>orders[[#This Row],[Ship Date]]-orders[[#This Row],[Order Date]]</f>
        <v>5</v>
      </c>
      <c r="N1491">
        <f>WEEKNUM(orders[[#This Row],[Order Date]],1)</f>
        <v>9</v>
      </c>
      <c r="O1491" t="str">
        <f t="array" ref="O1491">_xlfn.IFS(orders[[#This Row],[Customer Gender]]="M","Male", orders[[#This Row],[Customer Gender]]="F","Female", orders[[#This Row],[Customer Gender]]="O","Other", TRUE(),"Unknown")</f>
        <v>Male</v>
      </c>
    </row>
    <row r="1492" spans="1:15" x14ac:dyDescent="0.25">
      <c r="A1492" t="s">
        <v>1720</v>
      </c>
      <c r="B1492" t="s">
        <v>85</v>
      </c>
      <c r="C1492">
        <v>10</v>
      </c>
      <c r="D1492">
        <v>34.4</v>
      </c>
      <c r="E1492">
        <v>344</v>
      </c>
      <c r="F1492" s="58">
        <v>45713</v>
      </c>
      <c r="G1492" s="58">
        <v>45716</v>
      </c>
      <c r="H1492" t="s">
        <v>229</v>
      </c>
      <c r="I1492" t="s">
        <v>62</v>
      </c>
      <c r="J1492">
        <v>4</v>
      </c>
      <c r="K1492" t="s">
        <v>103</v>
      </c>
      <c r="L1492" t="s">
        <v>133</v>
      </c>
      <c r="M1492">
        <f>orders[[#This Row],[Ship Date]]-orders[[#This Row],[Order Date]]</f>
        <v>3</v>
      </c>
      <c r="N1492">
        <f>WEEKNUM(orders[[#This Row],[Order Date]],1)</f>
        <v>9</v>
      </c>
      <c r="O1492" t="str">
        <f t="array" ref="O1492">_xlfn.IFS(orders[[#This Row],[Customer Gender]]="M","Male", orders[[#This Row],[Customer Gender]]="F","Female", orders[[#This Row],[Customer Gender]]="O","Other", TRUE(),"Unknown")</f>
        <v>Male</v>
      </c>
    </row>
    <row r="1493" spans="1:15" x14ac:dyDescent="0.25">
      <c r="A1493" t="s">
        <v>1721</v>
      </c>
      <c r="B1493" t="s">
        <v>78</v>
      </c>
      <c r="C1493">
        <v>2</v>
      </c>
      <c r="D1493">
        <v>38</v>
      </c>
      <c r="E1493">
        <v>76</v>
      </c>
      <c r="F1493" s="58">
        <v>45713</v>
      </c>
      <c r="G1493" s="58">
        <v>45715</v>
      </c>
      <c r="H1493" t="s">
        <v>231</v>
      </c>
      <c r="I1493" t="s">
        <v>63</v>
      </c>
      <c r="J1493">
        <v>4</v>
      </c>
      <c r="K1493" t="s">
        <v>103</v>
      </c>
      <c r="L1493" t="s">
        <v>136</v>
      </c>
      <c r="M1493">
        <f>orders[[#This Row],[Ship Date]]-orders[[#This Row],[Order Date]]</f>
        <v>2</v>
      </c>
      <c r="N1493">
        <f>WEEKNUM(orders[[#This Row],[Order Date]],1)</f>
        <v>9</v>
      </c>
      <c r="O1493" t="str">
        <f t="array" ref="O1493">_xlfn.IFS(orders[[#This Row],[Customer Gender]]="M","Male", orders[[#This Row],[Customer Gender]]="F","Female", orders[[#This Row],[Customer Gender]]="O","Other", TRUE(),"Unknown")</f>
        <v>Female</v>
      </c>
    </row>
    <row r="1494" spans="1:15" x14ac:dyDescent="0.25">
      <c r="A1494" t="s">
        <v>1722</v>
      </c>
      <c r="B1494" t="s">
        <v>93</v>
      </c>
      <c r="C1494">
        <v>14</v>
      </c>
      <c r="D1494">
        <v>32.4</v>
      </c>
      <c r="E1494">
        <v>453.6</v>
      </c>
      <c r="F1494" s="58">
        <v>45713</v>
      </c>
      <c r="G1494" s="58">
        <v>45716</v>
      </c>
      <c r="H1494" t="s">
        <v>229</v>
      </c>
      <c r="I1494" t="s">
        <v>61</v>
      </c>
      <c r="J1494">
        <v>4</v>
      </c>
      <c r="K1494" t="s">
        <v>103</v>
      </c>
      <c r="L1494" t="s">
        <v>139</v>
      </c>
      <c r="M1494">
        <f>orders[[#This Row],[Ship Date]]-orders[[#This Row],[Order Date]]</f>
        <v>3</v>
      </c>
      <c r="N1494">
        <f>WEEKNUM(orders[[#This Row],[Order Date]],1)</f>
        <v>9</v>
      </c>
      <c r="O1494" t="str">
        <f t="array" ref="O1494">_xlfn.IFS(orders[[#This Row],[Customer Gender]]="M","Male", orders[[#This Row],[Customer Gender]]="F","Female", orders[[#This Row],[Customer Gender]]="O","Other", TRUE(),"Unknown")</f>
        <v>Male</v>
      </c>
    </row>
    <row r="1495" spans="1:15" x14ac:dyDescent="0.25">
      <c r="A1495" t="s">
        <v>1723</v>
      </c>
      <c r="B1495" t="s">
        <v>80</v>
      </c>
      <c r="C1495">
        <v>3</v>
      </c>
      <c r="D1495">
        <v>40.9</v>
      </c>
      <c r="E1495">
        <v>122.7</v>
      </c>
      <c r="F1495" s="58">
        <v>45713</v>
      </c>
      <c r="G1495" s="58">
        <v>45713</v>
      </c>
      <c r="I1495" t="s">
        <v>63</v>
      </c>
      <c r="J1495">
        <v>4</v>
      </c>
      <c r="K1495" t="s">
        <v>103</v>
      </c>
      <c r="L1495" t="s">
        <v>142</v>
      </c>
      <c r="M1495">
        <f>orders[[#This Row],[Ship Date]]-orders[[#This Row],[Order Date]]</f>
        <v>0</v>
      </c>
      <c r="N1495">
        <f>WEEKNUM(orders[[#This Row],[Order Date]],1)</f>
        <v>9</v>
      </c>
      <c r="O1495" t="str">
        <f t="array" ref="O1495">_xlfn.IFS(orders[[#This Row],[Customer Gender]]="M","Male", orders[[#This Row],[Customer Gender]]="F","Female", orders[[#This Row],[Customer Gender]]="O","Other", TRUE(),"Unknown")</f>
        <v>Unknown</v>
      </c>
    </row>
    <row r="1496" spans="1:15" x14ac:dyDescent="0.25">
      <c r="A1496" t="s">
        <v>1724</v>
      </c>
      <c r="B1496" t="s">
        <v>79</v>
      </c>
      <c r="C1496">
        <v>7</v>
      </c>
      <c r="D1496">
        <v>76.2</v>
      </c>
      <c r="E1496">
        <v>533.4</v>
      </c>
      <c r="F1496" s="58">
        <v>45713</v>
      </c>
      <c r="G1496" s="58">
        <v>45715</v>
      </c>
      <c r="H1496" t="s">
        <v>231</v>
      </c>
      <c r="I1496" t="s">
        <v>62</v>
      </c>
      <c r="J1496">
        <v>3</v>
      </c>
      <c r="K1496" t="s">
        <v>103</v>
      </c>
      <c r="L1496" t="s">
        <v>142</v>
      </c>
      <c r="M1496">
        <f>orders[[#This Row],[Ship Date]]-orders[[#This Row],[Order Date]]</f>
        <v>2</v>
      </c>
      <c r="N1496">
        <f>WEEKNUM(orders[[#This Row],[Order Date]],1)</f>
        <v>9</v>
      </c>
      <c r="O1496" t="str">
        <f t="array" ref="O1496">_xlfn.IFS(orders[[#This Row],[Customer Gender]]="M","Male", orders[[#This Row],[Customer Gender]]="F","Female", orders[[#This Row],[Customer Gender]]="O","Other", TRUE(),"Unknown")</f>
        <v>Female</v>
      </c>
    </row>
    <row r="1497" spans="1:15" x14ac:dyDescent="0.25">
      <c r="A1497" t="s">
        <v>1725</v>
      </c>
      <c r="B1497" t="s">
        <v>87</v>
      </c>
      <c r="C1497">
        <v>1</v>
      </c>
      <c r="D1497">
        <v>85.6</v>
      </c>
      <c r="E1497">
        <v>85.6</v>
      </c>
      <c r="F1497" s="58">
        <v>45713</v>
      </c>
      <c r="G1497" s="58">
        <v>45715</v>
      </c>
      <c r="H1497" t="s">
        <v>229</v>
      </c>
      <c r="I1497" t="s">
        <v>62</v>
      </c>
      <c r="J1497">
        <v>4</v>
      </c>
      <c r="K1497" t="s">
        <v>103</v>
      </c>
      <c r="L1497" t="s">
        <v>142</v>
      </c>
      <c r="M1497">
        <f>orders[[#This Row],[Ship Date]]-orders[[#This Row],[Order Date]]</f>
        <v>2</v>
      </c>
      <c r="N1497">
        <f>WEEKNUM(orders[[#This Row],[Order Date]],1)</f>
        <v>9</v>
      </c>
      <c r="O1497" t="str">
        <f t="array" ref="O1497">_xlfn.IFS(orders[[#This Row],[Customer Gender]]="M","Male", orders[[#This Row],[Customer Gender]]="F","Female", orders[[#This Row],[Customer Gender]]="O","Other", TRUE(),"Unknown")</f>
        <v>Male</v>
      </c>
    </row>
    <row r="1498" spans="1:15" x14ac:dyDescent="0.25">
      <c r="A1498" t="s">
        <v>1726</v>
      </c>
      <c r="B1498" t="s">
        <v>78</v>
      </c>
      <c r="C1498">
        <v>4</v>
      </c>
      <c r="D1498">
        <v>25</v>
      </c>
      <c r="E1498">
        <v>100</v>
      </c>
      <c r="F1498" s="58">
        <v>45713</v>
      </c>
      <c r="G1498" s="58">
        <v>45715</v>
      </c>
      <c r="H1498" t="s">
        <v>231</v>
      </c>
      <c r="I1498" t="s">
        <v>62</v>
      </c>
      <c r="J1498">
        <v>5</v>
      </c>
      <c r="K1498" t="s">
        <v>103</v>
      </c>
      <c r="L1498" t="s">
        <v>142</v>
      </c>
      <c r="M1498">
        <f>orders[[#This Row],[Ship Date]]-orders[[#This Row],[Order Date]]</f>
        <v>2</v>
      </c>
      <c r="N1498">
        <f>WEEKNUM(orders[[#This Row],[Order Date]],1)</f>
        <v>9</v>
      </c>
      <c r="O1498" t="str">
        <f t="array" ref="O1498">_xlfn.IFS(orders[[#This Row],[Customer Gender]]="M","Male", orders[[#This Row],[Customer Gender]]="F","Female", orders[[#This Row],[Customer Gender]]="O","Other", TRUE(),"Unknown")</f>
        <v>Female</v>
      </c>
    </row>
    <row r="1499" spans="1:15" x14ac:dyDescent="0.25">
      <c r="A1499" t="s">
        <v>1727</v>
      </c>
      <c r="B1499" t="s">
        <v>87</v>
      </c>
      <c r="C1499">
        <v>5</v>
      </c>
      <c r="D1499">
        <v>150.69999999999999</v>
      </c>
      <c r="E1499">
        <v>753.5</v>
      </c>
      <c r="F1499" s="58">
        <v>45713</v>
      </c>
      <c r="G1499" s="58">
        <v>45714</v>
      </c>
      <c r="I1499" t="s">
        <v>59</v>
      </c>
      <c r="J1499">
        <v>5</v>
      </c>
      <c r="K1499" t="s">
        <v>103</v>
      </c>
      <c r="L1499" t="s">
        <v>142</v>
      </c>
      <c r="M1499">
        <f>orders[[#This Row],[Ship Date]]-orders[[#This Row],[Order Date]]</f>
        <v>1</v>
      </c>
      <c r="N1499">
        <f>WEEKNUM(orders[[#This Row],[Order Date]],1)</f>
        <v>9</v>
      </c>
      <c r="O1499" t="str">
        <f t="array" ref="O1499">_xlfn.IFS(orders[[#This Row],[Customer Gender]]="M","Male", orders[[#This Row],[Customer Gender]]="F","Female", orders[[#This Row],[Customer Gender]]="O","Other", TRUE(),"Unknown")</f>
        <v>Unknown</v>
      </c>
    </row>
    <row r="1500" spans="1:15" x14ac:dyDescent="0.25">
      <c r="A1500" t="s">
        <v>1728</v>
      </c>
      <c r="B1500" t="s">
        <v>90</v>
      </c>
      <c r="C1500">
        <v>1</v>
      </c>
      <c r="D1500">
        <v>19.600000000000001</v>
      </c>
      <c r="E1500">
        <v>19.600000000000001</v>
      </c>
      <c r="F1500" s="58">
        <v>45713</v>
      </c>
      <c r="G1500" s="58">
        <v>45714</v>
      </c>
      <c r="H1500" t="s">
        <v>229</v>
      </c>
      <c r="I1500" t="s">
        <v>63</v>
      </c>
      <c r="J1500">
        <v>2</v>
      </c>
      <c r="K1500" t="s">
        <v>103</v>
      </c>
      <c r="L1500" t="s">
        <v>142</v>
      </c>
      <c r="M1500">
        <f>orders[[#This Row],[Ship Date]]-orders[[#This Row],[Order Date]]</f>
        <v>1</v>
      </c>
      <c r="N1500">
        <f>WEEKNUM(orders[[#This Row],[Order Date]],1)</f>
        <v>9</v>
      </c>
      <c r="O1500" t="str">
        <f t="array" ref="O1500">_xlfn.IFS(orders[[#This Row],[Customer Gender]]="M","Male", orders[[#This Row],[Customer Gender]]="F","Female", orders[[#This Row],[Customer Gender]]="O","Other", TRUE(),"Unknown")</f>
        <v>Male</v>
      </c>
    </row>
    <row r="1501" spans="1:15" x14ac:dyDescent="0.25">
      <c r="A1501" t="s">
        <v>1729</v>
      </c>
      <c r="B1501" t="s">
        <v>92</v>
      </c>
      <c r="C1501">
        <v>2</v>
      </c>
      <c r="D1501">
        <v>37.5</v>
      </c>
      <c r="E1501">
        <v>75</v>
      </c>
      <c r="F1501" s="58">
        <v>45713</v>
      </c>
      <c r="G1501" s="58">
        <v>45716</v>
      </c>
      <c r="H1501" t="s">
        <v>231</v>
      </c>
      <c r="I1501" t="s">
        <v>63</v>
      </c>
      <c r="J1501">
        <v>5</v>
      </c>
      <c r="K1501" t="s">
        <v>103</v>
      </c>
      <c r="L1501" t="s">
        <v>143</v>
      </c>
      <c r="M1501">
        <f>orders[[#This Row],[Ship Date]]-orders[[#This Row],[Order Date]]</f>
        <v>3</v>
      </c>
      <c r="N1501">
        <f>WEEKNUM(orders[[#This Row],[Order Date]],1)</f>
        <v>9</v>
      </c>
      <c r="O1501" t="str">
        <f t="array" ref="O1501">_xlfn.IFS(orders[[#This Row],[Customer Gender]]="M","Male", orders[[#This Row],[Customer Gender]]="F","Female", orders[[#This Row],[Customer Gender]]="O","Other", TRUE(),"Unknown")</f>
        <v>Female</v>
      </c>
    </row>
    <row r="1502" spans="1:15" x14ac:dyDescent="0.25">
      <c r="A1502" t="s">
        <v>1730</v>
      </c>
      <c r="B1502" t="s">
        <v>88</v>
      </c>
      <c r="C1502">
        <v>3</v>
      </c>
      <c r="D1502">
        <v>51.9</v>
      </c>
      <c r="E1502">
        <v>155.69999999999999</v>
      </c>
      <c r="F1502" s="58">
        <v>45713</v>
      </c>
      <c r="G1502" s="58">
        <v>45719</v>
      </c>
      <c r="H1502" t="s">
        <v>231</v>
      </c>
      <c r="I1502" t="s">
        <v>59</v>
      </c>
      <c r="J1502">
        <v>2</v>
      </c>
      <c r="K1502" t="s">
        <v>103</v>
      </c>
      <c r="L1502" t="s">
        <v>148</v>
      </c>
      <c r="M1502">
        <f>orders[[#This Row],[Ship Date]]-orders[[#This Row],[Order Date]]</f>
        <v>6</v>
      </c>
      <c r="N1502">
        <f>WEEKNUM(orders[[#This Row],[Order Date]],1)</f>
        <v>9</v>
      </c>
      <c r="O1502" t="str">
        <f t="array" ref="O1502">_xlfn.IFS(orders[[#This Row],[Customer Gender]]="M","Male", orders[[#This Row],[Customer Gender]]="F","Female", orders[[#This Row],[Customer Gender]]="O","Other", TRUE(),"Unknown")</f>
        <v>Female</v>
      </c>
    </row>
    <row r="1503" spans="1:15" x14ac:dyDescent="0.25">
      <c r="A1503" t="s">
        <v>1731</v>
      </c>
      <c r="B1503" t="s">
        <v>91</v>
      </c>
      <c r="C1503">
        <v>2</v>
      </c>
      <c r="D1503">
        <v>30.9</v>
      </c>
      <c r="E1503">
        <v>61.8</v>
      </c>
      <c r="F1503" s="58">
        <v>45713</v>
      </c>
      <c r="G1503" s="58">
        <v>45715</v>
      </c>
      <c r="H1503" t="s">
        <v>231</v>
      </c>
      <c r="I1503" t="s">
        <v>63</v>
      </c>
      <c r="J1503">
        <v>4</v>
      </c>
      <c r="K1503" t="s">
        <v>103</v>
      </c>
      <c r="L1503" t="s">
        <v>154</v>
      </c>
      <c r="M1503">
        <f>orders[[#This Row],[Ship Date]]-orders[[#This Row],[Order Date]]</f>
        <v>2</v>
      </c>
      <c r="N1503">
        <f>WEEKNUM(orders[[#This Row],[Order Date]],1)</f>
        <v>9</v>
      </c>
      <c r="O1503" t="str">
        <f t="array" ref="O1503">_xlfn.IFS(orders[[#This Row],[Customer Gender]]="M","Male", orders[[#This Row],[Customer Gender]]="F","Female", orders[[#This Row],[Customer Gender]]="O","Other", TRUE(),"Unknown")</f>
        <v>Female</v>
      </c>
    </row>
    <row r="1504" spans="1:15" x14ac:dyDescent="0.25">
      <c r="A1504" t="s">
        <v>1732</v>
      </c>
      <c r="B1504" t="s">
        <v>78</v>
      </c>
      <c r="C1504">
        <v>3</v>
      </c>
      <c r="D1504">
        <v>21.2</v>
      </c>
      <c r="E1504">
        <v>63.6</v>
      </c>
      <c r="F1504" s="58">
        <v>45713</v>
      </c>
      <c r="G1504" s="58">
        <v>45716</v>
      </c>
      <c r="H1504" t="s">
        <v>231</v>
      </c>
      <c r="I1504" t="s">
        <v>63</v>
      </c>
      <c r="J1504">
        <v>4</v>
      </c>
      <c r="K1504" t="s">
        <v>103</v>
      </c>
      <c r="L1504" t="s">
        <v>155</v>
      </c>
      <c r="M1504">
        <f>orders[[#This Row],[Ship Date]]-orders[[#This Row],[Order Date]]</f>
        <v>3</v>
      </c>
      <c r="N1504">
        <f>WEEKNUM(orders[[#This Row],[Order Date]],1)</f>
        <v>9</v>
      </c>
      <c r="O1504" t="str">
        <f t="array" ref="O1504">_xlfn.IFS(orders[[#This Row],[Customer Gender]]="M","Male", orders[[#This Row],[Customer Gender]]="F","Female", orders[[#This Row],[Customer Gender]]="O","Other", TRUE(),"Unknown")</f>
        <v>Female</v>
      </c>
    </row>
    <row r="1505" spans="1:15" x14ac:dyDescent="0.25">
      <c r="A1505" t="s">
        <v>1733</v>
      </c>
      <c r="B1505" t="s">
        <v>92</v>
      </c>
      <c r="C1505">
        <v>17</v>
      </c>
      <c r="D1505">
        <v>17.5</v>
      </c>
      <c r="E1505">
        <v>297.5</v>
      </c>
      <c r="F1505" s="58">
        <v>45713</v>
      </c>
      <c r="G1505" s="58">
        <v>45714</v>
      </c>
      <c r="H1505" t="s">
        <v>229</v>
      </c>
      <c r="I1505" t="s">
        <v>63</v>
      </c>
      <c r="J1505">
        <v>3</v>
      </c>
      <c r="K1505" t="s">
        <v>103</v>
      </c>
      <c r="L1505" t="s">
        <v>161</v>
      </c>
      <c r="M1505">
        <f>orders[[#This Row],[Ship Date]]-orders[[#This Row],[Order Date]]</f>
        <v>1</v>
      </c>
      <c r="N1505">
        <f>WEEKNUM(orders[[#This Row],[Order Date]],1)</f>
        <v>9</v>
      </c>
      <c r="O1505" t="str">
        <f t="array" ref="O1505">_xlfn.IFS(orders[[#This Row],[Customer Gender]]="M","Male", orders[[#This Row],[Customer Gender]]="F","Female", orders[[#This Row],[Customer Gender]]="O","Other", TRUE(),"Unknown")</f>
        <v>Male</v>
      </c>
    </row>
    <row r="1506" spans="1:15" x14ac:dyDescent="0.25">
      <c r="A1506" t="s">
        <v>1734</v>
      </c>
      <c r="B1506" t="s">
        <v>76</v>
      </c>
      <c r="C1506">
        <v>2</v>
      </c>
      <c r="D1506">
        <v>53.8</v>
      </c>
      <c r="E1506">
        <v>107.6</v>
      </c>
      <c r="F1506" s="58">
        <v>45713</v>
      </c>
      <c r="G1506" s="58">
        <v>45718</v>
      </c>
      <c r="H1506" t="s">
        <v>231</v>
      </c>
      <c r="I1506" t="s">
        <v>59</v>
      </c>
      <c r="J1506">
        <v>5</v>
      </c>
      <c r="K1506" t="s">
        <v>103</v>
      </c>
      <c r="L1506" t="s">
        <v>106</v>
      </c>
      <c r="M1506">
        <f>orders[[#This Row],[Ship Date]]-orders[[#This Row],[Order Date]]</f>
        <v>5</v>
      </c>
      <c r="N1506">
        <f>WEEKNUM(orders[[#This Row],[Order Date]],1)</f>
        <v>9</v>
      </c>
      <c r="O1506" t="str">
        <f t="array" ref="O1506">_xlfn.IFS(orders[[#This Row],[Customer Gender]]="M","Male", orders[[#This Row],[Customer Gender]]="F","Female", orders[[#This Row],[Customer Gender]]="O","Other", TRUE(),"Unknown")</f>
        <v>Female</v>
      </c>
    </row>
    <row r="1507" spans="1:15" x14ac:dyDescent="0.25">
      <c r="A1507" t="s">
        <v>1735</v>
      </c>
      <c r="B1507" t="s">
        <v>81</v>
      </c>
      <c r="C1507">
        <v>2</v>
      </c>
      <c r="D1507">
        <v>17</v>
      </c>
      <c r="E1507">
        <v>34</v>
      </c>
      <c r="F1507" s="58">
        <v>45713</v>
      </c>
      <c r="G1507" s="58">
        <v>45714</v>
      </c>
      <c r="H1507" t="s">
        <v>229</v>
      </c>
      <c r="I1507" t="s">
        <v>60</v>
      </c>
      <c r="J1507">
        <v>4</v>
      </c>
      <c r="K1507" t="s">
        <v>103</v>
      </c>
      <c r="L1507" t="s">
        <v>106</v>
      </c>
      <c r="M1507">
        <f>orders[[#This Row],[Ship Date]]-orders[[#This Row],[Order Date]]</f>
        <v>1</v>
      </c>
      <c r="N1507">
        <f>WEEKNUM(orders[[#This Row],[Order Date]],1)</f>
        <v>9</v>
      </c>
      <c r="O1507" t="str">
        <f t="array" ref="O1507">_xlfn.IFS(orders[[#This Row],[Customer Gender]]="M","Male", orders[[#This Row],[Customer Gender]]="F","Female", orders[[#This Row],[Customer Gender]]="O","Other", TRUE(),"Unknown")</f>
        <v>Male</v>
      </c>
    </row>
    <row r="1508" spans="1:15" x14ac:dyDescent="0.25">
      <c r="A1508" t="s">
        <v>1736</v>
      </c>
      <c r="B1508" t="s">
        <v>80</v>
      </c>
      <c r="C1508">
        <v>1</v>
      </c>
      <c r="D1508">
        <v>103.2</v>
      </c>
      <c r="E1508">
        <v>103.2</v>
      </c>
      <c r="F1508" s="58">
        <v>45713</v>
      </c>
      <c r="G1508" s="58">
        <v>45721</v>
      </c>
      <c r="H1508" t="s">
        <v>229</v>
      </c>
      <c r="I1508" t="s">
        <v>62</v>
      </c>
      <c r="J1508">
        <v>3</v>
      </c>
      <c r="K1508" t="s">
        <v>103</v>
      </c>
      <c r="L1508" t="s">
        <v>112</v>
      </c>
      <c r="M1508">
        <f>orders[[#This Row],[Ship Date]]-orders[[#This Row],[Order Date]]</f>
        <v>8</v>
      </c>
      <c r="N1508">
        <f>WEEKNUM(orders[[#This Row],[Order Date]],1)</f>
        <v>9</v>
      </c>
      <c r="O1508" t="str">
        <f t="array" ref="O1508">_xlfn.IFS(orders[[#This Row],[Customer Gender]]="M","Male", orders[[#This Row],[Customer Gender]]="F","Female", orders[[#This Row],[Customer Gender]]="O","Other", TRUE(),"Unknown")</f>
        <v>Male</v>
      </c>
    </row>
    <row r="1509" spans="1:15" x14ac:dyDescent="0.25">
      <c r="A1509" t="s">
        <v>1737</v>
      </c>
      <c r="B1509" t="s">
        <v>80</v>
      </c>
      <c r="C1509">
        <v>4</v>
      </c>
      <c r="D1509">
        <v>70.3</v>
      </c>
      <c r="E1509">
        <v>281.2</v>
      </c>
      <c r="F1509" s="58">
        <v>45713</v>
      </c>
      <c r="G1509" s="58">
        <v>45714</v>
      </c>
      <c r="H1509" t="s">
        <v>229</v>
      </c>
      <c r="I1509" t="s">
        <v>59</v>
      </c>
      <c r="J1509">
        <v>4</v>
      </c>
      <c r="K1509" t="s">
        <v>103</v>
      </c>
      <c r="L1509" t="s">
        <v>124</v>
      </c>
      <c r="M1509">
        <f>orders[[#This Row],[Ship Date]]-orders[[#This Row],[Order Date]]</f>
        <v>1</v>
      </c>
      <c r="N1509">
        <f>WEEKNUM(orders[[#This Row],[Order Date]],1)</f>
        <v>9</v>
      </c>
      <c r="O1509" t="str">
        <f t="array" ref="O1509">_xlfn.IFS(orders[[#This Row],[Customer Gender]]="M","Male", orders[[#This Row],[Customer Gender]]="F","Female", orders[[#This Row],[Customer Gender]]="O","Other", TRUE(),"Unknown")</f>
        <v>Male</v>
      </c>
    </row>
    <row r="1510" spans="1:15" x14ac:dyDescent="0.25">
      <c r="A1510" t="s">
        <v>1738</v>
      </c>
      <c r="B1510" t="s">
        <v>87</v>
      </c>
      <c r="C1510">
        <v>2</v>
      </c>
      <c r="D1510">
        <v>73.8</v>
      </c>
      <c r="E1510">
        <v>147.6</v>
      </c>
      <c r="F1510" s="58">
        <v>45713</v>
      </c>
      <c r="G1510" s="58">
        <v>45713</v>
      </c>
      <c r="H1510" t="s">
        <v>229</v>
      </c>
      <c r="I1510" t="s">
        <v>60</v>
      </c>
      <c r="J1510">
        <v>5</v>
      </c>
      <c r="K1510" t="s">
        <v>103</v>
      </c>
      <c r="L1510" t="s">
        <v>124</v>
      </c>
      <c r="M1510">
        <f>orders[[#This Row],[Ship Date]]-orders[[#This Row],[Order Date]]</f>
        <v>0</v>
      </c>
      <c r="N1510">
        <f>WEEKNUM(orders[[#This Row],[Order Date]],1)</f>
        <v>9</v>
      </c>
      <c r="O1510" t="str">
        <f t="array" ref="O1510">_xlfn.IFS(orders[[#This Row],[Customer Gender]]="M","Male", orders[[#This Row],[Customer Gender]]="F","Female", orders[[#This Row],[Customer Gender]]="O","Other", TRUE(),"Unknown")</f>
        <v>Male</v>
      </c>
    </row>
    <row r="1511" spans="1:15" x14ac:dyDescent="0.25">
      <c r="A1511" t="s">
        <v>1739</v>
      </c>
      <c r="B1511" t="s">
        <v>91</v>
      </c>
      <c r="C1511">
        <v>12</v>
      </c>
      <c r="D1511">
        <v>67.7</v>
      </c>
      <c r="E1511">
        <v>812.4</v>
      </c>
      <c r="F1511" s="58">
        <v>45713</v>
      </c>
      <c r="G1511" s="58">
        <v>45717</v>
      </c>
      <c r="H1511" t="s">
        <v>229</v>
      </c>
      <c r="I1511" t="s">
        <v>63</v>
      </c>
      <c r="J1511">
        <v>3</v>
      </c>
      <c r="K1511" t="s">
        <v>103</v>
      </c>
      <c r="L1511" t="s">
        <v>124</v>
      </c>
      <c r="M1511">
        <f>orders[[#This Row],[Ship Date]]-orders[[#This Row],[Order Date]]</f>
        <v>4</v>
      </c>
      <c r="N1511">
        <f>WEEKNUM(orders[[#This Row],[Order Date]],1)</f>
        <v>9</v>
      </c>
      <c r="O1511" t="str">
        <f t="array" ref="O1511">_xlfn.IFS(orders[[#This Row],[Customer Gender]]="M","Male", orders[[#This Row],[Customer Gender]]="F","Female", orders[[#This Row],[Customer Gender]]="O","Other", TRUE(),"Unknown")</f>
        <v>Male</v>
      </c>
    </row>
    <row r="1512" spans="1:15" x14ac:dyDescent="0.25">
      <c r="A1512" t="s">
        <v>1740</v>
      </c>
      <c r="B1512" t="s">
        <v>92</v>
      </c>
      <c r="C1512">
        <v>7</v>
      </c>
      <c r="D1512">
        <v>43.8</v>
      </c>
      <c r="E1512">
        <v>306.60000000000002</v>
      </c>
      <c r="F1512" s="58">
        <v>45713</v>
      </c>
      <c r="G1512" s="58">
        <v>45715</v>
      </c>
      <c r="H1512" t="s">
        <v>229</v>
      </c>
      <c r="I1512" t="s">
        <v>63</v>
      </c>
      <c r="J1512">
        <v>4</v>
      </c>
      <c r="K1512" t="s">
        <v>103</v>
      </c>
      <c r="L1512" t="s">
        <v>124</v>
      </c>
      <c r="M1512">
        <f>orders[[#This Row],[Ship Date]]-orders[[#This Row],[Order Date]]</f>
        <v>2</v>
      </c>
      <c r="N1512">
        <f>WEEKNUM(orders[[#This Row],[Order Date]],1)</f>
        <v>9</v>
      </c>
      <c r="O1512" t="str">
        <f t="array" ref="O1512">_xlfn.IFS(orders[[#This Row],[Customer Gender]]="M","Male", orders[[#This Row],[Customer Gender]]="F","Female", orders[[#This Row],[Customer Gender]]="O","Other", TRUE(),"Unknown")</f>
        <v>Male</v>
      </c>
    </row>
    <row r="1513" spans="1:15" x14ac:dyDescent="0.25">
      <c r="A1513" t="s">
        <v>1741</v>
      </c>
      <c r="B1513" t="s">
        <v>84</v>
      </c>
      <c r="C1513">
        <v>6</v>
      </c>
      <c r="D1513">
        <v>71.900000000000006</v>
      </c>
      <c r="E1513">
        <v>431.4</v>
      </c>
      <c r="F1513" s="58">
        <v>45713</v>
      </c>
      <c r="G1513" s="58">
        <v>45714</v>
      </c>
      <c r="H1513" t="s">
        <v>231</v>
      </c>
      <c r="I1513" t="s">
        <v>62</v>
      </c>
      <c r="J1513">
        <v>4</v>
      </c>
      <c r="K1513" t="s">
        <v>103</v>
      </c>
      <c r="L1513" t="s">
        <v>124</v>
      </c>
      <c r="M1513">
        <f>orders[[#This Row],[Ship Date]]-orders[[#This Row],[Order Date]]</f>
        <v>1</v>
      </c>
      <c r="N1513">
        <f>WEEKNUM(orders[[#This Row],[Order Date]],1)</f>
        <v>9</v>
      </c>
      <c r="O1513" t="str">
        <f t="array" ref="O1513">_xlfn.IFS(orders[[#This Row],[Customer Gender]]="M","Male", orders[[#This Row],[Customer Gender]]="F","Female", orders[[#This Row],[Customer Gender]]="O","Other", TRUE(),"Unknown")</f>
        <v>Female</v>
      </c>
    </row>
    <row r="1514" spans="1:15" x14ac:dyDescent="0.25">
      <c r="A1514" t="s">
        <v>1742</v>
      </c>
      <c r="B1514" t="s">
        <v>90</v>
      </c>
      <c r="C1514">
        <v>2</v>
      </c>
      <c r="D1514">
        <v>26.3</v>
      </c>
      <c r="E1514">
        <v>52.6</v>
      </c>
      <c r="F1514" s="58">
        <v>45714</v>
      </c>
      <c r="G1514" s="58">
        <v>45716</v>
      </c>
      <c r="H1514" t="s">
        <v>231</v>
      </c>
      <c r="I1514" t="s">
        <v>59</v>
      </c>
      <c r="J1514">
        <v>3</v>
      </c>
      <c r="K1514" t="s">
        <v>103</v>
      </c>
      <c r="L1514" t="s">
        <v>124</v>
      </c>
      <c r="M1514">
        <f>orders[[#This Row],[Ship Date]]-orders[[#This Row],[Order Date]]</f>
        <v>2</v>
      </c>
      <c r="N1514">
        <f>WEEKNUM(orders[[#This Row],[Order Date]],1)</f>
        <v>9</v>
      </c>
      <c r="O1514" t="str">
        <f t="array" ref="O1514">_xlfn.IFS(orders[[#This Row],[Customer Gender]]="M","Male", orders[[#This Row],[Customer Gender]]="F","Female", orders[[#This Row],[Customer Gender]]="O","Other", TRUE(),"Unknown")</f>
        <v>Female</v>
      </c>
    </row>
    <row r="1515" spans="1:15" x14ac:dyDescent="0.25">
      <c r="A1515" t="s">
        <v>1743</v>
      </c>
      <c r="B1515" t="s">
        <v>80</v>
      </c>
      <c r="C1515">
        <v>4</v>
      </c>
      <c r="D1515">
        <v>52.6</v>
      </c>
      <c r="E1515">
        <v>210.4</v>
      </c>
      <c r="F1515" s="58">
        <v>45714</v>
      </c>
      <c r="G1515" s="58">
        <v>45716</v>
      </c>
      <c r="H1515" t="s">
        <v>231</v>
      </c>
      <c r="I1515" t="s">
        <v>62</v>
      </c>
      <c r="J1515">
        <v>3</v>
      </c>
      <c r="K1515" t="s">
        <v>103</v>
      </c>
      <c r="L1515" t="s">
        <v>124</v>
      </c>
      <c r="M1515">
        <f>orders[[#This Row],[Ship Date]]-orders[[#This Row],[Order Date]]</f>
        <v>2</v>
      </c>
      <c r="N1515">
        <f>WEEKNUM(orders[[#This Row],[Order Date]],1)</f>
        <v>9</v>
      </c>
      <c r="O1515" t="str">
        <f t="array" ref="O1515">_xlfn.IFS(orders[[#This Row],[Customer Gender]]="M","Male", orders[[#This Row],[Customer Gender]]="F","Female", orders[[#This Row],[Customer Gender]]="O","Other", TRUE(),"Unknown")</f>
        <v>Female</v>
      </c>
    </row>
    <row r="1516" spans="1:15" x14ac:dyDescent="0.25">
      <c r="A1516" t="s">
        <v>1744</v>
      </c>
      <c r="B1516" t="s">
        <v>75</v>
      </c>
      <c r="C1516">
        <v>1</v>
      </c>
      <c r="D1516">
        <v>32.700000000000003</v>
      </c>
      <c r="E1516">
        <v>32.700000000000003</v>
      </c>
      <c r="F1516" s="58">
        <v>45714</v>
      </c>
      <c r="G1516" s="58">
        <v>45721</v>
      </c>
      <c r="H1516" t="s">
        <v>231</v>
      </c>
      <c r="I1516" t="s">
        <v>59</v>
      </c>
      <c r="J1516">
        <v>5</v>
      </c>
      <c r="K1516" t="s">
        <v>103</v>
      </c>
      <c r="L1516" t="s">
        <v>124</v>
      </c>
      <c r="M1516">
        <f>orders[[#This Row],[Ship Date]]-orders[[#This Row],[Order Date]]</f>
        <v>7</v>
      </c>
      <c r="N1516">
        <f>WEEKNUM(orders[[#This Row],[Order Date]],1)</f>
        <v>9</v>
      </c>
      <c r="O1516" t="str">
        <f t="array" ref="O1516">_xlfn.IFS(orders[[#This Row],[Customer Gender]]="M","Male", orders[[#This Row],[Customer Gender]]="F","Female", orders[[#This Row],[Customer Gender]]="O","Other", TRUE(),"Unknown")</f>
        <v>Female</v>
      </c>
    </row>
    <row r="1517" spans="1:15" x14ac:dyDescent="0.25">
      <c r="A1517" t="s">
        <v>1745</v>
      </c>
      <c r="B1517" t="s">
        <v>85</v>
      </c>
      <c r="C1517">
        <v>4</v>
      </c>
      <c r="D1517">
        <v>38.9</v>
      </c>
      <c r="E1517">
        <v>155.6</v>
      </c>
      <c r="F1517" s="58">
        <v>45714</v>
      </c>
      <c r="G1517" s="58">
        <v>45715</v>
      </c>
      <c r="H1517" t="s">
        <v>231</v>
      </c>
      <c r="I1517" t="s">
        <v>59</v>
      </c>
      <c r="J1517">
        <v>4</v>
      </c>
      <c r="K1517" t="s">
        <v>103</v>
      </c>
      <c r="L1517" t="s">
        <v>124</v>
      </c>
      <c r="M1517">
        <f>orders[[#This Row],[Ship Date]]-orders[[#This Row],[Order Date]]</f>
        <v>1</v>
      </c>
      <c r="N1517">
        <f>WEEKNUM(orders[[#This Row],[Order Date]],1)</f>
        <v>9</v>
      </c>
      <c r="O1517" t="str">
        <f t="array" ref="O1517">_xlfn.IFS(orders[[#This Row],[Customer Gender]]="M","Male", orders[[#This Row],[Customer Gender]]="F","Female", orders[[#This Row],[Customer Gender]]="O","Other", TRUE(),"Unknown")</f>
        <v>Female</v>
      </c>
    </row>
    <row r="1518" spans="1:15" x14ac:dyDescent="0.25">
      <c r="A1518" t="s">
        <v>1746</v>
      </c>
      <c r="B1518" t="s">
        <v>88</v>
      </c>
      <c r="C1518">
        <v>5</v>
      </c>
      <c r="D1518">
        <v>35</v>
      </c>
      <c r="E1518">
        <v>175</v>
      </c>
      <c r="F1518" s="58">
        <v>45714</v>
      </c>
      <c r="G1518" s="58">
        <v>45716</v>
      </c>
      <c r="H1518" t="s">
        <v>229</v>
      </c>
      <c r="I1518" t="s">
        <v>59</v>
      </c>
      <c r="J1518">
        <v>4</v>
      </c>
      <c r="K1518" t="s">
        <v>103</v>
      </c>
      <c r="L1518" t="s">
        <v>124</v>
      </c>
      <c r="M1518">
        <f>orders[[#This Row],[Ship Date]]-orders[[#This Row],[Order Date]]</f>
        <v>2</v>
      </c>
      <c r="N1518">
        <f>WEEKNUM(orders[[#This Row],[Order Date]],1)</f>
        <v>9</v>
      </c>
      <c r="O1518" t="str">
        <f t="array" ref="O1518">_xlfn.IFS(orders[[#This Row],[Customer Gender]]="M","Male", orders[[#This Row],[Customer Gender]]="F","Female", orders[[#This Row],[Customer Gender]]="O","Other", TRUE(),"Unknown")</f>
        <v>Male</v>
      </c>
    </row>
    <row r="1519" spans="1:15" x14ac:dyDescent="0.25">
      <c r="A1519" t="s">
        <v>1747</v>
      </c>
      <c r="B1519" t="s">
        <v>87</v>
      </c>
      <c r="C1519">
        <v>2</v>
      </c>
      <c r="D1519">
        <v>121</v>
      </c>
      <c r="E1519">
        <v>242</v>
      </c>
      <c r="F1519" s="58">
        <v>45714</v>
      </c>
      <c r="G1519" s="58">
        <v>45715</v>
      </c>
      <c r="H1519" t="s">
        <v>231</v>
      </c>
      <c r="I1519" t="s">
        <v>63</v>
      </c>
      <c r="J1519">
        <v>3</v>
      </c>
      <c r="K1519" t="s">
        <v>103</v>
      </c>
      <c r="L1519" t="s">
        <v>124</v>
      </c>
      <c r="M1519">
        <f>orders[[#This Row],[Ship Date]]-orders[[#This Row],[Order Date]]</f>
        <v>1</v>
      </c>
      <c r="N1519">
        <f>WEEKNUM(orders[[#This Row],[Order Date]],1)</f>
        <v>9</v>
      </c>
      <c r="O1519" t="str">
        <f t="array" ref="O1519">_xlfn.IFS(orders[[#This Row],[Customer Gender]]="M","Male", orders[[#This Row],[Customer Gender]]="F","Female", orders[[#This Row],[Customer Gender]]="O","Other", TRUE(),"Unknown")</f>
        <v>Female</v>
      </c>
    </row>
    <row r="1520" spans="1:15" x14ac:dyDescent="0.25">
      <c r="A1520" t="s">
        <v>1748</v>
      </c>
      <c r="B1520" t="s">
        <v>80</v>
      </c>
      <c r="C1520">
        <v>3</v>
      </c>
      <c r="D1520">
        <v>65.099999999999994</v>
      </c>
      <c r="E1520">
        <v>195.3</v>
      </c>
      <c r="F1520" s="58">
        <v>45714</v>
      </c>
      <c r="G1520" s="58">
        <v>45718</v>
      </c>
      <c r="H1520" t="s">
        <v>229</v>
      </c>
      <c r="I1520" t="s">
        <v>62</v>
      </c>
      <c r="J1520">
        <v>4</v>
      </c>
      <c r="K1520" t="s">
        <v>103</v>
      </c>
      <c r="L1520" t="s">
        <v>140</v>
      </c>
      <c r="M1520">
        <f>orders[[#This Row],[Ship Date]]-orders[[#This Row],[Order Date]]</f>
        <v>4</v>
      </c>
      <c r="N1520">
        <f>WEEKNUM(orders[[#This Row],[Order Date]],1)</f>
        <v>9</v>
      </c>
      <c r="O1520" t="str">
        <f t="array" ref="O1520">_xlfn.IFS(orders[[#This Row],[Customer Gender]]="M","Male", orders[[#This Row],[Customer Gender]]="F","Female", orders[[#This Row],[Customer Gender]]="O","Other", TRUE(),"Unknown")</f>
        <v>Male</v>
      </c>
    </row>
    <row r="1521" spans="1:15" x14ac:dyDescent="0.25">
      <c r="A1521" t="s">
        <v>1749</v>
      </c>
      <c r="B1521" t="s">
        <v>91</v>
      </c>
      <c r="C1521">
        <v>21</v>
      </c>
      <c r="D1521">
        <v>63.8</v>
      </c>
      <c r="E1521">
        <v>1339.8</v>
      </c>
      <c r="F1521" s="58">
        <v>45714</v>
      </c>
      <c r="G1521" s="58">
        <v>45716</v>
      </c>
      <c r="H1521" t="s">
        <v>231</v>
      </c>
      <c r="I1521" t="s">
        <v>59</v>
      </c>
      <c r="J1521">
        <v>4</v>
      </c>
      <c r="K1521" t="s">
        <v>103</v>
      </c>
      <c r="L1521" t="s">
        <v>142</v>
      </c>
      <c r="M1521">
        <f>orders[[#This Row],[Ship Date]]-orders[[#This Row],[Order Date]]</f>
        <v>2</v>
      </c>
      <c r="N1521">
        <f>WEEKNUM(orders[[#This Row],[Order Date]],1)</f>
        <v>9</v>
      </c>
      <c r="O1521" t="str">
        <f t="array" ref="O1521">_xlfn.IFS(orders[[#This Row],[Customer Gender]]="M","Male", orders[[#This Row],[Customer Gender]]="F","Female", orders[[#This Row],[Customer Gender]]="O","Other", TRUE(),"Unknown")</f>
        <v>Female</v>
      </c>
    </row>
    <row r="1522" spans="1:15" x14ac:dyDescent="0.25">
      <c r="A1522" t="s">
        <v>1750</v>
      </c>
      <c r="B1522" t="s">
        <v>79</v>
      </c>
      <c r="C1522">
        <v>1</v>
      </c>
      <c r="D1522">
        <v>77.7</v>
      </c>
      <c r="E1522">
        <v>77.7</v>
      </c>
      <c r="F1522" s="58">
        <v>45714</v>
      </c>
      <c r="G1522" s="58">
        <v>45716</v>
      </c>
      <c r="H1522" t="s">
        <v>229</v>
      </c>
      <c r="I1522" t="s">
        <v>59</v>
      </c>
      <c r="J1522">
        <v>4</v>
      </c>
      <c r="K1522" t="s">
        <v>103</v>
      </c>
      <c r="L1522" t="s">
        <v>142</v>
      </c>
      <c r="M1522">
        <f>orders[[#This Row],[Ship Date]]-orders[[#This Row],[Order Date]]</f>
        <v>2</v>
      </c>
      <c r="N1522">
        <f>WEEKNUM(orders[[#This Row],[Order Date]],1)</f>
        <v>9</v>
      </c>
      <c r="O1522" t="str">
        <f t="array" ref="O1522">_xlfn.IFS(orders[[#This Row],[Customer Gender]]="M","Male", orders[[#This Row],[Customer Gender]]="F","Female", orders[[#This Row],[Customer Gender]]="O","Other", TRUE(),"Unknown")</f>
        <v>Male</v>
      </c>
    </row>
    <row r="1523" spans="1:15" x14ac:dyDescent="0.25">
      <c r="A1523" t="s">
        <v>1751</v>
      </c>
      <c r="B1523" t="s">
        <v>85</v>
      </c>
      <c r="C1523">
        <v>4</v>
      </c>
      <c r="D1523">
        <v>60.3</v>
      </c>
      <c r="E1523">
        <v>241.2</v>
      </c>
      <c r="F1523" s="58">
        <v>45714</v>
      </c>
      <c r="G1523" s="58">
        <v>45714</v>
      </c>
      <c r="H1523" t="s">
        <v>229</v>
      </c>
      <c r="I1523" t="s">
        <v>59</v>
      </c>
      <c r="J1523">
        <v>5</v>
      </c>
      <c r="K1523" t="s">
        <v>103</v>
      </c>
      <c r="L1523" t="s">
        <v>142</v>
      </c>
      <c r="M1523">
        <f>orders[[#This Row],[Ship Date]]-orders[[#This Row],[Order Date]]</f>
        <v>0</v>
      </c>
      <c r="N1523">
        <f>WEEKNUM(orders[[#This Row],[Order Date]],1)</f>
        <v>9</v>
      </c>
      <c r="O1523" t="str">
        <f t="array" ref="O1523">_xlfn.IFS(orders[[#This Row],[Customer Gender]]="M","Male", orders[[#This Row],[Customer Gender]]="F","Female", orders[[#This Row],[Customer Gender]]="O","Other", TRUE(),"Unknown")</f>
        <v>Male</v>
      </c>
    </row>
    <row r="1524" spans="1:15" x14ac:dyDescent="0.25">
      <c r="A1524" t="s">
        <v>1752</v>
      </c>
      <c r="B1524" t="s">
        <v>85</v>
      </c>
      <c r="C1524">
        <v>2</v>
      </c>
      <c r="D1524">
        <v>124.1</v>
      </c>
      <c r="E1524">
        <v>248.2</v>
      </c>
      <c r="F1524" s="58">
        <v>45714</v>
      </c>
      <c r="G1524" s="58">
        <v>45717</v>
      </c>
      <c r="H1524" t="s">
        <v>231</v>
      </c>
      <c r="I1524" t="s">
        <v>59</v>
      </c>
      <c r="J1524">
        <v>5</v>
      </c>
      <c r="K1524" t="s">
        <v>103</v>
      </c>
      <c r="L1524" t="s">
        <v>142</v>
      </c>
      <c r="M1524">
        <f>orders[[#This Row],[Ship Date]]-orders[[#This Row],[Order Date]]</f>
        <v>3</v>
      </c>
      <c r="N1524">
        <f>WEEKNUM(orders[[#This Row],[Order Date]],1)</f>
        <v>9</v>
      </c>
      <c r="O1524" t="str">
        <f t="array" ref="O1524">_xlfn.IFS(orders[[#This Row],[Customer Gender]]="M","Male", orders[[#This Row],[Customer Gender]]="F","Female", orders[[#This Row],[Customer Gender]]="O","Other", TRUE(),"Unknown")</f>
        <v>Female</v>
      </c>
    </row>
    <row r="1525" spans="1:15" x14ac:dyDescent="0.25">
      <c r="A1525" t="s">
        <v>1753</v>
      </c>
      <c r="B1525" t="s">
        <v>89</v>
      </c>
      <c r="C1525">
        <v>7</v>
      </c>
      <c r="D1525">
        <v>66</v>
      </c>
      <c r="E1525">
        <v>462</v>
      </c>
      <c r="F1525" s="58">
        <v>45714</v>
      </c>
      <c r="G1525" s="58">
        <v>45714</v>
      </c>
      <c r="I1525" t="s">
        <v>60</v>
      </c>
      <c r="J1525">
        <v>4</v>
      </c>
      <c r="K1525" t="s">
        <v>103</v>
      </c>
      <c r="L1525" t="s">
        <v>143</v>
      </c>
      <c r="M1525">
        <f>orders[[#This Row],[Ship Date]]-orders[[#This Row],[Order Date]]</f>
        <v>0</v>
      </c>
      <c r="N1525">
        <f>WEEKNUM(orders[[#This Row],[Order Date]],1)</f>
        <v>9</v>
      </c>
      <c r="O1525" t="str">
        <f t="array" ref="O1525">_xlfn.IFS(orders[[#This Row],[Customer Gender]]="M","Male", orders[[#This Row],[Customer Gender]]="F","Female", orders[[#This Row],[Customer Gender]]="O","Other", TRUE(),"Unknown")</f>
        <v>Unknown</v>
      </c>
    </row>
    <row r="1526" spans="1:15" x14ac:dyDescent="0.25">
      <c r="A1526" t="s">
        <v>1754</v>
      </c>
      <c r="B1526" t="s">
        <v>87</v>
      </c>
      <c r="C1526">
        <v>63</v>
      </c>
      <c r="D1526">
        <v>118.2</v>
      </c>
      <c r="E1526">
        <v>7446.6</v>
      </c>
      <c r="F1526" s="58">
        <v>45714</v>
      </c>
      <c r="G1526" s="58">
        <v>45719</v>
      </c>
      <c r="I1526" t="s">
        <v>59</v>
      </c>
      <c r="J1526">
        <v>4</v>
      </c>
      <c r="K1526" t="s">
        <v>103</v>
      </c>
      <c r="L1526" t="s">
        <v>143</v>
      </c>
      <c r="M1526">
        <f>orders[[#This Row],[Ship Date]]-orders[[#This Row],[Order Date]]</f>
        <v>5</v>
      </c>
      <c r="N1526">
        <f>WEEKNUM(orders[[#This Row],[Order Date]],1)</f>
        <v>9</v>
      </c>
      <c r="O1526" t="str">
        <f t="array" ref="O1526">_xlfn.IFS(orders[[#This Row],[Customer Gender]]="M","Male", orders[[#This Row],[Customer Gender]]="F","Female", orders[[#This Row],[Customer Gender]]="O","Other", TRUE(),"Unknown")</f>
        <v>Unknown</v>
      </c>
    </row>
    <row r="1527" spans="1:15" x14ac:dyDescent="0.25">
      <c r="A1527" t="s">
        <v>1755</v>
      </c>
      <c r="B1527" t="s">
        <v>85</v>
      </c>
      <c r="C1527">
        <v>5</v>
      </c>
      <c r="D1527">
        <v>64.3</v>
      </c>
      <c r="E1527">
        <v>321.5</v>
      </c>
      <c r="F1527" s="58">
        <v>45714</v>
      </c>
      <c r="G1527" s="58">
        <v>45715</v>
      </c>
      <c r="H1527" t="s">
        <v>229</v>
      </c>
      <c r="I1527" t="s">
        <v>61</v>
      </c>
      <c r="J1527">
        <v>2</v>
      </c>
      <c r="K1527" t="s">
        <v>103</v>
      </c>
      <c r="L1527" t="s">
        <v>144</v>
      </c>
      <c r="M1527">
        <f>orders[[#This Row],[Ship Date]]-orders[[#This Row],[Order Date]]</f>
        <v>1</v>
      </c>
      <c r="N1527">
        <f>WEEKNUM(orders[[#This Row],[Order Date]],1)</f>
        <v>9</v>
      </c>
      <c r="O1527" t="str">
        <f t="array" ref="O1527">_xlfn.IFS(orders[[#This Row],[Customer Gender]]="M","Male", orders[[#This Row],[Customer Gender]]="F","Female", orders[[#This Row],[Customer Gender]]="O","Other", TRUE(),"Unknown")</f>
        <v>Male</v>
      </c>
    </row>
    <row r="1528" spans="1:15" x14ac:dyDescent="0.25">
      <c r="A1528" t="s">
        <v>1756</v>
      </c>
      <c r="B1528" t="s">
        <v>91</v>
      </c>
      <c r="C1528">
        <v>2</v>
      </c>
      <c r="D1528">
        <v>54.8</v>
      </c>
      <c r="E1528">
        <v>109.6</v>
      </c>
      <c r="F1528" s="58">
        <v>45714</v>
      </c>
      <c r="G1528" s="58">
        <v>45714</v>
      </c>
      <c r="H1528" t="s">
        <v>229</v>
      </c>
      <c r="I1528" t="s">
        <v>59</v>
      </c>
      <c r="J1528">
        <v>3</v>
      </c>
      <c r="K1528" t="s">
        <v>103</v>
      </c>
      <c r="L1528" t="s">
        <v>144</v>
      </c>
      <c r="M1528">
        <f>orders[[#This Row],[Ship Date]]-orders[[#This Row],[Order Date]]</f>
        <v>0</v>
      </c>
      <c r="N1528">
        <f>WEEKNUM(orders[[#This Row],[Order Date]],1)</f>
        <v>9</v>
      </c>
      <c r="O1528" t="str">
        <f t="array" ref="O1528">_xlfn.IFS(orders[[#This Row],[Customer Gender]]="M","Male", orders[[#This Row],[Customer Gender]]="F","Female", orders[[#This Row],[Customer Gender]]="O","Other", TRUE(),"Unknown")</f>
        <v>Male</v>
      </c>
    </row>
    <row r="1529" spans="1:15" x14ac:dyDescent="0.25">
      <c r="A1529" t="s">
        <v>1757</v>
      </c>
      <c r="B1529" t="s">
        <v>79</v>
      </c>
      <c r="C1529">
        <v>2</v>
      </c>
      <c r="D1529">
        <v>78.599999999999994</v>
      </c>
      <c r="E1529">
        <v>157.19999999999999</v>
      </c>
      <c r="F1529" s="58">
        <v>45714</v>
      </c>
      <c r="G1529" s="58">
        <v>45715</v>
      </c>
      <c r="H1529" t="s">
        <v>229</v>
      </c>
      <c r="I1529" t="s">
        <v>59</v>
      </c>
      <c r="J1529">
        <v>5</v>
      </c>
      <c r="K1529" t="s">
        <v>103</v>
      </c>
      <c r="L1529" t="s">
        <v>146</v>
      </c>
      <c r="M1529">
        <f>orders[[#This Row],[Ship Date]]-orders[[#This Row],[Order Date]]</f>
        <v>1</v>
      </c>
      <c r="N1529">
        <f>WEEKNUM(orders[[#This Row],[Order Date]],1)</f>
        <v>9</v>
      </c>
      <c r="O1529" t="str">
        <f t="array" ref="O1529">_xlfn.IFS(orders[[#This Row],[Customer Gender]]="M","Male", orders[[#This Row],[Customer Gender]]="F","Female", orders[[#This Row],[Customer Gender]]="O","Other", TRUE(),"Unknown")</f>
        <v>Male</v>
      </c>
    </row>
    <row r="1530" spans="1:15" x14ac:dyDescent="0.25">
      <c r="A1530" t="s">
        <v>1758</v>
      </c>
      <c r="B1530" t="s">
        <v>87</v>
      </c>
      <c r="C1530">
        <v>5</v>
      </c>
      <c r="D1530">
        <v>158.5</v>
      </c>
      <c r="E1530">
        <v>792.5</v>
      </c>
      <c r="F1530" s="58">
        <v>45714</v>
      </c>
      <c r="G1530" s="58">
        <v>45716</v>
      </c>
      <c r="I1530" t="s">
        <v>62</v>
      </c>
      <c r="J1530">
        <v>5</v>
      </c>
      <c r="K1530" t="s">
        <v>103</v>
      </c>
      <c r="L1530" t="s">
        <v>146</v>
      </c>
      <c r="M1530">
        <f>orders[[#This Row],[Ship Date]]-orders[[#This Row],[Order Date]]</f>
        <v>2</v>
      </c>
      <c r="N1530">
        <f>WEEKNUM(orders[[#This Row],[Order Date]],1)</f>
        <v>9</v>
      </c>
      <c r="O1530" t="str">
        <f t="array" ref="O1530">_xlfn.IFS(orders[[#This Row],[Customer Gender]]="M","Male", orders[[#This Row],[Customer Gender]]="F","Female", orders[[#This Row],[Customer Gender]]="O","Other", TRUE(),"Unknown")</f>
        <v>Unknown</v>
      </c>
    </row>
    <row r="1531" spans="1:15" x14ac:dyDescent="0.25">
      <c r="A1531" t="s">
        <v>1759</v>
      </c>
      <c r="B1531" t="s">
        <v>78</v>
      </c>
      <c r="C1531">
        <v>10</v>
      </c>
      <c r="D1531">
        <v>23.5</v>
      </c>
      <c r="E1531">
        <v>235</v>
      </c>
      <c r="F1531" s="58">
        <v>45714</v>
      </c>
      <c r="G1531" s="58">
        <v>45717</v>
      </c>
      <c r="H1531" t="s">
        <v>229</v>
      </c>
      <c r="I1531" t="s">
        <v>59</v>
      </c>
      <c r="J1531">
        <v>2</v>
      </c>
      <c r="K1531" t="s">
        <v>103</v>
      </c>
      <c r="L1531" t="s">
        <v>147</v>
      </c>
      <c r="M1531">
        <f>orders[[#This Row],[Ship Date]]-orders[[#This Row],[Order Date]]</f>
        <v>3</v>
      </c>
      <c r="N1531">
        <f>WEEKNUM(orders[[#This Row],[Order Date]],1)</f>
        <v>9</v>
      </c>
      <c r="O1531" t="str">
        <f t="array" ref="O1531">_xlfn.IFS(orders[[#This Row],[Customer Gender]]="M","Male", orders[[#This Row],[Customer Gender]]="F","Female", orders[[#This Row],[Customer Gender]]="O","Other", TRUE(),"Unknown")</f>
        <v>Male</v>
      </c>
    </row>
    <row r="1532" spans="1:15" x14ac:dyDescent="0.25">
      <c r="A1532" t="s">
        <v>1760</v>
      </c>
      <c r="B1532" t="s">
        <v>85</v>
      </c>
      <c r="C1532">
        <v>2</v>
      </c>
      <c r="D1532">
        <v>32.1</v>
      </c>
      <c r="E1532">
        <v>64.2</v>
      </c>
      <c r="F1532" s="58">
        <v>45714</v>
      </c>
      <c r="G1532" s="58">
        <v>45716</v>
      </c>
      <c r="I1532" t="s">
        <v>60</v>
      </c>
      <c r="J1532">
        <v>4</v>
      </c>
      <c r="K1532" t="s">
        <v>103</v>
      </c>
      <c r="L1532" t="s">
        <v>147</v>
      </c>
      <c r="M1532">
        <f>orders[[#This Row],[Ship Date]]-orders[[#This Row],[Order Date]]</f>
        <v>2</v>
      </c>
      <c r="N1532">
        <f>WEEKNUM(orders[[#This Row],[Order Date]],1)</f>
        <v>9</v>
      </c>
      <c r="O1532" t="str">
        <f t="array" ref="O1532">_xlfn.IFS(orders[[#This Row],[Customer Gender]]="M","Male", orders[[#This Row],[Customer Gender]]="F","Female", orders[[#This Row],[Customer Gender]]="O","Other", TRUE(),"Unknown")</f>
        <v>Unknown</v>
      </c>
    </row>
    <row r="1533" spans="1:15" x14ac:dyDescent="0.25">
      <c r="A1533" t="s">
        <v>1761</v>
      </c>
      <c r="B1533" t="s">
        <v>84</v>
      </c>
      <c r="C1533">
        <v>4</v>
      </c>
      <c r="D1533">
        <v>71.900000000000006</v>
      </c>
      <c r="E1533">
        <v>287.60000000000002</v>
      </c>
      <c r="F1533" s="58">
        <v>45714</v>
      </c>
      <c r="G1533" s="58">
        <v>45714</v>
      </c>
      <c r="H1533" t="s">
        <v>229</v>
      </c>
      <c r="I1533" t="s">
        <v>62</v>
      </c>
      <c r="J1533">
        <v>4</v>
      </c>
      <c r="K1533" t="s">
        <v>103</v>
      </c>
      <c r="L1533" t="s">
        <v>155</v>
      </c>
      <c r="M1533">
        <f>orders[[#This Row],[Ship Date]]-orders[[#This Row],[Order Date]]</f>
        <v>0</v>
      </c>
      <c r="N1533">
        <f>WEEKNUM(orders[[#This Row],[Order Date]],1)</f>
        <v>9</v>
      </c>
      <c r="O1533" t="str">
        <f t="array" ref="O1533">_xlfn.IFS(orders[[#This Row],[Customer Gender]]="M","Male", orders[[#This Row],[Customer Gender]]="F","Female", orders[[#This Row],[Customer Gender]]="O","Other", TRUE(),"Unknown")</f>
        <v>Male</v>
      </c>
    </row>
    <row r="1534" spans="1:15" x14ac:dyDescent="0.25">
      <c r="A1534" t="s">
        <v>1762</v>
      </c>
      <c r="B1534" t="s">
        <v>78</v>
      </c>
      <c r="C1534">
        <v>6</v>
      </c>
      <c r="D1534">
        <v>22.3</v>
      </c>
      <c r="E1534">
        <v>133.80000000000001</v>
      </c>
      <c r="F1534" s="58">
        <v>45714</v>
      </c>
      <c r="G1534" s="58">
        <v>45715</v>
      </c>
      <c r="I1534" t="s">
        <v>60</v>
      </c>
      <c r="J1534">
        <v>5</v>
      </c>
      <c r="K1534" t="s">
        <v>103</v>
      </c>
      <c r="L1534" t="s">
        <v>161</v>
      </c>
      <c r="M1534">
        <f>orders[[#This Row],[Ship Date]]-orders[[#This Row],[Order Date]]</f>
        <v>1</v>
      </c>
      <c r="N1534">
        <f>WEEKNUM(orders[[#This Row],[Order Date]],1)</f>
        <v>9</v>
      </c>
      <c r="O1534" t="str">
        <f t="array" ref="O1534">_xlfn.IFS(orders[[#This Row],[Customer Gender]]="M","Male", orders[[#This Row],[Customer Gender]]="F","Female", orders[[#This Row],[Customer Gender]]="O","Other", TRUE(),"Unknown")</f>
        <v>Unknown</v>
      </c>
    </row>
    <row r="1535" spans="1:15" x14ac:dyDescent="0.25">
      <c r="A1535" t="s">
        <v>1763</v>
      </c>
      <c r="B1535" t="s">
        <v>83</v>
      </c>
      <c r="C1535">
        <v>2</v>
      </c>
      <c r="D1535">
        <v>29.5</v>
      </c>
      <c r="E1535">
        <v>59</v>
      </c>
      <c r="F1535" s="58">
        <v>45714</v>
      </c>
      <c r="G1535" s="58">
        <v>45715</v>
      </c>
      <c r="H1535" t="s">
        <v>231</v>
      </c>
      <c r="I1535" t="s">
        <v>59</v>
      </c>
      <c r="J1535">
        <v>5</v>
      </c>
      <c r="K1535" t="s">
        <v>103</v>
      </c>
      <c r="L1535" t="s">
        <v>161</v>
      </c>
      <c r="M1535">
        <f>orders[[#This Row],[Ship Date]]-orders[[#This Row],[Order Date]]</f>
        <v>1</v>
      </c>
      <c r="N1535">
        <f>WEEKNUM(orders[[#This Row],[Order Date]],1)</f>
        <v>9</v>
      </c>
      <c r="O1535" t="str">
        <f t="array" ref="O1535">_xlfn.IFS(orders[[#This Row],[Customer Gender]]="M","Male", orders[[#This Row],[Customer Gender]]="F","Female", orders[[#This Row],[Customer Gender]]="O","Other", TRUE(),"Unknown")</f>
        <v>Female</v>
      </c>
    </row>
    <row r="1536" spans="1:15" x14ac:dyDescent="0.25">
      <c r="A1536" t="s">
        <v>1764</v>
      </c>
      <c r="B1536" t="s">
        <v>80</v>
      </c>
      <c r="C1536">
        <v>4</v>
      </c>
      <c r="D1536">
        <v>41.9</v>
      </c>
      <c r="E1536">
        <v>167.6</v>
      </c>
      <c r="F1536" s="58">
        <v>45714</v>
      </c>
      <c r="G1536" s="58">
        <v>45718</v>
      </c>
      <c r="H1536" t="s">
        <v>231</v>
      </c>
      <c r="I1536" t="s">
        <v>59</v>
      </c>
      <c r="J1536">
        <v>3</v>
      </c>
      <c r="K1536" t="s">
        <v>103</v>
      </c>
      <c r="L1536" t="s">
        <v>106</v>
      </c>
      <c r="M1536">
        <f>orders[[#This Row],[Ship Date]]-orders[[#This Row],[Order Date]]</f>
        <v>4</v>
      </c>
      <c r="N1536">
        <f>WEEKNUM(orders[[#This Row],[Order Date]],1)</f>
        <v>9</v>
      </c>
      <c r="O1536" t="str">
        <f t="array" ref="O1536">_xlfn.IFS(orders[[#This Row],[Customer Gender]]="M","Male", orders[[#This Row],[Customer Gender]]="F","Female", orders[[#This Row],[Customer Gender]]="O","Other", TRUE(),"Unknown")</f>
        <v>Female</v>
      </c>
    </row>
    <row r="1537" spans="1:15" x14ac:dyDescent="0.25">
      <c r="A1537" t="s">
        <v>1765</v>
      </c>
      <c r="B1537" t="s">
        <v>80</v>
      </c>
      <c r="C1537">
        <v>3</v>
      </c>
      <c r="D1537">
        <v>107.8</v>
      </c>
      <c r="E1537">
        <v>323.39999999999998</v>
      </c>
      <c r="F1537" s="58">
        <v>45714</v>
      </c>
      <c r="G1537" s="58">
        <v>45715</v>
      </c>
      <c r="H1537" t="s">
        <v>229</v>
      </c>
      <c r="I1537" t="s">
        <v>63</v>
      </c>
      <c r="J1537">
        <v>5</v>
      </c>
      <c r="K1537" t="s">
        <v>103</v>
      </c>
      <c r="L1537" t="s">
        <v>108</v>
      </c>
      <c r="M1537">
        <f>orders[[#This Row],[Ship Date]]-orders[[#This Row],[Order Date]]</f>
        <v>1</v>
      </c>
      <c r="N1537">
        <f>WEEKNUM(orders[[#This Row],[Order Date]],1)</f>
        <v>9</v>
      </c>
      <c r="O1537" t="str">
        <f t="array" ref="O1537">_xlfn.IFS(orders[[#This Row],[Customer Gender]]="M","Male", orders[[#This Row],[Customer Gender]]="F","Female", orders[[#This Row],[Customer Gender]]="O","Other", TRUE(),"Unknown")</f>
        <v>Male</v>
      </c>
    </row>
    <row r="1538" spans="1:15" x14ac:dyDescent="0.25">
      <c r="A1538" t="s">
        <v>1766</v>
      </c>
      <c r="B1538" t="s">
        <v>78</v>
      </c>
      <c r="C1538">
        <v>5</v>
      </c>
      <c r="D1538">
        <v>18.100000000000001</v>
      </c>
      <c r="E1538">
        <v>90.5</v>
      </c>
      <c r="F1538" s="58">
        <v>45714</v>
      </c>
      <c r="G1538" s="58">
        <v>45717</v>
      </c>
      <c r="H1538" t="s">
        <v>229</v>
      </c>
      <c r="I1538" t="s">
        <v>59</v>
      </c>
      <c r="J1538">
        <v>5</v>
      </c>
      <c r="K1538" t="s">
        <v>103</v>
      </c>
      <c r="L1538" t="s">
        <v>115</v>
      </c>
      <c r="M1538">
        <f>orders[[#This Row],[Ship Date]]-orders[[#This Row],[Order Date]]</f>
        <v>3</v>
      </c>
      <c r="N1538">
        <f>WEEKNUM(orders[[#This Row],[Order Date]],1)</f>
        <v>9</v>
      </c>
      <c r="O1538" t="str">
        <f t="array" ref="O1538">_xlfn.IFS(orders[[#This Row],[Customer Gender]]="M","Male", orders[[#This Row],[Customer Gender]]="F","Female", orders[[#This Row],[Customer Gender]]="O","Other", TRUE(),"Unknown")</f>
        <v>Male</v>
      </c>
    </row>
    <row r="1539" spans="1:15" x14ac:dyDescent="0.25">
      <c r="A1539" t="s">
        <v>1767</v>
      </c>
      <c r="B1539" t="s">
        <v>76</v>
      </c>
      <c r="C1539">
        <v>9</v>
      </c>
      <c r="D1539">
        <v>79.8</v>
      </c>
      <c r="E1539">
        <v>718.2</v>
      </c>
      <c r="F1539" s="58">
        <v>45714</v>
      </c>
      <c r="G1539" s="58">
        <v>45715</v>
      </c>
      <c r="H1539" t="s">
        <v>231</v>
      </c>
      <c r="I1539" t="s">
        <v>63</v>
      </c>
      <c r="J1539">
        <v>3</v>
      </c>
      <c r="K1539" t="s">
        <v>103</v>
      </c>
      <c r="L1539" t="s">
        <v>120</v>
      </c>
      <c r="M1539">
        <f>orders[[#This Row],[Ship Date]]-orders[[#This Row],[Order Date]]</f>
        <v>1</v>
      </c>
      <c r="N1539">
        <f>WEEKNUM(orders[[#This Row],[Order Date]],1)</f>
        <v>9</v>
      </c>
      <c r="O1539" t="str">
        <f t="array" ref="O1539">_xlfn.IFS(orders[[#This Row],[Customer Gender]]="M","Male", orders[[#This Row],[Customer Gender]]="F","Female", orders[[#This Row],[Customer Gender]]="O","Other", TRUE(),"Unknown")</f>
        <v>Female</v>
      </c>
    </row>
    <row r="1540" spans="1:15" x14ac:dyDescent="0.25">
      <c r="A1540" t="s">
        <v>1768</v>
      </c>
      <c r="B1540" t="s">
        <v>86</v>
      </c>
      <c r="C1540">
        <v>3</v>
      </c>
      <c r="D1540">
        <v>22.3</v>
      </c>
      <c r="E1540">
        <v>66.900000000000006</v>
      </c>
      <c r="F1540" s="58">
        <v>45714</v>
      </c>
      <c r="G1540" s="58">
        <v>45717</v>
      </c>
      <c r="H1540" t="s">
        <v>231</v>
      </c>
      <c r="I1540" t="s">
        <v>59</v>
      </c>
      <c r="J1540">
        <v>5</v>
      </c>
      <c r="K1540" t="s">
        <v>103</v>
      </c>
      <c r="L1540" t="s">
        <v>120</v>
      </c>
      <c r="M1540">
        <f>orders[[#This Row],[Ship Date]]-orders[[#This Row],[Order Date]]</f>
        <v>3</v>
      </c>
      <c r="N1540">
        <f>WEEKNUM(orders[[#This Row],[Order Date]],1)</f>
        <v>9</v>
      </c>
      <c r="O1540" t="str">
        <f t="array" ref="O1540">_xlfn.IFS(orders[[#This Row],[Customer Gender]]="M","Male", orders[[#This Row],[Customer Gender]]="F","Female", orders[[#This Row],[Customer Gender]]="O","Other", TRUE(),"Unknown")</f>
        <v>Female</v>
      </c>
    </row>
    <row r="1541" spans="1:15" x14ac:dyDescent="0.25">
      <c r="A1541" t="s">
        <v>1769</v>
      </c>
      <c r="B1541" t="s">
        <v>90</v>
      </c>
      <c r="C1541">
        <v>1</v>
      </c>
      <c r="D1541">
        <v>22.9</v>
      </c>
      <c r="E1541">
        <v>22.9</v>
      </c>
      <c r="F1541" s="58">
        <v>45714</v>
      </c>
      <c r="G1541" s="58">
        <v>45714</v>
      </c>
      <c r="H1541" t="s">
        <v>231</v>
      </c>
      <c r="I1541" t="s">
        <v>63</v>
      </c>
      <c r="J1541">
        <v>4</v>
      </c>
      <c r="K1541" t="s">
        <v>103</v>
      </c>
      <c r="L1541" t="s">
        <v>120</v>
      </c>
      <c r="M1541">
        <f>orders[[#This Row],[Ship Date]]-orders[[#This Row],[Order Date]]</f>
        <v>0</v>
      </c>
      <c r="N1541">
        <f>WEEKNUM(orders[[#This Row],[Order Date]],1)</f>
        <v>9</v>
      </c>
      <c r="O1541" t="str">
        <f t="array" ref="O1541">_xlfn.IFS(orders[[#This Row],[Customer Gender]]="M","Male", orders[[#This Row],[Customer Gender]]="F","Female", orders[[#This Row],[Customer Gender]]="O","Other", TRUE(),"Unknown")</f>
        <v>Female</v>
      </c>
    </row>
    <row r="1542" spans="1:15" x14ac:dyDescent="0.25">
      <c r="A1542" t="s">
        <v>1770</v>
      </c>
      <c r="B1542" t="s">
        <v>86</v>
      </c>
      <c r="C1542">
        <v>3</v>
      </c>
      <c r="D1542">
        <v>16.2</v>
      </c>
      <c r="E1542">
        <v>48.6</v>
      </c>
      <c r="F1542" s="58">
        <v>45715</v>
      </c>
      <c r="G1542" s="58">
        <v>45715</v>
      </c>
      <c r="H1542" t="s">
        <v>229</v>
      </c>
      <c r="I1542" t="s">
        <v>61</v>
      </c>
      <c r="J1542">
        <v>5</v>
      </c>
      <c r="K1542" t="s">
        <v>103</v>
      </c>
      <c r="L1542" t="s">
        <v>124</v>
      </c>
      <c r="M1542">
        <f>orders[[#This Row],[Ship Date]]-orders[[#This Row],[Order Date]]</f>
        <v>0</v>
      </c>
      <c r="N1542">
        <f>WEEKNUM(orders[[#This Row],[Order Date]],1)</f>
        <v>9</v>
      </c>
      <c r="O1542" t="str">
        <f t="array" ref="O1542">_xlfn.IFS(orders[[#This Row],[Customer Gender]]="M","Male", orders[[#This Row],[Customer Gender]]="F","Female", orders[[#This Row],[Customer Gender]]="O","Other", TRUE(),"Unknown")</f>
        <v>Male</v>
      </c>
    </row>
    <row r="1543" spans="1:15" x14ac:dyDescent="0.25">
      <c r="A1543" t="s">
        <v>1771</v>
      </c>
      <c r="B1543" t="s">
        <v>75</v>
      </c>
      <c r="C1543">
        <v>4</v>
      </c>
      <c r="D1543">
        <v>59.5</v>
      </c>
      <c r="E1543">
        <v>238</v>
      </c>
      <c r="F1543" s="58">
        <v>45715</v>
      </c>
      <c r="G1543" s="58">
        <v>45716</v>
      </c>
      <c r="H1543" t="s">
        <v>229</v>
      </c>
      <c r="I1543" t="s">
        <v>63</v>
      </c>
      <c r="J1543">
        <v>5</v>
      </c>
      <c r="K1543" t="s">
        <v>103</v>
      </c>
      <c r="L1543" t="s">
        <v>124</v>
      </c>
      <c r="M1543">
        <f>orders[[#This Row],[Ship Date]]-orders[[#This Row],[Order Date]]</f>
        <v>1</v>
      </c>
      <c r="N1543">
        <f>WEEKNUM(orders[[#This Row],[Order Date]],1)</f>
        <v>9</v>
      </c>
      <c r="O1543" t="str">
        <f t="array" ref="O1543">_xlfn.IFS(orders[[#This Row],[Customer Gender]]="M","Male", orders[[#This Row],[Customer Gender]]="F","Female", orders[[#This Row],[Customer Gender]]="O","Other", TRUE(),"Unknown")</f>
        <v>Male</v>
      </c>
    </row>
    <row r="1544" spans="1:15" x14ac:dyDescent="0.25">
      <c r="A1544" t="s">
        <v>1772</v>
      </c>
      <c r="B1544" t="s">
        <v>82</v>
      </c>
      <c r="C1544">
        <v>5</v>
      </c>
      <c r="D1544">
        <v>26.2</v>
      </c>
      <c r="E1544">
        <v>131</v>
      </c>
      <c r="F1544" s="58">
        <v>45715</v>
      </c>
      <c r="G1544" s="58">
        <v>45718</v>
      </c>
      <c r="H1544" t="s">
        <v>229</v>
      </c>
      <c r="I1544" t="s">
        <v>60</v>
      </c>
      <c r="J1544">
        <v>2</v>
      </c>
      <c r="K1544" t="s">
        <v>103</v>
      </c>
      <c r="L1544" t="s">
        <v>124</v>
      </c>
      <c r="M1544">
        <f>orders[[#This Row],[Ship Date]]-orders[[#This Row],[Order Date]]</f>
        <v>3</v>
      </c>
      <c r="N1544">
        <f>WEEKNUM(orders[[#This Row],[Order Date]],1)</f>
        <v>9</v>
      </c>
      <c r="O1544" t="str">
        <f t="array" ref="O1544">_xlfn.IFS(orders[[#This Row],[Customer Gender]]="M","Male", orders[[#This Row],[Customer Gender]]="F","Female", orders[[#This Row],[Customer Gender]]="O","Other", TRUE(),"Unknown")</f>
        <v>Male</v>
      </c>
    </row>
    <row r="1545" spans="1:15" x14ac:dyDescent="0.25">
      <c r="A1545" t="s">
        <v>1773</v>
      </c>
      <c r="B1545" t="s">
        <v>93</v>
      </c>
      <c r="C1545">
        <v>1</v>
      </c>
      <c r="D1545">
        <v>44.2</v>
      </c>
      <c r="E1545">
        <v>44.2</v>
      </c>
      <c r="F1545" s="58">
        <v>45715</v>
      </c>
      <c r="G1545" s="58">
        <v>45718</v>
      </c>
      <c r="H1545" t="s">
        <v>231</v>
      </c>
      <c r="I1545" t="s">
        <v>63</v>
      </c>
      <c r="J1545">
        <v>4</v>
      </c>
      <c r="K1545" t="s">
        <v>103</v>
      </c>
      <c r="L1545" t="s">
        <v>124</v>
      </c>
      <c r="M1545">
        <f>orders[[#This Row],[Ship Date]]-orders[[#This Row],[Order Date]]</f>
        <v>3</v>
      </c>
      <c r="N1545">
        <f>WEEKNUM(orders[[#This Row],[Order Date]],1)</f>
        <v>9</v>
      </c>
      <c r="O1545" t="str">
        <f t="array" ref="O1545">_xlfn.IFS(orders[[#This Row],[Customer Gender]]="M","Male", orders[[#This Row],[Customer Gender]]="F","Female", orders[[#This Row],[Customer Gender]]="O","Other", TRUE(),"Unknown")</f>
        <v>Female</v>
      </c>
    </row>
    <row r="1546" spans="1:15" x14ac:dyDescent="0.25">
      <c r="A1546" t="s">
        <v>1774</v>
      </c>
      <c r="B1546" t="s">
        <v>88</v>
      </c>
      <c r="C1546">
        <v>2</v>
      </c>
      <c r="D1546">
        <v>59.2</v>
      </c>
      <c r="E1546">
        <v>118.4</v>
      </c>
      <c r="F1546" s="58">
        <v>45715</v>
      </c>
      <c r="G1546" s="58">
        <v>45715</v>
      </c>
      <c r="H1546" t="s">
        <v>231</v>
      </c>
      <c r="I1546" t="s">
        <v>63</v>
      </c>
      <c r="J1546">
        <v>2</v>
      </c>
      <c r="K1546" t="s">
        <v>103</v>
      </c>
      <c r="L1546" t="s">
        <v>124</v>
      </c>
      <c r="M1546">
        <f>orders[[#This Row],[Ship Date]]-orders[[#This Row],[Order Date]]</f>
        <v>0</v>
      </c>
      <c r="N1546">
        <f>WEEKNUM(orders[[#This Row],[Order Date]],1)</f>
        <v>9</v>
      </c>
      <c r="O1546" t="str">
        <f t="array" ref="O1546">_xlfn.IFS(orders[[#This Row],[Customer Gender]]="M","Male", orders[[#This Row],[Customer Gender]]="F","Female", orders[[#This Row],[Customer Gender]]="O","Other", TRUE(),"Unknown")</f>
        <v>Female</v>
      </c>
    </row>
    <row r="1547" spans="1:15" x14ac:dyDescent="0.25">
      <c r="A1547" t="s">
        <v>1775</v>
      </c>
      <c r="B1547" t="s">
        <v>77</v>
      </c>
      <c r="C1547">
        <v>4</v>
      </c>
      <c r="D1547">
        <v>41.5</v>
      </c>
      <c r="E1547">
        <v>166</v>
      </c>
      <c r="F1547" s="58">
        <v>45715</v>
      </c>
      <c r="G1547" s="58">
        <v>45717</v>
      </c>
      <c r="H1547" t="s">
        <v>231</v>
      </c>
      <c r="I1547" t="s">
        <v>59</v>
      </c>
      <c r="J1547">
        <v>4</v>
      </c>
      <c r="K1547" t="s">
        <v>103</v>
      </c>
      <c r="L1547" t="s">
        <v>133</v>
      </c>
      <c r="M1547">
        <f>orders[[#This Row],[Ship Date]]-orders[[#This Row],[Order Date]]</f>
        <v>2</v>
      </c>
      <c r="N1547">
        <f>WEEKNUM(orders[[#This Row],[Order Date]],1)</f>
        <v>9</v>
      </c>
      <c r="O1547" t="str">
        <f t="array" ref="O1547">_xlfn.IFS(orders[[#This Row],[Customer Gender]]="M","Male", orders[[#This Row],[Customer Gender]]="F","Female", orders[[#This Row],[Customer Gender]]="O","Other", TRUE(),"Unknown")</f>
        <v>Female</v>
      </c>
    </row>
    <row r="1548" spans="1:15" x14ac:dyDescent="0.25">
      <c r="A1548" t="s">
        <v>1776</v>
      </c>
      <c r="B1548" t="s">
        <v>80</v>
      </c>
      <c r="C1548">
        <v>12</v>
      </c>
      <c r="D1548">
        <v>67.099999999999994</v>
      </c>
      <c r="E1548">
        <v>805.2</v>
      </c>
      <c r="F1548" s="58">
        <v>45715</v>
      </c>
      <c r="G1548" s="58">
        <v>45729</v>
      </c>
      <c r="H1548" t="s">
        <v>231</v>
      </c>
      <c r="I1548" t="s">
        <v>59</v>
      </c>
      <c r="J1548">
        <v>5</v>
      </c>
      <c r="K1548" t="s">
        <v>103</v>
      </c>
      <c r="L1548" t="s">
        <v>138</v>
      </c>
      <c r="M1548">
        <f>orders[[#This Row],[Ship Date]]-orders[[#This Row],[Order Date]]</f>
        <v>14</v>
      </c>
      <c r="N1548">
        <f>WEEKNUM(orders[[#This Row],[Order Date]],1)</f>
        <v>9</v>
      </c>
      <c r="O1548" t="str">
        <f t="array" ref="O1548">_xlfn.IFS(orders[[#This Row],[Customer Gender]]="M","Male", orders[[#This Row],[Customer Gender]]="F","Female", orders[[#This Row],[Customer Gender]]="O","Other", TRUE(),"Unknown")</f>
        <v>Female</v>
      </c>
    </row>
    <row r="1549" spans="1:15" x14ac:dyDescent="0.25">
      <c r="A1549" t="s">
        <v>1777</v>
      </c>
      <c r="B1549" t="s">
        <v>90</v>
      </c>
      <c r="C1549">
        <v>2</v>
      </c>
      <c r="D1549">
        <v>28.7</v>
      </c>
      <c r="E1549">
        <v>57.4</v>
      </c>
      <c r="F1549" s="58">
        <v>45715</v>
      </c>
      <c r="G1549" s="58">
        <v>45719</v>
      </c>
      <c r="H1549" t="s">
        <v>231</v>
      </c>
      <c r="I1549" t="s">
        <v>63</v>
      </c>
      <c r="J1549">
        <v>4</v>
      </c>
      <c r="K1549" t="s">
        <v>103</v>
      </c>
      <c r="L1549" t="s">
        <v>139</v>
      </c>
      <c r="M1549">
        <f>orders[[#This Row],[Ship Date]]-orders[[#This Row],[Order Date]]</f>
        <v>4</v>
      </c>
      <c r="N1549">
        <f>WEEKNUM(orders[[#This Row],[Order Date]],1)</f>
        <v>9</v>
      </c>
      <c r="O1549" t="str">
        <f t="array" ref="O1549">_xlfn.IFS(orders[[#This Row],[Customer Gender]]="M","Male", orders[[#This Row],[Customer Gender]]="F","Female", orders[[#This Row],[Customer Gender]]="O","Other", TRUE(),"Unknown")</f>
        <v>Female</v>
      </c>
    </row>
    <row r="1550" spans="1:15" x14ac:dyDescent="0.25">
      <c r="A1550" t="s">
        <v>1778</v>
      </c>
      <c r="B1550" t="s">
        <v>87</v>
      </c>
      <c r="C1550">
        <v>4</v>
      </c>
      <c r="D1550">
        <v>132.1</v>
      </c>
      <c r="E1550">
        <v>528.4</v>
      </c>
      <c r="F1550" s="58">
        <v>45715</v>
      </c>
      <c r="G1550" s="58">
        <v>45716</v>
      </c>
      <c r="H1550" t="s">
        <v>231</v>
      </c>
      <c r="I1550" t="s">
        <v>59</v>
      </c>
      <c r="J1550">
        <v>3</v>
      </c>
      <c r="K1550" t="s">
        <v>103</v>
      </c>
      <c r="L1550" t="s">
        <v>139</v>
      </c>
      <c r="M1550">
        <f>orders[[#This Row],[Ship Date]]-orders[[#This Row],[Order Date]]</f>
        <v>1</v>
      </c>
      <c r="N1550">
        <f>WEEKNUM(orders[[#This Row],[Order Date]],1)</f>
        <v>9</v>
      </c>
      <c r="O1550" t="str">
        <f t="array" ref="O1550">_xlfn.IFS(orders[[#This Row],[Customer Gender]]="M","Male", orders[[#This Row],[Customer Gender]]="F","Female", orders[[#This Row],[Customer Gender]]="O","Other", TRUE(),"Unknown")</f>
        <v>Female</v>
      </c>
    </row>
    <row r="1551" spans="1:15" x14ac:dyDescent="0.25">
      <c r="A1551" t="s">
        <v>1779</v>
      </c>
      <c r="B1551" t="s">
        <v>82</v>
      </c>
      <c r="C1551">
        <v>2</v>
      </c>
      <c r="D1551">
        <v>47</v>
      </c>
      <c r="E1551">
        <v>94</v>
      </c>
      <c r="F1551" s="58">
        <v>45715</v>
      </c>
      <c r="G1551" s="58">
        <v>45717</v>
      </c>
      <c r="H1551" t="s">
        <v>229</v>
      </c>
      <c r="I1551" t="s">
        <v>61</v>
      </c>
      <c r="J1551">
        <v>4</v>
      </c>
      <c r="K1551" t="s">
        <v>103</v>
      </c>
      <c r="L1551" t="s">
        <v>142</v>
      </c>
      <c r="M1551">
        <f>orders[[#This Row],[Ship Date]]-orders[[#This Row],[Order Date]]</f>
        <v>2</v>
      </c>
      <c r="N1551">
        <f>WEEKNUM(orders[[#This Row],[Order Date]],1)</f>
        <v>9</v>
      </c>
      <c r="O1551" t="str">
        <f t="array" ref="O1551">_xlfn.IFS(orders[[#This Row],[Customer Gender]]="M","Male", orders[[#This Row],[Customer Gender]]="F","Female", orders[[#This Row],[Customer Gender]]="O","Other", TRUE(),"Unknown")</f>
        <v>Male</v>
      </c>
    </row>
    <row r="1552" spans="1:15" x14ac:dyDescent="0.25">
      <c r="A1552" t="s">
        <v>1780</v>
      </c>
      <c r="B1552" t="s">
        <v>90</v>
      </c>
      <c r="C1552">
        <v>2</v>
      </c>
      <c r="D1552">
        <v>41.6</v>
      </c>
      <c r="E1552">
        <v>83.2</v>
      </c>
      <c r="F1552" s="58">
        <v>45715</v>
      </c>
      <c r="G1552" s="58">
        <v>45719</v>
      </c>
      <c r="H1552" t="s">
        <v>229</v>
      </c>
      <c r="I1552" t="s">
        <v>63</v>
      </c>
      <c r="J1552">
        <v>5</v>
      </c>
      <c r="K1552" t="s">
        <v>103</v>
      </c>
      <c r="L1552" t="s">
        <v>142</v>
      </c>
      <c r="M1552">
        <f>orders[[#This Row],[Ship Date]]-orders[[#This Row],[Order Date]]</f>
        <v>4</v>
      </c>
      <c r="N1552">
        <f>WEEKNUM(orders[[#This Row],[Order Date]],1)</f>
        <v>9</v>
      </c>
      <c r="O1552" t="str">
        <f t="array" ref="O1552">_xlfn.IFS(orders[[#This Row],[Customer Gender]]="M","Male", orders[[#This Row],[Customer Gender]]="F","Female", orders[[#This Row],[Customer Gender]]="O","Other", TRUE(),"Unknown")</f>
        <v>Male</v>
      </c>
    </row>
    <row r="1553" spans="1:15" x14ac:dyDescent="0.25">
      <c r="A1553" t="s">
        <v>1781</v>
      </c>
      <c r="B1553" t="s">
        <v>90</v>
      </c>
      <c r="C1553">
        <v>38</v>
      </c>
      <c r="D1553">
        <v>17.3</v>
      </c>
      <c r="E1553">
        <v>657.4</v>
      </c>
      <c r="F1553" s="58">
        <v>45715</v>
      </c>
      <c r="G1553" s="58">
        <v>45717</v>
      </c>
      <c r="H1553" t="s">
        <v>229</v>
      </c>
      <c r="I1553" t="s">
        <v>62</v>
      </c>
      <c r="J1553">
        <v>5</v>
      </c>
      <c r="K1553" t="s">
        <v>103</v>
      </c>
      <c r="L1553" t="s">
        <v>142</v>
      </c>
      <c r="M1553">
        <f>orders[[#This Row],[Ship Date]]-orders[[#This Row],[Order Date]]</f>
        <v>2</v>
      </c>
      <c r="N1553">
        <f>WEEKNUM(orders[[#This Row],[Order Date]],1)</f>
        <v>9</v>
      </c>
      <c r="O1553" t="str">
        <f t="array" ref="O1553">_xlfn.IFS(orders[[#This Row],[Customer Gender]]="M","Male", orders[[#This Row],[Customer Gender]]="F","Female", orders[[#This Row],[Customer Gender]]="O","Other", TRUE(),"Unknown")</f>
        <v>Male</v>
      </c>
    </row>
    <row r="1554" spans="1:15" x14ac:dyDescent="0.25">
      <c r="A1554" t="s">
        <v>1782</v>
      </c>
      <c r="B1554" t="s">
        <v>92</v>
      </c>
      <c r="C1554">
        <v>3</v>
      </c>
      <c r="D1554">
        <v>41.8</v>
      </c>
      <c r="E1554">
        <v>125.4</v>
      </c>
      <c r="F1554" s="58">
        <v>45715</v>
      </c>
      <c r="G1554" s="58">
        <v>45718</v>
      </c>
      <c r="H1554" t="s">
        <v>229</v>
      </c>
      <c r="I1554" t="s">
        <v>59</v>
      </c>
      <c r="J1554">
        <v>5</v>
      </c>
      <c r="K1554" t="s">
        <v>103</v>
      </c>
      <c r="L1554" t="s">
        <v>142</v>
      </c>
      <c r="M1554">
        <f>orders[[#This Row],[Ship Date]]-orders[[#This Row],[Order Date]]</f>
        <v>3</v>
      </c>
      <c r="N1554">
        <f>WEEKNUM(orders[[#This Row],[Order Date]],1)</f>
        <v>9</v>
      </c>
      <c r="O1554" t="str">
        <f t="array" ref="O1554">_xlfn.IFS(orders[[#This Row],[Customer Gender]]="M","Male", orders[[#This Row],[Customer Gender]]="F","Female", orders[[#This Row],[Customer Gender]]="O","Other", TRUE(),"Unknown")</f>
        <v>Male</v>
      </c>
    </row>
    <row r="1555" spans="1:15" x14ac:dyDescent="0.25">
      <c r="A1555" t="s">
        <v>1783</v>
      </c>
      <c r="B1555" t="s">
        <v>75</v>
      </c>
      <c r="C1555">
        <v>1</v>
      </c>
      <c r="D1555">
        <v>24</v>
      </c>
      <c r="E1555">
        <v>24</v>
      </c>
      <c r="F1555" s="58">
        <v>45715</v>
      </c>
      <c r="G1555" s="58">
        <v>45716</v>
      </c>
      <c r="H1555" t="s">
        <v>231</v>
      </c>
      <c r="I1555" t="s">
        <v>59</v>
      </c>
      <c r="J1555">
        <v>4</v>
      </c>
      <c r="K1555" t="s">
        <v>103</v>
      </c>
      <c r="L1555" t="s">
        <v>143</v>
      </c>
      <c r="M1555">
        <f>orders[[#This Row],[Ship Date]]-orders[[#This Row],[Order Date]]</f>
        <v>1</v>
      </c>
      <c r="N1555">
        <f>WEEKNUM(orders[[#This Row],[Order Date]],1)</f>
        <v>9</v>
      </c>
      <c r="O1555" t="str">
        <f t="array" ref="O1555">_xlfn.IFS(orders[[#This Row],[Customer Gender]]="M","Male", orders[[#This Row],[Customer Gender]]="F","Female", orders[[#This Row],[Customer Gender]]="O","Other", TRUE(),"Unknown")</f>
        <v>Female</v>
      </c>
    </row>
    <row r="1556" spans="1:15" x14ac:dyDescent="0.25">
      <c r="A1556" t="s">
        <v>1784</v>
      </c>
      <c r="B1556" t="s">
        <v>74</v>
      </c>
      <c r="C1556">
        <v>9</v>
      </c>
      <c r="D1556">
        <v>18.5</v>
      </c>
      <c r="E1556">
        <v>166.5</v>
      </c>
      <c r="F1556" s="58">
        <v>45715</v>
      </c>
      <c r="G1556" s="58">
        <v>45717</v>
      </c>
      <c r="H1556" t="s">
        <v>231</v>
      </c>
      <c r="I1556" t="s">
        <v>59</v>
      </c>
      <c r="J1556">
        <v>4</v>
      </c>
      <c r="K1556" t="s">
        <v>103</v>
      </c>
      <c r="L1556" t="s">
        <v>146</v>
      </c>
      <c r="M1556">
        <f>orders[[#This Row],[Ship Date]]-orders[[#This Row],[Order Date]]</f>
        <v>2</v>
      </c>
      <c r="N1556">
        <f>WEEKNUM(orders[[#This Row],[Order Date]],1)</f>
        <v>9</v>
      </c>
      <c r="O1556" t="str">
        <f t="array" ref="O1556">_xlfn.IFS(orders[[#This Row],[Customer Gender]]="M","Male", orders[[#This Row],[Customer Gender]]="F","Female", orders[[#This Row],[Customer Gender]]="O","Other", TRUE(),"Unknown")</f>
        <v>Female</v>
      </c>
    </row>
    <row r="1557" spans="1:15" x14ac:dyDescent="0.25">
      <c r="A1557" t="s">
        <v>1785</v>
      </c>
      <c r="B1557" t="s">
        <v>93</v>
      </c>
      <c r="C1557">
        <v>12</v>
      </c>
      <c r="D1557">
        <v>66.7</v>
      </c>
      <c r="E1557">
        <v>800.4</v>
      </c>
      <c r="F1557" s="58">
        <v>45715</v>
      </c>
      <c r="G1557" s="58">
        <v>45718</v>
      </c>
      <c r="I1557" t="s">
        <v>59</v>
      </c>
      <c r="J1557">
        <v>5</v>
      </c>
      <c r="K1557" t="s">
        <v>103</v>
      </c>
      <c r="L1557" t="s">
        <v>148</v>
      </c>
      <c r="M1557">
        <f>orders[[#This Row],[Ship Date]]-orders[[#This Row],[Order Date]]</f>
        <v>3</v>
      </c>
      <c r="N1557">
        <f>WEEKNUM(orders[[#This Row],[Order Date]],1)</f>
        <v>9</v>
      </c>
      <c r="O1557" t="str">
        <f t="array" ref="O1557">_xlfn.IFS(orders[[#This Row],[Customer Gender]]="M","Male", orders[[#This Row],[Customer Gender]]="F","Female", orders[[#This Row],[Customer Gender]]="O","Other", TRUE(),"Unknown")</f>
        <v>Unknown</v>
      </c>
    </row>
    <row r="1558" spans="1:15" x14ac:dyDescent="0.25">
      <c r="A1558" t="s">
        <v>1786</v>
      </c>
      <c r="B1558" t="s">
        <v>91</v>
      </c>
      <c r="C1558">
        <v>4</v>
      </c>
      <c r="D1558">
        <v>33.1</v>
      </c>
      <c r="E1558">
        <v>132.4</v>
      </c>
      <c r="F1558" s="58">
        <v>45715</v>
      </c>
      <c r="G1558" s="58">
        <v>45720</v>
      </c>
      <c r="H1558" t="s">
        <v>229</v>
      </c>
      <c r="I1558" t="s">
        <v>60</v>
      </c>
      <c r="J1558">
        <v>4</v>
      </c>
      <c r="K1558" t="s">
        <v>103</v>
      </c>
      <c r="L1558" t="s">
        <v>148</v>
      </c>
      <c r="M1558">
        <f>orders[[#This Row],[Ship Date]]-orders[[#This Row],[Order Date]]</f>
        <v>5</v>
      </c>
      <c r="N1558">
        <f>WEEKNUM(orders[[#This Row],[Order Date]],1)</f>
        <v>9</v>
      </c>
      <c r="O1558" t="str">
        <f t="array" ref="O1558">_xlfn.IFS(orders[[#This Row],[Customer Gender]]="M","Male", orders[[#This Row],[Customer Gender]]="F","Female", orders[[#This Row],[Customer Gender]]="O","Other", TRUE(),"Unknown")</f>
        <v>Male</v>
      </c>
    </row>
    <row r="1559" spans="1:15" x14ac:dyDescent="0.25">
      <c r="A1559" t="s">
        <v>1787</v>
      </c>
      <c r="B1559" t="s">
        <v>81</v>
      </c>
      <c r="C1559">
        <v>9</v>
      </c>
      <c r="D1559">
        <v>42.1</v>
      </c>
      <c r="E1559">
        <v>378.9</v>
      </c>
      <c r="F1559" s="58">
        <v>45715</v>
      </c>
      <c r="G1559" s="58">
        <v>45726</v>
      </c>
      <c r="H1559" t="s">
        <v>229</v>
      </c>
      <c r="I1559" t="s">
        <v>63</v>
      </c>
      <c r="J1559">
        <v>4</v>
      </c>
      <c r="K1559" t="s">
        <v>103</v>
      </c>
      <c r="L1559" t="s">
        <v>154</v>
      </c>
      <c r="M1559">
        <f>orders[[#This Row],[Ship Date]]-orders[[#This Row],[Order Date]]</f>
        <v>11</v>
      </c>
      <c r="N1559">
        <f>WEEKNUM(orders[[#This Row],[Order Date]],1)</f>
        <v>9</v>
      </c>
      <c r="O1559" t="str">
        <f t="array" ref="O1559">_xlfn.IFS(orders[[#This Row],[Customer Gender]]="M","Male", orders[[#This Row],[Customer Gender]]="F","Female", orders[[#This Row],[Customer Gender]]="O","Other", TRUE(),"Unknown")</f>
        <v>Male</v>
      </c>
    </row>
    <row r="1560" spans="1:15" x14ac:dyDescent="0.25">
      <c r="A1560" t="s">
        <v>1788</v>
      </c>
      <c r="B1560" t="s">
        <v>82</v>
      </c>
      <c r="C1560">
        <v>7</v>
      </c>
      <c r="D1560">
        <v>58.7</v>
      </c>
      <c r="E1560">
        <v>410.9</v>
      </c>
      <c r="F1560" s="58">
        <v>45715</v>
      </c>
      <c r="G1560" s="58">
        <v>45715</v>
      </c>
      <c r="H1560" t="s">
        <v>263</v>
      </c>
      <c r="I1560" t="s">
        <v>60</v>
      </c>
      <c r="J1560">
        <v>4</v>
      </c>
      <c r="K1560" t="s">
        <v>103</v>
      </c>
      <c r="L1560" t="s">
        <v>156</v>
      </c>
      <c r="M1560">
        <f>orders[[#This Row],[Ship Date]]-orders[[#This Row],[Order Date]]</f>
        <v>0</v>
      </c>
      <c r="N1560">
        <f>WEEKNUM(orders[[#This Row],[Order Date]],1)</f>
        <v>9</v>
      </c>
      <c r="O1560" t="str">
        <f t="array" ref="O1560">_xlfn.IFS(orders[[#This Row],[Customer Gender]]="M","Male", orders[[#This Row],[Customer Gender]]="F","Female", orders[[#This Row],[Customer Gender]]="O","Other", TRUE(),"Unknown")</f>
        <v>Other</v>
      </c>
    </row>
    <row r="1561" spans="1:15" x14ac:dyDescent="0.25">
      <c r="A1561" t="s">
        <v>1789</v>
      </c>
      <c r="B1561" t="s">
        <v>80</v>
      </c>
      <c r="C1561">
        <v>4</v>
      </c>
      <c r="D1561">
        <v>54</v>
      </c>
      <c r="E1561">
        <v>216</v>
      </c>
      <c r="F1561" s="58">
        <v>45715</v>
      </c>
      <c r="G1561" s="58">
        <v>45717</v>
      </c>
      <c r="H1561" t="s">
        <v>231</v>
      </c>
      <c r="I1561" t="s">
        <v>63</v>
      </c>
      <c r="J1561">
        <v>4</v>
      </c>
      <c r="K1561" t="s">
        <v>103</v>
      </c>
      <c r="L1561" t="s">
        <v>112</v>
      </c>
      <c r="M1561">
        <f>orders[[#This Row],[Ship Date]]-orders[[#This Row],[Order Date]]</f>
        <v>2</v>
      </c>
      <c r="N1561">
        <f>WEEKNUM(orders[[#This Row],[Order Date]],1)</f>
        <v>9</v>
      </c>
      <c r="O1561" t="str">
        <f t="array" ref="O1561">_xlfn.IFS(orders[[#This Row],[Customer Gender]]="M","Male", orders[[#This Row],[Customer Gender]]="F","Female", orders[[#This Row],[Customer Gender]]="O","Other", TRUE(),"Unknown")</f>
        <v>Female</v>
      </c>
    </row>
    <row r="1562" spans="1:15" x14ac:dyDescent="0.25">
      <c r="A1562" t="s">
        <v>1790</v>
      </c>
      <c r="B1562" t="s">
        <v>90</v>
      </c>
      <c r="C1562">
        <v>1</v>
      </c>
      <c r="D1562">
        <v>52.1</v>
      </c>
      <c r="E1562">
        <v>52.1</v>
      </c>
      <c r="F1562" s="58">
        <v>45715</v>
      </c>
      <c r="G1562" s="58">
        <v>45716</v>
      </c>
      <c r="H1562" t="s">
        <v>231</v>
      </c>
      <c r="I1562" t="s">
        <v>62</v>
      </c>
      <c r="J1562">
        <v>5</v>
      </c>
      <c r="K1562" t="s">
        <v>103</v>
      </c>
      <c r="L1562" t="s">
        <v>115</v>
      </c>
      <c r="M1562">
        <f>orders[[#This Row],[Ship Date]]-orders[[#This Row],[Order Date]]</f>
        <v>1</v>
      </c>
      <c r="N1562">
        <f>WEEKNUM(orders[[#This Row],[Order Date]],1)</f>
        <v>9</v>
      </c>
      <c r="O1562" t="str">
        <f t="array" ref="O1562">_xlfn.IFS(orders[[#This Row],[Customer Gender]]="M","Male", orders[[#This Row],[Customer Gender]]="F","Female", orders[[#This Row],[Customer Gender]]="O","Other", TRUE(),"Unknown")</f>
        <v>Female</v>
      </c>
    </row>
    <row r="1563" spans="1:15" x14ac:dyDescent="0.25">
      <c r="A1563" t="s">
        <v>1791</v>
      </c>
      <c r="B1563" t="s">
        <v>81</v>
      </c>
      <c r="C1563">
        <v>2</v>
      </c>
      <c r="D1563">
        <v>27</v>
      </c>
      <c r="E1563">
        <v>54</v>
      </c>
      <c r="F1563" s="58">
        <v>45715</v>
      </c>
      <c r="G1563" s="58">
        <v>45718</v>
      </c>
      <c r="H1563" t="s">
        <v>263</v>
      </c>
      <c r="I1563" t="s">
        <v>62</v>
      </c>
      <c r="J1563">
        <v>4</v>
      </c>
      <c r="K1563" t="s">
        <v>103</v>
      </c>
      <c r="L1563" t="s">
        <v>120</v>
      </c>
      <c r="M1563">
        <f>orders[[#This Row],[Ship Date]]-orders[[#This Row],[Order Date]]</f>
        <v>3</v>
      </c>
      <c r="N1563">
        <f>WEEKNUM(orders[[#This Row],[Order Date]],1)</f>
        <v>9</v>
      </c>
      <c r="O1563" t="str">
        <f t="array" ref="O1563">_xlfn.IFS(orders[[#This Row],[Customer Gender]]="M","Male", orders[[#This Row],[Customer Gender]]="F","Female", orders[[#This Row],[Customer Gender]]="O","Other", TRUE(),"Unknown")</f>
        <v>Other</v>
      </c>
    </row>
    <row r="1564" spans="1:15" x14ac:dyDescent="0.25">
      <c r="A1564" t="s">
        <v>1792</v>
      </c>
      <c r="B1564" t="s">
        <v>76</v>
      </c>
      <c r="C1564">
        <v>10</v>
      </c>
      <c r="D1564">
        <v>31</v>
      </c>
      <c r="E1564">
        <v>310</v>
      </c>
      <c r="F1564" s="58">
        <v>45716</v>
      </c>
      <c r="G1564" s="58">
        <v>45717</v>
      </c>
      <c r="H1564" t="s">
        <v>231</v>
      </c>
      <c r="I1564" t="s">
        <v>60</v>
      </c>
      <c r="J1564">
        <v>5</v>
      </c>
      <c r="K1564" t="s">
        <v>103</v>
      </c>
      <c r="L1564" t="s">
        <v>120</v>
      </c>
      <c r="M1564">
        <f>orders[[#This Row],[Ship Date]]-orders[[#This Row],[Order Date]]</f>
        <v>1</v>
      </c>
      <c r="N1564">
        <f>WEEKNUM(orders[[#This Row],[Order Date]],1)</f>
        <v>9</v>
      </c>
      <c r="O1564" t="str">
        <f t="array" ref="O1564">_xlfn.IFS(orders[[#This Row],[Customer Gender]]="M","Male", orders[[#This Row],[Customer Gender]]="F","Female", orders[[#This Row],[Customer Gender]]="O","Other", TRUE(),"Unknown")</f>
        <v>Female</v>
      </c>
    </row>
    <row r="1565" spans="1:15" x14ac:dyDescent="0.25">
      <c r="A1565" t="s">
        <v>1793</v>
      </c>
      <c r="B1565" t="s">
        <v>75</v>
      </c>
      <c r="C1565">
        <v>2</v>
      </c>
      <c r="D1565">
        <v>46.7</v>
      </c>
      <c r="E1565">
        <v>93.4</v>
      </c>
      <c r="F1565" s="58">
        <v>45716</v>
      </c>
      <c r="G1565" s="58">
        <v>45716</v>
      </c>
      <c r="H1565" t="s">
        <v>231</v>
      </c>
      <c r="I1565" t="s">
        <v>59</v>
      </c>
      <c r="J1565">
        <v>4</v>
      </c>
      <c r="K1565" t="s">
        <v>103</v>
      </c>
      <c r="L1565" t="s">
        <v>121</v>
      </c>
      <c r="M1565">
        <f>orders[[#This Row],[Ship Date]]-orders[[#This Row],[Order Date]]</f>
        <v>0</v>
      </c>
      <c r="N1565">
        <f>WEEKNUM(orders[[#This Row],[Order Date]],1)</f>
        <v>9</v>
      </c>
      <c r="O1565" t="str">
        <f t="array" ref="O1565">_xlfn.IFS(orders[[#This Row],[Customer Gender]]="M","Male", orders[[#This Row],[Customer Gender]]="F","Female", orders[[#This Row],[Customer Gender]]="O","Other", TRUE(),"Unknown")</f>
        <v>Female</v>
      </c>
    </row>
    <row r="1566" spans="1:15" x14ac:dyDescent="0.25">
      <c r="A1566" t="s">
        <v>1794</v>
      </c>
      <c r="B1566" t="s">
        <v>80</v>
      </c>
      <c r="C1566">
        <v>1</v>
      </c>
      <c r="D1566">
        <v>144.69999999999999</v>
      </c>
      <c r="E1566">
        <v>144.69999999999999</v>
      </c>
      <c r="F1566" s="58">
        <v>45716</v>
      </c>
      <c r="G1566" s="58">
        <v>45719</v>
      </c>
      <c r="H1566" t="s">
        <v>229</v>
      </c>
      <c r="I1566" t="s">
        <v>59</v>
      </c>
      <c r="J1566">
        <v>5</v>
      </c>
      <c r="K1566" t="s">
        <v>103</v>
      </c>
      <c r="L1566" t="s">
        <v>124</v>
      </c>
      <c r="M1566">
        <f>orders[[#This Row],[Ship Date]]-orders[[#This Row],[Order Date]]</f>
        <v>3</v>
      </c>
      <c r="N1566">
        <f>WEEKNUM(orders[[#This Row],[Order Date]],1)</f>
        <v>9</v>
      </c>
      <c r="O1566" t="str">
        <f t="array" ref="O1566">_xlfn.IFS(orders[[#This Row],[Customer Gender]]="M","Male", orders[[#This Row],[Customer Gender]]="F","Female", orders[[#This Row],[Customer Gender]]="O","Other", TRUE(),"Unknown")</f>
        <v>Male</v>
      </c>
    </row>
    <row r="1567" spans="1:15" x14ac:dyDescent="0.25">
      <c r="A1567" t="s">
        <v>1795</v>
      </c>
      <c r="B1567" t="s">
        <v>87</v>
      </c>
      <c r="C1567">
        <v>9</v>
      </c>
      <c r="D1567">
        <v>90.9</v>
      </c>
      <c r="E1567">
        <v>818.1</v>
      </c>
      <c r="F1567" s="58">
        <v>45716</v>
      </c>
      <c r="G1567" s="58">
        <v>45717</v>
      </c>
      <c r="H1567" t="s">
        <v>229</v>
      </c>
      <c r="I1567" t="s">
        <v>59</v>
      </c>
      <c r="J1567">
        <v>5</v>
      </c>
      <c r="K1567" t="s">
        <v>103</v>
      </c>
      <c r="L1567" t="s">
        <v>124</v>
      </c>
      <c r="M1567">
        <f>orders[[#This Row],[Ship Date]]-orders[[#This Row],[Order Date]]</f>
        <v>1</v>
      </c>
      <c r="N1567">
        <f>WEEKNUM(orders[[#This Row],[Order Date]],1)</f>
        <v>9</v>
      </c>
      <c r="O1567" t="str">
        <f t="array" ref="O1567">_xlfn.IFS(orders[[#This Row],[Customer Gender]]="M","Male", orders[[#This Row],[Customer Gender]]="F","Female", orders[[#This Row],[Customer Gender]]="O","Other", TRUE(),"Unknown")</f>
        <v>Male</v>
      </c>
    </row>
    <row r="1568" spans="1:15" x14ac:dyDescent="0.25">
      <c r="A1568" t="s">
        <v>1796</v>
      </c>
      <c r="B1568" t="s">
        <v>91</v>
      </c>
      <c r="C1568">
        <v>2</v>
      </c>
      <c r="D1568">
        <v>75.8</v>
      </c>
      <c r="E1568">
        <v>151.6</v>
      </c>
      <c r="F1568" s="58">
        <v>45716</v>
      </c>
      <c r="G1568" s="58">
        <v>45717</v>
      </c>
      <c r="H1568" t="s">
        <v>231</v>
      </c>
      <c r="I1568" t="s">
        <v>62</v>
      </c>
      <c r="J1568">
        <v>3</v>
      </c>
      <c r="K1568" t="s">
        <v>103</v>
      </c>
      <c r="L1568" t="s">
        <v>124</v>
      </c>
      <c r="M1568">
        <f>orders[[#This Row],[Ship Date]]-orders[[#This Row],[Order Date]]</f>
        <v>1</v>
      </c>
      <c r="N1568">
        <f>WEEKNUM(orders[[#This Row],[Order Date]],1)</f>
        <v>9</v>
      </c>
      <c r="O1568" t="str">
        <f t="array" ref="O1568">_xlfn.IFS(orders[[#This Row],[Customer Gender]]="M","Male", orders[[#This Row],[Customer Gender]]="F","Female", orders[[#This Row],[Customer Gender]]="O","Other", TRUE(),"Unknown")</f>
        <v>Female</v>
      </c>
    </row>
    <row r="1569" spans="1:15" x14ac:dyDescent="0.25">
      <c r="A1569" t="s">
        <v>1797</v>
      </c>
      <c r="B1569" t="s">
        <v>79</v>
      </c>
      <c r="C1569">
        <v>5</v>
      </c>
      <c r="D1569">
        <v>57.9</v>
      </c>
      <c r="E1569">
        <v>289.5</v>
      </c>
      <c r="F1569" s="58">
        <v>45716</v>
      </c>
      <c r="G1569" s="58">
        <v>45718</v>
      </c>
      <c r="H1569" t="s">
        <v>229</v>
      </c>
      <c r="I1569" t="s">
        <v>62</v>
      </c>
      <c r="J1569">
        <v>5</v>
      </c>
      <c r="K1569" t="s">
        <v>103</v>
      </c>
      <c r="L1569" t="s">
        <v>124</v>
      </c>
      <c r="M1569">
        <f>orders[[#This Row],[Ship Date]]-orders[[#This Row],[Order Date]]</f>
        <v>2</v>
      </c>
      <c r="N1569">
        <f>WEEKNUM(orders[[#This Row],[Order Date]],1)</f>
        <v>9</v>
      </c>
      <c r="O1569" t="str">
        <f t="array" ref="O1569">_xlfn.IFS(orders[[#This Row],[Customer Gender]]="M","Male", orders[[#This Row],[Customer Gender]]="F","Female", orders[[#This Row],[Customer Gender]]="O","Other", TRUE(),"Unknown")</f>
        <v>Male</v>
      </c>
    </row>
    <row r="1570" spans="1:15" x14ac:dyDescent="0.25">
      <c r="A1570" t="s">
        <v>1798</v>
      </c>
      <c r="B1570" t="s">
        <v>90</v>
      </c>
      <c r="C1570">
        <v>5</v>
      </c>
      <c r="D1570">
        <v>44.8</v>
      </c>
      <c r="E1570">
        <v>224</v>
      </c>
      <c r="F1570" s="58">
        <v>45716</v>
      </c>
      <c r="G1570" s="58">
        <v>45717</v>
      </c>
      <c r="H1570" t="s">
        <v>231</v>
      </c>
      <c r="I1570" t="s">
        <v>60</v>
      </c>
      <c r="J1570">
        <v>5</v>
      </c>
      <c r="K1570" t="s">
        <v>103</v>
      </c>
      <c r="L1570" t="s">
        <v>124</v>
      </c>
      <c r="M1570">
        <f>orders[[#This Row],[Ship Date]]-orders[[#This Row],[Order Date]]</f>
        <v>1</v>
      </c>
      <c r="N1570">
        <f>WEEKNUM(orders[[#This Row],[Order Date]],1)</f>
        <v>9</v>
      </c>
      <c r="O1570" t="str">
        <f t="array" ref="O1570">_xlfn.IFS(orders[[#This Row],[Customer Gender]]="M","Male", orders[[#This Row],[Customer Gender]]="F","Female", orders[[#This Row],[Customer Gender]]="O","Other", TRUE(),"Unknown")</f>
        <v>Female</v>
      </c>
    </row>
    <row r="1571" spans="1:15" x14ac:dyDescent="0.25">
      <c r="A1571" t="s">
        <v>1799</v>
      </c>
      <c r="B1571" t="s">
        <v>88</v>
      </c>
      <c r="C1571">
        <v>3</v>
      </c>
      <c r="D1571">
        <v>44.2</v>
      </c>
      <c r="E1571">
        <v>132.6</v>
      </c>
      <c r="F1571" s="58">
        <v>45716</v>
      </c>
      <c r="G1571" s="58">
        <v>45720</v>
      </c>
      <c r="H1571" t="s">
        <v>229</v>
      </c>
      <c r="I1571" t="s">
        <v>62</v>
      </c>
      <c r="J1571">
        <v>5</v>
      </c>
      <c r="K1571" t="s">
        <v>103</v>
      </c>
      <c r="L1571" t="s">
        <v>124</v>
      </c>
      <c r="M1571">
        <f>orders[[#This Row],[Ship Date]]-orders[[#This Row],[Order Date]]</f>
        <v>4</v>
      </c>
      <c r="N1571">
        <f>WEEKNUM(orders[[#This Row],[Order Date]],1)</f>
        <v>9</v>
      </c>
      <c r="O1571" t="str">
        <f t="array" ref="O1571">_xlfn.IFS(orders[[#This Row],[Customer Gender]]="M","Male", orders[[#This Row],[Customer Gender]]="F","Female", orders[[#This Row],[Customer Gender]]="O","Other", TRUE(),"Unknown")</f>
        <v>Male</v>
      </c>
    </row>
    <row r="1572" spans="1:15" x14ac:dyDescent="0.25">
      <c r="A1572" t="s">
        <v>1800</v>
      </c>
      <c r="B1572" t="s">
        <v>85</v>
      </c>
      <c r="C1572">
        <v>5</v>
      </c>
      <c r="D1572">
        <v>53.5</v>
      </c>
      <c r="E1572">
        <v>267.5</v>
      </c>
      <c r="F1572" s="58">
        <v>45716</v>
      </c>
      <c r="G1572" s="58">
        <v>45718</v>
      </c>
      <c r="H1572" t="s">
        <v>229</v>
      </c>
      <c r="I1572" t="s">
        <v>59</v>
      </c>
      <c r="J1572">
        <v>4</v>
      </c>
      <c r="K1572" t="s">
        <v>103</v>
      </c>
      <c r="L1572" t="s">
        <v>125</v>
      </c>
      <c r="M1572">
        <f>orders[[#This Row],[Ship Date]]-orders[[#This Row],[Order Date]]</f>
        <v>2</v>
      </c>
      <c r="N1572">
        <f>WEEKNUM(orders[[#This Row],[Order Date]],1)</f>
        <v>9</v>
      </c>
      <c r="O1572" t="str">
        <f t="array" ref="O1572">_xlfn.IFS(orders[[#This Row],[Customer Gender]]="M","Male", orders[[#This Row],[Customer Gender]]="F","Female", orders[[#This Row],[Customer Gender]]="O","Other", TRUE(),"Unknown")</f>
        <v>Male</v>
      </c>
    </row>
    <row r="1573" spans="1:15" x14ac:dyDescent="0.25">
      <c r="A1573" t="s">
        <v>1801</v>
      </c>
      <c r="B1573" t="s">
        <v>80</v>
      </c>
      <c r="C1573">
        <v>2</v>
      </c>
      <c r="D1573">
        <v>72.2</v>
      </c>
      <c r="E1573">
        <v>144.4</v>
      </c>
      <c r="F1573" s="58">
        <v>45716</v>
      </c>
      <c r="G1573" s="58">
        <v>45717</v>
      </c>
      <c r="H1573" t="s">
        <v>229</v>
      </c>
      <c r="I1573" t="s">
        <v>59</v>
      </c>
      <c r="J1573">
        <v>5</v>
      </c>
      <c r="K1573" t="s">
        <v>103</v>
      </c>
      <c r="L1573" t="s">
        <v>135</v>
      </c>
      <c r="M1573">
        <f>orders[[#This Row],[Ship Date]]-orders[[#This Row],[Order Date]]</f>
        <v>1</v>
      </c>
      <c r="N1573">
        <f>WEEKNUM(orders[[#This Row],[Order Date]],1)</f>
        <v>9</v>
      </c>
      <c r="O1573" t="str">
        <f t="array" ref="O1573">_xlfn.IFS(orders[[#This Row],[Customer Gender]]="M","Male", orders[[#This Row],[Customer Gender]]="F","Female", orders[[#This Row],[Customer Gender]]="O","Other", TRUE(),"Unknown")</f>
        <v>Male</v>
      </c>
    </row>
    <row r="1574" spans="1:15" x14ac:dyDescent="0.25">
      <c r="A1574" t="s">
        <v>1802</v>
      </c>
      <c r="B1574" t="s">
        <v>80</v>
      </c>
      <c r="C1574">
        <v>4</v>
      </c>
      <c r="D1574">
        <v>62.4</v>
      </c>
      <c r="E1574">
        <v>249.6</v>
      </c>
      <c r="F1574" s="58">
        <v>45716</v>
      </c>
      <c r="G1574" s="58">
        <v>45719</v>
      </c>
      <c r="H1574" t="s">
        <v>231</v>
      </c>
      <c r="I1574" t="s">
        <v>59</v>
      </c>
      <c r="J1574">
        <v>3</v>
      </c>
      <c r="K1574" t="s">
        <v>103</v>
      </c>
      <c r="L1574" t="s">
        <v>138</v>
      </c>
      <c r="M1574">
        <f>orders[[#This Row],[Ship Date]]-orders[[#This Row],[Order Date]]</f>
        <v>3</v>
      </c>
      <c r="N1574">
        <f>WEEKNUM(orders[[#This Row],[Order Date]],1)</f>
        <v>9</v>
      </c>
      <c r="O1574" t="str">
        <f t="array" ref="O1574">_xlfn.IFS(orders[[#This Row],[Customer Gender]]="M","Male", orders[[#This Row],[Customer Gender]]="F","Female", orders[[#This Row],[Customer Gender]]="O","Other", TRUE(),"Unknown")</f>
        <v>Female</v>
      </c>
    </row>
    <row r="1575" spans="1:15" x14ac:dyDescent="0.25">
      <c r="A1575" t="s">
        <v>1803</v>
      </c>
      <c r="B1575" t="s">
        <v>75</v>
      </c>
      <c r="C1575">
        <v>5</v>
      </c>
      <c r="D1575">
        <v>24.7</v>
      </c>
      <c r="E1575">
        <v>123.5</v>
      </c>
      <c r="F1575" s="58">
        <v>45716</v>
      </c>
      <c r="G1575" s="58">
        <v>45717</v>
      </c>
      <c r="H1575" t="s">
        <v>231</v>
      </c>
      <c r="I1575" t="s">
        <v>59</v>
      </c>
      <c r="J1575">
        <v>4</v>
      </c>
      <c r="K1575" t="s">
        <v>103</v>
      </c>
      <c r="L1575" t="s">
        <v>139</v>
      </c>
      <c r="M1575">
        <f>orders[[#This Row],[Ship Date]]-orders[[#This Row],[Order Date]]</f>
        <v>1</v>
      </c>
      <c r="N1575">
        <f>WEEKNUM(orders[[#This Row],[Order Date]],1)</f>
        <v>9</v>
      </c>
      <c r="O1575" t="str">
        <f t="array" ref="O1575">_xlfn.IFS(orders[[#This Row],[Customer Gender]]="M","Male", orders[[#This Row],[Customer Gender]]="F","Female", orders[[#This Row],[Customer Gender]]="O","Other", TRUE(),"Unknown")</f>
        <v>Female</v>
      </c>
    </row>
    <row r="1576" spans="1:15" x14ac:dyDescent="0.25">
      <c r="A1576" t="s">
        <v>1804</v>
      </c>
      <c r="B1576" t="s">
        <v>91</v>
      </c>
      <c r="C1576">
        <v>5</v>
      </c>
      <c r="D1576">
        <v>61.7</v>
      </c>
      <c r="E1576">
        <v>308.5</v>
      </c>
      <c r="F1576" s="58">
        <v>45716</v>
      </c>
      <c r="G1576" s="58">
        <v>45718</v>
      </c>
      <c r="H1576" t="s">
        <v>231</v>
      </c>
      <c r="I1576" t="s">
        <v>62</v>
      </c>
      <c r="J1576">
        <v>4</v>
      </c>
      <c r="K1576" t="s">
        <v>103</v>
      </c>
      <c r="L1576" t="s">
        <v>142</v>
      </c>
      <c r="M1576">
        <f>orders[[#This Row],[Ship Date]]-orders[[#This Row],[Order Date]]</f>
        <v>2</v>
      </c>
      <c r="N1576">
        <f>WEEKNUM(orders[[#This Row],[Order Date]],1)</f>
        <v>9</v>
      </c>
      <c r="O1576" t="str">
        <f t="array" ref="O1576">_xlfn.IFS(orders[[#This Row],[Customer Gender]]="M","Male", orders[[#This Row],[Customer Gender]]="F","Female", orders[[#This Row],[Customer Gender]]="O","Other", TRUE(),"Unknown")</f>
        <v>Female</v>
      </c>
    </row>
    <row r="1577" spans="1:15" x14ac:dyDescent="0.25">
      <c r="A1577" t="s">
        <v>1805</v>
      </c>
      <c r="B1577" t="s">
        <v>90</v>
      </c>
      <c r="C1577">
        <v>5</v>
      </c>
      <c r="D1577">
        <v>18.2</v>
      </c>
      <c r="E1577">
        <v>91</v>
      </c>
      <c r="F1577" s="58">
        <v>45716</v>
      </c>
      <c r="G1577" s="58">
        <v>45718</v>
      </c>
      <c r="H1577" t="s">
        <v>231</v>
      </c>
      <c r="I1577" t="s">
        <v>60</v>
      </c>
      <c r="J1577">
        <v>4</v>
      </c>
      <c r="K1577" t="s">
        <v>103</v>
      </c>
      <c r="L1577" t="s">
        <v>142</v>
      </c>
      <c r="M1577">
        <f>orders[[#This Row],[Ship Date]]-orders[[#This Row],[Order Date]]</f>
        <v>2</v>
      </c>
      <c r="N1577">
        <f>WEEKNUM(orders[[#This Row],[Order Date]],1)</f>
        <v>9</v>
      </c>
      <c r="O1577" t="str">
        <f t="array" ref="O1577">_xlfn.IFS(orders[[#This Row],[Customer Gender]]="M","Male", orders[[#This Row],[Customer Gender]]="F","Female", orders[[#This Row],[Customer Gender]]="O","Other", TRUE(),"Unknown")</f>
        <v>Female</v>
      </c>
    </row>
    <row r="1578" spans="1:15" x14ac:dyDescent="0.25">
      <c r="A1578" t="s">
        <v>1806</v>
      </c>
      <c r="B1578" t="s">
        <v>75</v>
      </c>
      <c r="C1578">
        <v>4</v>
      </c>
      <c r="D1578">
        <v>37.200000000000003</v>
      </c>
      <c r="E1578">
        <v>148.80000000000001</v>
      </c>
      <c r="F1578" s="58">
        <v>45716</v>
      </c>
      <c r="G1578" s="58">
        <v>45722</v>
      </c>
      <c r="H1578" t="s">
        <v>231</v>
      </c>
      <c r="I1578" t="s">
        <v>59</v>
      </c>
      <c r="J1578">
        <v>4</v>
      </c>
      <c r="K1578" t="s">
        <v>103</v>
      </c>
      <c r="L1578" t="s">
        <v>142</v>
      </c>
      <c r="M1578">
        <f>orders[[#This Row],[Ship Date]]-orders[[#This Row],[Order Date]]</f>
        <v>6</v>
      </c>
      <c r="N1578">
        <f>WEEKNUM(orders[[#This Row],[Order Date]],1)</f>
        <v>9</v>
      </c>
      <c r="O1578" t="str">
        <f t="array" ref="O1578">_xlfn.IFS(orders[[#This Row],[Customer Gender]]="M","Male", orders[[#This Row],[Customer Gender]]="F","Female", orders[[#This Row],[Customer Gender]]="O","Other", TRUE(),"Unknown")</f>
        <v>Female</v>
      </c>
    </row>
    <row r="1579" spans="1:15" x14ac:dyDescent="0.25">
      <c r="A1579" t="s">
        <v>1807</v>
      </c>
      <c r="B1579" t="s">
        <v>88</v>
      </c>
      <c r="C1579">
        <v>3</v>
      </c>
      <c r="D1579">
        <v>53.5</v>
      </c>
      <c r="E1579">
        <v>160.5</v>
      </c>
      <c r="F1579" s="58">
        <v>45716</v>
      </c>
      <c r="G1579" s="58">
        <v>45718</v>
      </c>
      <c r="H1579" t="s">
        <v>231</v>
      </c>
      <c r="I1579" t="s">
        <v>63</v>
      </c>
      <c r="J1579">
        <v>5</v>
      </c>
      <c r="K1579" t="s">
        <v>103</v>
      </c>
      <c r="L1579" t="s">
        <v>146</v>
      </c>
      <c r="M1579">
        <f>orders[[#This Row],[Ship Date]]-orders[[#This Row],[Order Date]]</f>
        <v>2</v>
      </c>
      <c r="N1579">
        <f>WEEKNUM(orders[[#This Row],[Order Date]],1)</f>
        <v>9</v>
      </c>
      <c r="O1579" t="str">
        <f t="array" ref="O1579">_xlfn.IFS(orders[[#This Row],[Customer Gender]]="M","Male", orders[[#This Row],[Customer Gender]]="F","Female", orders[[#This Row],[Customer Gender]]="O","Other", TRUE(),"Unknown")</f>
        <v>Female</v>
      </c>
    </row>
    <row r="1580" spans="1:15" x14ac:dyDescent="0.25">
      <c r="A1580" t="s">
        <v>1808</v>
      </c>
      <c r="B1580" t="s">
        <v>90</v>
      </c>
      <c r="C1580">
        <v>3</v>
      </c>
      <c r="D1580">
        <v>43.6</v>
      </c>
      <c r="E1580">
        <v>130.80000000000001</v>
      </c>
      <c r="F1580" s="58">
        <v>45716</v>
      </c>
      <c r="G1580" s="58">
        <v>45716</v>
      </c>
      <c r="H1580" t="s">
        <v>231</v>
      </c>
      <c r="I1580" t="s">
        <v>59</v>
      </c>
      <c r="J1580">
        <v>4</v>
      </c>
      <c r="K1580" t="s">
        <v>103</v>
      </c>
      <c r="L1580" t="s">
        <v>146</v>
      </c>
      <c r="M1580">
        <f>orders[[#This Row],[Ship Date]]-orders[[#This Row],[Order Date]]</f>
        <v>0</v>
      </c>
      <c r="N1580">
        <f>WEEKNUM(orders[[#This Row],[Order Date]],1)</f>
        <v>9</v>
      </c>
      <c r="O1580" t="str">
        <f t="array" ref="O1580">_xlfn.IFS(orders[[#This Row],[Customer Gender]]="M","Male", orders[[#This Row],[Customer Gender]]="F","Female", orders[[#This Row],[Customer Gender]]="O","Other", TRUE(),"Unknown")</f>
        <v>Female</v>
      </c>
    </row>
    <row r="1581" spans="1:15" x14ac:dyDescent="0.25">
      <c r="A1581" t="s">
        <v>1809</v>
      </c>
      <c r="B1581" t="s">
        <v>91</v>
      </c>
      <c r="C1581">
        <v>10</v>
      </c>
      <c r="D1581">
        <v>135</v>
      </c>
      <c r="E1581">
        <v>1350</v>
      </c>
      <c r="F1581" s="58">
        <v>45716</v>
      </c>
      <c r="G1581" s="58">
        <v>45718</v>
      </c>
      <c r="H1581" t="s">
        <v>231</v>
      </c>
      <c r="I1581" t="s">
        <v>59</v>
      </c>
      <c r="J1581">
        <v>5</v>
      </c>
      <c r="K1581" t="s">
        <v>103</v>
      </c>
      <c r="L1581" t="s">
        <v>146</v>
      </c>
      <c r="M1581">
        <f>orders[[#This Row],[Ship Date]]-orders[[#This Row],[Order Date]]</f>
        <v>2</v>
      </c>
      <c r="N1581">
        <f>WEEKNUM(orders[[#This Row],[Order Date]],1)</f>
        <v>9</v>
      </c>
      <c r="O1581" t="str">
        <f t="array" ref="O1581">_xlfn.IFS(orders[[#This Row],[Customer Gender]]="M","Male", orders[[#This Row],[Customer Gender]]="F","Female", orders[[#This Row],[Customer Gender]]="O","Other", TRUE(),"Unknown")</f>
        <v>Female</v>
      </c>
    </row>
    <row r="1582" spans="1:15" x14ac:dyDescent="0.25">
      <c r="A1582" t="s">
        <v>1810</v>
      </c>
      <c r="B1582" t="s">
        <v>90</v>
      </c>
      <c r="C1582">
        <v>5</v>
      </c>
      <c r="D1582">
        <v>38.5</v>
      </c>
      <c r="E1582">
        <v>192.5</v>
      </c>
      <c r="F1582" s="58">
        <v>45716</v>
      </c>
      <c r="G1582" s="58">
        <v>45716</v>
      </c>
      <c r="H1582" t="s">
        <v>229</v>
      </c>
      <c r="I1582" t="s">
        <v>61</v>
      </c>
      <c r="J1582">
        <v>5</v>
      </c>
      <c r="K1582" t="s">
        <v>103</v>
      </c>
      <c r="L1582" t="s">
        <v>147</v>
      </c>
      <c r="M1582">
        <f>orders[[#This Row],[Ship Date]]-orders[[#This Row],[Order Date]]</f>
        <v>0</v>
      </c>
      <c r="N1582">
        <f>WEEKNUM(orders[[#This Row],[Order Date]],1)</f>
        <v>9</v>
      </c>
      <c r="O1582" t="str">
        <f t="array" ref="O1582">_xlfn.IFS(orders[[#This Row],[Customer Gender]]="M","Male", orders[[#This Row],[Customer Gender]]="F","Female", orders[[#This Row],[Customer Gender]]="O","Other", TRUE(),"Unknown")</f>
        <v>Male</v>
      </c>
    </row>
    <row r="1583" spans="1:15" x14ac:dyDescent="0.25">
      <c r="A1583" t="s">
        <v>1811</v>
      </c>
      <c r="B1583" t="s">
        <v>88</v>
      </c>
      <c r="C1583">
        <v>2</v>
      </c>
      <c r="D1583">
        <v>24</v>
      </c>
      <c r="E1583">
        <v>48</v>
      </c>
      <c r="F1583" s="58">
        <v>45716</v>
      </c>
      <c r="G1583" s="58">
        <v>45721</v>
      </c>
      <c r="H1583" t="s">
        <v>231</v>
      </c>
      <c r="I1583" t="s">
        <v>59</v>
      </c>
      <c r="J1583">
        <v>4</v>
      </c>
      <c r="K1583" t="s">
        <v>103</v>
      </c>
      <c r="L1583" t="s">
        <v>148</v>
      </c>
      <c r="M1583">
        <f>orders[[#This Row],[Ship Date]]-orders[[#This Row],[Order Date]]</f>
        <v>5</v>
      </c>
      <c r="N1583">
        <f>WEEKNUM(orders[[#This Row],[Order Date]],1)</f>
        <v>9</v>
      </c>
      <c r="O1583" t="str">
        <f t="array" ref="O1583">_xlfn.IFS(orders[[#This Row],[Customer Gender]]="M","Male", orders[[#This Row],[Customer Gender]]="F","Female", orders[[#This Row],[Customer Gender]]="O","Other", TRUE(),"Unknown")</f>
        <v>Female</v>
      </c>
    </row>
    <row r="1584" spans="1:15" x14ac:dyDescent="0.25">
      <c r="A1584" t="s">
        <v>1812</v>
      </c>
      <c r="B1584" t="s">
        <v>78</v>
      </c>
      <c r="C1584">
        <v>3</v>
      </c>
      <c r="D1584">
        <v>28.2</v>
      </c>
      <c r="E1584">
        <v>84.6</v>
      </c>
      <c r="F1584" s="58">
        <v>45716</v>
      </c>
      <c r="G1584" s="58">
        <v>45718</v>
      </c>
      <c r="H1584" t="s">
        <v>229</v>
      </c>
      <c r="I1584" t="s">
        <v>59</v>
      </c>
      <c r="J1584">
        <v>1</v>
      </c>
      <c r="K1584" t="s">
        <v>103</v>
      </c>
      <c r="L1584" t="s">
        <v>154</v>
      </c>
      <c r="M1584">
        <f>orders[[#This Row],[Ship Date]]-orders[[#This Row],[Order Date]]</f>
        <v>2</v>
      </c>
      <c r="N1584">
        <f>WEEKNUM(orders[[#This Row],[Order Date]],1)</f>
        <v>9</v>
      </c>
      <c r="O1584" t="str">
        <f t="array" ref="O1584">_xlfn.IFS(orders[[#This Row],[Customer Gender]]="M","Male", orders[[#This Row],[Customer Gender]]="F","Female", orders[[#This Row],[Customer Gender]]="O","Other", TRUE(),"Unknown")</f>
        <v>Male</v>
      </c>
    </row>
    <row r="1585" spans="1:15" x14ac:dyDescent="0.25">
      <c r="A1585" t="s">
        <v>1813</v>
      </c>
      <c r="B1585" t="s">
        <v>79</v>
      </c>
      <c r="C1585">
        <v>3</v>
      </c>
      <c r="D1585">
        <v>37.4</v>
      </c>
      <c r="E1585">
        <v>112.2</v>
      </c>
      <c r="F1585" s="58">
        <v>45716</v>
      </c>
      <c r="G1585" s="58">
        <v>45717</v>
      </c>
      <c r="H1585" t="s">
        <v>231</v>
      </c>
      <c r="I1585" t="s">
        <v>60</v>
      </c>
      <c r="J1585">
        <v>4</v>
      </c>
      <c r="K1585" t="s">
        <v>103</v>
      </c>
      <c r="L1585" t="s">
        <v>112</v>
      </c>
      <c r="M1585">
        <f>orders[[#This Row],[Ship Date]]-orders[[#This Row],[Order Date]]</f>
        <v>1</v>
      </c>
      <c r="N1585">
        <f>WEEKNUM(orders[[#This Row],[Order Date]],1)</f>
        <v>9</v>
      </c>
      <c r="O1585" t="str">
        <f t="array" ref="O1585">_xlfn.IFS(orders[[#This Row],[Customer Gender]]="M","Male", orders[[#This Row],[Customer Gender]]="F","Female", orders[[#This Row],[Customer Gender]]="O","Other", TRUE(),"Unknown")</f>
        <v>Female</v>
      </c>
    </row>
    <row r="1586" spans="1:15" x14ac:dyDescent="0.25">
      <c r="A1586" t="s">
        <v>1814</v>
      </c>
      <c r="B1586" t="s">
        <v>80</v>
      </c>
      <c r="C1586">
        <v>3</v>
      </c>
      <c r="D1586">
        <v>53.5</v>
      </c>
      <c r="E1586">
        <v>160.5</v>
      </c>
      <c r="F1586" s="58">
        <v>45716</v>
      </c>
      <c r="G1586" s="58">
        <v>45719</v>
      </c>
      <c r="I1586" t="s">
        <v>61</v>
      </c>
      <c r="J1586">
        <v>2</v>
      </c>
      <c r="K1586" t="s">
        <v>103</v>
      </c>
      <c r="L1586" t="s">
        <v>112</v>
      </c>
      <c r="M1586">
        <f>orders[[#This Row],[Ship Date]]-orders[[#This Row],[Order Date]]</f>
        <v>3</v>
      </c>
      <c r="N1586">
        <f>WEEKNUM(orders[[#This Row],[Order Date]],1)</f>
        <v>9</v>
      </c>
      <c r="O1586" t="str">
        <f t="array" ref="O1586">_xlfn.IFS(orders[[#This Row],[Customer Gender]]="M","Male", orders[[#This Row],[Customer Gender]]="F","Female", orders[[#This Row],[Customer Gender]]="O","Other", TRUE(),"Unknown")</f>
        <v>Unknown</v>
      </c>
    </row>
    <row r="1587" spans="1:15" x14ac:dyDescent="0.25">
      <c r="A1587" t="s">
        <v>1815</v>
      </c>
      <c r="B1587" t="s">
        <v>83</v>
      </c>
      <c r="C1587">
        <v>5</v>
      </c>
      <c r="D1587">
        <v>36.200000000000003</v>
      </c>
      <c r="E1587">
        <v>181</v>
      </c>
      <c r="F1587" s="58">
        <v>45716</v>
      </c>
      <c r="G1587" s="58">
        <v>45717</v>
      </c>
      <c r="H1587" t="s">
        <v>229</v>
      </c>
      <c r="I1587" t="s">
        <v>63</v>
      </c>
      <c r="J1587">
        <v>5</v>
      </c>
      <c r="K1587" t="s">
        <v>103</v>
      </c>
      <c r="L1587" t="s">
        <v>118</v>
      </c>
      <c r="M1587">
        <f>orders[[#This Row],[Ship Date]]-orders[[#This Row],[Order Date]]</f>
        <v>1</v>
      </c>
      <c r="N1587">
        <f>WEEKNUM(orders[[#This Row],[Order Date]],1)</f>
        <v>9</v>
      </c>
      <c r="O1587" t="str">
        <f t="array" ref="O1587">_xlfn.IFS(orders[[#This Row],[Customer Gender]]="M","Male", orders[[#This Row],[Customer Gender]]="F","Female", orders[[#This Row],[Customer Gender]]="O","Other", TRUE(),"Unknown")</f>
        <v>Male</v>
      </c>
    </row>
    <row r="1588" spans="1:15" x14ac:dyDescent="0.25">
      <c r="A1588" t="s">
        <v>1816</v>
      </c>
      <c r="B1588" t="s">
        <v>86</v>
      </c>
      <c r="C1588">
        <v>8</v>
      </c>
      <c r="D1588">
        <v>31.9</v>
      </c>
      <c r="E1588">
        <v>255.2</v>
      </c>
      <c r="F1588" s="58">
        <v>45716</v>
      </c>
      <c r="G1588" s="58">
        <v>45717</v>
      </c>
      <c r="H1588" t="s">
        <v>231</v>
      </c>
      <c r="I1588" t="s">
        <v>61</v>
      </c>
      <c r="J1588">
        <v>4</v>
      </c>
      <c r="K1588" t="s">
        <v>103</v>
      </c>
      <c r="L1588" t="s">
        <v>124</v>
      </c>
      <c r="M1588">
        <f>orders[[#This Row],[Ship Date]]-orders[[#This Row],[Order Date]]</f>
        <v>1</v>
      </c>
      <c r="N1588">
        <f>WEEKNUM(orders[[#This Row],[Order Date]],1)</f>
        <v>9</v>
      </c>
      <c r="O1588" t="str">
        <f t="array" ref="O1588">_xlfn.IFS(orders[[#This Row],[Customer Gender]]="M","Male", orders[[#This Row],[Customer Gender]]="F","Female", orders[[#This Row],[Customer Gender]]="O","Other", TRUE(),"Unknown")</f>
        <v>Female</v>
      </c>
    </row>
    <row r="1589" spans="1:15" x14ac:dyDescent="0.25">
      <c r="A1589" t="s">
        <v>1817</v>
      </c>
      <c r="B1589" t="s">
        <v>90</v>
      </c>
      <c r="C1589">
        <v>3</v>
      </c>
      <c r="D1589">
        <v>21.3</v>
      </c>
      <c r="E1589">
        <v>63.9</v>
      </c>
      <c r="F1589" s="58">
        <v>45716</v>
      </c>
      <c r="G1589" s="58">
        <v>45717</v>
      </c>
      <c r="H1589" t="s">
        <v>229</v>
      </c>
      <c r="I1589" t="s">
        <v>59</v>
      </c>
      <c r="J1589">
        <v>5</v>
      </c>
      <c r="K1589" t="s">
        <v>103</v>
      </c>
      <c r="L1589" t="s">
        <v>124</v>
      </c>
      <c r="M1589">
        <f>orders[[#This Row],[Ship Date]]-orders[[#This Row],[Order Date]]</f>
        <v>1</v>
      </c>
      <c r="N1589">
        <f>WEEKNUM(orders[[#This Row],[Order Date]],1)</f>
        <v>9</v>
      </c>
      <c r="O1589" t="str">
        <f t="array" ref="O1589">_xlfn.IFS(orders[[#This Row],[Customer Gender]]="M","Male", orders[[#This Row],[Customer Gender]]="F","Female", orders[[#This Row],[Customer Gender]]="O","Other", TRUE(),"Unknown")</f>
        <v>Male</v>
      </c>
    </row>
    <row r="1590" spans="1:15" x14ac:dyDescent="0.25">
      <c r="A1590" t="s">
        <v>1818</v>
      </c>
      <c r="B1590" t="s">
        <v>90</v>
      </c>
      <c r="C1590">
        <v>1</v>
      </c>
      <c r="D1590">
        <v>36.299999999999997</v>
      </c>
      <c r="E1590">
        <v>36.299999999999997</v>
      </c>
      <c r="F1590" s="58">
        <v>45716</v>
      </c>
      <c r="G1590" s="58">
        <v>45718</v>
      </c>
      <c r="H1590" t="s">
        <v>263</v>
      </c>
      <c r="I1590" t="s">
        <v>61</v>
      </c>
      <c r="J1590">
        <v>4</v>
      </c>
      <c r="K1590" t="s">
        <v>103</v>
      </c>
      <c r="L1590" t="s">
        <v>124</v>
      </c>
      <c r="M1590">
        <f>orders[[#This Row],[Ship Date]]-orders[[#This Row],[Order Date]]</f>
        <v>2</v>
      </c>
      <c r="N1590">
        <f>WEEKNUM(orders[[#This Row],[Order Date]],1)</f>
        <v>9</v>
      </c>
      <c r="O1590" t="str">
        <f t="array" ref="O1590">_xlfn.IFS(orders[[#This Row],[Customer Gender]]="M","Male", orders[[#This Row],[Customer Gender]]="F","Female", orders[[#This Row],[Customer Gender]]="O","Other", TRUE(),"Unknown")</f>
        <v>Other</v>
      </c>
    </row>
    <row r="1591" spans="1:15" x14ac:dyDescent="0.25">
      <c r="A1591" t="s">
        <v>1819</v>
      </c>
      <c r="B1591" t="s">
        <v>80</v>
      </c>
      <c r="C1591">
        <v>3</v>
      </c>
      <c r="D1591">
        <v>110.5</v>
      </c>
      <c r="E1591">
        <v>331.5</v>
      </c>
      <c r="F1591" s="58">
        <v>45716</v>
      </c>
      <c r="G1591" s="58">
        <v>45717</v>
      </c>
      <c r="H1591" t="s">
        <v>231</v>
      </c>
      <c r="I1591" t="s">
        <v>59</v>
      </c>
      <c r="J1591">
        <v>1</v>
      </c>
      <c r="K1591" t="s">
        <v>103</v>
      </c>
      <c r="L1591" t="s">
        <v>124</v>
      </c>
      <c r="M1591">
        <f>orders[[#This Row],[Ship Date]]-orders[[#This Row],[Order Date]]</f>
        <v>1</v>
      </c>
      <c r="N1591">
        <f>WEEKNUM(orders[[#This Row],[Order Date]],1)</f>
        <v>9</v>
      </c>
      <c r="O1591" t="str">
        <f t="array" ref="O1591">_xlfn.IFS(orders[[#This Row],[Customer Gender]]="M","Male", orders[[#This Row],[Customer Gender]]="F","Female", orders[[#This Row],[Customer Gender]]="O","Other", TRUE(),"Unknown")</f>
        <v>Female</v>
      </c>
    </row>
    <row r="1592" spans="1:15" x14ac:dyDescent="0.25">
      <c r="A1592" t="s">
        <v>1820</v>
      </c>
      <c r="B1592" t="s">
        <v>75</v>
      </c>
      <c r="C1592">
        <v>7</v>
      </c>
      <c r="D1592">
        <v>32.6</v>
      </c>
      <c r="E1592">
        <v>228.2</v>
      </c>
      <c r="F1592" s="58">
        <v>45716</v>
      </c>
      <c r="G1592" s="58">
        <v>45718</v>
      </c>
      <c r="H1592" t="s">
        <v>231</v>
      </c>
      <c r="I1592" t="s">
        <v>59</v>
      </c>
      <c r="J1592">
        <v>3</v>
      </c>
      <c r="K1592" t="s">
        <v>103</v>
      </c>
      <c r="L1592" t="s">
        <v>124</v>
      </c>
      <c r="M1592">
        <f>orders[[#This Row],[Ship Date]]-orders[[#This Row],[Order Date]]</f>
        <v>2</v>
      </c>
      <c r="N1592">
        <f>WEEKNUM(orders[[#This Row],[Order Date]],1)</f>
        <v>9</v>
      </c>
      <c r="O1592" t="str">
        <f t="array" ref="O1592">_xlfn.IFS(orders[[#This Row],[Customer Gender]]="M","Male", orders[[#This Row],[Customer Gender]]="F","Female", orders[[#This Row],[Customer Gender]]="O","Other", TRUE(),"Unknown")</f>
        <v>Female</v>
      </c>
    </row>
    <row r="1593" spans="1:15" x14ac:dyDescent="0.25">
      <c r="A1593" t="s">
        <v>1821</v>
      </c>
      <c r="B1593" t="s">
        <v>85</v>
      </c>
      <c r="C1593">
        <v>3</v>
      </c>
      <c r="D1593">
        <v>55.6</v>
      </c>
      <c r="E1593">
        <v>166.8</v>
      </c>
      <c r="F1593" s="58">
        <v>45717</v>
      </c>
      <c r="G1593" s="58">
        <v>45730</v>
      </c>
      <c r="H1593" t="s">
        <v>231</v>
      </c>
      <c r="I1593" t="s">
        <v>59</v>
      </c>
      <c r="J1593">
        <v>4</v>
      </c>
      <c r="K1593" t="s">
        <v>103</v>
      </c>
      <c r="L1593" t="s">
        <v>124</v>
      </c>
      <c r="M1593">
        <f>orders[[#This Row],[Ship Date]]-orders[[#This Row],[Order Date]]</f>
        <v>13</v>
      </c>
      <c r="N1593">
        <f>WEEKNUM(orders[[#This Row],[Order Date]],1)</f>
        <v>9</v>
      </c>
      <c r="O1593" t="str">
        <f t="array" ref="O1593">_xlfn.IFS(orders[[#This Row],[Customer Gender]]="M","Male", orders[[#This Row],[Customer Gender]]="F","Female", orders[[#This Row],[Customer Gender]]="O","Other", TRUE(),"Unknown")</f>
        <v>Female</v>
      </c>
    </row>
    <row r="1594" spans="1:15" x14ac:dyDescent="0.25">
      <c r="A1594" t="s">
        <v>1822</v>
      </c>
      <c r="B1594" t="s">
        <v>91</v>
      </c>
      <c r="C1594">
        <v>4</v>
      </c>
      <c r="D1594">
        <v>38</v>
      </c>
      <c r="E1594">
        <v>152</v>
      </c>
      <c r="F1594" s="58">
        <v>45717</v>
      </c>
      <c r="G1594" s="58">
        <v>45718</v>
      </c>
      <c r="H1594" t="s">
        <v>231</v>
      </c>
      <c r="I1594" t="s">
        <v>60</v>
      </c>
      <c r="J1594">
        <v>5</v>
      </c>
      <c r="K1594" t="s">
        <v>103</v>
      </c>
      <c r="L1594" t="s">
        <v>136</v>
      </c>
      <c r="M1594">
        <f>orders[[#This Row],[Ship Date]]-orders[[#This Row],[Order Date]]</f>
        <v>1</v>
      </c>
      <c r="N1594">
        <f>WEEKNUM(orders[[#This Row],[Order Date]],1)</f>
        <v>9</v>
      </c>
      <c r="O1594" t="str">
        <f t="array" ref="O1594">_xlfn.IFS(orders[[#This Row],[Customer Gender]]="M","Male", orders[[#This Row],[Customer Gender]]="F","Female", orders[[#This Row],[Customer Gender]]="O","Other", TRUE(),"Unknown")</f>
        <v>Female</v>
      </c>
    </row>
    <row r="1595" spans="1:15" x14ac:dyDescent="0.25">
      <c r="A1595" t="s">
        <v>1823</v>
      </c>
      <c r="B1595" t="s">
        <v>75</v>
      </c>
      <c r="C1595">
        <v>2</v>
      </c>
      <c r="D1595">
        <v>51.8</v>
      </c>
      <c r="E1595">
        <v>103.6</v>
      </c>
      <c r="F1595" s="58">
        <v>45717</v>
      </c>
      <c r="G1595" s="58">
        <v>45723</v>
      </c>
      <c r="H1595" t="s">
        <v>229</v>
      </c>
      <c r="I1595" t="s">
        <v>63</v>
      </c>
      <c r="J1595">
        <v>2</v>
      </c>
      <c r="K1595" t="s">
        <v>103</v>
      </c>
      <c r="L1595" t="s">
        <v>139</v>
      </c>
      <c r="M1595">
        <f>orders[[#This Row],[Ship Date]]-orders[[#This Row],[Order Date]]</f>
        <v>6</v>
      </c>
      <c r="N1595">
        <f>WEEKNUM(orders[[#This Row],[Order Date]],1)</f>
        <v>9</v>
      </c>
      <c r="O1595" t="str">
        <f t="array" ref="O1595">_xlfn.IFS(orders[[#This Row],[Customer Gender]]="M","Male", orders[[#This Row],[Customer Gender]]="F","Female", orders[[#This Row],[Customer Gender]]="O","Other", TRUE(),"Unknown")</f>
        <v>Male</v>
      </c>
    </row>
    <row r="1596" spans="1:15" x14ac:dyDescent="0.25">
      <c r="A1596" t="s">
        <v>1824</v>
      </c>
      <c r="B1596" t="s">
        <v>83</v>
      </c>
      <c r="C1596">
        <v>8</v>
      </c>
      <c r="D1596">
        <v>28.7</v>
      </c>
      <c r="E1596">
        <v>229.6</v>
      </c>
      <c r="F1596" s="58">
        <v>45717</v>
      </c>
      <c r="G1596" s="58">
        <v>45722</v>
      </c>
      <c r="H1596" t="s">
        <v>231</v>
      </c>
      <c r="I1596" t="s">
        <v>59</v>
      </c>
      <c r="J1596">
        <v>4</v>
      </c>
      <c r="K1596" t="s">
        <v>103</v>
      </c>
      <c r="L1596" t="s">
        <v>139</v>
      </c>
      <c r="M1596">
        <f>orders[[#This Row],[Ship Date]]-orders[[#This Row],[Order Date]]</f>
        <v>5</v>
      </c>
      <c r="N1596">
        <f>WEEKNUM(orders[[#This Row],[Order Date]],1)</f>
        <v>9</v>
      </c>
      <c r="O1596" t="str">
        <f t="array" ref="O1596">_xlfn.IFS(orders[[#This Row],[Customer Gender]]="M","Male", orders[[#This Row],[Customer Gender]]="F","Female", orders[[#This Row],[Customer Gender]]="O","Other", TRUE(),"Unknown")</f>
        <v>Female</v>
      </c>
    </row>
    <row r="1597" spans="1:15" x14ac:dyDescent="0.25">
      <c r="A1597" t="s">
        <v>1825</v>
      </c>
      <c r="B1597" t="s">
        <v>80</v>
      </c>
      <c r="C1597">
        <v>12</v>
      </c>
      <c r="D1597">
        <v>52.2</v>
      </c>
      <c r="E1597">
        <v>626.4</v>
      </c>
      <c r="F1597" s="58">
        <v>45717</v>
      </c>
      <c r="G1597" s="58">
        <v>45717</v>
      </c>
      <c r="H1597" t="s">
        <v>229</v>
      </c>
      <c r="I1597" t="s">
        <v>59</v>
      </c>
      <c r="J1597">
        <v>3</v>
      </c>
      <c r="K1597" t="s">
        <v>103</v>
      </c>
      <c r="L1597" t="s">
        <v>139</v>
      </c>
      <c r="M1597">
        <f>orders[[#This Row],[Ship Date]]-orders[[#This Row],[Order Date]]</f>
        <v>0</v>
      </c>
      <c r="N1597">
        <f>WEEKNUM(orders[[#This Row],[Order Date]],1)</f>
        <v>9</v>
      </c>
      <c r="O1597" t="str">
        <f t="array" ref="O1597">_xlfn.IFS(orders[[#This Row],[Customer Gender]]="M","Male", orders[[#This Row],[Customer Gender]]="F","Female", orders[[#This Row],[Customer Gender]]="O","Other", TRUE(),"Unknown")</f>
        <v>Male</v>
      </c>
    </row>
    <row r="1598" spans="1:15" x14ac:dyDescent="0.25">
      <c r="A1598" t="s">
        <v>1826</v>
      </c>
      <c r="B1598" t="s">
        <v>91</v>
      </c>
      <c r="C1598">
        <v>2</v>
      </c>
      <c r="D1598">
        <v>68.2</v>
      </c>
      <c r="E1598">
        <v>136.4</v>
      </c>
      <c r="F1598" s="58">
        <v>45717</v>
      </c>
      <c r="G1598" s="58">
        <v>45718</v>
      </c>
      <c r="I1598" t="s">
        <v>62</v>
      </c>
      <c r="J1598">
        <v>4</v>
      </c>
      <c r="K1598" t="s">
        <v>103</v>
      </c>
      <c r="L1598" t="s">
        <v>141</v>
      </c>
      <c r="M1598">
        <f>orders[[#This Row],[Ship Date]]-orders[[#This Row],[Order Date]]</f>
        <v>1</v>
      </c>
      <c r="N1598">
        <f>WEEKNUM(orders[[#This Row],[Order Date]],1)</f>
        <v>9</v>
      </c>
      <c r="O1598" t="str">
        <f t="array" ref="O1598">_xlfn.IFS(orders[[#This Row],[Customer Gender]]="M","Male", orders[[#This Row],[Customer Gender]]="F","Female", orders[[#This Row],[Customer Gender]]="O","Other", TRUE(),"Unknown")</f>
        <v>Unknown</v>
      </c>
    </row>
    <row r="1599" spans="1:15" x14ac:dyDescent="0.25">
      <c r="A1599" t="s">
        <v>1827</v>
      </c>
      <c r="B1599" t="s">
        <v>86</v>
      </c>
      <c r="C1599">
        <v>3</v>
      </c>
      <c r="D1599">
        <v>34</v>
      </c>
      <c r="E1599">
        <v>102</v>
      </c>
      <c r="F1599" s="58">
        <v>45717</v>
      </c>
      <c r="G1599" s="58">
        <v>45721</v>
      </c>
      <c r="H1599" t="s">
        <v>231</v>
      </c>
      <c r="I1599" t="s">
        <v>59</v>
      </c>
      <c r="J1599">
        <v>4</v>
      </c>
      <c r="K1599" t="s">
        <v>103</v>
      </c>
      <c r="L1599" t="s">
        <v>142</v>
      </c>
      <c r="M1599">
        <f>orders[[#This Row],[Ship Date]]-orders[[#This Row],[Order Date]]</f>
        <v>4</v>
      </c>
      <c r="N1599">
        <f>WEEKNUM(orders[[#This Row],[Order Date]],1)</f>
        <v>9</v>
      </c>
      <c r="O1599" t="str">
        <f t="array" ref="O1599">_xlfn.IFS(orders[[#This Row],[Customer Gender]]="M","Male", orders[[#This Row],[Customer Gender]]="F","Female", orders[[#This Row],[Customer Gender]]="O","Other", TRUE(),"Unknown")</f>
        <v>Female</v>
      </c>
    </row>
    <row r="1600" spans="1:15" x14ac:dyDescent="0.25">
      <c r="A1600" t="s">
        <v>1828</v>
      </c>
      <c r="B1600" t="s">
        <v>90</v>
      </c>
      <c r="C1600">
        <v>3</v>
      </c>
      <c r="D1600">
        <v>19.100000000000001</v>
      </c>
      <c r="E1600">
        <v>57.3</v>
      </c>
      <c r="F1600" s="58">
        <v>45717</v>
      </c>
      <c r="G1600" s="58">
        <v>45718</v>
      </c>
      <c r="H1600" t="s">
        <v>231</v>
      </c>
      <c r="I1600" t="s">
        <v>61</v>
      </c>
      <c r="J1600">
        <v>4</v>
      </c>
      <c r="K1600" t="s">
        <v>103</v>
      </c>
      <c r="L1600" t="s">
        <v>142</v>
      </c>
      <c r="M1600">
        <f>orders[[#This Row],[Ship Date]]-orders[[#This Row],[Order Date]]</f>
        <v>1</v>
      </c>
      <c r="N1600">
        <f>WEEKNUM(orders[[#This Row],[Order Date]],1)</f>
        <v>9</v>
      </c>
      <c r="O1600" t="str">
        <f t="array" ref="O1600">_xlfn.IFS(orders[[#This Row],[Customer Gender]]="M","Male", orders[[#This Row],[Customer Gender]]="F","Female", orders[[#This Row],[Customer Gender]]="O","Other", TRUE(),"Unknown")</f>
        <v>Female</v>
      </c>
    </row>
    <row r="1601" spans="1:15" x14ac:dyDescent="0.25">
      <c r="A1601" t="s">
        <v>1829</v>
      </c>
      <c r="B1601" t="s">
        <v>85</v>
      </c>
      <c r="C1601">
        <v>8</v>
      </c>
      <c r="D1601">
        <v>34</v>
      </c>
      <c r="E1601">
        <v>272</v>
      </c>
      <c r="F1601" s="58">
        <v>45717</v>
      </c>
      <c r="G1601" s="58">
        <v>45725</v>
      </c>
      <c r="H1601" t="s">
        <v>231</v>
      </c>
      <c r="I1601" t="s">
        <v>61</v>
      </c>
      <c r="J1601">
        <v>4</v>
      </c>
      <c r="K1601" t="s">
        <v>103</v>
      </c>
      <c r="L1601" t="s">
        <v>142</v>
      </c>
      <c r="M1601">
        <f>orders[[#This Row],[Ship Date]]-orders[[#This Row],[Order Date]]</f>
        <v>8</v>
      </c>
      <c r="N1601">
        <f>WEEKNUM(orders[[#This Row],[Order Date]],1)</f>
        <v>9</v>
      </c>
      <c r="O1601" t="str">
        <f t="array" ref="O1601">_xlfn.IFS(orders[[#This Row],[Customer Gender]]="M","Male", orders[[#This Row],[Customer Gender]]="F","Female", orders[[#This Row],[Customer Gender]]="O","Other", TRUE(),"Unknown")</f>
        <v>Female</v>
      </c>
    </row>
    <row r="1602" spans="1:15" x14ac:dyDescent="0.25">
      <c r="A1602" t="s">
        <v>1830</v>
      </c>
      <c r="B1602" t="s">
        <v>76</v>
      </c>
      <c r="C1602">
        <v>2</v>
      </c>
      <c r="D1602">
        <v>109.1</v>
      </c>
      <c r="E1602">
        <v>218.2</v>
      </c>
      <c r="F1602" s="58">
        <v>45717</v>
      </c>
      <c r="G1602" s="58">
        <v>45719</v>
      </c>
      <c r="H1602" t="s">
        <v>229</v>
      </c>
      <c r="I1602" t="s">
        <v>59</v>
      </c>
      <c r="J1602">
        <v>5</v>
      </c>
      <c r="K1602" t="s">
        <v>103</v>
      </c>
      <c r="L1602" t="s">
        <v>142</v>
      </c>
      <c r="M1602">
        <f>orders[[#This Row],[Ship Date]]-orders[[#This Row],[Order Date]]</f>
        <v>2</v>
      </c>
      <c r="N1602">
        <f>WEEKNUM(orders[[#This Row],[Order Date]],1)</f>
        <v>9</v>
      </c>
      <c r="O1602" t="str">
        <f t="array" ref="O1602">_xlfn.IFS(orders[[#This Row],[Customer Gender]]="M","Male", orders[[#This Row],[Customer Gender]]="F","Female", orders[[#This Row],[Customer Gender]]="O","Other", TRUE(),"Unknown")</f>
        <v>Male</v>
      </c>
    </row>
    <row r="1603" spans="1:15" x14ac:dyDescent="0.25">
      <c r="A1603" t="s">
        <v>1831</v>
      </c>
      <c r="B1603" t="s">
        <v>82</v>
      </c>
      <c r="C1603">
        <v>2</v>
      </c>
      <c r="D1603">
        <v>64.8</v>
      </c>
      <c r="E1603">
        <v>129.6</v>
      </c>
      <c r="F1603" s="58">
        <v>45717</v>
      </c>
      <c r="G1603" s="58">
        <v>45719</v>
      </c>
      <c r="H1603" t="s">
        <v>229</v>
      </c>
      <c r="I1603" t="s">
        <v>59</v>
      </c>
      <c r="J1603">
        <v>5</v>
      </c>
      <c r="K1603" t="s">
        <v>103</v>
      </c>
      <c r="L1603" t="s">
        <v>142</v>
      </c>
      <c r="M1603">
        <f>orders[[#This Row],[Ship Date]]-orders[[#This Row],[Order Date]]</f>
        <v>2</v>
      </c>
      <c r="N1603">
        <f>WEEKNUM(orders[[#This Row],[Order Date]],1)</f>
        <v>9</v>
      </c>
      <c r="O1603" t="str">
        <f t="array" ref="O1603">_xlfn.IFS(orders[[#This Row],[Customer Gender]]="M","Male", orders[[#This Row],[Customer Gender]]="F","Female", orders[[#This Row],[Customer Gender]]="O","Other", TRUE(),"Unknown")</f>
        <v>Male</v>
      </c>
    </row>
    <row r="1604" spans="1:15" x14ac:dyDescent="0.25">
      <c r="A1604" t="s">
        <v>1832</v>
      </c>
      <c r="B1604" t="s">
        <v>75</v>
      </c>
      <c r="C1604">
        <v>2</v>
      </c>
      <c r="D1604">
        <v>21.1</v>
      </c>
      <c r="E1604">
        <v>42.2</v>
      </c>
      <c r="F1604" s="58">
        <v>45717</v>
      </c>
      <c r="G1604" s="58">
        <v>45717</v>
      </c>
      <c r="H1604" t="s">
        <v>231</v>
      </c>
      <c r="I1604" t="s">
        <v>63</v>
      </c>
      <c r="J1604">
        <v>4</v>
      </c>
      <c r="K1604" t="s">
        <v>103</v>
      </c>
      <c r="L1604" t="s">
        <v>148</v>
      </c>
      <c r="M1604">
        <f>orders[[#This Row],[Ship Date]]-orders[[#This Row],[Order Date]]</f>
        <v>0</v>
      </c>
      <c r="N1604">
        <f>WEEKNUM(orders[[#This Row],[Order Date]],1)</f>
        <v>9</v>
      </c>
      <c r="O1604" t="str">
        <f t="array" ref="O1604">_xlfn.IFS(orders[[#This Row],[Customer Gender]]="M","Male", orders[[#This Row],[Customer Gender]]="F","Female", orders[[#This Row],[Customer Gender]]="O","Other", TRUE(),"Unknown")</f>
        <v>Female</v>
      </c>
    </row>
    <row r="1605" spans="1:15" x14ac:dyDescent="0.25">
      <c r="A1605" t="s">
        <v>1833</v>
      </c>
      <c r="B1605" t="s">
        <v>86</v>
      </c>
      <c r="C1605">
        <v>8</v>
      </c>
      <c r="D1605">
        <v>21.3</v>
      </c>
      <c r="E1605">
        <v>170.4</v>
      </c>
      <c r="F1605" s="58">
        <v>45717</v>
      </c>
      <c r="G1605" s="58">
        <v>45719</v>
      </c>
      <c r="H1605" t="s">
        <v>229</v>
      </c>
      <c r="I1605" t="s">
        <v>60</v>
      </c>
      <c r="J1605">
        <v>3</v>
      </c>
      <c r="K1605" t="s">
        <v>103</v>
      </c>
      <c r="L1605" t="s">
        <v>154</v>
      </c>
      <c r="M1605">
        <f>orders[[#This Row],[Ship Date]]-orders[[#This Row],[Order Date]]</f>
        <v>2</v>
      </c>
      <c r="N1605">
        <f>WEEKNUM(orders[[#This Row],[Order Date]],1)</f>
        <v>9</v>
      </c>
      <c r="O1605" t="str">
        <f t="array" ref="O1605">_xlfn.IFS(orders[[#This Row],[Customer Gender]]="M","Male", orders[[#This Row],[Customer Gender]]="F","Female", orders[[#This Row],[Customer Gender]]="O","Other", TRUE(),"Unknown")</f>
        <v>Male</v>
      </c>
    </row>
    <row r="1606" spans="1:15" x14ac:dyDescent="0.25">
      <c r="A1606" t="s">
        <v>1834</v>
      </c>
      <c r="B1606" t="s">
        <v>88</v>
      </c>
      <c r="C1606">
        <v>3</v>
      </c>
      <c r="D1606">
        <v>24.3</v>
      </c>
      <c r="E1606">
        <v>72.900000000000006</v>
      </c>
      <c r="F1606" s="58">
        <v>45717</v>
      </c>
      <c r="G1606" s="58">
        <v>45718</v>
      </c>
      <c r="H1606" t="s">
        <v>229</v>
      </c>
      <c r="I1606" t="s">
        <v>63</v>
      </c>
      <c r="J1606">
        <v>4</v>
      </c>
      <c r="K1606" t="s">
        <v>103</v>
      </c>
      <c r="L1606" t="s">
        <v>155</v>
      </c>
      <c r="M1606">
        <f>orders[[#This Row],[Ship Date]]-orders[[#This Row],[Order Date]]</f>
        <v>1</v>
      </c>
      <c r="N1606">
        <f>WEEKNUM(orders[[#This Row],[Order Date]],1)</f>
        <v>9</v>
      </c>
      <c r="O1606" t="str">
        <f t="array" ref="O1606">_xlfn.IFS(orders[[#This Row],[Customer Gender]]="M","Male", orders[[#This Row],[Customer Gender]]="F","Female", orders[[#This Row],[Customer Gender]]="O","Other", TRUE(),"Unknown")</f>
        <v>Male</v>
      </c>
    </row>
    <row r="1607" spans="1:15" x14ac:dyDescent="0.25">
      <c r="A1607" t="s">
        <v>1835</v>
      </c>
      <c r="B1607" t="s">
        <v>90</v>
      </c>
      <c r="C1607">
        <v>1</v>
      </c>
      <c r="D1607">
        <v>43.3</v>
      </c>
      <c r="E1607">
        <v>43.3</v>
      </c>
      <c r="F1607" s="58">
        <v>45717</v>
      </c>
      <c r="G1607" s="58">
        <v>45721</v>
      </c>
      <c r="H1607" t="s">
        <v>229</v>
      </c>
      <c r="I1607" t="s">
        <v>63</v>
      </c>
      <c r="J1607">
        <v>3</v>
      </c>
      <c r="K1607" t="s">
        <v>103</v>
      </c>
      <c r="L1607" t="s">
        <v>161</v>
      </c>
      <c r="M1607">
        <f>orders[[#This Row],[Ship Date]]-orders[[#This Row],[Order Date]]</f>
        <v>4</v>
      </c>
      <c r="N1607">
        <f>WEEKNUM(orders[[#This Row],[Order Date]],1)</f>
        <v>9</v>
      </c>
      <c r="O1607" t="str">
        <f t="array" ref="O1607">_xlfn.IFS(orders[[#This Row],[Customer Gender]]="M","Male", orders[[#This Row],[Customer Gender]]="F","Female", orders[[#This Row],[Customer Gender]]="O","Other", TRUE(),"Unknown")</f>
        <v>Male</v>
      </c>
    </row>
    <row r="1608" spans="1:15" x14ac:dyDescent="0.25">
      <c r="A1608" t="s">
        <v>1836</v>
      </c>
      <c r="B1608" t="s">
        <v>88</v>
      </c>
      <c r="C1608">
        <v>3</v>
      </c>
      <c r="D1608">
        <v>41</v>
      </c>
      <c r="E1608">
        <v>123</v>
      </c>
      <c r="F1608" s="58">
        <v>45717</v>
      </c>
      <c r="G1608" s="58">
        <v>45718</v>
      </c>
      <c r="H1608" t="s">
        <v>231</v>
      </c>
      <c r="I1608" t="s">
        <v>60</v>
      </c>
      <c r="J1608">
        <v>2</v>
      </c>
      <c r="K1608" t="s">
        <v>103</v>
      </c>
      <c r="L1608" t="s">
        <v>106</v>
      </c>
      <c r="M1608">
        <f>orders[[#This Row],[Ship Date]]-orders[[#This Row],[Order Date]]</f>
        <v>1</v>
      </c>
      <c r="N1608">
        <f>WEEKNUM(orders[[#This Row],[Order Date]],1)</f>
        <v>9</v>
      </c>
      <c r="O1608" t="str">
        <f t="array" ref="O1608">_xlfn.IFS(orders[[#This Row],[Customer Gender]]="M","Male", orders[[#This Row],[Customer Gender]]="F","Female", orders[[#This Row],[Customer Gender]]="O","Other", TRUE(),"Unknown")</f>
        <v>Female</v>
      </c>
    </row>
    <row r="1609" spans="1:15" x14ac:dyDescent="0.25">
      <c r="A1609" t="s">
        <v>1837</v>
      </c>
      <c r="B1609" t="s">
        <v>89</v>
      </c>
      <c r="C1609">
        <v>3</v>
      </c>
      <c r="D1609">
        <v>54.1</v>
      </c>
      <c r="E1609">
        <v>162.30000000000001</v>
      </c>
      <c r="F1609" s="58">
        <v>45717</v>
      </c>
      <c r="G1609" s="58">
        <v>45719</v>
      </c>
      <c r="H1609" t="s">
        <v>231</v>
      </c>
      <c r="I1609" t="s">
        <v>61</v>
      </c>
      <c r="J1609">
        <v>4</v>
      </c>
      <c r="K1609" t="s">
        <v>103</v>
      </c>
      <c r="L1609" t="s">
        <v>106</v>
      </c>
      <c r="M1609">
        <f>orders[[#This Row],[Ship Date]]-orders[[#This Row],[Order Date]]</f>
        <v>2</v>
      </c>
      <c r="N1609">
        <f>WEEKNUM(orders[[#This Row],[Order Date]],1)</f>
        <v>9</v>
      </c>
      <c r="O1609" t="str">
        <f t="array" ref="O1609">_xlfn.IFS(orders[[#This Row],[Customer Gender]]="M","Male", orders[[#This Row],[Customer Gender]]="F","Female", orders[[#This Row],[Customer Gender]]="O","Other", TRUE(),"Unknown")</f>
        <v>Female</v>
      </c>
    </row>
    <row r="1610" spans="1:15" x14ac:dyDescent="0.25">
      <c r="A1610" t="s">
        <v>1838</v>
      </c>
      <c r="B1610" t="s">
        <v>83</v>
      </c>
      <c r="C1610">
        <v>2</v>
      </c>
      <c r="D1610">
        <v>39</v>
      </c>
      <c r="E1610">
        <v>78</v>
      </c>
      <c r="F1610" s="58">
        <v>45717</v>
      </c>
      <c r="G1610" s="58">
        <v>45718</v>
      </c>
      <c r="H1610" t="s">
        <v>229</v>
      </c>
      <c r="I1610" t="s">
        <v>63</v>
      </c>
      <c r="J1610">
        <v>5</v>
      </c>
      <c r="K1610" t="s">
        <v>103</v>
      </c>
      <c r="L1610" t="s">
        <v>112</v>
      </c>
      <c r="M1610">
        <f>orders[[#This Row],[Ship Date]]-orders[[#This Row],[Order Date]]</f>
        <v>1</v>
      </c>
      <c r="N1610">
        <f>WEEKNUM(orders[[#This Row],[Order Date]],1)</f>
        <v>9</v>
      </c>
      <c r="O1610" t="str">
        <f t="array" ref="O1610">_xlfn.IFS(orders[[#This Row],[Customer Gender]]="M","Male", orders[[#This Row],[Customer Gender]]="F","Female", orders[[#This Row],[Customer Gender]]="O","Other", TRUE(),"Unknown")</f>
        <v>Male</v>
      </c>
    </row>
    <row r="1611" spans="1:15" x14ac:dyDescent="0.25">
      <c r="A1611" t="s">
        <v>1839</v>
      </c>
      <c r="B1611" t="s">
        <v>90</v>
      </c>
      <c r="C1611">
        <v>2</v>
      </c>
      <c r="D1611">
        <v>40.299999999999997</v>
      </c>
      <c r="E1611">
        <v>80.599999999999994</v>
      </c>
      <c r="F1611" s="58">
        <v>45717</v>
      </c>
      <c r="G1611" s="58">
        <v>45719</v>
      </c>
      <c r="H1611" t="s">
        <v>229</v>
      </c>
      <c r="I1611" t="s">
        <v>60</v>
      </c>
      <c r="J1611">
        <v>4</v>
      </c>
      <c r="K1611" t="s">
        <v>103</v>
      </c>
      <c r="L1611" t="s">
        <v>116</v>
      </c>
      <c r="M1611">
        <f>orders[[#This Row],[Ship Date]]-orders[[#This Row],[Order Date]]</f>
        <v>2</v>
      </c>
      <c r="N1611">
        <f>WEEKNUM(orders[[#This Row],[Order Date]],1)</f>
        <v>9</v>
      </c>
      <c r="O1611" t="str">
        <f t="array" ref="O1611">_xlfn.IFS(orders[[#This Row],[Customer Gender]]="M","Male", orders[[#This Row],[Customer Gender]]="F","Female", orders[[#This Row],[Customer Gender]]="O","Other", TRUE(),"Unknown")</f>
        <v>Male</v>
      </c>
    </row>
    <row r="1612" spans="1:15" x14ac:dyDescent="0.25">
      <c r="A1612" t="s">
        <v>1840</v>
      </c>
      <c r="B1612" t="s">
        <v>90</v>
      </c>
      <c r="C1612">
        <v>3</v>
      </c>
      <c r="D1612">
        <v>24.1</v>
      </c>
      <c r="E1612">
        <v>72.3</v>
      </c>
      <c r="F1612" s="58">
        <v>45717</v>
      </c>
      <c r="G1612" s="58">
        <v>45718</v>
      </c>
      <c r="H1612" t="s">
        <v>229</v>
      </c>
      <c r="I1612" t="s">
        <v>59</v>
      </c>
      <c r="J1612">
        <v>5</v>
      </c>
      <c r="K1612" t="s">
        <v>103</v>
      </c>
      <c r="L1612" t="s">
        <v>121</v>
      </c>
      <c r="M1612">
        <f>orders[[#This Row],[Ship Date]]-orders[[#This Row],[Order Date]]</f>
        <v>1</v>
      </c>
      <c r="N1612">
        <f>WEEKNUM(orders[[#This Row],[Order Date]],1)</f>
        <v>9</v>
      </c>
      <c r="O1612" t="str">
        <f t="array" ref="O1612">_xlfn.IFS(orders[[#This Row],[Customer Gender]]="M","Male", orders[[#This Row],[Customer Gender]]="F","Female", orders[[#This Row],[Customer Gender]]="O","Other", TRUE(),"Unknown")</f>
        <v>Male</v>
      </c>
    </row>
    <row r="1613" spans="1:15" x14ac:dyDescent="0.25">
      <c r="A1613" t="s">
        <v>1841</v>
      </c>
      <c r="B1613" t="s">
        <v>80</v>
      </c>
      <c r="C1613">
        <v>5</v>
      </c>
      <c r="D1613">
        <v>52.3</v>
      </c>
      <c r="E1613">
        <v>261.5</v>
      </c>
      <c r="F1613" s="58">
        <v>45717</v>
      </c>
      <c r="G1613" s="58">
        <v>45718</v>
      </c>
      <c r="H1613" t="s">
        <v>229</v>
      </c>
      <c r="I1613" t="s">
        <v>62</v>
      </c>
      <c r="J1613">
        <v>4</v>
      </c>
      <c r="K1613" t="s">
        <v>103</v>
      </c>
      <c r="L1613" t="s">
        <v>124</v>
      </c>
      <c r="M1613">
        <f>orders[[#This Row],[Ship Date]]-orders[[#This Row],[Order Date]]</f>
        <v>1</v>
      </c>
      <c r="N1613">
        <f>WEEKNUM(orders[[#This Row],[Order Date]],1)</f>
        <v>9</v>
      </c>
      <c r="O1613" t="str">
        <f t="array" ref="O1613">_xlfn.IFS(orders[[#This Row],[Customer Gender]]="M","Male", orders[[#This Row],[Customer Gender]]="F","Female", orders[[#This Row],[Customer Gender]]="O","Other", TRUE(),"Unknown")</f>
        <v>Male</v>
      </c>
    </row>
    <row r="1614" spans="1:15" x14ac:dyDescent="0.25">
      <c r="A1614" t="s">
        <v>1842</v>
      </c>
      <c r="B1614" t="s">
        <v>76</v>
      </c>
      <c r="C1614">
        <v>4</v>
      </c>
      <c r="D1614">
        <v>68.8</v>
      </c>
      <c r="E1614">
        <v>275.2</v>
      </c>
      <c r="F1614" s="58">
        <v>45717</v>
      </c>
      <c r="G1614" s="58">
        <v>45721</v>
      </c>
      <c r="H1614" t="s">
        <v>231</v>
      </c>
      <c r="I1614" t="s">
        <v>61</v>
      </c>
      <c r="J1614">
        <v>5</v>
      </c>
      <c r="K1614" t="s">
        <v>103</v>
      </c>
      <c r="L1614" t="s">
        <v>124</v>
      </c>
      <c r="M1614">
        <f>orders[[#This Row],[Ship Date]]-orders[[#This Row],[Order Date]]</f>
        <v>4</v>
      </c>
      <c r="N1614">
        <f>WEEKNUM(orders[[#This Row],[Order Date]],1)</f>
        <v>9</v>
      </c>
      <c r="O1614" t="str">
        <f t="array" ref="O1614">_xlfn.IFS(orders[[#This Row],[Customer Gender]]="M","Male", orders[[#This Row],[Customer Gender]]="F","Female", orders[[#This Row],[Customer Gender]]="O","Other", TRUE(),"Unknown")</f>
        <v>Female</v>
      </c>
    </row>
    <row r="1615" spans="1:15" x14ac:dyDescent="0.25">
      <c r="A1615" t="s">
        <v>1843</v>
      </c>
      <c r="B1615" t="s">
        <v>87</v>
      </c>
      <c r="C1615">
        <v>2</v>
      </c>
      <c r="D1615">
        <v>128.80000000000001</v>
      </c>
      <c r="E1615">
        <v>257.60000000000002</v>
      </c>
      <c r="F1615" s="58">
        <v>45718</v>
      </c>
      <c r="G1615" s="58">
        <v>45721</v>
      </c>
      <c r="H1615" t="s">
        <v>231</v>
      </c>
      <c r="I1615" t="s">
        <v>63</v>
      </c>
      <c r="J1615">
        <v>3</v>
      </c>
      <c r="K1615" t="s">
        <v>103</v>
      </c>
      <c r="L1615" t="s">
        <v>124</v>
      </c>
      <c r="M1615">
        <f>orders[[#This Row],[Ship Date]]-orders[[#This Row],[Order Date]]</f>
        <v>3</v>
      </c>
      <c r="N1615">
        <f>WEEKNUM(orders[[#This Row],[Order Date]],1)</f>
        <v>10</v>
      </c>
      <c r="O1615" t="str">
        <f t="array" ref="O1615">_xlfn.IFS(orders[[#This Row],[Customer Gender]]="M","Male", orders[[#This Row],[Customer Gender]]="F","Female", orders[[#This Row],[Customer Gender]]="O","Other", TRUE(),"Unknown")</f>
        <v>Female</v>
      </c>
    </row>
    <row r="1616" spans="1:15" x14ac:dyDescent="0.25">
      <c r="A1616" t="s">
        <v>1844</v>
      </c>
      <c r="B1616" t="s">
        <v>77</v>
      </c>
      <c r="C1616">
        <v>5</v>
      </c>
      <c r="D1616">
        <v>48.2</v>
      </c>
      <c r="E1616">
        <v>241</v>
      </c>
      <c r="F1616" s="58">
        <v>45718</v>
      </c>
      <c r="G1616" s="58">
        <v>45720</v>
      </c>
      <c r="H1616" t="s">
        <v>231</v>
      </c>
      <c r="I1616" t="s">
        <v>60</v>
      </c>
      <c r="J1616">
        <v>4</v>
      </c>
      <c r="K1616" t="s">
        <v>103</v>
      </c>
      <c r="L1616" t="s">
        <v>124</v>
      </c>
      <c r="M1616">
        <f>orders[[#This Row],[Ship Date]]-orders[[#This Row],[Order Date]]</f>
        <v>2</v>
      </c>
      <c r="N1616">
        <f>WEEKNUM(orders[[#This Row],[Order Date]],1)</f>
        <v>10</v>
      </c>
      <c r="O1616" t="str">
        <f t="array" ref="O1616">_xlfn.IFS(orders[[#This Row],[Customer Gender]]="M","Male", orders[[#This Row],[Customer Gender]]="F","Female", orders[[#This Row],[Customer Gender]]="O","Other", TRUE(),"Unknown")</f>
        <v>Female</v>
      </c>
    </row>
    <row r="1617" spans="1:15" x14ac:dyDescent="0.25">
      <c r="A1617" t="s">
        <v>1845</v>
      </c>
      <c r="B1617" t="s">
        <v>75</v>
      </c>
      <c r="C1617">
        <v>1</v>
      </c>
      <c r="D1617">
        <v>39.700000000000003</v>
      </c>
      <c r="E1617">
        <v>39.700000000000003</v>
      </c>
      <c r="F1617" s="58">
        <v>45718</v>
      </c>
      <c r="G1617" s="58">
        <v>45720</v>
      </c>
      <c r="H1617" t="s">
        <v>231</v>
      </c>
      <c r="I1617" t="s">
        <v>59</v>
      </c>
      <c r="J1617">
        <v>3</v>
      </c>
      <c r="K1617" t="s">
        <v>103</v>
      </c>
      <c r="L1617" t="s">
        <v>124</v>
      </c>
      <c r="M1617">
        <f>orders[[#This Row],[Ship Date]]-orders[[#This Row],[Order Date]]</f>
        <v>2</v>
      </c>
      <c r="N1617">
        <f>WEEKNUM(orders[[#This Row],[Order Date]],1)</f>
        <v>10</v>
      </c>
      <c r="O1617" t="str">
        <f t="array" ref="O1617">_xlfn.IFS(orders[[#This Row],[Customer Gender]]="M","Male", orders[[#This Row],[Customer Gender]]="F","Female", orders[[#This Row],[Customer Gender]]="O","Other", TRUE(),"Unknown")</f>
        <v>Female</v>
      </c>
    </row>
    <row r="1618" spans="1:15" x14ac:dyDescent="0.25">
      <c r="A1618" t="s">
        <v>1846</v>
      </c>
      <c r="B1618" t="s">
        <v>88</v>
      </c>
      <c r="C1618">
        <v>1</v>
      </c>
      <c r="D1618">
        <v>59.7</v>
      </c>
      <c r="E1618">
        <v>59.7</v>
      </c>
      <c r="F1618" s="58">
        <v>45718</v>
      </c>
      <c r="G1618" s="58">
        <v>45721</v>
      </c>
      <c r="H1618" t="s">
        <v>231</v>
      </c>
      <c r="I1618" t="s">
        <v>61</v>
      </c>
      <c r="J1618">
        <v>4</v>
      </c>
      <c r="K1618" t="s">
        <v>103</v>
      </c>
      <c r="L1618" t="s">
        <v>124</v>
      </c>
      <c r="M1618">
        <f>orders[[#This Row],[Ship Date]]-orders[[#This Row],[Order Date]]</f>
        <v>3</v>
      </c>
      <c r="N1618">
        <f>WEEKNUM(orders[[#This Row],[Order Date]],1)</f>
        <v>10</v>
      </c>
      <c r="O1618" t="str">
        <f t="array" ref="O1618">_xlfn.IFS(orders[[#This Row],[Customer Gender]]="M","Male", orders[[#This Row],[Customer Gender]]="F","Female", orders[[#This Row],[Customer Gender]]="O","Other", TRUE(),"Unknown")</f>
        <v>Female</v>
      </c>
    </row>
    <row r="1619" spans="1:15" x14ac:dyDescent="0.25">
      <c r="A1619" t="s">
        <v>1847</v>
      </c>
      <c r="B1619" t="s">
        <v>80</v>
      </c>
      <c r="C1619">
        <v>1</v>
      </c>
      <c r="D1619">
        <v>48.3</v>
      </c>
      <c r="E1619">
        <v>48.3</v>
      </c>
      <c r="F1619" s="58">
        <v>45718</v>
      </c>
      <c r="G1619" s="58">
        <v>45732</v>
      </c>
      <c r="H1619" t="s">
        <v>263</v>
      </c>
      <c r="I1619" t="s">
        <v>59</v>
      </c>
      <c r="J1619">
        <v>5</v>
      </c>
      <c r="K1619" t="s">
        <v>103</v>
      </c>
      <c r="L1619" t="s">
        <v>124</v>
      </c>
      <c r="M1619">
        <f>orders[[#This Row],[Ship Date]]-orders[[#This Row],[Order Date]]</f>
        <v>14</v>
      </c>
      <c r="N1619">
        <f>WEEKNUM(orders[[#This Row],[Order Date]],1)</f>
        <v>10</v>
      </c>
      <c r="O1619" t="str">
        <f t="array" ref="O1619">_xlfn.IFS(orders[[#This Row],[Customer Gender]]="M","Male", orders[[#This Row],[Customer Gender]]="F","Female", orders[[#This Row],[Customer Gender]]="O","Other", TRUE(),"Unknown")</f>
        <v>Other</v>
      </c>
    </row>
    <row r="1620" spans="1:15" x14ac:dyDescent="0.25">
      <c r="A1620" t="s">
        <v>1848</v>
      </c>
      <c r="B1620" t="s">
        <v>90</v>
      </c>
      <c r="C1620">
        <v>3</v>
      </c>
      <c r="D1620">
        <v>45.5</v>
      </c>
      <c r="E1620">
        <v>136.5</v>
      </c>
      <c r="F1620" s="58">
        <v>45718</v>
      </c>
      <c r="G1620" s="58">
        <v>45720</v>
      </c>
      <c r="H1620" t="s">
        <v>229</v>
      </c>
      <c r="I1620" t="s">
        <v>62</v>
      </c>
      <c r="J1620">
        <v>3</v>
      </c>
      <c r="K1620" t="s">
        <v>103</v>
      </c>
      <c r="L1620" t="s">
        <v>124</v>
      </c>
      <c r="M1620">
        <f>orders[[#This Row],[Ship Date]]-orders[[#This Row],[Order Date]]</f>
        <v>2</v>
      </c>
      <c r="N1620">
        <f>WEEKNUM(orders[[#This Row],[Order Date]],1)</f>
        <v>10</v>
      </c>
      <c r="O1620" t="str">
        <f t="array" ref="O1620">_xlfn.IFS(orders[[#This Row],[Customer Gender]]="M","Male", orders[[#This Row],[Customer Gender]]="F","Female", orders[[#This Row],[Customer Gender]]="O","Other", TRUE(),"Unknown")</f>
        <v>Male</v>
      </c>
    </row>
    <row r="1621" spans="1:15" x14ac:dyDescent="0.25">
      <c r="A1621" t="s">
        <v>1849</v>
      </c>
      <c r="B1621" t="s">
        <v>88</v>
      </c>
      <c r="C1621">
        <v>27</v>
      </c>
      <c r="D1621">
        <v>51</v>
      </c>
      <c r="E1621">
        <v>1377</v>
      </c>
      <c r="F1621" s="58">
        <v>45718</v>
      </c>
      <c r="G1621" s="58">
        <v>45718</v>
      </c>
      <c r="H1621" t="s">
        <v>231</v>
      </c>
      <c r="I1621" t="s">
        <v>62</v>
      </c>
      <c r="J1621">
        <v>4</v>
      </c>
      <c r="K1621" t="s">
        <v>103</v>
      </c>
      <c r="L1621" t="s">
        <v>124</v>
      </c>
      <c r="M1621">
        <f>orders[[#This Row],[Ship Date]]-orders[[#This Row],[Order Date]]</f>
        <v>0</v>
      </c>
      <c r="N1621">
        <f>WEEKNUM(orders[[#This Row],[Order Date]],1)</f>
        <v>10</v>
      </c>
      <c r="O1621" t="str">
        <f t="array" ref="O1621">_xlfn.IFS(orders[[#This Row],[Customer Gender]]="M","Male", orders[[#This Row],[Customer Gender]]="F","Female", orders[[#This Row],[Customer Gender]]="O","Other", TRUE(),"Unknown")</f>
        <v>Female</v>
      </c>
    </row>
    <row r="1622" spans="1:15" x14ac:dyDescent="0.25">
      <c r="A1622" t="s">
        <v>1850</v>
      </c>
      <c r="B1622" t="s">
        <v>78</v>
      </c>
      <c r="C1622">
        <v>6</v>
      </c>
      <c r="D1622">
        <v>20.399999999999999</v>
      </c>
      <c r="E1622">
        <v>122.4</v>
      </c>
      <c r="F1622" s="58">
        <v>45718</v>
      </c>
      <c r="G1622" s="58">
        <v>45719</v>
      </c>
      <c r="H1622" t="s">
        <v>229</v>
      </c>
      <c r="I1622" t="s">
        <v>62</v>
      </c>
      <c r="J1622">
        <v>4</v>
      </c>
      <c r="K1622" t="s">
        <v>103</v>
      </c>
      <c r="L1622" t="s">
        <v>124</v>
      </c>
      <c r="M1622">
        <f>orders[[#This Row],[Ship Date]]-orders[[#This Row],[Order Date]]</f>
        <v>1</v>
      </c>
      <c r="N1622">
        <f>WEEKNUM(orders[[#This Row],[Order Date]],1)</f>
        <v>10</v>
      </c>
      <c r="O1622" t="str">
        <f t="array" ref="O1622">_xlfn.IFS(orders[[#This Row],[Customer Gender]]="M","Male", orders[[#This Row],[Customer Gender]]="F","Female", orders[[#This Row],[Customer Gender]]="O","Other", TRUE(),"Unknown")</f>
        <v>Male</v>
      </c>
    </row>
    <row r="1623" spans="1:15" x14ac:dyDescent="0.25">
      <c r="A1623" t="s">
        <v>1851</v>
      </c>
      <c r="B1623" t="s">
        <v>75</v>
      </c>
      <c r="C1623">
        <v>2</v>
      </c>
      <c r="D1623">
        <v>30.4</v>
      </c>
      <c r="E1623">
        <v>60.8</v>
      </c>
      <c r="F1623" s="58">
        <v>45718</v>
      </c>
      <c r="G1623" s="58">
        <v>45720</v>
      </c>
      <c r="H1623" t="s">
        <v>229</v>
      </c>
      <c r="I1623" t="s">
        <v>62</v>
      </c>
      <c r="J1623">
        <v>4</v>
      </c>
      <c r="K1623" t="s">
        <v>103</v>
      </c>
      <c r="L1623" t="s">
        <v>124</v>
      </c>
      <c r="M1623">
        <f>orders[[#This Row],[Ship Date]]-orders[[#This Row],[Order Date]]</f>
        <v>2</v>
      </c>
      <c r="N1623">
        <f>WEEKNUM(orders[[#This Row],[Order Date]],1)</f>
        <v>10</v>
      </c>
      <c r="O1623" t="str">
        <f t="array" ref="O1623">_xlfn.IFS(orders[[#This Row],[Customer Gender]]="M","Male", orders[[#This Row],[Customer Gender]]="F","Female", orders[[#This Row],[Customer Gender]]="O","Other", TRUE(),"Unknown")</f>
        <v>Male</v>
      </c>
    </row>
    <row r="1624" spans="1:15" x14ac:dyDescent="0.25">
      <c r="A1624" t="s">
        <v>1852</v>
      </c>
      <c r="B1624" t="s">
        <v>79</v>
      </c>
      <c r="C1624">
        <v>2</v>
      </c>
      <c r="D1624">
        <v>71.5</v>
      </c>
      <c r="E1624">
        <v>143</v>
      </c>
      <c r="F1624" s="58">
        <v>45718</v>
      </c>
      <c r="G1624" s="58">
        <v>45722</v>
      </c>
      <c r="H1624" t="s">
        <v>231</v>
      </c>
      <c r="I1624" t="s">
        <v>59</v>
      </c>
      <c r="J1624">
        <v>4</v>
      </c>
      <c r="K1624" t="s">
        <v>103</v>
      </c>
      <c r="L1624" t="s">
        <v>124</v>
      </c>
      <c r="M1624">
        <f>orders[[#This Row],[Ship Date]]-orders[[#This Row],[Order Date]]</f>
        <v>4</v>
      </c>
      <c r="N1624">
        <f>WEEKNUM(orders[[#This Row],[Order Date]],1)</f>
        <v>10</v>
      </c>
      <c r="O1624" t="str">
        <f t="array" ref="O1624">_xlfn.IFS(orders[[#This Row],[Customer Gender]]="M","Male", orders[[#This Row],[Customer Gender]]="F","Female", orders[[#This Row],[Customer Gender]]="O","Other", TRUE(),"Unknown")</f>
        <v>Female</v>
      </c>
    </row>
    <row r="1625" spans="1:15" x14ac:dyDescent="0.25">
      <c r="A1625" t="s">
        <v>1853</v>
      </c>
      <c r="B1625" t="s">
        <v>90</v>
      </c>
      <c r="C1625">
        <v>6</v>
      </c>
      <c r="D1625">
        <v>18</v>
      </c>
      <c r="E1625">
        <v>108</v>
      </c>
      <c r="F1625" s="58">
        <v>45718</v>
      </c>
      <c r="G1625" s="58">
        <v>45719</v>
      </c>
      <c r="H1625" t="s">
        <v>263</v>
      </c>
      <c r="I1625" t="s">
        <v>63</v>
      </c>
      <c r="J1625">
        <v>5</v>
      </c>
      <c r="K1625" t="s">
        <v>103</v>
      </c>
      <c r="L1625" t="s">
        <v>139</v>
      </c>
      <c r="M1625">
        <f>orders[[#This Row],[Ship Date]]-orders[[#This Row],[Order Date]]</f>
        <v>1</v>
      </c>
      <c r="N1625">
        <f>WEEKNUM(orders[[#This Row],[Order Date]],1)</f>
        <v>10</v>
      </c>
      <c r="O1625" t="str">
        <f t="array" ref="O1625">_xlfn.IFS(orders[[#This Row],[Customer Gender]]="M","Male", orders[[#This Row],[Customer Gender]]="F","Female", orders[[#This Row],[Customer Gender]]="O","Other", TRUE(),"Unknown")</f>
        <v>Other</v>
      </c>
    </row>
    <row r="1626" spans="1:15" x14ac:dyDescent="0.25">
      <c r="A1626" t="s">
        <v>1854</v>
      </c>
      <c r="B1626" t="s">
        <v>77</v>
      </c>
      <c r="C1626">
        <v>11</v>
      </c>
      <c r="D1626">
        <v>45.6</v>
      </c>
      <c r="E1626">
        <v>501.6</v>
      </c>
      <c r="F1626" s="58">
        <v>45718</v>
      </c>
      <c r="G1626" s="58">
        <v>45719</v>
      </c>
      <c r="H1626" t="s">
        <v>263</v>
      </c>
      <c r="I1626" t="s">
        <v>63</v>
      </c>
      <c r="J1626">
        <v>3</v>
      </c>
      <c r="K1626" t="s">
        <v>103</v>
      </c>
      <c r="L1626" t="s">
        <v>141</v>
      </c>
      <c r="M1626">
        <f>orders[[#This Row],[Ship Date]]-orders[[#This Row],[Order Date]]</f>
        <v>1</v>
      </c>
      <c r="N1626">
        <f>WEEKNUM(orders[[#This Row],[Order Date]],1)</f>
        <v>10</v>
      </c>
      <c r="O1626" t="str">
        <f t="array" ref="O1626">_xlfn.IFS(orders[[#This Row],[Customer Gender]]="M","Male", orders[[#This Row],[Customer Gender]]="F","Female", orders[[#This Row],[Customer Gender]]="O","Other", TRUE(),"Unknown")</f>
        <v>Other</v>
      </c>
    </row>
    <row r="1627" spans="1:15" x14ac:dyDescent="0.25">
      <c r="A1627" t="s">
        <v>1855</v>
      </c>
      <c r="B1627" t="s">
        <v>88</v>
      </c>
      <c r="C1627">
        <v>1</v>
      </c>
      <c r="D1627">
        <v>31.8</v>
      </c>
      <c r="E1627">
        <v>31.8</v>
      </c>
      <c r="F1627" s="58">
        <v>45718</v>
      </c>
      <c r="G1627" s="58">
        <v>45722</v>
      </c>
      <c r="H1627" t="s">
        <v>231</v>
      </c>
      <c r="I1627" t="s">
        <v>59</v>
      </c>
      <c r="J1627">
        <v>5</v>
      </c>
      <c r="K1627" t="s">
        <v>103</v>
      </c>
      <c r="L1627" t="s">
        <v>141</v>
      </c>
      <c r="M1627">
        <f>orders[[#This Row],[Ship Date]]-orders[[#This Row],[Order Date]]</f>
        <v>4</v>
      </c>
      <c r="N1627">
        <f>WEEKNUM(orders[[#This Row],[Order Date]],1)</f>
        <v>10</v>
      </c>
      <c r="O1627" t="str">
        <f t="array" ref="O1627">_xlfn.IFS(orders[[#This Row],[Customer Gender]]="M","Male", orders[[#This Row],[Customer Gender]]="F","Female", orders[[#This Row],[Customer Gender]]="O","Other", TRUE(),"Unknown")</f>
        <v>Female</v>
      </c>
    </row>
    <row r="1628" spans="1:15" x14ac:dyDescent="0.25">
      <c r="A1628" t="s">
        <v>1856</v>
      </c>
      <c r="B1628" t="s">
        <v>90</v>
      </c>
      <c r="C1628">
        <v>5</v>
      </c>
      <c r="D1628">
        <v>19.899999999999999</v>
      </c>
      <c r="E1628">
        <v>99.5</v>
      </c>
      <c r="F1628" s="58">
        <v>45718</v>
      </c>
      <c r="G1628" s="58">
        <v>45719</v>
      </c>
      <c r="H1628" t="s">
        <v>231</v>
      </c>
      <c r="I1628" t="s">
        <v>63</v>
      </c>
      <c r="J1628">
        <v>4</v>
      </c>
      <c r="K1628" t="s">
        <v>103</v>
      </c>
      <c r="L1628" t="s">
        <v>141</v>
      </c>
      <c r="M1628">
        <f>orders[[#This Row],[Ship Date]]-orders[[#This Row],[Order Date]]</f>
        <v>1</v>
      </c>
      <c r="N1628">
        <f>WEEKNUM(orders[[#This Row],[Order Date]],1)</f>
        <v>10</v>
      </c>
      <c r="O1628" t="str">
        <f t="array" ref="O1628">_xlfn.IFS(orders[[#This Row],[Customer Gender]]="M","Male", orders[[#This Row],[Customer Gender]]="F","Female", orders[[#This Row],[Customer Gender]]="O","Other", TRUE(),"Unknown")</f>
        <v>Female</v>
      </c>
    </row>
    <row r="1629" spans="1:15" x14ac:dyDescent="0.25">
      <c r="A1629" t="s">
        <v>1857</v>
      </c>
      <c r="B1629" t="s">
        <v>76</v>
      </c>
      <c r="C1629">
        <v>9</v>
      </c>
      <c r="D1629">
        <v>52.1</v>
      </c>
      <c r="E1629">
        <v>468.9</v>
      </c>
      <c r="F1629" s="58">
        <v>45718</v>
      </c>
      <c r="G1629" s="58">
        <v>45720</v>
      </c>
      <c r="H1629" t="s">
        <v>229</v>
      </c>
      <c r="I1629" t="s">
        <v>59</v>
      </c>
      <c r="J1629">
        <v>4</v>
      </c>
      <c r="K1629" t="s">
        <v>103</v>
      </c>
      <c r="L1629" t="s">
        <v>142</v>
      </c>
      <c r="M1629">
        <f>orders[[#This Row],[Ship Date]]-orders[[#This Row],[Order Date]]</f>
        <v>2</v>
      </c>
      <c r="N1629">
        <f>WEEKNUM(orders[[#This Row],[Order Date]],1)</f>
        <v>10</v>
      </c>
      <c r="O1629" t="str">
        <f t="array" ref="O1629">_xlfn.IFS(orders[[#This Row],[Customer Gender]]="M","Male", orders[[#This Row],[Customer Gender]]="F","Female", orders[[#This Row],[Customer Gender]]="O","Other", TRUE(),"Unknown")</f>
        <v>Male</v>
      </c>
    </row>
    <row r="1630" spans="1:15" x14ac:dyDescent="0.25">
      <c r="A1630" t="s">
        <v>1858</v>
      </c>
      <c r="B1630" t="s">
        <v>91</v>
      </c>
      <c r="C1630">
        <v>7</v>
      </c>
      <c r="D1630">
        <v>45.9</v>
      </c>
      <c r="E1630">
        <v>321.3</v>
      </c>
      <c r="F1630" s="58">
        <v>45718</v>
      </c>
      <c r="G1630" s="58">
        <v>45719</v>
      </c>
      <c r="H1630" t="s">
        <v>229</v>
      </c>
      <c r="I1630" t="s">
        <v>59</v>
      </c>
      <c r="J1630">
        <v>3</v>
      </c>
      <c r="K1630" t="s">
        <v>103</v>
      </c>
      <c r="L1630" t="s">
        <v>142</v>
      </c>
      <c r="M1630">
        <f>orders[[#This Row],[Ship Date]]-orders[[#This Row],[Order Date]]</f>
        <v>1</v>
      </c>
      <c r="N1630">
        <f>WEEKNUM(orders[[#This Row],[Order Date]],1)</f>
        <v>10</v>
      </c>
      <c r="O1630" t="str">
        <f t="array" ref="O1630">_xlfn.IFS(orders[[#This Row],[Customer Gender]]="M","Male", orders[[#This Row],[Customer Gender]]="F","Female", orders[[#This Row],[Customer Gender]]="O","Other", TRUE(),"Unknown")</f>
        <v>Male</v>
      </c>
    </row>
    <row r="1631" spans="1:15" x14ac:dyDescent="0.25">
      <c r="A1631" t="s">
        <v>1859</v>
      </c>
      <c r="B1631" t="s">
        <v>91</v>
      </c>
      <c r="C1631">
        <v>10</v>
      </c>
      <c r="D1631">
        <v>115.9</v>
      </c>
      <c r="E1631">
        <v>1159</v>
      </c>
      <c r="F1631" s="58">
        <v>45718</v>
      </c>
      <c r="G1631" s="58">
        <v>45721</v>
      </c>
      <c r="H1631" t="s">
        <v>231</v>
      </c>
      <c r="I1631" t="s">
        <v>63</v>
      </c>
      <c r="J1631">
        <v>4</v>
      </c>
      <c r="K1631" t="s">
        <v>103</v>
      </c>
      <c r="L1631" t="s">
        <v>142</v>
      </c>
      <c r="M1631">
        <f>orders[[#This Row],[Ship Date]]-orders[[#This Row],[Order Date]]</f>
        <v>3</v>
      </c>
      <c r="N1631">
        <f>WEEKNUM(orders[[#This Row],[Order Date]],1)</f>
        <v>10</v>
      </c>
      <c r="O1631" t="str">
        <f t="array" ref="O1631">_xlfn.IFS(orders[[#This Row],[Customer Gender]]="M","Male", orders[[#This Row],[Customer Gender]]="F","Female", orders[[#This Row],[Customer Gender]]="O","Other", TRUE(),"Unknown")</f>
        <v>Female</v>
      </c>
    </row>
    <row r="1632" spans="1:15" x14ac:dyDescent="0.25">
      <c r="A1632" t="s">
        <v>1860</v>
      </c>
      <c r="B1632" t="s">
        <v>80</v>
      </c>
      <c r="C1632">
        <v>9</v>
      </c>
      <c r="D1632">
        <v>86</v>
      </c>
      <c r="E1632">
        <v>774</v>
      </c>
      <c r="F1632" s="58">
        <v>45718</v>
      </c>
      <c r="G1632" s="58">
        <v>45723</v>
      </c>
      <c r="H1632" t="s">
        <v>231</v>
      </c>
      <c r="I1632" t="s">
        <v>59</v>
      </c>
      <c r="J1632">
        <v>3</v>
      </c>
      <c r="K1632" t="s">
        <v>103</v>
      </c>
      <c r="L1632" t="s">
        <v>142</v>
      </c>
      <c r="M1632">
        <f>orders[[#This Row],[Ship Date]]-orders[[#This Row],[Order Date]]</f>
        <v>5</v>
      </c>
      <c r="N1632">
        <f>WEEKNUM(orders[[#This Row],[Order Date]],1)</f>
        <v>10</v>
      </c>
      <c r="O1632" t="str">
        <f t="array" ref="O1632">_xlfn.IFS(orders[[#This Row],[Customer Gender]]="M","Male", orders[[#This Row],[Customer Gender]]="F","Female", orders[[#This Row],[Customer Gender]]="O","Other", TRUE(),"Unknown")</f>
        <v>Female</v>
      </c>
    </row>
    <row r="1633" spans="1:15" x14ac:dyDescent="0.25">
      <c r="A1633" t="s">
        <v>1861</v>
      </c>
      <c r="B1633" t="s">
        <v>79</v>
      </c>
      <c r="C1633">
        <v>7</v>
      </c>
      <c r="D1633">
        <v>73.599999999999994</v>
      </c>
      <c r="E1633">
        <v>515.20000000000005</v>
      </c>
      <c r="F1633" s="58">
        <v>45718</v>
      </c>
      <c r="G1633" s="58">
        <v>45720</v>
      </c>
      <c r="H1633" t="s">
        <v>231</v>
      </c>
      <c r="I1633" t="s">
        <v>59</v>
      </c>
      <c r="J1633">
        <v>4</v>
      </c>
      <c r="K1633" t="s">
        <v>103</v>
      </c>
      <c r="L1633" t="s">
        <v>143</v>
      </c>
      <c r="M1633">
        <f>orders[[#This Row],[Ship Date]]-orders[[#This Row],[Order Date]]</f>
        <v>2</v>
      </c>
      <c r="N1633">
        <f>WEEKNUM(orders[[#This Row],[Order Date]],1)</f>
        <v>10</v>
      </c>
      <c r="O1633" t="str">
        <f t="array" ref="O1633">_xlfn.IFS(orders[[#This Row],[Customer Gender]]="M","Male", orders[[#This Row],[Customer Gender]]="F","Female", orders[[#This Row],[Customer Gender]]="O","Other", TRUE(),"Unknown")</f>
        <v>Female</v>
      </c>
    </row>
    <row r="1634" spans="1:15" x14ac:dyDescent="0.25">
      <c r="A1634" t="s">
        <v>1862</v>
      </c>
      <c r="B1634" t="s">
        <v>75</v>
      </c>
      <c r="C1634">
        <v>3</v>
      </c>
      <c r="D1634">
        <v>26.7</v>
      </c>
      <c r="E1634">
        <v>80.099999999999994</v>
      </c>
      <c r="F1634" s="58">
        <v>45718</v>
      </c>
      <c r="G1634" s="58">
        <v>45722</v>
      </c>
      <c r="H1634" t="s">
        <v>231</v>
      </c>
      <c r="I1634" t="s">
        <v>59</v>
      </c>
      <c r="J1634">
        <v>4</v>
      </c>
      <c r="K1634" t="s">
        <v>103</v>
      </c>
      <c r="L1634" t="s">
        <v>148</v>
      </c>
      <c r="M1634">
        <f>orders[[#This Row],[Ship Date]]-orders[[#This Row],[Order Date]]</f>
        <v>4</v>
      </c>
      <c r="N1634">
        <f>WEEKNUM(orders[[#This Row],[Order Date]],1)</f>
        <v>10</v>
      </c>
      <c r="O1634" t="str">
        <f t="array" ref="O1634">_xlfn.IFS(orders[[#This Row],[Customer Gender]]="M","Male", orders[[#This Row],[Customer Gender]]="F","Female", orders[[#This Row],[Customer Gender]]="O","Other", TRUE(),"Unknown")</f>
        <v>Female</v>
      </c>
    </row>
    <row r="1635" spans="1:15" x14ac:dyDescent="0.25">
      <c r="A1635" t="s">
        <v>1863</v>
      </c>
      <c r="B1635" t="s">
        <v>90</v>
      </c>
      <c r="C1635">
        <v>7</v>
      </c>
      <c r="D1635">
        <v>46.6</v>
      </c>
      <c r="E1635">
        <v>326.2</v>
      </c>
      <c r="F1635" s="58">
        <v>45718</v>
      </c>
      <c r="G1635" s="58">
        <v>45720</v>
      </c>
      <c r="I1635" t="s">
        <v>60</v>
      </c>
      <c r="J1635">
        <v>4</v>
      </c>
      <c r="K1635" t="s">
        <v>103</v>
      </c>
      <c r="L1635" t="s">
        <v>148</v>
      </c>
      <c r="M1635">
        <f>orders[[#This Row],[Ship Date]]-orders[[#This Row],[Order Date]]</f>
        <v>2</v>
      </c>
      <c r="N1635">
        <f>WEEKNUM(orders[[#This Row],[Order Date]],1)</f>
        <v>10</v>
      </c>
      <c r="O1635" t="str">
        <f t="array" ref="O1635">_xlfn.IFS(orders[[#This Row],[Customer Gender]]="M","Male", orders[[#This Row],[Customer Gender]]="F","Female", orders[[#This Row],[Customer Gender]]="O","Other", TRUE(),"Unknown")</f>
        <v>Unknown</v>
      </c>
    </row>
    <row r="1636" spans="1:15" x14ac:dyDescent="0.25">
      <c r="A1636" t="s">
        <v>1864</v>
      </c>
      <c r="B1636" t="s">
        <v>93</v>
      </c>
      <c r="C1636">
        <v>3</v>
      </c>
      <c r="D1636">
        <v>84.6</v>
      </c>
      <c r="E1636">
        <v>253.8</v>
      </c>
      <c r="F1636" s="58">
        <v>45718</v>
      </c>
      <c r="G1636" s="58">
        <v>45720</v>
      </c>
      <c r="H1636" t="s">
        <v>229</v>
      </c>
      <c r="I1636" t="s">
        <v>61</v>
      </c>
      <c r="J1636">
        <v>4</v>
      </c>
      <c r="K1636" t="s">
        <v>103</v>
      </c>
      <c r="L1636" t="s">
        <v>148</v>
      </c>
      <c r="M1636">
        <f>orders[[#This Row],[Ship Date]]-orders[[#This Row],[Order Date]]</f>
        <v>2</v>
      </c>
      <c r="N1636">
        <f>WEEKNUM(orders[[#This Row],[Order Date]],1)</f>
        <v>10</v>
      </c>
      <c r="O1636" t="str">
        <f t="array" ref="O1636">_xlfn.IFS(orders[[#This Row],[Customer Gender]]="M","Male", orders[[#This Row],[Customer Gender]]="F","Female", orders[[#This Row],[Customer Gender]]="O","Other", TRUE(),"Unknown")</f>
        <v>Male</v>
      </c>
    </row>
    <row r="1637" spans="1:15" x14ac:dyDescent="0.25">
      <c r="A1637" t="s">
        <v>1865</v>
      </c>
      <c r="B1637" t="s">
        <v>79</v>
      </c>
      <c r="C1637">
        <v>14</v>
      </c>
      <c r="D1637">
        <v>41.5</v>
      </c>
      <c r="E1637">
        <v>581</v>
      </c>
      <c r="F1637" s="58">
        <v>45718</v>
      </c>
      <c r="G1637" s="58">
        <v>45732</v>
      </c>
      <c r="H1637" t="s">
        <v>229</v>
      </c>
      <c r="I1637" t="s">
        <v>63</v>
      </c>
      <c r="J1637">
        <v>4</v>
      </c>
      <c r="K1637" t="s">
        <v>103</v>
      </c>
      <c r="L1637" t="s">
        <v>150</v>
      </c>
      <c r="M1637">
        <f>orders[[#This Row],[Ship Date]]-orders[[#This Row],[Order Date]]</f>
        <v>14</v>
      </c>
      <c r="N1637">
        <f>WEEKNUM(orders[[#This Row],[Order Date]],1)</f>
        <v>10</v>
      </c>
      <c r="O1637" t="str">
        <f t="array" ref="O1637">_xlfn.IFS(orders[[#This Row],[Customer Gender]]="M","Male", orders[[#This Row],[Customer Gender]]="F","Female", orders[[#This Row],[Customer Gender]]="O","Other", TRUE(),"Unknown")</f>
        <v>Male</v>
      </c>
    </row>
    <row r="1638" spans="1:15" x14ac:dyDescent="0.25">
      <c r="A1638" t="s">
        <v>1866</v>
      </c>
      <c r="B1638" t="s">
        <v>90</v>
      </c>
      <c r="C1638">
        <v>1</v>
      </c>
      <c r="D1638">
        <v>32.799999999999997</v>
      </c>
      <c r="E1638">
        <v>32.799999999999997</v>
      </c>
      <c r="F1638" s="58">
        <v>45718</v>
      </c>
      <c r="G1638" s="58">
        <v>45721</v>
      </c>
      <c r="H1638" t="s">
        <v>229</v>
      </c>
      <c r="I1638" t="s">
        <v>59</v>
      </c>
      <c r="J1638">
        <v>5</v>
      </c>
      <c r="K1638" t="s">
        <v>103</v>
      </c>
      <c r="L1638" t="s">
        <v>152</v>
      </c>
      <c r="M1638">
        <f>orders[[#This Row],[Ship Date]]-orders[[#This Row],[Order Date]]</f>
        <v>3</v>
      </c>
      <c r="N1638">
        <f>WEEKNUM(orders[[#This Row],[Order Date]],1)</f>
        <v>10</v>
      </c>
      <c r="O1638" t="str">
        <f t="array" ref="O1638">_xlfn.IFS(orders[[#This Row],[Customer Gender]]="M","Male", orders[[#This Row],[Customer Gender]]="F","Female", orders[[#This Row],[Customer Gender]]="O","Other", TRUE(),"Unknown")</f>
        <v>Male</v>
      </c>
    </row>
    <row r="1639" spans="1:15" x14ac:dyDescent="0.25">
      <c r="A1639" t="s">
        <v>1867</v>
      </c>
      <c r="B1639" t="s">
        <v>78</v>
      </c>
      <c r="C1639">
        <v>7</v>
      </c>
      <c r="D1639">
        <v>46.7</v>
      </c>
      <c r="E1639">
        <v>326.89999999999998</v>
      </c>
      <c r="F1639" s="58">
        <v>45718</v>
      </c>
      <c r="G1639" s="58">
        <v>45720</v>
      </c>
      <c r="H1639" t="s">
        <v>263</v>
      </c>
      <c r="I1639" t="s">
        <v>59</v>
      </c>
      <c r="J1639">
        <v>5</v>
      </c>
      <c r="K1639" t="s">
        <v>103</v>
      </c>
      <c r="L1639" t="s">
        <v>154</v>
      </c>
      <c r="M1639">
        <f>orders[[#This Row],[Ship Date]]-orders[[#This Row],[Order Date]]</f>
        <v>2</v>
      </c>
      <c r="N1639">
        <f>WEEKNUM(orders[[#This Row],[Order Date]],1)</f>
        <v>10</v>
      </c>
      <c r="O1639" t="str">
        <f t="array" ref="O1639">_xlfn.IFS(orders[[#This Row],[Customer Gender]]="M","Male", orders[[#This Row],[Customer Gender]]="F","Female", orders[[#This Row],[Customer Gender]]="O","Other", TRUE(),"Unknown")</f>
        <v>Other</v>
      </c>
    </row>
    <row r="1640" spans="1:15" x14ac:dyDescent="0.25">
      <c r="A1640" t="s">
        <v>1868</v>
      </c>
      <c r="B1640" t="s">
        <v>77</v>
      </c>
      <c r="C1640">
        <v>7</v>
      </c>
      <c r="D1640">
        <v>21</v>
      </c>
      <c r="E1640">
        <v>147</v>
      </c>
      <c r="F1640" s="58">
        <v>45718</v>
      </c>
      <c r="G1640" s="58">
        <v>45721</v>
      </c>
      <c r="H1640" t="s">
        <v>229</v>
      </c>
      <c r="I1640" t="s">
        <v>62</v>
      </c>
      <c r="J1640">
        <v>3</v>
      </c>
      <c r="K1640" t="s">
        <v>103</v>
      </c>
      <c r="L1640" t="s">
        <v>106</v>
      </c>
      <c r="M1640">
        <f>orders[[#This Row],[Ship Date]]-orders[[#This Row],[Order Date]]</f>
        <v>3</v>
      </c>
      <c r="N1640">
        <f>WEEKNUM(orders[[#This Row],[Order Date]],1)</f>
        <v>10</v>
      </c>
      <c r="O1640" t="str">
        <f t="array" ref="O1640">_xlfn.IFS(orders[[#This Row],[Customer Gender]]="M","Male", orders[[#This Row],[Customer Gender]]="F","Female", orders[[#This Row],[Customer Gender]]="O","Other", TRUE(),"Unknown")</f>
        <v>Male</v>
      </c>
    </row>
    <row r="1641" spans="1:15" x14ac:dyDescent="0.25">
      <c r="A1641" t="s">
        <v>1869</v>
      </c>
      <c r="B1641" t="s">
        <v>85</v>
      </c>
      <c r="C1641">
        <v>7</v>
      </c>
      <c r="D1641">
        <v>29.4</v>
      </c>
      <c r="E1641">
        <v>205.8</v>
      </c>
      <c r="F1641" s="58">
        <v>45718</v>
      </c>
      <c r="G1641" s="58">
        <v>45718</v>
      </c>
      <c r="H1641" t="s">
        <v>229</v>
      </c>
      <c r="I1641" t="s">
        <v>60</v>
      </c>
      <c r="J1641">
        <v>5</v>
      </c>
      <c r="K1641" t="s">
        <v>103</v>
      </c>
      <c r="L1641" t="s">
        <v>106</v>
      </c>
      <c r="M1641">
        <f>orders[[#This Row],[Ship Date]]-orders[[#This Row],[Order Date]]</f>
        <v>0</v>
      </c>
      <c r="N1641">
        <f>WEEKNUM(orders[[#This Row],[Order Date]],1)</f>
        <v>10</v>
      </c>
      <c r="O1641" t="str">
        <f t="array" ref="O1641">_xlfn.IFS(orders[[#This Row],[Customer Gender]]="M","Male", orders[[#This Row],[Customer Gender]]="F","Female", orders[[#This Row],[Customer Gender]]="O","Other", TRUE(),"Unknown")</f>
        <v>Male</v>
      </c>
    </row>
    <row r="1642" spans="1:15" x14ac:dyDescent="0.25">
      <c r="A1642" t="s">
        <v>1870</v>
      </c>
      <c r="B1642" t="s">
        <v>77</v>
      </c>
      <c r="C1642">
        <v>2</v>
      </c>
      <c r="D1642">
        <v>32.299999999999997</v>
      </c>
      <c r="E1642">
        <v>64.599999999999994</v>
      </c>
      <c r="F1642" s="58">
        <v>45718</v>
      </c>
      <c r="G1642" s="58">
        <v>45719</v>
      </c>
      <c r="H1642" t="s">
        <v>229</v>
      </c>
      <c r="I1642" t="s">
        <v>59</v>
      </c>
      <c r="J1642">
        <v>5</v>
      </c>
      <c r="K1642" t="s">
        <v>103</v>
      </c>
      <c r="L1642" t="s">
        <v>106</v>
      </c>
      <c r="M1642">
        <f>orders[[#This Row],[Ship Date]]-orders[[#This Row],[Order Date]]</f>
        <v>1</v>
      </c>
      <c r="N1642">
        <f>WEEKNUM(orders[[#This Row],[Order Date]],1)</f>
        <v>10</v>
      </c>
      <c r="O1642" t="str">
        <f t="array" ref="O1642">_xlfn.IFS(orders[[#This Row],[Customer Gender]]="M","Male", orders[[#This Row],[Customer Gender]]="F","Female", orders[[#This Row],[Customer Gender]]="O","Other", TRUE(),"Unknown")</f>
        <v>Male</v>
      </c>
    </row>
    <row r="1643" spans="1:15" x14ac:dyDescent="0.25">
      <c r="A1643" t="s">
        <v>1871</v>
      </c>
      <c r="B1643" t="s">
        <v>80</v>
      </c>
      <c r="C1643">
        <v>1</v>
      </c>
      <c r="D1643">
        <v>42.2</v>
      </c>
      <c r="E1643">
        <v>42.2</v>
      </c>
      <c r="F1643" s="58">
        <v>45719</v>
      </c>
      <c r="G1643" s="58">
        <v>45721</v>
      </c>
      <c r="H1643" t="s">
        <v>231</v>
      </c>
      <c r="I1643" t="s">
        <v>59</v>
      </c>
      <c r="J1643">
        <v>5</v>
      </c>
      <c r="K1643" t="s">
        <v>103</v>
      </c>
      <c r="L1643" t="s">
        <v>106</v>
      </c>
      <c r="M1643">
        <f>orders[[#This Row],[Ship Date]]-orders[[#This Row],[Order Date]]</f>
        <v>2</v>
      </c>
      <c r="N1643">
        <f>WEEKNUM(orders[[#This Row],[Order Date]],1)</f>
        <v>10</v>
      </c>
      <c r="O1643" t="str">
        <f t="array" ref="O1643">_xlfn.IFS(orders[[#This Row],[Customer Gender]]="M","Male", orders[[#This Row],[Customer Gender]]="F","Female", orders[[#This Row],[Customer Gender]]="O","Other", TRUE(),"Unknown")</f>
        <v>Female</v>
      </c>
    </row>
    <row r="1644" spans="1:15" x14ac:dyDescent="0.25">
      <c r="A1644" t="s">
        <v>1872</v>
      </c>
      <c r="B1644" t="s">
        <v>80</v>
      </c>
      <c r="C1644">
        <v>1</v>
      </c>
      <c r="D1644">
        <v>53.7</v>
      </c>
      <c r="E1644">
        <v>53.7</v>
      </c>
      <c r="F1644" s="58">
        <v>45719</v>
      </c>
      <c r="G1644" s="58">
        <v>45721</v>
      </c>
      <c r="H1644" t="s">
        <v>229</v>
      </c>
      <c r="I1644" t="s">
        <v>63</v>
      </c>
      <c r="J1644">
        <v>3</v>
      </c>
      <c r="K1644" t="s">
        <v>103</v>
      </c>
      <c r="L1644" t="s">
        <v>112</v>
      </c>
      <c r="M1644">
        <f>orders[[#This Row],[Ship Date]]-orders[[#This Row],[Order Date]]</f>
        <v>2</v>
      </c>
      <c r="N1644">
        <f>WEEKNUM(orders[[#This Row],[Order Date]],1)</f>
        <v>10</v>
      </c>
      <c r="O1644" t="str">
        <f t="array" ref="O1644">_xlfn.IFS(orders[[#This Row],[Customer Gender]]="M","Male", orders[[#This Row],[Customer Gender]]="F","Female", orders[[#This Row],[Customer Gender]]="O","Other", TRUE(),"Unknown")</f>
        <v>Male</v>
      </c>
    </row>
    <row r="1645" spans="1:15" x14ac:dyDescent="0.25">
      <c r="A1645" t="s">
        <v>1873</v>
      </c>
      <c r="B1645" t="s">
        <v>87</v>
      </c>
      <c r="C1645">
        <v>2</v>
      </c>
      <c r="D1645">
        <v>123.9</v>
      </c>
      <c r="E1645">
        <v>247.8</v>
      </c>
      <c r="F1645" s="58">
        <v>45719</v>
      </c>
      <c r="G1645" s="58">
        <v>45722</v>
      </c>
      <c r="H1645" t="s">
        <v>229</v>
      </c>
      <c r="I1645" t="s">
        <v>62</v>
      </c>
      <c r="J1645">
        <v>4</v>
      </c>
      <c r="K1645" t="s">
        <v>103</v>
      </c>
      <c r="L1645" t="s">
        <v>112</v>
      </c>
      <c r="M1645">
        <f>orders[[#This Row],[Ship Date]]-orders[[#This Row],[Order Date]]</f>
        <v>3</v>
      </c>
      <c r="N1645">
        <f>WEEKNUM(orders[[#This Row],[Order Date]],1)</f>
        <v>10</v>
      </c>
      <c r="O1645" t="str">
        <f t="array" ref="O1645">_xlfn.IFS(orders[[#This Row],[Customer Gender]]="M","Male", orders[[#This Row],[Customer Gender]]="F","Female", orders[[#This Row],[Customer Gender]]="O","Other", TRUE(),"Unknown")</f>
        <v>Male</v>
      </c>
    </row>
    <row r="1646" spans="1:15" x14ac:dyDescent="0.25">
      <c r="A1646" t="s">
        <v>1874</v>
      </c>
      <c r="B1646" t="s">
        <v>78</v>
      </c>
      <c r="C1646">
        <v>3</v>
      </c>
      <c r="D1646">
        <v>35.9</v>
      </c>
      <c r="E1646">
        <v>107.7</v>
      </c>
      <c r="F1646" s="58">
        <v>45719</v>
      </c>
      <c r="G1646" s="58">
        <v>45721</v>
      </c>
      <c r="H1646" t="s">
        <v>229</v>
      </c>
      <c r="I1646" t="s">
        <v>62</v>
      </c>
      <c r="J1646">
        <v>4</v>
      </c>
      <c r="K1646" t="s">
        <v>103</v>
      </c>
      <c r="L1646" t="s">
        <v>120</v>
      </c>
      <c r="M1646">
        <f>orders[[#This Row],[Ship Date]]-orders[[#This Row],[Order Date]]</f>
        <v>2</v>
      </c>
      <c r="N1646">
        <f>WEEKNUM(orders[[#This Row],[Order Date]],1)</f>
        <v>10</v>
      </c>
      <c r="O1646" t="str">
        <f t="array" ref="O1646">_xlfn.IFS(orders[[#This Row],[Customer Gender]]="M","Male", orders[[#This Row],[Customer Gender]]="F","Female", orders[[#This Row],[Customer Gender]]="O","Other", TRUE(),"Unknown")</f>
        <v>Male</v>
      </c>
    </row>
    <row r="1647" spans="1:15" x14ac:dyDescent="0.25">
      <c r="A1647" t="s">
        <v>1875</v>
      </c>
      <c r="B1647" t="s">
        <v>78</v>
      </c>
      <c r="C1647">
        <v>2</v>
      </c>
      <c r="D1647">
        <v>23.6</v>
      </c>
      <c r="E1647">
        <v>47.2</v>
      </c>
      <c r="F1647" s="58">
        <v>45719</v>
      </c>
      <c r="G1647" s="58">
        <v>45722</v>
      </c>
      <c r="H1647" t="s">
        <v>229</v>
      </c>
      <c r="I1647" t="s">
        <v>59</v>
      </c>
      <c r="J1647">
        <v>5</v>
      </c>
      <c r="K1647" t="s">
        <v>103</v>
      </c>
      <c r="L1647" t="s">
        <v>124</v>
      </c>
      <c r="M1647">
        <f>orders[[#This Row],[Ship Date]]-orders[[#This Row],[Order Date]]</f>
        <v>3</v>
      </c>
      <c r="N1647">
        <f>WEEKNUM(orders[[#This Row],[Order Date]],1)</f>
        <v>10</v>
      </c>
      <c r="O1647" t="str">
        <f t="array" ref="O1647">_xlfn.IFS(orders[[#This Row],[Customer Gender]]="M","Male", orders[[#This Row],[Customer Gender]]="F","Female", orders[[#This Row],[Customer Gender]]="O","Other", TRUE(),"Unknown")</f>
        <v>Male</v>
      </c>
    </row>
    <row r="1648" spans="1:15" x14ac:dyDescent="0.25">
      <c r="A1648" t="s">
        <v>1876</v>
      </c>
      <c r="B1648" t="s">
        <v>77</v>
      </c>
      <c r="C1648">
        <v>35</v>
      </c>
      <c r="D1648">
        <v>45.7</v>
      </c>
      <c r="E1648">
        <v>1599.5</v>
      </c>
      <c r="F1648" s="58">
        <v>45719</v>
      </c>
      <c r="G1648" s="58">
        <v>45720</v>
      </c>
      <c r="H1648" t="s">
        <v>229</v>
      </c>
      <c r="I1648" t="s">
        <v>59</v>
      </c>
      <c r="J1648">
        <v>3</v>
      </c>
      <c r="K1648" t="s">
        <v>103</v>
      </c>
      <c r="L1648" t="s">
        <v>124</v>
      </c>
      <c r="M1648">
        <f>orders[[#This Row],[Ship Date]]-orders[[#This Row],[Order Date]]</f>
        <v>1</v>
      </c>
      <c r="N1648">
        <f>WEEKNUM(orders[[#This Row],[Order Date]],1)</f>
        <v>10</v>
      </c>
      <c r="O1648" t="str">
        <f t="array" ref="O1648">_xlfn.IFS(orders[[#This Row],[Customer Gender]]="M","Male", orders[[#This Row],[Customer Gender]]="F","Female", orders[[#This Row],[Customer Gender]]="O","Other", TRUE(),"Unknown")</f>
        <v>Male</v>
      </c>
    </row>
    <row r="1649" spans="1:15" x14ac:dyDescent="0.25">
      <c r="A1649" t="s">
        <v>1877</v>
      </c>
      <c r="B1649" t="s">
        <v>80</v>
      </c>
      <c r="C1649">
        <v>11</v>
      </c>
      <c r="D1649">
        <v>118.3</v>
      </c>
      <c r="E1649">
        <v>1301.3</v>
      </c>
      <c r="F1649" s="58">
        <v>45719</v>
      </c>
      <c r="G1649" s="58">
        <v>45721</v>
      </c>
      <c r="H1649" t="s">
        <v>229</v>
      </c>
      <c r="I1649" t="s">
        <v>61</v>
      </c>
      <c r="J1649">
        <v>5</v>
      </c>
      <c r="K1649" t="s">
        <v>103</v>
      </c>
      <c r="L1649" t="s">
        <v>124</v>
      </c>
      <c r="M1649">
        <f>orders[[#This Row],[Ship Date]]-orders[[#This Row],[Order Date]]</f>
        <v>2</v>
      </c>
      <c r="N1649">
        <f>WEEKNUM(orders[[#This Row],[Order Date]],1)</f>
        <v>10</v>
      </c>
      <c r="O1649" t="str">
        <f t="array" ref="O1649">_xlfn.IFS(orders[[#This Row],[Customer Gender]]="M","Male", orders[[#This Row],[Customer Gender]]="F","Female", orders[[#This Row],[Customer Gender]]="O","Other", TRUE(),"Unknown")</f>
        <v>Male</v>
      </c>
    </row>
    <row r="1650" spans="1:15" x14ac:dyDescent="0.25">
      <c r="A1650" t="s">
        <v>1878</v>
      </c>
      <c r="B1650" t="s">
        <v>81</v>
      </c>
      <c r="C1650">
        <v>1</v>
      </c>
      <c r="D1650">
        <v>36</v>
      </c>
      <c r="E1650">
        <v>36</v>
      </c>
      <c r="F1650" s="58">
        <v>45719</v>
      </c>
      <c r="G1650" s="58">
        <v>45720</v>
      </c>
      <c r="H1650" t="s">
        <v>231</v>
      </c>
      <c r="I1650" t="s">
        <v>59</v>
      </c>
      <c r="J1650">
        <v>3</v>
      </c>
      <c r="K1650" t="s">
        <v>103</v>
      </c>
      <c r="L1650" t="s">
        <v>124</v>
      </c>
      <c r="M1650">
        <f>orders[[#This Row],[Ship Date]]-orders[[#This Row],[Order Date]]</f>
        <v>1</v>
      </c>
      <c r="N1650">
        <f>WEEKNUM(orders[[#This Row],[Order Date]],1)</f>
        <v>10</v>
      </c>
      <c r="O1650" t="str">
        <f t="array" ref="O1650">_xlfn.IFS(orders[[#This Row],[Customer Gender]]="M","Male", orders[[#This Row],[Customer Gender]]="F","Female", orders[[#This Row],[Customer Gender]]="O","Other", TRUE(),"Unknown")</f>
        <v>Female</v>
      </c>
    </row>
    <row r="1651" spans="1:15" x14ac:dyDescent="0.25">
      <c r="A1651" t="s">
        <v>1879</v>
      </c>
      <c r="B1651" t="s">
        <v>90</v>
      </c>
      <c r="C1651">
        <v>2</v>
      </c>
      <c r="D1651">
        <v>37.1</v>
      </c>
      <c r="E1651">
        <v>74.2</v>
      </c>
      <c r="F1651" s="58">
        <v>45719</v>
      </c>
      <c r="G1651" s="58">
        <v>45722</v>
      </c>
      <c r="H1651" t="s">
        <v>231</v>
      </c>
      <c r="I1651" t="s">
        <v>62</v>
      </c>
      <c r="J1651">
        <v>4</v>
      </c>
      <c r="K1651" t="s">
        <v>103</v>
      </c>
      <c r="L1651" t="s">
        <v>124</v>
      </c>
      <c r="M1651">
        <f>orders[[#This Row],[Ship Date]]-orders[[#This Row],[Order Date]]</f>
        <v>3</v>
      </c>
      <c r="N1651">
        <f>WEEKNUM(orders[[#This Row],[Order Date]],1)</f>
        <v>10</v>
      </c>
      <c r="O1651" t="str">
        <f t="array" ref="O1651">_xlfn.IFS(orders[[#This Row],[Customer Gender]]="M","Male", orders[[#This Row],[Customer Gender]]="F","Female", orders[[#This Row],[Customer Gender]]="O","Other", TRUE(),"Unknown")</f>
        <v>Female</v>
      </c>
    </row>
    <row r="1652" spans="1:15" x14ac:dyDescent="0.25">
      <c r="A1652" t="s">
        <v>1880</v>
      </c>
      <c r="B1652" t="s">
        <v>82</v>
      </c>
      <c r="C1652">
        <v>3</v>
      </c>
      <c r="D1652">
        <v>45.1</v>
      </c>
      <c r="E1652">
        <v>135.30000000000001</v>
      </c>
      <c r="F1652" s="58">
        <v>45719</v>
      </c>
      <c r="G1652" s="58">
        <v>45721</v>
      </c>
      <c r="H1652" t="s">
        <v>231</v>
      </c>
      <c r="I1652" t="s">
        <v>63</v>
      </c>
      <c r="J1652">
        <v>5</v>
      </c>
      <c r="K1652" t="s">
        <v>103</v>
      </c>
      <c r="L1652" t="s">
        <v>124</v>
      </c>
      <c r="M1652">
        <f>orders[[#This Row],[Ship Date]]-orders[[#This Row],[Order Date]]</f>
        <v>2</v>
      </c>
      <c r="N1652">
        <f>WEEKNUM(orders[[#This Row],[Order Date]],1)</f>
        <v>10</v>
      </c>
      <c r="O1652" t="str">
        <f t="array" ref="O1652">_xlfn.IFS(orders[[#This Row],[Customer Gender]]="M","Male", orders[[#This Row],[Customer Gender]]="F","Female", orders[[#This Row],[Customer Gender]]="O","Other", TRUE(),"Unknown")</f>
        <v>Female</v>
      </c>
    </row>
    <row r="1653" spans="1:15" x14ac:dyDescent="0.25">
      <c r="A1653" t="s">
        <v>1881</v>
      </c>
      <c r="B1653" t="s">
        <v>85</v>
      </c>
      <c r="C1653">
        <v>16</v>
      </c>
      <c r="D1653">
        <v>37.9</v>
      </c>
      <c r="E1653">
        <v>606.4</v>
      </c>
      <c r="F1653" s="58">
        <v>45719</v>
      </c>
      <c r="G1653" s="58">
        <v>45720</v>
      </c>
      <c r="H1653" t="s">
        <v>231</v>
      </c>
      <c r="I1653" t="s">
        <v>60</v>
      </c>
      <c r="J1653">
        <v>5</v>
      </c>
      <c r="K1653" t="s">
        <v>103</v>
      </c>
      <c r="L1653" t="s">
        <v>124</v>
      </c>
      <c r="M1653">
        <f>orders[[#This Row],[Ship Date]]-orders[[#This Row],[Order Date]]</f>
        <v>1</v>
      </c>
      <c r="N1653">
        <f>WEEKNUM(orders[[#This Row],[Order Date]],1)</f>
        <v>10</v>
      </c>
      <c r="O1653" t="str">
        <f t="array" ref="O1653">_xlfn.IFS(orders[[#This Row],[Customer Gender]]="M","Male", orders[[#This Row],[Customer Gender]]="F","Female", orders[[#This Row],[Customer Gender]]="O","Other", TRUE(),"Unknown")</f>
        <v>Female</v>
      </c>
    </row>
    <row r="1654" spans="1:15" x14ac:dyDescent="0.25">
      <c r="A1654" t="s">
        <v>1882</v>
      </c>
      <c r="B1654" t="s">
        <v>87</v>
      </c>
      <c r="C1654">
        <v>2</v>
      </c>
      <c r="D1654">
        <v>121.6</v>
      </c>
      <c r="E1654">
        <v>243.2</v>
      </c>
      <c r="F1654" s="58">
        <v>45719</v>
      </c>
      <c r="G1654" s="58">
        <v>45722</v>
      </c>
      <c r="H1654" t="s">
        <v>229</v>
      </c>
      <c r="I1654" t="s">
        <v>60</v>
      </c>
      <c r="J1654">
        <v>5</v>
      </c>
      <c r="K1654" t="s">
        <v>103</v>
      </c>
      <c r="L1654" t="s">
        <v>124</v>
      </c>
      <c r="M1654">
        <f>orders[[#This Row],[Ship Date]]-orders[[#This Row],[Order Date]]</f>
        <v>3</v>
      </c>
      <c r="N1654">
        <f>WEEKNUM(orders[[#This Row],[Order Date]],1)</f>
        <v>10</v>
      </c>
      <c r="O1654" t="str">
        <f t="array" ref="O1654">_xlfn.IFS(orders[[#This Row],[Customer Gender]]="M","Male", orders[[#This Row],[Customer Gender]]="F","Female", orders[[#This Row],[Customer Gender]]="O","Other", TRUE(),"Unknown")</f>
        <v>Male</v>
      </c>
    </row>
    <row r="1655" spans="1:15" x14ac:dyDescent="0.25">
      <c r="A1655" t="s">
        <v>1883</v>
      </c>
      <c r="B1655" t="s">
        <v>85</v>
      </c>
      <c r="C1655">
        <v>7</v>
      </c>
      <c r="D1655">
        <v>38.200000000000003</v>
      </c>
      <c r="E1655">
        <v>267.39999999999998</v>
      </c>
      <c r="F1655" s="58">
        <v>45719</v>
      </c>
      <c r="G1655" s="58">
        <v>45722</v>
      </c>
      <c r="H1655" t="s">
        <v>231</v>
      </c>
      <c r="I1655" t="s">
        <v>59</v>
      </c>
      <c r="J1655">
        <v>4</v>
      </c>
      <c r="K1655" t="s">
        <v>103</v>
      </c>
      <c r="L1655" t="s">
        <v>124</v>
      </c>
      <c r="M1655">
        <f>orders[[#This Row],[Ship Date]]-orders[[#This Row],[Order Date]]</f>
        <v>3</v>
      </c>
      <c r="N1655">
        <f>WEEKNUM(orders[[#This Row],[Order Date]],1)</f>
        <v>10</v>
      </c>
      <c r="O1655" t="str">
        <f t="array" ref="O1655">_xlfn.IFS(orders[[#This Row],[Customer Gender]]="M","Male", orders[[#This Row],[Customer Gender]]="F","Female", orders[[#This Row],[Customer Gender]]="O","Other", TRUE(),"Unknown")</f>
        <v>Female</v>
      </c>
    </row>
    <row r="1656" spans="1:15" x14ac:dyDescent="0.25">
      <c r="A1656" t="s">
        <v>1884</v>
      </c>
      <c r="B1656" t="s">
        <v>84</v>
      </c>
      <c r="C1656">
        <v>2</v>
      </c>
      <c r="D1656">
        <v>37.200000000000003</v>
      </c>
      <c r="E1656">
        <v>74.400000000000006</v>
      </c>
      <c r="F1656" s="58">
        <v>45719</v>
      </c>
      <c r="G1656" s="58">
        <v>45722</v>
      </c>
      <c r="H1656" t="s">
        <v>229</v>
      </c>
      <c r="I1656" t="s">
        <v>61</v>
      </c>
      <c r="J1656">
        <v>4</v>
      </c>
      <c r="K1656" t="s">
        <v>103</v>
      </c>
      <c r="L1656" t="s">
        <v>124</v>
      </c>
      <c r="M1656">
        <f>orders[[#This Row],[Ship Date]]-orders[[#This Row],[Order Date]]</f>
        <v>3</v>
      </c>
      <c r="N1656">
        <f>WEEKNUM(orders[[#This Row],[Order Date]],1)</f>
        <v>10</v>
      </c>
      <c r="O1656" t="str">
        <f t="array" ref="O1656">_xlfn.IFS(orders[[#This Row],[Customer Gender]]="M","Male", orders[[#This Row],[Customer Gender]]="F","Female", orders[[#This Row],[Customer Gender]]="O","Other", TRUE(),"Unknown")</f>
        <v>Male</v>
      </c>
    </row>
    <row r="1657" spans="1:15" x14ac:dyDescent="0.25">
      <c r="A1657" t="s">
        <v>1885</v>
      </c>
      <c r="B1657" t="s">
        <v>87</v>
      </c>
      <c r="C1657">
        <v>4</v>
      </c>
      <c r="D1657">
        <v>115.7</v>
      </c>
      <c r="E1657">
        <v>462.8</v>
      </c>
      <c r="F1657" s="58">
        <v>45719</v>
      </c>
      <c r="G1657" s="58">
        <v>45722</v>
      </c>
      <c r="H1657" t="s">
        <v>231</v>
      </c>
      <c r="I1657" t="s">
        <v>63</v>
      </c>
      <c r="J1657">
        <v>4</v>
      </c>
      <c r="K1657" t="s">
        <v>103</v>
      </c>
      <c r="L1657" t="s">
        <v>124</v>
      </c>
      <c r="M1657">
        <f>orders[[#This Row],[Ship Date]]-orders[[#This Row],[Order Date]]</f>
        <v>3</v>
      </c>
      <c r="N1657">
        <f>WEEKNUM(orders[[#This Row],[Order Date]],1)</f>
        <v>10</v>
      </c>
      <c r="O1657" t="str">
        <f t="array" ref="O1657">_xlfn.IFS(orders[[#This Row],[Customer Gender]]="M","Male", orders[[#This Row],[Customer Gender]]="F","Female", orders[[#This Row],[Customer Gender]]="O","Other", TRUE(),"Unknown")</f>
        <v>Female</v>
      </c>
    </row>
    <row r="1658" spans="1:15" x14ac:dyDescent="0.25">
      <c r="A1658" t="s">
        <v>1886</v>
      </c>
      <c r="B1658" t="s">
        <v>87</v>
      </c>
      <c r="C1658">
        <v>6</v>
      </c>
      <c r="D1658">
        <v>99.4</v>
      </c>
      <c r="E1658">
        <v>596.4</v>
      </c>
      <c r="F1658" s="58">
        <v>45719</v>
      </c>
      <c r="G1658" s="58">
        <v>45722</v>
      </c>
      <c r="H1658" t="s">
        <v>229</v>
      </c>
      <c r="I1658" t="s">
        <v>59</v>
      </c>
      <c r="J1658">
        <v>5</v>
      </c>
      <c r="K1658" t="s">
        <v>103</v>
      </c>
      <c r="L1658" t="s">
        <v>124</v>
      </c>
      <c r="M1658">
        <f>orders[[#This Row],[Ship Date]]-orders[[#This Row],[Order Date]]</f>
        <v>3</v>
      </c>
      <c r="N1658">
        <f>WEEKNUM(orders[[#This Row],[Order Date]],1)</f>
        <v>10</v>
      </c>
      <c r="O1658" t="str">
        <f t="array" ref="O1658">_xlfn.IFS(orders[[#This Row],[Customer Gender]]="M","Male", orders[[#This Row],[Customer Gender]]="F","Female", orders[[#This Row],[Customer Gender]]="O","Other", TRUE(),"Unknown")</f>
        <v>Male</v>
      </c>
    </row>
    <row r="1659" spans="1:15" x14ac:dyDescent="0.25">
      <c r="A1659" t="s">
        <v>1887</v>
      </c>
      <c r="B1659" t="s">
        <v>83</v>
      </c>
      <c r="C1659">
        <v>1</v>
      </c>
      <c r="D1659">
        <v>38.700000000000003</v>
      </c>
      <c r="E1659">
        <v>38.700000000000003</v>
      </c>
      <c r="F1659" s="58">
        <v>45719</v>
      </c>
      <c r="G1659" s="58">
        <v>45720</v>
      </c>
      <c r="H1659" t="s">
        <v>231</v>
      </c>
      <c r="I1659" t="s">
        <v>62</v>
      </c>
      <c r="J1659">
        <v>4</v>
      </c>
      <c r="K1659" t="s">
        <v>103</v>
      </c>
      <c r="L1659" t="s">
        <v>135</v>
      </c>
      <c r="M1659">
        <f>orders[[#This Row],[Ship Date]]-orders[[#This Row],[Order Date]]</f>
        <v>1</v>
      </c>
      <c r="N1659">
        <f>WEEKNUM(orders[[#This Row],[Order Date]],1)</f>
        <v>10</v>
      </c>
      <c r="O1659" t="str">
        <f t="array" ref="O1659">_xlfn.IFS(orders[[#This Row],[Customer Gender]]="M","Male", orders[[#This Row],[Customer Gender]]="F","Female", orders[[#This Row],[Customer Gender]]="O","Other", TRUE(),"Unknown")</f>
        <v>Female</v>
      </c>
    </row>
    <row r="1660" spans="1:15" x14ac:dyDescent="0.25">
      <c r="A1660" t="s">
        <v>1888</v>
      </c>
      <c r="B1660" t="s">
        <v>78</v>
      </c>
      <c r="C1660">
        <v>2</v>
      </c>
      <c r="D1660">
        <v>35.5</v>
      </c>
      <c r="E1660">
        <v>71</v>
      </c>
      <c r="F1660" s="58">
        <v>45719</v>
      </c>
      <c r="G1660" s="58">
        <v>45722</v>
      </c>
      <c r="H1660" t="s">
        <v>229</v>
      </c>
      <c r="I1660" t="s">
        <v>59</v>
      </c>
      <c r="J1660">
        <v>5</v>
      </c>
      <c r="K1660" t="s">
        <v>103</v>
      </c>
      <c r="L1660" t="s">
        <v>135</v>
      </c>
      <c r="M1660">
        <f>orders[[#This Row],[Ship Date]]-orders[[#This Row],[Order Date]]</f>
        <v>3</v>
      </c>
      <c r="N1660">
        <f>WEEKNUM(orders[[#This Row],[Order Date]],1)</f>
        <v>10</v>
      </c>
      <c r="O1660" t="str">
        <f t="array" ref="O1660">_xlfn.IFS(orders[[#This Row],[Customer Gender]]="M","Male", orders[[#This Row],[Customer Gender]]="F","Female", orders[[#This Row],[Customer Gender]]="O","Other", TRUE(),"Unknown")</f>
        <v>Male</v>
      </c>
    </row>
    <row r="1661" spans="1:15" x14ac:dyDescent="0.25">
      <c r="A1661" t="s">
        <v>1889</v>
      </c>
      <c r="B1661" t="s">
        <v>87</v>
      </c>
      <c r="C1661">
        <v>4</v>
      </c>
      <c r="D1661">
        <v>93.3</v>
      </c>
      <c r="E1661">
        <v>373.2</v>
      </c>
      <c r="F1661" s="58">
        <v>45719</v>
      </c>
      <c r="G1661" s="58">
        <v>45722</v>
      </c>
      <c r="H1661" t="s">
        <v>231</v>
      </c>
      <c r="I1661" t="s">
        <v>59</v>
      </c>
      <c r="J1661">
        <v>5</v>
      </c>
      <c r="K1661" t="s">
        <v>103</v>
      </c>
      <c r="L1661" t="s">
        <v>139</v>
      </c>
      <c r="M1661">
        <f>orders[[#This Row],[Ship Date]]-orders[[#This Row],[Order Date]]</f>
        <v>3</v>
      </c>
      <c r="N1661">
        <f>WEEKNUM(orders[[#This Row],[Order Date]],1)</f>
        <v>10</v>
      </c>
      <c r="O1661" t="str">
        <f t="array" ref="O1661">_xlfn.IFS(orders[[#This Row],[Customer Gender]]="M","Male", orders[[#This Row],[Customer Gender]]="F","Female", orders[[#This Row],[Customer Gender]]="O","Other", TRUE(),"Unknown")</f>
        <v>Female</v>
      </c>
    </row>
    <row r="1662" spans="1:15" x14ac:dyDescent="0.25">
      <c r="A1662" t="s">
        <v>1890</v>
      </c>
      <c r="B1662" t="s">
        <v>89</v>
      </c>
      <c r="C1662">
        <v>1</v>
      </c>
      <c r="D1662">
        <v>31.4</v>
      </c>
      <c r="E1662">
        <v>31.4</v>
      </c>
      <c r="F1662" s="58">
        <v>45719</v>
      </c>
      <c r="G1662" s="58">
        <v>45724</v>
      </c>
      <c r="H1662" t="s">
        <v>231</v>
      </c>
      <c r="I1662" t="s">
        <v>62</v>
      </c>
      <c r="J1662">
        <v>5</v>
      </c>
      <c r="K1662" t="s">
        <v>103</v>
      </c>
      <c r="L1662" t="s">
        <v>139</v>
      </c>
      <c r="M1662">
        <f>orders[[#This Row],[Ship Date]]-orders[[#This Row],[Order Date]]</f>
        <v>5</v>
      </c>
      <c r="N1662">
        <f>WEEKNUM(orders[[#This Row],[Order Date]],1)</f>
        <v>10</v>
      </c>
      <c r="O1662" t="str">
        <f t="array" ref="O1662">_xlfn.IFS(orders[[#This Row],[Customer Gender]]="M","Male", orders[[#This Row],[Customer Gender]]="F","Female", orders[[#This Row],[Customer Gender]]="O","Other", TRUE(),"Unknown")</f>
        <v>Female</v>
      </c>
    </row>
    <row r="1663" spans="1:15" x14ac:dyDescent="0.25">
      <c r="A1663" t="s">
        <v>1891</v>
      </c>
      <c r="B1663" t="s">
        <v>91</v>
      </c>
      <c r="C1663">
        <v>1</v>
      </c>
      <c r="D1663">
        <v>85.9</v>
      </c>
      <c r="E1663">
        <v>85.9</v>
      </c>
      <c r="F1663" s="58">
        <v>45719</v>
      </c>
      <c r="G1663" s="58">
        <v>45722</v>
      </c>
      <c r="H1663" t="s">
        <v>229</v>
      </c>
      <c r="I1663" t="s">
        <v>63</v>
      </c>
      <c r="J1663">
        <v>4</v>
      </c>
      <c r="K1663" t="s">
        <v>103</v>
      </c>
      <c r="L1663" t="s">
        <v>139</v>
      </c>
      <c r="M1663">
        <f>orders[[#This Row],[Ship Date]]-orders[[#This Row],[Order Date]]</f>
        <v>3</v>
      </c>
      <c r="N1663">
        <f>WEEKNUM(orders[[#This Row],[Order Date]],1)</f>
        <v>10</v>
      </c>
      <c r="O1663" t="str">
        <f t="array" ref="O1663">_xlfn.IFS(orders[[#This Row],[Customer Gender]]="M","Male", orders[[#This Row],[Customer Gender]]="F","Female", orders[[#This Row],[Customer Gender]]="O","Other", TRUE(),"Unknown")</f>
        <v>Male</v>
      </c>
    </row>
    <row r="1664" spans="1:15" x14ac:dyDescent="0.25">
      <c r="A1664" t="s">
        <v>1892</v>
      </c>
      <c r="B1664" t="s">
        <v>80</v>
      </c>
      <c r="C1664">
        <v>8</v>
      </c>
      <c r="D1664">
        <v>41.7</v>
      </c>
      <c r="E1664">
        <v>333.6</v>
      </c>
      <c r="F1664" s="58">
        <v>45719</v>
      </c>
      <c r="G1664" s="58">
        <v>45727</v>
      </c>
      <c r="H1664" t="s">
        <v>229</v>
      </c>
      <c r="I1664" t="s">
        <v>59</v>
      </c>
      <c r="J1664">
        <v>5</v>
      </c>
      <c r="K1664" t="s">
        <v>103</v>
      </c>
      <c r="L1664" t="s">
        <v>141</v>
      </c>
      <c r="M1664">
        <f>orders[[#This Row],[Ship Date]]-orders[[#This Row],[Order Date]]</f>
        <v>8</v>
      </c>
      <c r="N1664">
        <f>WEEKNUM(orders[[#This Row],[Order Date]],1)</f>
        <v>10</v>
      </c>
      <c r="O1664" t="str">
        <f t="array" ref="O1664">_xlfn.IFS(orders[[#This Row],[Customer Gender]]="M","Male", orders[[#This Row],[Customer Gender]]="F","Female", orders[[#This Row],[Customer Gender]]="O","Other", TRUE(),"Unknown")</f>
        <v>Male</v>
      </c>
    </row>
    <row r="1665" spans="1:15" x14ac:dyDescent="0.25">
      <c r="A1665" t="s">
        <v>1893</v>
      </c>
      <c r="B1665" t="s">
        <v>90</v>
      </c>
      <c r="C1665">
        <v>4</v>
      </c>
      <c r="D1665">
        <v>31.5</v>
      </c>
      <c r="E1665">
        <v>126</v>
      </c>
      <c r="F1665" s="58">
        <v>45719</v>
      </c>
      <c r="G1665" s="58">
        <v>45720</v>
      </c>
      <c r="H1665" t="s">
        <v>231</v>
      </c>
      <c r="I1665" t="s">
        <v>59</v>
      </c>
      <c r="J1665">
        <v>4</v>
      </c>
      <c r="K1665" t="s">
        <v>103</v>
      </c>
      <c r="L1665" t="s">
        <v>141</v>
      </c>
      <c r="M1665">
        <f>orders[[#This Row],[Ship Date]]-orders[[#This Row],[Order Date]]</f>
        <v>1</v>
      </c>
      <c r="N1665">
        <f>WEEKNUM(orders[[#This Row],[Order Date]],1)</f>
        <v>10</v>
      </c>
      <c r="O1665" t="str">
        <f t="array" ref="O1665">_xlfn.IFS(orders[[#This Row],[Customer Gender]]="M","Male", orders[[#This Row],[Customer Gender]]="F","Female", orders[[#This Row],[Customer Gender]]="O","Other", TRUE(),"Unknown")</f>
        <v>Female</v>
      </c>
    </row>
    <row r="1666" spans="1:15" x14ac:dyDescent="0.25">
      <c r="A1666" t="s">
        <v>1894</v>
      </c>
      <c r="B1666" t="s">
        <v>90</v>
      </c>
      <c r="C1666">
        <v>2</v>
      </c>
      <c r="D1666">
        <v>36.299999999999997</v>
      </c>
      <c r="E1666">
        <v>72.599999999999994</v>
      </c>
      <c r="F1666" s="58">
        <v>45719</v>
      </c>
      <c r="G1666" s="58">
        <v>45720</v>
      </c>
      <c r="H1666" t="s">
        <v>231</v>
      </c>
      <c r="I1666" t="s">
        <v>59</v>
      </c>
      <c r="J1666">
        <v>2</v>
      </c>
      <c r="K1666" t="s">
        <v>103</v>
      </c>
      <c r="L1666" t="s">
        <v>142</v>
      </c>
      <c r="M1666">
        <f>orders[[#This Row],[Ship Date]]-orders[[#This Row],[Order Date]]</f>
        <v>1</v>
      </c>
      <c r="N1666">
        <f>WEEKNUM(orders[[#This Row],[Order Date]],1)</f>
        <v>10</v>
      </c>
      <c r="O1666" t="str">
        <f t="array" ref="O1666">_xlfn.IFS(orders[[#This Row],[Customer Gender]]="M","Male", orders[[#This Row],[Customer Gender]]="F","Female", orders[[#This Row],[Customer Gender]]="O","Other", TRUE(),"Unknown")</f>
        <v>Female</v>
      </c>
    </row>
    <row r="1667" spans="1:15" x14ac:dyDescent="0.25">
      <c r="A1667" t="s">
        <v>1895</v>
      </c>
      <c r="B1667" t="s">
        <v>90</v>
      </c>
      <c r="C1667">
        <v>3</v>
      </c>
      <c r="D1667">
        <v>33.4</v>
      </c>
      <c r="E1667">
        <v>100.2</v>
      </c>
      <c r="F1667" s="58">
        <v>45719</v>
      </c>
      <c r="G1667" s="58">
        <v>45720</v>
      </c>
      <c r="H1667" t="s">
        <v>231</v>
      </c>
      <c r="I1667" t="s">
        <v>60</v>
      </c>
      <c r="J1667">
        <v>4</v>
      </c>
      <c r="K1667" t="s">
        <v>103</v>
      </c>
      <c r="L1667" t="s">
        <v>143</v>
      </c>
      <c r="M1667">
        <f>orders[[#This Row],[Ship Date]]-orders[[#This Row],[Order Date]]</f>
        <v>1</v>
      </c>
      <c r="N1667">
        <f>WEEKNUM(orders[[#This Row],[Order Date]],1)</f>
        <v>10</v>
      </c>
      <c r="O1667" t="str">
        <f t="array" ref="O1667">_xlfn.IFS(orders[[#This Row],[Customer Gender]]="M","Male", orders[[#This Row],[Customer Gender]]="F","Female", orders[[#This Row],[Customer Gender]]="O","Other", TRUE(),"Unknown")</f>
        <v>Female</v>
      </c>
    </row>
    <row r="1668" spans="1:15" x14ac:dyDescent="0.25">
      <c r="A1668" t="s">
        <v>1896</v>
      </c>
      <c r="B1668" t="s">
        <v>87</v>
      </c>
      <c r="C1668">
        <v>3</v>
      </c>
      <c r="D1668">
        <v>65.2</v>
      </c>
      <c r="E1668">
        <v>195.6</v>
      </c>
      <c r="F1668" s="58">
        <v>45719</v>
      </c>
      <c r="G1668" s="58">
        <v>45720</v>
      </c>
      <c r="H1668" t="s">
        <v>231</v>
      </c>
      <c r="I1668" t="s">
        <v>62</v>
      </c>
      <c r="J1668">
        <v>5</v>
      </c>
      <c r="K1668" t="s">
        <v>103</v>
      </c>
      <c r="L1668" t="s">
        <v>144</v>
      </c>
      <c r="M1668">
        <f>orders[[#This Row],[Ship Date]]-orders[[#This Row],[Order Date]]</f>
        <v>1</v>
      </c>
      <c r="N1668">
        <f>WEEKNUM(orders[[#This Row],[Order Date]],1)</f>
        <v>10</v>
      </c>
      <c r="O1668" t="str">
        <f t="array" ref="O1668">_xlfn.IFS(orders[[#This Row],[Customer Gender]]="M","Male", orders[[#This Row],[Customer Gender]]="F","Female", orders[[#This Row],[Customer Gender]]="O","Other", TRUE(),"Unknown")</f>
        <v>Female</v>
      </c>
    </row>
    <row r="1669" spans="1:15" x14ac:dyDescent="0.25">
      <c r="A1669" t="s">
        <v>1897</v>
      </c>
      <c r="B1669" t="s">
        <v>90</v>
      </c>
      <c r="C1669">
        <v>9</v>
      </c>
      <c r="D1669">
        <v>65.5</v>
      </c>
      <c r="E1669">
        <v>589.5</v>
      </c>
      <c r="F1669" s="58">
        <v>45719</v>
      </c>
      <c r="G1669" s="58">
        <v>45722</v>
      </c>
      <c r="H1669" t="s">
        <v>231</v>
      </c>
      <c r="I1669" t="s">
        <v>59</v>
      </c>
      <c r="J1669">
        <v>5</v>
      </c>
      <c r="K1669" t="s">
        <v>103</v>
      </c>
      <c r="L1669" t="s">
        <v>146</v>
      </c>
      <c r="M1669">
        <f>orders[[#This Row],[Ship Date]]-orders[[#This Row],[Order Date]]</f>
        <v>3</v>
      </c>
      <c r="N1669">
        <f>WEEKNUM(orders[[#This Row],[Order Date]],1)</f>
        <v>10</v>
      </c>
      <c r="O1669" t="str">
        <f t="array" ref="O1669">_xlfn.IFS(orders[[#This Row],[Customer Gender]]="M","Male", orders[[#This Row],[Customer Gender]]="F","Female", orders[[#This Row],[Customer Gender]]="O","Other", TRUE(),"Unknown")</f>
        <v>Female</v>
      </c>
    </row>
    <row r="1670" spans="1:15" x14ac:dyDescent="0.25">
      <c r="A1670" t="s">
        <v>1898</v>
      </c>
      <c r="B1670" t="s">
        <v>80</v>
      </c>
      <c r="C1670">
        <v>3</v>
      </c>
      <c r="D1670">
        <v>52.8</v>
      </c>
      <c r="E1670">
        <v>158.4</v>
      </c>
      <c r="F1670" s="58">
        <v>45719</v>
      </c>
      <c r="G1670" s="58">
        <v>45722</v>
      </c>
      <c r="H1670" t="s">
        <v>229</v>
      </c>
      <c r="I1670" t="s">
        <v>62</v>
      </c>
      <c r="J1670">
        <v>4</v>
      </c>
      <c r="K1670" t="s">
        <v>103</v>
      </c>
      <c r="L1670" t="s">
        <v>146</v>
      </c>
      <c r="M1670">
        <f>orders[[#This Row],[Ship Date]]-orders[[#This Row],[Order Date]]</f>
        <v>3</v>
      </c>
      <c r="N1670">
        <f>WEEKNUM(orders[[#This Row],[Order Date]],1)</f>
        <v>10</v>
      </c>
      <c r="O1670" t="str">
        <f t="array" ref="O1670">_xlfn.IFS(orders[[#This Row],[Customer Gender]]="M","Male", orders[[#This Row],[Customer Gender]]="F","Female", orders[[#This Row],[Customer Gender]]="O","Other", TRUE(),"Unknown")</f>
        <v>Male</v>
      </c>
    </row>
    <row r="1671" spans="1:15" x14ac:dyDescent="0.25">
      <c r="A1671" t="s">
        <v>1899</v>
      </c>
      <c r="B1671" t="s">
        <v>88</v>
      </c>
      <c r="C1671">
        <v>5</v>
      </c>
      <c r="D1671">
        <v>24</v>
      </c>
      <c r="E1671">
        <v>120</v>
      </c>
      <c r="F1671" s="58">
        <v>45719</v>
      </c>
      <c r="G1671" s="58">
        <v>45723</v>
      </c>
      <c r="H1671" t="s">
        <v>229</v>
      </c>
      <c r="I1671" t="s">
        <v>59</v>
      </c>
      <c r="J1671">
        <v>3</v>
      </c>
      <c r="K1671" t="s">
        <v>103</v>
      </c>
      <c r="L1671" t="s">
        <v>148</v>
      </c>
      <c r="M1671">
        <f>orders[[#This Row],[Ship Date]]-orders[[#This Row],[Order Date]]</f>
        <v>4</v>
      </c>
      <c r="N1671">
        <f>WEEKNUM(orders[[#This Row],[Order Date]],1)</f>
        <v>10</v>
      </c>
      <c r="O1671" t="str">
        <f t="array" ref="O1671">_xlfn.IFS(orders[[#This Row],[Customer Gender]]="M","Male", orders[[#This Row],[Customer Gender]]="F","Female", orders[[#This Row],[Customer Gender]]="O","Other", TRUE(),"Unknown")</f>
        <v>Male</v>
      </c>
    </row>
    <row r="1672" spans="1:15" x14ac:dyDescent="0.25">
      <c r="A1672" t="s">
        <v>1900</v>
      </c>
      <c r="B1672" t="s">
        <v>93</v>
      </c>
      <c r="C1672">
        <v>3</v>
      </c>
      <c r="D1672">
        <v>51.2</v>
      </c>
      <c r="E1672">
        <v>153.6</v>
      </c>
      <c r="F1672" s="58">
        <v>45719</v>
      </c>
      <c r="G1672" s="58">
        <v>45720</v>
      </c>
      <c r="H1672" t="s">
        <v>231</v>
      </c>
      <c r="I1672" t="s">
        <v>59</v>
      </c>
      <c r="J1672">
        <v>4</v>
      </c>
      <c r="K1672" t="s">
        <v>103</v>
      </c>
      <c r="L1672" t="s">
        <v>149</v>
      </c>
      <c r="M1672">
        <f>orders[[#This Row],[Ship Date]]-orders[[#This Row],[Order Date]]</f>
        <v>1</v>
      </c>
      <c r="N1672">
        <f>WEEKNUM(orders[[#This Row],[Order Date]],1)</f>
        <v>10</v>
      </c>
      <c r="O1672" t="str">
        <f t="array" ref="O1672">_xlfn.IFS(orders[[#This Row],[Customer Gender]]="M","Male", orders[[#This Row],[Customer Gender]]="F","Female", orders[[#This Row],[Customer Gender]]="O","Other", TRUE(),"Unknown")</f>
        <v>Female</v>
      </c>
    </row>
    <row r="1673" spans="1:15" x14ac:dyDescent="0.25">
      <c r="A1673" t="s">
        <v>1901</v>
      </c>
      <c r="B1673" t="s">
        <v>85</v>
      </c>
      <c r="C1673">
        <v>3</v>
      </c>
      <c r="D1673">
        <v>28.3</v>
      </c>
      <c r="E1673">
        <v>84.9</v>
      </c>
      <c r="F1673" s="58">
        <v>45719</v>
      </c>
      <c r="G1673" s="58">
        <v>45721</v>
      </c>
      <c r="H1673" t="s">
        <v>229</v>
      </c>
      <c r="I1673" t="s">
        <v>61</v>
      </c>
      <c r="J1673">
        <v>4</v>
      </c>
      <c r="K1673" t="s">
        <v>103</v>
      </c>
      <c r="L1673" t="s">
        <v>155</v>
      </c>
      <c r="M1673">
        <f>orders[[#This Row],[Ship Date]]-orders[[#This Row],[Order Date]]</f>
        <v>2</v>
      </c>
      <c r="N1673">
        <f>WEEKNUM(orders[[#This Row],[Order Date]],1)</f>
        <v>10</v>
      </c>
      <c r="O1673" t="str">
        <f t="array" ref="O1673">_xlfn.IFS(orders[[#This Row],[Customer Gender]]="M","Male", orders[[#This Row],[Customer Gender]]="F","Female", orders[[#This Row],[Customer Gender]]="O","Other", TRUE(),"Unknown")</f>
        <v>Male</v>
      </c>
    </row>
    <row r="1674" spans="1:15" x14ac:dyDescent="0.25">
      <c r="A1674" t="s">
        <v>1902</v>
      </c>
      <c r="B1674" t="s">
        <v>80</v>
      </c>
      <c r="C1674">
        <v>3</v>
      </c>
      <c r="D1674">
        <v>42.3</v>
      </c>
      <c r="E1674">
        <v>126.9</v>
      </c>
      <c r="F1674" s="58">
        <v>45719</v>
      </c>
      <c r="G1674" s="58">
        <v>45719</v>
      </c>
      <c r="H1674" t="s">
        <v>231</v>
      </c>
      <c r="I1674" t="s">
        <v>62</v>
      </c>
      <c r="J1674">
        <v>3</v>
      </c>
      <c r="K1674" t="s">
        <v>103</v>
      </c>
      <c r="L1674" t="s">
        <v>155</v>
      </c>
      <c r="M1674">
        <f>orders[[#This Row],[Ship Date]]-orders[[#This Row],[Order Date]]</f>
        <v>0</v>
      </c>
      <c r="N1674">
        <f>WEEKNUM(orders[[#This Row],[Order Date]],1)</f>
        <v>10</v>
      </c>
      <c r="O1674" t="str">
        <f t="array" ref="O1674">_xlfn.IFS(orders[[#This Row],[Customer Gender]]="M","Male", orders[[#This Row],[Customer Gender]]="F","Female", orders[[#This Row],[Customer Gender]]="O","Other", TRUE(),"Unknown")</f>
        <v>Female</v>
      </c>
    </row>
    <row r="1675" spans="1:15" x14ac:dyDescent="0.25">
      <c r="A1675" t="s">
        <v>1903</v>
      </c>
      <c r="B1675" t="s">
        <v>87</v>
      </c>
      <c r="C1675">
        <v>8</v>
      </c>
      <c r="D1675">
        <v>163.30000000000001</v>
      </c>
      <c r="E1675">
        <v>1306.4000000000001</v>
      </c>
      <c r="F1675" s="58">
        <v>45720</v>
      </c>
      <c r="G1675" s="58">
        <v>45721</v>
      </c>
      <c r="H1675" t="s">
        <v>231</v>
      </c>
      <c r="I1675" t="s">
        <v>63</v>
      </c>
      <c r="J1675">
        <v>4</v>
      </c>
      <c r="K1675" t="s">
        <v>103</v>
      </c>
      <c r="L1675" t="s">
        <v>161</v>
      </c>
      <c r="M1675">
        <f>orders[[#This Row],[Ship Date]]-orders[[#This Row],[Order Date]]</f>
        <v>1</v>
      </c>
      <c r="N1675">
        <f>WEEKNUM(orders[[#This Row],[Order Date]],1)</f>
        <v>10</v>
      </c>
      <c r="O1675" t="str">
        <f t="array" ref="O1675">_xlfn.IFS(orders[[#This Row],[Customer Gender]]="M","Male", orders[[#This Row],[Customer Gender]]="F","Female", orders[[#This Row],[Customer Gender]]="O","Other", TRUE(),"Unknown")</f>
        <v>Female</v>
      </c>
    </row>
    <row r="1676" spans="1:15" x14ac:dyDescent="0.25">
      <c r="A1676" t="s">
        <v>1904</v>
      </c>
      <c r="B1676" t="s">
        <v>80</v>
      </c>
      <c r="C1676">
        <v>7</v>
      </c>
      <c r="D1676">
        <v>47.3</v>
      </c>
      <c r="E1676">
        <v>331.1</v>
      </c>
      <c r="F1676" s="58">
        <v>45720</v>
      </c>
      <c r="G1676" s="58">
        <v>45723</v>
      </c>
      <c r="H1676" t="s">
        <v>231</v>
      </c>
      <c r="I1676" t="s">
        <v>61</v>
      </c>
      <c r="J1676">
        <v>3</v>
      </c>
      <c r="K1676" t="s">
        <v>103</v>
      </c>
      <c r="L1676" t="s">
        <v>106</v>
      </c>
      <c r="M1676">
        <f>orders[[#This Row],[Ship Date]]-orders[[#This Row],[Order Date]]</f>
        <v>3</v>
      </c>
      <c r="N1676">
        <f>WEEKNUM(orders[[#This Row],[Order Date]],1)</f>
        <v>10</v>
      </c>
      <c r="O1676" t="str">
        <f t="array" ref="O1676">_xlfn.IFS(orders[[#This Row],[Customer Gender]]="M","Male", orders[[#This Row],[Customer Gender]]="F","Female", orders[[#This Row],[Customer Gender]]="O","Other", TRUE(),"Unknown")</f>
        <v>Female</v>
      </c>
    </row>
    <row r="1677" spans="1:15" x14ac:dyDescent="0.25">
      <c r="A1677" t="s">
        <v>1905</v>
      </c>
      <c r="B1677" t="s">
        <v>90</v>
      </c>
      <c r="C1677">
        <v>16</v>
      </c>
      <c r="D1677">
        <v>27.3</v>
      </c>
      <c r="E1677">
        <v>436.8</v>
      </c>
      <c r="F1677" s="58">
        <v>45720</v>
      </c>
      <c r="G1677" s="58">
        <v>45721</v>
      </c>
      <c r="H1677" t="s">
        <v>231</v>
      </c>
      <c r="I1677" t="s">
        <v>62</v>
      </c>
      <c r="J1677">
        <v>4</v>
      </c>
      <c r="K1677" t="s">
        <v>103</v>
      </c>
      <c r="L1677" t="s">
        <v>106</v>
      </c>
      <c r="M1677">
        <f>orders[[#This Row],[Ship Date]]-orders[[#This Row],[Order Date]]</f>
        <v>1</v>
      </c>
      <c r="N1677">
        <f>WEEKNUM(orders[[#This Row],[Order Date]],1)</f>
        <v>10</v>
      </c>
      <c r="O1677" t="str">
        <f t="array" ref="O1677">_xlfn.IFS(orders[[#This Row],[Customer Gender]]="M","Male", orders[[#This Row],[Customer Gender]]="F","Female", orders[[#This Row],[Customer Gender]]="O","Other", TRUE(),"Unknown")</f>
        <v>Female</v>
      </c>
    </row>
    <row r="1678" spans="1:15" x14ac:dyDescent="0.25">
      <c r="A1678" t="s">
        <v>1906</v>
      </c>
      <c r="B1678" t="s">
        <v>75</v>
      </c>
      <c r="C1678">
        <v>6</v>
      </c>
      <c r="D1678">
        <v>34.9</v>
      </c>
      <c r="E1678">
        <v>209.4</v>
      </c>
      <c r="F1678" s="58">
        <v>45720</v>
      </c>
      <c r="G1678" s="58">
        <v>45731</v>
      </c>
      <c r="H1678" t="s">
        <v>231</v>
      </c>
      <c r="I1678" t="s">
        <v>59</v>
      </c>
      <c r="J1678">
        <v>4</v>
      </c>
      <c r="K1678" t="s">
        <v>103</v>
      </c>
      <c r="L1678" t="s">
        <v>106</v>
      </c>
      <c r="M1678">
        <f>orders[[#This Row],[Ship Date]]-orders[[#This Row],[Order Date]]</f>
        <v>11</v>
      </c>
      <c r="N1678">
        <f>WEEKNUM(orders[[#This Row],[Order Date]],1)</f>
        <v>10</v>
      </c>
      <c r="O1678" t="str">
        <f t="array" ref="O1678">_xlfn.IFS(orders[[#This Row],[Customer Gender]]="M","Male", orders[[#This Row],[Customer Gender]]="F","Female", orders[[#This Row],[Customer Gender]]="O","Other", TRUE(),"Unknown")</f>
        <v>Female</v>
      </c>
    </row>
    <row r="1679" spans="1:15" x14ac:dyDescent="0.25">
      <c r="A1679" t="s">
        <v>1907</v>
      </c>
      <c r="B1679" t="s">
        <v>80</v>
      </c>
      <c r="C1679">
        <v>2</v>
      </c>
      <c r="D1679">
        <v>53.9</v>
      </c>
      <c r="E1679">
        <v>107.8</v>
      </c>
      <c r="F1679" s="58">
        <v>45720</v>
      </c>
      <c r="G1679" s="58">
        <v>45723</v>
      </c>
      <c r="H1679" t="s">
        <v>263</v>
      </c>
      <c r="I1679" t="s">
        <v>59</v>
      </c>
      <c r="J1679">
        <v>2</v>
      </c>
      <c r="K1679" t="s">
        <v>103</v>
      </c>
      <c r="L1679" t="s">
        <v>112</v>
      </c>
      <c r="M1679">
        <f>orders[[#This Row],[Ship Date]]-orders[[#This Row],[Order Date]]</f>
        <v>3</v>
      </c>
      <c r="N1679">
        <f>WEEKNUM(orders[[#This Row],[Order Date]],1)</f>
        <v>10</v>
      </c>
      <c r="O1679" t="str">
        <f t="array" ref="O1679">_xlfn.IFS(orders[[#This Row],[Customer Gender]]="M","Male", orders[[#This Row],[Customer Gender]]="F","Female", orders[[#This Row],[Customer Gender]]="O","Other", TRUE(),"Unknown")</f>
        <v>Other</v>
      </c>
    </row>
    <row r="1680" spans="1:15" x14ac:dyDescent="0.25">
      <c r="A1680" t="s">
        <v>1908</v>
      </c>
      <c r="B1680" t="s">
        <v>87</v>
      </c>
      <c r="C1680">
        <v>2</v>
      </c>
      <c r="D1680">
        <v>87.2</v>
      </c>
      <c r="E1680">
        <v>174.4</v>
      </c>
      <c r="F1680" s="58">
        <v>45720</v>
      </c>
      <c r="G1680" s="58">
        <v>45721</v>
      </c>
      <c r="H1680" t="s">
        <v>231</v>
      </c>
      <c r="I1680" t="s">
        <v>59</v>
      </c>
      <c r="J1680">
        <v>3</v>
      </c>
      <c r="K1680" t="s">
        <v>103</v>
      </c>
      <c r="L1680" t="s">
        <v>112</v>
      </c>
      <c r="M1680">
        <f>orders[[#This Row],[Ship Date]]-orders[[#This Row],[Order Date]]</f>
        <v>1</v>
      </c>
      <c r="N1680">
        <f>WEEKNUM(orders[[#This Row],[Order Date]],1)</f>
        <v>10</v>
      </c>
      <c r="O1680" t="str">
        <f t="array" ref="O1680">_xlfn.IFS(orders[[#This Row],[Customer Gender]]="M","Male", orders[[#This Row],[Customer Gender]]="F","Female", orders[[#This Row],[Customer Gender]]="O","Other", TRUE(),"Unknown")</f>
        <v>Female</v>
      </c>
    </row>
    <row r="1681" spans="1:15" x14ac:dyDescent="0.25">
      <c r="A1681" t="s">
        <v>1909</v>
      </c>
      <c r="B1681" t="s">
        <v>77</v>
      </c>
      <c r="C1681">
        <v>1</v>
      </c>
      <c r="D1681">
        <v>58.8</v>
      </c>
      <c r="E1681">
        <v>58.8</v>
      </c>
      <c r="F1681" s="58">
        <v>45720</v>
      </c>
      <c r="G1681" s="58">
        <v>45722</v>
      </c>
      <c r="H1681" t="s">
        <v>231</v>
      </c>
      <c r="I1681" t="s">
        <v>62</v>
      </c>
      <c r="J1681">
        <v>4</v>
      </c>
      <c r="K1681" t="s">
        <v>103</v>
      </c>
      <c r="L1681" t="s">
        <v>117</v>
      </c>
      <c r="M1681">
        <f>orders[[#This Row],[Ship Date]]-orders[[#This Row],[Order Date]]</f>
        <v>2</v>
      </c>
      <c r="N1681">
        <f>WEEKNUM(orders[[#This Row],[Order Date]],1)</f>
        <v>10</v>
      </c>
      <c r="O1681" t="str">
        <f t="array" ref="O1681">_xlfn.IFS(orders[[#This Row],[Customer Gender]]="M","Male", orders[[#This Row],[Customer Gender]]="F","Female", orders[[#This Row],[Customer Gender]]="O","Other", TRUE(),"Unknown")</f>
        <v>Female</v>
      </c>
    </row>
    <row r="1682" spans="1:15" x14ac:dyDescent="0.25">
      <c r="A1682" t="s">
        <v>1910</v>
      </c>
      <c r="B1682" t="s">
        <v>87</v>
      </c>
      <c r="C1682">
        <v>7</v>
      </c>
      <c r="D1682">
        <v>125.5</v>
      </c>
      <c r="E1682">
        <v>878.5</v>
      </c>
      <c r="F1682" s="58">
        <v>45720</v>
      </c>
      <c r="G1682" s="58">
        <v>45721</v>
      </c>
      <c r="H1682" t="s">
        <v>229</v>
      </c>
      <c r="I1682" t="s">
        <v>62</v>
      </c>
      <c r="J1682">
        <v>2</v>
      </c>
      <c r="K1682" t="s">
        <v>103</v>
      </c>
      <c r="L1682" t="s">
        <v>120</v>
      </c>
      <c r="M1682">
        <f>orders[[#This Row],[Ship Date]]-orders[[#This Row],[Order Date]]</f>
        <v>1</v>
      </c>
      <c r="N1682">
        <f>WEEKNUM(orders[[#This Row],[Order Date]],1)</f>
        <v>10</v>
      </c>
      <c r="O1682" t="str">
        <f t="array" ref="O1682">_xlfn.IFS(orders[[#This Row],[Customer Gender]]="M","Male", orders[[#This Row],[Customer Gender]]="F","Female", orders[[#This Row],[Customer Gender]]="O","Other", TRUE(),"Unknown")</f>
        <v>Male</v>
      </c>
    </row>
    <row r="1683" spans="1:15" x14ac:dyDescent="0.25">
      <c r="A1683" t="s">
        <v>1911</v>
      </c>
      <c r="B1683" t="s">
        <v>91</v>
      </c>
      <c r="C1683">
        <v>4</v>
      </c>
      <c r="D1683">
        <v>124.6</v>
      </c>
      <c r="E1683">
        <v>498.4</v>
      </c>
      <c r="F1683" s="58">
        <v>45720</v>
      </c>
      <c r="G1683" s="58">
        <v>45722</v>
      </c>
      <c r="H1683" t="s">
        <v>231</v>
      </c>
      <c r="I1683" t="s">
        <v>59</v>
      </c>
      <c r="J1683">
        <v>3</v>
      </c>
      <c r="K1683" t="s">
        <v>103</v>
      </c>
      <c r="L1683" t="s">
        <v>120</v>
      </c>
      <c r="M1683">
        <f>orders[[#This Row],[Ship Date]]-orders[[#This Row],[Order Date]]</f>
        <v>2</v>
      </c>
      <c r="N1683">
        <f>WEEKNUM(orders[[#This Row],[Order Date]],1)</f>
        <v>10</v>
      </c>
      <c r="O1683" t="str">
        <f t="array" ref="O1683">_xlfn.IFS(orders[[#This Row],[Customer Gender]]="M","Male", orders[[#This Row],[Customer Gender]]="F","Female", orders[[#This Row],[Customer Gender]]="O","Other", TRUE(),"Unknown")</f>
        <v>Female</v>
      </c>
    </row>
    <row r="1684" spans="1:15" x14ac:dyDescent="0.25">
      <c r="A1684" t="s">
        <v>1912</v>
      </c>
      <c r="B1684" t="s">
        <v>91</v>
      </c>
      <c r="C1684">
        <v>7</v>
      </c>
      <c r="D1684">
        <v>39.9</v>
      </c>
      <c r="E1684">
        <v>279.3</v>
      </c>
      <c r="F1684" s="58">
        <v>45720</v>
      </c>
      <c r="G1684" s="58">
        <v>45721</v>
      </c>
      <c r="H1684" t="s">
        <v>229</v>
      </c>
      <c r="I1684" t="s">
        <v>62</v>
      </c>
      <c r="J1684">
        <v>3</v>
      </c>
      <c r="K1684" t="s">
        <v>103</v>
      </c>
      <c r="L1684" t="s">
        <v>124</v>
      </c>
      <c r="M1684">
        <f>orders[[#This Row],[Ship Date]]-orders[[#This Row],[Order Date]]</f>
        <v>1</v>
      </c>
      <c r="N1684">
        <f>WEEKNUM(orders[[#This Row],[Order Date]],1)</f>
        <v>10</v>
      </c>
      <c r="O1684" t="str">
        <f t="array" ref="O1684">_xlfn.IFS(orders[[#This Row],[Customer Gender]]="M","Male", orders[[#This Row],[Customer Gender]]="F","Female", orders[[#This Row],[Customer Gender]]="O","Other", TRUE(),"Unknown")</f>
        <v>Male</v>
      </c>
    </row>
    <row r="1685" spans="1:15" x14ac:dyDescent="0.25">
      <c r="A1685" t="s">
        <v>1913</v>
      </c>
      <c r="B1685" t="s">
        <v>80</v>
      </c>
      <c r="C1685">
        <v>1</v>
      </c>
      <c r="D1685">
        <v>94.6</v>
      </c>
      <c r="E1685">
        <v>94.6</v>
      </c>
      <c r="F1685" s="58">
        <v>45720</v>
      </c>
      <c r="G1685" s="58">
        <v>45734</v>
      </c>
      <c r="H1685" t="s">
        <v>231</v>
      </c>
      <c r="I1685" t="s">
        <v>59</v>
      </c>
      <c r="J1685">
        <v>3</v>
      </c>
      <c r="K1685" t="s">
        <v>103</v>
      </c>
      <c r="L1685" t="s">
        <v>124</v>
      </c>
      <c r="M1685">
        <f>orders[[#This Row],[Ship Date]]-orders[[#This Row],[Order Date]]</f>
        <v>14</v>
      </c>
      <c r="N1685">
        <f>WEEKNUM(orders[[#This Row],[Order Date]],1)</f>
        <v>10</v>
      </c>
      <c r="O1685" t="str">
        <f t="array" ref="O1685">_xlfn.IFS(orders[[#This Row],[Customer Gender]]="M","Male", orders[[#This Row],[Customer Gender]]="F","Female", orders[[#This Row],[Customer Gender]]="O","Other", TRUE(),"Unknown")</f>
        <v>Female</v>
      </c>
    </row>
    <row r="1686" spans="1:15" x14ac:dyDescent="0.25">
      <c r="A1686" t="s">
        <v>1914</v>
      </c>
      <c r="B1686" t="s">
        <v>87</v>
      </c>
      <c r="C1686">
        <v>2</v>
      </c>
      <c r="D1686">
        <v>149.6</v>
      </c>
      <c r="E1686">
        <v>299.2</v>
      </c>
      <c r="F1686" s="58">
        <v>45720</v>
      </c>
      <c r="G1686" s="58">
        <v>45721</v>
      </c>
      <c r="H1686" t="s">
        <v>231</v>
      </c>
      <c r="I1686" t="s">
        <v>59</v>
      </c>
      <c r="J1686">
        <v>4</v>
      </c>
      <c r="K1686" t="s">
        <v>103</v>
      </c>
      <c r="L1686" t="s">
        <v>124</v>
      </c>
      <c r="M1686">
        <f>orders[[#This Row],[Ship Date]]-orders[[#This Row],[Order Date]]</f>
        <v>1</v>
      </c>
      <c r="N1686">
        <f>WEEKNUM(orders[[#This Row],[Order Date]],1)</f>
        <v>10</v>
      </c>
      <c r="O1686" t="str">
        <f t="array" ref="O1686">_xlfn.IFS(orders[[#This Row],[Customer Gender]]="M","Male", orders[[#This Row],[Customer Gender]]="F","Female", orders[[#This Row],[Customer Gender]]="O","Other", TRUE(),"Unknown")</f>
        <v>Female</v>
      </c>
    </row>
    <row r="1687" spans="1:15" x14ac:dyDescent="0.25">
      <c r="A1687" t="s">
        <v>1915</v>
      </c>
      <c r="B1687" t="s">
        <v>90</v>
      </c>
      <c r="C1687">
        <v>1</v>
      </c>
      <c r="D1687">
        <v>52.2</v>
      </c>
      <c r="E1687">
        <v>52.2</v>
      </c>
      <c r="F1687" s="58">
        <v>45720</v>
      </c>
      <c r="G1687" s="58">
        <v>45721</v>
      </c>
      <c r="I1687" t="s">
        <v>63</v>
      </c>
      <c r="J1687">
        <v>4</v>
      </c>
      <c r="K1687" t="s">
        <v>103</v>
      </c>
      <c r="L1687" t="s">
        <v>124</v>
      </c>
      <c r="M1687">
        <f>orders[[#This Row],[Ship Date]]-orders[[#This Row],[Order Date]]</f>
        <v>1</v>
      </c>
      <c r="N1687">
        <f>WEEKNUM(orders[[#This Row],[Order Date]],1)</f>
        <v>10</v>
      </c>
      <c r="O1687" t="str">
        <f t="array" ref="O1687">_xlfn.IFS(orders[[#This Row],[Customer Gender]]="M","Male", orders[[#This Row],[Customer Gender]]="F","Female", orders[[#This Row],[Customer Gender]]="O","Other", TRUE(),"Unknown")</f>
        <v>Unknown</v>
      </c>
    </row>
    <row r="1688" spans="1:15" x14ac:dyDescent="0.25">
      <c r="A1688" t="s">
        <v>1916</v>
      </c>
      <c r="B1688" t="s">
        <v>80</v>
      </c>
      <c r="C1688">
        <v>2</v>
      </c>
      <c r="D1688">
        <v>96.5</v>
      </c>
      <c r="E1688">
        <v>193</v>
      </c>
      <c r="F1688" s="58">
        <v>45720</v>
      </c>
      <c r="G1688" s="58">
        <v>45721</v>
      </c>
      <c r="H1688" t="s">
        <v>231</v>
      </c>
      <c r="I1688" t="s">
        <v>63</v>
      </c>
      <c r="J1688">
        <v>3</v>
      </c>
      <c r="K1688" t="s">
        <v>103</v>
      </c>
      <c r="L1688" t="s">
        <v>124</v>
      </c>
      <c r="M1688">
        <f>orders[[#This Row],[Ship Date]]-orders[[#This Row],[Order Date]]</f>
        <v>1</v>
      </c>
      <c r="N1688">
        <f>WEEKNUM(orders[[#This Row],[Order Date]],1)</f>
        <v>10</v>
      </c>
      <c r="O1688" t="str">
        <f t="array" ref="O1688">_xlfn.IFS(orders[[#This Row],[Customer Gender]]="M","Male", orders[[#This Row],[Customer Gender]]="F","Female", orders[[#This Row],[Customer Gender]]="O","Other", TRUE(),"Unknown")</f>
        <v>Female</v>
      </c>
    </row>
    <row r="1689" spans="1:15" x14ac:dyDescent="0.25">
      <c r="A1689" t="s">
        <v>1917</v>
      </c>
      <c r="B1689" t="s">
        <v>90</v>
      </c>
      <c r="C1689">
        <v>2</v>
      </c>
      <c r="D1689">
        <v>79.8</v>
      </c>
      <c r="E1689">
        <v>159.6</v>
      </c>
      <c r="F1689" s="58">
        <v>45720</v>
      </c>
      <c r="G1689" s="58">
        <v>45722</v>
      </c>
      <c r="H1689" t="s">
        <v>231</v>
      </c>
      <c r="I1689" t="s">
        <v>59</v>
      </c>
      <c r="J1689">
        <v>3</v>
      </c>
      <c r="K1689" t="s">
        <v>103</v>
      </c>
      <c r="L1689" t="s">
        <v>124</v>
      </c>
      <c r="M1689">
        <f>orders[[#This Row],[Ship Date]]-orders[[#This Row],[Order Date]]</f>
        <v>2</v>
      </c>
      <c r="N1689">
        <f>WEEKNUM(orders[[#This Row],[Order Date]],1)</f>
        <v>10</v>
      </c>
      <c r="O1689" t="str">
        <f t="array" ref="O1689">_xlfn.IFS(orders[[#This Row],[Customer Gender]]="M","Male", orders[[#This Row],[Customer Gender]]="F","Female", orders[[#This Row],[Customer Gender]]="O","Other", TRUE(),"Unknown")</f>
        <v>Female</v>
      </c>
    </row>
    <row r="1690" spans="1:15" x14ac:dyDescent="0.25">
      <c r="A1690" t="s">
        <v>1918</v>
      </c>
      <c r="B1690" t="s">
        <v>90</v>
      </c>
      <c r="C1690">
        <v>3</v>
      </c>
      <c r="D1690">
        <v>35.6</v>
      </c>
      <c r="E1690">
        <v>106.8</v>
      </c>
      <c r="F1690" s="58">
        <v>45720</v>
      </c>
      <c r="G1690" s="58">
        <v>45721</v>
      </c>
      <c r="H1690" t="s">
        <v>231</v>
      </c>
      <c r="I1690" t="s">
        <v>62</v>
      </c>
      <c r="J1690">
        <v>4</v>
      </c>
      <c r="K1690" t="s">
        <v>103</v>
      </c>
      <c r="L1690" t="s">
        <v>124</v>
      </c>
      <c r="M1690">
        <f>orders[[#This Row],[Ship Date]]-orders[[#This Row],[Order Date]]</f>
        <v>1</v>
      </c>
      <c r="N1690">
        <f>WEEKNUM(orders[[#This Row],[Order Date]],1)</f>
        <v>10</v>
      </c>
      <c r="O1690" t="str">
        <f t="array" ref="O1690">_xlfn.IFS(orders[[#This Row],[Customer Gender]]="M","Male", orders[[#This Row],[Customer Gender]]="F","Female", orders[[#This Row],[Customer Gender]]="O","Other", TRUE(),"Unknown")</f>
        <v>Female</v>
      </c>
    </row>
    <row r="1691" spans="1:15" x14ac:dyDescent="0.25">
      <c r="A1691" t="s">
        <v>1919</v>
      </c>
      <c r="B1691" t="s">
        <v>89</v>
      </c>
      <c r="C1691">
        <v>1</v>
      </c>
      <c r="D1691">
        <v>50.2</v>
      </c>
      <c r="E1691">
        <v>50.2</v>
      </c>
      <c r="F1691" s="58">
        <v>45720</v>
      </c>
      <c r="G1691" s="58">
        <v>45721</v>
      </c>
      <c r="H1691" t="s">
        <v>231</v>
      </c>
      <c r="I1691" t="s">
        <v>63</v>
      </c>
      <c r="J1691">
        <v>5</v>
      </c>
      <c r="K1691" t="s">
        <v>103</v>
      </c>
      <c r="L1691" t="s">
        <v>124</v>
      </c>
      <c r="M1691">
        <f>orders[[#This Row],[Ship Date]]-orders[[#This Row],[Order Date]]</f>
        <v>1</v>
      </c>
      <c r="N1691">
        <f>WEEKNUM(orders[[#This Row],[Order Date]],1)</f>
        <v>10</v>
      </c>
      <c r="O1691" t="str">
        <f t="array" ref="O1691">_xlfn.IFS(orders[[#This Row],[Customer Gender]]="M","Male", orders[[#This Row],[Customer Gender]]="F","Female", orders[[#This Row],[Customer Gender]]="O","Other", TRUE(),"Unknown")</f>
        <v>Female</v>
      </c>
    </row>
    <row r="1692" spans="1:15" x14ac:dyDescent="0.25">
      <c r="A1692" t="s">
        <v>1920</v>
      </c>
      <c r="B1692" t="s">
        <v>91</v>
      </c>
      <c r="C1692">
        <v>3</v>
      </c>
      <c r="D1692">
        <v>55.3</v>
      </c>
      <c r="E1692">
        <v>165.9</v>
      </c>
      <c r="F1692" s="58">
        <v>45720</v>
      </c>
      <c r="G1692" s="58">
        <v>45723</v>
      </c>
      <c r="H1692" t="s">
        <v>231</v>
      </c>
      <c r="I1692" t="s">
        <v>59</v>
      </c>
      <c r="J1692">
        <v>2</v>
      </c>
      <c r="K1692" t="s">
        <v>103</v>
      </c>
      <c r="L1692" t="s">
        <v>127</v>
      </c>
      <c r="M1692">
        <f>orders[[#This Row],[Ship Date]]-orders[[#This Row],[Order Date]]</f>
        <v>3</v>
      </c>
      <c r="N1692">
        <f>WEEKNUM(orders[[#This Row],[Order Date]],1)</f>
        <v>10</v>
      </c>
      <c r="O1692" t="str">
        <f t="array" ref="O1692">_xlfn.IFS(orders[[#This Row],[Customer Gender]]="M","Male", orders[[#This Row],[Customer Gender]]="F","Female", orders[[#This Row],[Customer Gender]]="O","Other", TRUE(),"Unknown")</f>
        <v>Female</v>
      </c>
    </row>
    <row r="1693" spans="1:15" x14ac:dyDescent="0.25">
      <c r="A1693" t="s">
        <v>1921</v>
      </c>
      <c r="B1693" t="s">
        <v>80</v>
      </c>
      <c r="C1693">
        <v>7</v>
      </c>
      <c r="D1693">
        <v>104.5</v>
      </c>
      <c r="E1693">
        <v>731.5</v>
      </c>
      <c r="F1693" s="58">
        <v>45720</v>
      </c>
      <c r="G1693" s="58">
        <v>45724</v>
      </c>
      <c r="H1693" t="s">
        <v>231</v>
      </c>
      <c r="I1693" t="s">
        <v>63</v>
      </c>
      <c r="J1693">
        <v>4</v>
      </c>
      <c r="K1693" t="s">
        <v>103</v>
      </c>
      <c r="L1693" t="s">
        <v>141</v>
      </c>
      <c r="M1693">
        <f>orders[[#This Row],[Ship Date]]-orders[[#This Row],[Order Date]]</f>
        <v>4</v>
      </c>
      <c r="N1693">
        <f>WEEKNUM(orders[[#This Row],[Order Date]],1)</f>
        <v>10</v>
      </c>
      <c r="O1693" t="str">
        <f t="array" ref="O1693">_xlfn.IFS(orders[[#This Row],[Customer Gender]]="M","Male", orders[[#This Row],[Customer Gender]]="F","Female", orders[[#This Row],[Customer Gender]]="O","Other", TRUE(),"Unknown")</f>
        <v>Female</v>
      </c>
    </row>
    <row r="1694" spans="1:15" x14ac:dyDescent="0.25">
      <c r="A1694" t="s">
        <v>1922</v>
      </c>
      <c r="B1694" t="s">
        <v>80</v>
      </c>
      <c r="C1694">
        <v>4</v>
      </c>
      <c r="D1694">
        <v>66.5</v>
      </c>
      <c r="E1694">
        <v>266</v>
      </c>
      <c r="F1694" s="58">
        <v>45720</v>
      </c>
      <c r="G1694" s="58">
        <v>45722</v>
      </c>
      <c r="H1694" t="s">
        <v>229</v>
      </c>
      <c r="I1694" t="s">
        <v>63</v>
      </c>
      <c r="J1694">
        <v>4</v>
      </c>
      <c r="K1694" t="s">
        <v>103</v>
      </c>
      <c r="L1694" t="s">
        <v>141</v>
      </c>
      <c r="M1694">
        <f>orders[[#This Row],[Ship Date]]-orders[[#This Row],[Order Date]]</f>
        <v>2</v>
      </c>
      <c r="N1694">
        <f>WEEKNUM(orders[[#This Row],[Order Date]],1)</f>
        <v>10</v>
      </c>
      <c r="O1694" t="str">
        <f t="array" ref="O1694">_xlfn.IFS(orders[[#This Row],[Customer Gender]]="M","Male", orders[[#This Row],[Customer Gender]]="F","Female", orders[[#This Row],[Customer Gender]]="O","Other", TRUE(),"Unknown")</f>
        <v>Male</v>
      </c>
    </row>
    <row r="1695" spans="1:15" x14ac:dyDescent="0.25">
      <c r="A1695" t="s">
        <v>1923</v>
      </c>
      <c r="B1695" t="s">
        <v>75</v>
      </c>
      <c r="C1695">
        <v>8</v>
      </c>
      <c r="D1695">
        <v>38.299999999999997</v>
      </c>
      <c r="E1695">
        <v>306.39999999999998</v>
      </c>
      <c r="F1695" s="58">
        <v>45720</v>
      </c>
      <c r="G1695" s="58">
        <v>45721</v>
      </c>
      <c r="H1695" t="s">
        <v>231</v>
      </c>
      <c r="I1695" t="s">
        <v>59</v>
      </c>
      <c r="J1695">
        <v>4</v>
      </c>
      <c r="K1695" t="s">
        <v>103</v>
      </c>
      <c r="L1695" t="s">
        <v>141</v>
      </c>
      <c r="M1695">
        <f>orders[[#This Row],[Ship Date]]-orders[[#This Row],[Order Date]]</f>
        <v>1</v>
      </c>
      <c r="N1695">
        <f>WEEKNUM(orders[[#This Row],[Order Date]],1)</f>
        <v>10</v>
      </c>
      <c r="O1695" t="str">
        <f t="array" ref="O1695">_xlfn.IFS(orders[[#This Row],[Customer Gender]]="M","Male", orders[[#This Row],[Customer Gender]]="F","Female", orders[[#This Row],[Customer Gender]]="O","Other", TRUE(),"Unknown")</f>
        <v>Female</v>
      </c>
    </row>
    <row r="1696" spans="1:15" x14ac:dyDescent="0.25">
      <c r="A1696" t="s">
        <v>1924</v>
      </c>
      <c r="B1696" t="s">
        <v>80</v>
      </c>
      <c r="C1696">
        <v>3</v>
      </c>
      <c r="D1696">
        <v>63.8</v>
      </c>
      <c r="E1696">
        <v>191.4</v>
      </c>
      <c r="F1696" s="58">
        <v>45720</v>
      </c>
      <c r="G1696" s="58">
        <v>45723</v>
      </c>
      <c r="H1696" t="s">
        <v>231</v>
      </c>
      <c r="I1696" t="s">
        <v>63</v>
      </c>
      <c r="J1696">
        <v>4</v>
      </c>
      <c r="K1696" t="s">
        <v>103</v>
      </c>
      <c r="L1696" t="s">
        <v>142</v>
      </c>
      <c r="M1696">
        <f>orders[[#This Row],[Ship Date]]-orders[[#This Row],[Order Date]]</f>
        <v>3</v>
      </c>
      <c r="N1696">
        <f>WEEKNUM(orders[[#This Row],[Order Date]],1)</f>
        <v>10</v>
      </c>
      <c r="O1696" t="str">
        <f t="array" ref="O1696">_xlfn.IFS(orders[[#This Row],[Customer Gender]]="M","Male", orders[[#This Row],[Customer Gender]]="F","Female", orders[[#This Row],[Customer Gender]]="O","Other", TRUE(),"Unknown")</f>
        <v>Female</v>
      </c>
    </row>
    <row r="1697" spans="1:15" x14ac:dyDescent="0.25">
      <c r="A1697" t="s">
        <v>1925</v>
      </c>
      <c r="B1697" t="s">
        <v>77</v>
      </c>
      <c r="C1697">
        <v>1</v>
      </c>
      <c r="D1697">
        <v>21.4</v>
      </c>
      <c r="E1697">
        <v>21.4</v>
      </c>
      <c r="F1697" s="58">
        <v>45720</v>
      </c>
      <c r="G1697" s="58">
        <v>45720</v>
      </c>
      <c r="H1697" t="s">
        <v>229</v>
      </c>
      <c r="I1697" t="s">
        <v>61</v>
      </c>
      <c r="J1697">
        <v>4</v>
      </c>
      <c r="K1697" t="s">
        <v>103</v>
      </c>
      <c r="L1697" t="s">
        <v>142</v>
      </c>
      <c r="M1697">
        <f>orders[[#This Row],[Ship Date]]-orders[[#This Row],[Order Date]]</f>
        <v>0</v>
      </c>
      <c r="N1697">
        <f>WEEKNUM(orders[[#This Row],[Order Date]],1)</f>
        <v>10</v>
      </c>
      <c r="O1697" t="str">
        <f t="array" ref="O1697">_xlfn.IFS(orders[[#This Row],[Customer Gender]]="M","Male", orders[[#This Row],[Customer Gender]]="F","Female", orders[[#This Row],[Customer Gender]]="O","Other", TRUE(),"Unknown")</f>
        <v>Male</v>
      </c>
    </row>
    <row r="1698" spans="1:15" x14ac:dyDescent="0.25">
      <c r="A1698" t="s">
        <v>1926</v>
      </c>
      <c r="B1698" t="s">
        <v>90</v>
      </c>
      <c r="C1698">
        <v>4</v>
      </c>
      <c r="D1698">
        <v>44.1</v>
      </c>
      <c r="E1698">
        <v>176.4</v>
      </c>
      <c r="F1698" s="58">
        <v>45720</v>
      </c>
      <c r="G1698" s="58">
        <v>45722</v>
      </c>
      <c r="H1698" t="s">
        <v>231</v>
      </c>
      <c r="I1698" t="s">
        <v>62</v>
      </c>
      <c r="J1698">
        <v>4</v>
      </c>
      <c r="K1698" t="s">
        <v>103</v>
      </c>
      <c r="L1698" t="s">
        <v>142</v>
      </c>
      <c r="M1698">
        <f>orders[[#This Row],[Ship Date]]-orders[[#This Row],[Order Date]]</f>
        <v>2</v>
      </c>
      <c r="N1698">
        <f>WEEKNUM(orders[[#This Row],[Order Date]],1)</f>
        <v>10</v>
      </c>
      <c r="O1698" t="str">
        <f t="array" ref="O1698">_xlfn.IFS(orders[[#This Row],[Customer Gender]]="M","Male", orders[[#This Row],[Customer Gender]]="F","Female", orders[[#This Row],[Customer Gender]]="O","Other", TRUE(),"Unknown")</f>
        <v>Female</v>
      </c>
    </row>
    <row r="1699" spans="1:15" x14ac:dyDescent="0.25">
      <c r="A1699" t="s">
        <v>1927</v>
      </c>
      <c r="B1699" t="s">
        <v>85</v>
      </c>
      <c r="C1699">
        <v>8</v>
      </c>
      <c r="D1699">
        <v>57.6</v>
      </c>
      <c r="E1699">
        <v>460.8</v>
      </c>
      <c r="F1699" s="58">
        <v>45720</v>
      </c>
      <c r="G1699" s="58">
        <v>45722</v>
      </c>
      <c r="H1699" t="s">
        <v>229</v>
      </c>
      <c r="I1699" t="s">
        <v>63</v>
      </c>
      <c r="J1699">
        <v>5</v>
      </c>
      <c r="K1699" t="s">
        <v>103</v>
      </c>
      <c r="L1699" t="s">
        <v>142</v>
      </c>
      <c r="M1699">
        <f>orders[[#This Row],[Ship Date]]-orders[[#This Row],[Order Date]]</f>
        <v>2</v>
      </c>
      <c r="N1699">
        <f>WEEKNUM(orders[[#This Row],[Order Date]],1)</f>
        <v>10</v>
      </c>
      <c r="O1699" t="str">
        <f t="array" ref="O1699">_xlfn.IFS(orders[[#This Row],[Customer Gender]]="M","Male", orders[[#This Row],[Customer Gender]]="F","Female", orders[[#This Row],[Customer Gender]]="O","Other", TRUE(),"Unknown")</f>
        <v>Male</v>
      </c>
    </row>
    <row r="1700" spans="1:15" x14ac:dyDescent="0.25">
      <c r="A1700" t="s">
        <v>1928</v>
      </c>
      <c r="B1700" t="s">
        <v>88</v>
      </c>
      <c r="C1700">
        <v>2</v>
      </c>
      <c r="D1700">
        <v>20.3</v>
      </c>
      <c r="E1700">
        <v>40.6</v>
      </c>
      <c r="F1700" s="58">
        <v>45720</v>
      </c>
      <c r="G1700" s="58">
        <v>45726</v>
      </c>
      <c r="H1700" t="s">
        <v>231</v>
      </c>
      <c r="I1700" t="s">
        <v>60</v>
      </c>
      <c r="J1700">
        <v>4</v>
      </c>
      <c r="K1700" t="s">
        <v>103</v>
      </c>
      <c r="L1700" t="s">
        <v>142</v>
      </c>
      <c r="M1700">
        <f>orders[[#This Row],[Ship Date]]-orders[[#This Row],[Order Date]]</f>
        <v>6</v>
      </c>
      <c r="N1700">
        <f>WEEKNUM(orders[[#This Row],[Order Date]],1)</f>
        <v>10</v>
      </c>
      <c r="O1700" t="str">
        <f t="array" ref="O1700">_xlfn.IFS(orders[[#This Row],[Customer Gender]]="M","Male", orders[[#This Row],[Customer Gender]]="F","Female", orders[[#This Row],[Customer Gender]]="O","Other", TRUE(),"Unknown")</f>
        <v>Female</v>
      </c>
    </row>
    <row r="1701" spans="1:15" x14ac:dyDescent="0.25">
      <c r="A1701" t="s">
        <v>1929</v>
      </c>
      <c r="B1701" t="s">
        <v>90</v>
      </c>
      <c r="C1701">
        <v>1</v>
      </c>
      <c r="D1701">
        <v>22.9</v>
      </c>
      <c r="E1701">
        <v>22.9</v>
      </c>
      <c r="F1701" s="58">
        <v>45720</v>
      </c>
      <c r="G1701" s="58">
        <v>45722</v>
      </c>
      <c r="H1701" t="s">
        <v>231</v>
      </c>
      <c r="I1701" t="s">
        <v>62</v>
      </c>
      <c r="J1701">
        <v>5</v>
      </c>
      <c r="K1701" t="s">
        <v>103</v>
      </c>
      <c r="L1701" t="s">
        <v>142</v>
      </c>
      <c r="M1701">
        <f>orders[[#This Row],[Ship Date]]-orders[[#This Row],[Order Date]]</f>
        <v>2</v>
      </c>
      <c r="N1701">
        <f>WEEKNUM(orders[[#This Row],[Order Date]],1)</f>
        <v>10</v>
      </c>
      <c r="O1701" t="str">
        <f t="array" ref="O1701">_xlfn.IFS(orders[[#This Row],[Customer Gender]]="M","Male", orders[[#This Row],[Customer Gender]]="F","Female", orders[[#This Row],[Customer Gender]]="O","Other", TRUE(),"Unknown")</f>
        <v>Female</v>
      </c>
    </row>
    <row r="1702" spans="1:15" x14ac:dyDescent="0.25">
      <c r="A1702" t="s">
        <v>1930</v>
      </c>
      <c r="B1702" t="s">
        <v>80</v>
      </c>
      <c r="C1702">
        <v>4</v>
      </c>
      <c r="D1702">
        <v>105.9</v>
      </c>
      <c r="E1702">
        <v>423.6</v>
      </c>
      <c r="F1702" s="58">
        <v>45720</v>
      </c>
      <c r="G1702" s="58">
        <v>45721</v>
      </c>
      <c r="H1702" t="s">
        <v>231</v>
      </c>
      <c r="I1702" t="s">
        <v>63</v>
      </c>
      <c r="J1702">
        <v>5</v>
      </c>
      <c r="K1702" t="s">
        <v>103</v>
      </c>
      <c r="L1702" t="s">
        <v>143</v>
      </c>
      <c r="M1702">
        <f>orders[[#This Row],[Ship Date]]-orders[[#This Row],[Order Date]]</f>
        <v>1</v>
      </c>
      <c r="N1702">
        <f>WEEKNUM(orders[[#This Row],[Order Date]],1)</f>
        <v>10</v>
      </c>
      <c r="O1702" t="str">
        <f t="array" ref="O1702">_xlfn.IFS(orders[[#This Row],[Customer Gender]]="M","Male", orders[[#This Row],[Customer Gender]]="F","Female", orders[[#This Row],[Customer Gender]]="O","Other", TRUE(),"Unknown")</f>
        <v>Female</v>
      </c>
    </row>
    <row r="1703" spans="1:15" x14ac:dyDescent="0.25">
      <c r="A1703" t="s">
        <v>1931</v>
      </c>
      <c r="B1703" t="s">
        <v>91</v>
      </c>
      <c r="C1703">
        <v>9</v>
      </c>
      <c r="D1703">
        <v>37.4</v>
      </c>
      <c r="E1703">
        <v>336.6</v>
      </c>
      <c r="F1703" s="58">
        <v>45720</v>
      </c>
      <c r="G1703" s="58">
        <v>45724</v>
      </c>
      <c r="H1703" t="s">
        <v>229</v>
      </c>
      <c r="I1703" t="s">
        <v>63</v>
      </c>
      <c r="J1703">
        <v>4</v>
      </c>
      <c r="K1703" t="s">
        <v>103</v>
      </c>
      <c r="L1703" t="s">
        <v>148</v>
      </c>
      <c r="M1703">
        <f>orders[[#This Row],[Ship Date]]-orders[[#This Row],[Order Date]]</f>
        <v>4</v>
      </c>
      <c r="N1703">
        <f>WEEKNUM(orders[[#This Row],[Order Date]],1)</f>
        <v>10</v>
      </c>
      <c r="O1703" t="str">
        <f t="array" ref="O1703">_xlfn.IFS(orders[[#This Row],[Customer Gender]]="M","Male", orders[[#This Row],[Customer Gender]]="F","Female", orders[[#This Row],[Customer Gender]]="O","Other", TRUE(),"Unknown")</f>
        <v>Male</v>
      </c>
    </row>
    <row r="1704" spans="1:15" x14ac:dyDescent="0.25">
      <c r="A1704" t="s">
        <v>1932</v>
      </c>
      <c r="B1704" t="s">
        <v>82</v>
      </c>
      <c r="C1704">
        <v>2</v>
      </c>
      <c r="D1704">
        <v>79</v>
      </c>
      <c r="E1704">
        <v>158</v>
      </c>
      <c r="F1704" s="58">
        <v>45720</v>
      </c>
      <c r="G1704" s="58">
        <v>45721</v>
      </c>
      <c r="H1704" t="s">
        <v>229</v>
      </c>
      <c r="I1704" t="s">
        <v>62</v>
      </c>
      <c r="J1704">
        <v>4</v>
      </c>
      <c r="K1704" t="s">
        <v>103</v>
      </c>
      <c r="L1704" t="s">
        <v>162</v>
      </c>
      <c r="M1704">
        <f>orders[[#This Row],[Ship Date]]-orders[[#This Row],[Order Date]]</f>
        <v>1</v>
      </c>
      <c r="N1704">
        <f>WEEKNUM(orders[[#This Row],[Order Date]],1)</f>
        <v>10</v>
      </c>
      <c r="O1704" t="str">
        <f t="array" ref="O1704">_xlfn.IFS(orders[[#This Row],[Customer Gender]]="M","Male", orders[[#This Row],[Customer Gender]]="F","Female", orders[[#This Row],[Customer Gender]]="O","Other", TRUE(),"Unknown")</f>
        <v>Male</v>
      </c>
    </row>
    <row r="1705" spans="1:15" x14ac:dyDescent="0.25">
      <c r="A1705" t="s">
        <v>1933</v>
      </c>
      <c r="B1705" t="s">
        <v>86</v>
      </c>
      <c r="C1705">
        <v>3</v>
      </c>
      <c r="D1705">
        <v>19.3</v>
      </c>
      <c r="E1705">
        <v>57.9</v>
      </c>
      <c r="F1705" s="58">
        <v>45720</v>
      </c>
      <c r="G1705" s="58">
        <v>45721</v>
      </c>
      <c r="H1705" t="s">
        <v>231</v>
      </c>
      <c r="I1705" t="s">
        <v>61</v>
      </c>
      <c r="J1705">
        <v>4</v>
      </c>
      <c r="K1705" t="s">
        <v>103</v>
      </c>
      <c r="L1705" t="s">
        <v>106</v>
      </c>
      <c r="M1705">
        <f>orders[[#This Row],[Ship Date]]-orders[[#This Row],[Order Date]]</f>
        <v>1</v>
      </c>
      <c r="N1705">
        <f>WEEKNUM(orders[[#This Row],[Order Date]],1)</f>
        <v>10</v>
      </c>
      <c r="O1705" t="str">
        <f t="array" ref="O1705">_xlfn.IFS(orders[[#This Row],[Customer Gender]]="M","Male", orders[[#This Row],[Customer Gender]]="F","Female", orders[[#This Row],[Customer Gender]]="O","Other", TRUE(),"Unknown")</f>
        <v>Female</v>
      </c>
    </row>
    <row r="1706" spans="1:15" x14ac:dyDescent="0.25">
      <c r="A1706" t="s">
        <v>1934</v>
      </c>
      <c r="B1706" t="s">
        <v>86</v>
      </c>
      <c r="C1706">
        <v>1</v>
      </c>
      <c r="D1706">
        <v>24</v>
      </c>
      <c r="E1706">
        <v>24</v>
      </c>
      <c r="F1706" s="58">
        <v>45720</v>
      </c>
      <c r="G1706" s="58">
        <v>45721</v>
      </c>
      <c r="H1706" t="s">
        <v>231</v>
      </c>
      <c r="I1706" t="s">
        <v>63</v>
      </c>
      <c r="J1706">
        <v>4</v>
      </c>
      <c r="K1706" t="s">
        <v>103</v>
      </c>
      <c r="L1706" t="s">
        <v>112</v>
      </c>
      <c r="M1706">
        <f>orders[[#This Row],[Ship Date]]-orders[[#This Row],[Order Date]]</f>
        <v>1</v>
      </c>
      <c r="N1706">
        <f>WEEKNUM(orders[[#This Row],[Order Date]],1)</f>
        <v>10</v>
      </c>
      <c r="O1706" t="str">
        <f t="array" ref="O1706">_xlfn.IFS(orders[[#This Row],[Customer Gender]]="M","Male", orders[[#This Row],[Customer Gender]]="F","Female", orders[[#This Row],[Customer Gender]]="O","Other", TRUE(),"Unknown")</f>
        <v>Female</v>
      </c>
    </row>
    <row r="1707" spans="1:15" x14ac:dyDescent="0.25">
      <c r="A1707" t="s">
        <v>1935</v>
      </c>
      <c r="B1707" t="s">
        <v>80</v>
      </c>
      <c r="C1707">
        <v>5</v>
      </c>
      <c r="D1707">
        <v>71.3</v>
      </c>
      <c r="E1707">
        <v>356.5</v>
      </c>
      <c r="F1707" s="58">
        <v>45720</v>
      </c>
      <c r="G1707" s="58">
        <v>45723</v>
      </c>
      <c r="H1707" t="s">
        <v>231</v>
      </c>
      <c r="I1707" t="s">
        <v>62</v>
      </c>
      <c r="J1707">
        <v>4</v>
      </c>
      <c r="K1707" t="s">
        <v>103</v>
      </c>
      <c r="L1707" t="s">
        <v>115</v>
      </c>
      <c r="M1707">
        <f>orders[[#This Row],[Ship Date]]-orders[[#This Row],[Order Date]]</f>
        <v>3</v>
      </c>
      <c r="N1707">
        <f>WEEKNUM(orders[[#This Row],[Order Date]],1)</f>
        <v>10</v>
      </c>
      <c r="O1707" t="str">
        <f t="array" ref="O1707">_xlfn.IFS(orders[[#This Row],[Customer Gender]]="M","Male", orders[[#This Row],[Customer Gender]]="F","Female", orders[[#This Row],[Customer Gender]]="O","Other", TRUE(),"Unknown")</f>
        <v>Female</v>
      </c>
    </row>
    <row r="1708" spans="1:15" x14ac:dyDescent="0.25">
      <c r="A1708" t="s">
        <v>1936</v>
      </c>
      <c r="B1708" t="s">
        <v>85</v>
      </c>
      <c r="C1708">
        <v>2</v>
      </c>
      <c r="D1708">
        <v>166.2</v>
      </c>
      <c r="E1708">
        <v>332.4</v>
      </c>
      <c r="F1708" s="58">
        <v>45720</v>
      </c>
      <c r="G1708" s="58">
        <v>45721</v>
      </c>
      <c r="H1708" t="s">
        <v>229</v>
      </c>
      <c r="I1708" t="s">
        <v>59</v>
      </c>
      <c r="J1708">
        <v>5</v>
      </c>
      <c r="K1708" t="s">
        <v>103</v>
      </c>
      <c r="L1708" t="s">
        <v>122</v>
      </c>
      <c r="M1708">
        <f>orders[[#This Row],[Ship Date]]-orders[[#This Row],[Order Date]]</f>
        <v>1</v>
      </c>
      <c r="N1708">
        <f>WEEKNUM(orders[[#This Row],[Order Date]],1)</f>
        <v>10</v>
      </c>
      <c r="O1708" t="str">
        <f t="array" ref="O1708">_xlfn.IFS(orders[[#This Row],[Customer Gender]]="M","Male", orders[[#This Row],[Customer Gender]]="F","Female", orders[[#This Row],[Customer Gender]]="O","Other", TRUE(),"Unknown")</f>
        <v>Male</v>
      </c>
    </row>
    <row r="1709" spans="1:15" x14ac:dyDescent="0.25">
      <c r="A1709" t="s">
        <v>1937</v>
      </c>
      <c r="B1709" t="s">
        <v>80</v>
      </c>
      <c r="C1709">
        <v>1</v>
      </c>
      <c r="D1709">
        <v>81</v>
      </c>
      <c r="E1709">
        <v>81</v>
      </c>
      <c r="F1709" s="58">
        <v>45720</v>
      </c>
      <c r="G1709" s="58">
        <v>45721</v>
      </c>
      <c r="H1709" t="s">
        <v>231</v>
      </c>
      <c r="I1709" t="s">
        <v>62</v>
      </c>
      <c r="J1709">
        <v>3</v>
      </c>
      <c r="K1709" t="s">
        <v>103</v>
      </c>
      <c r="L1709" t="s">
        <v>124</v>
      </c>
      <c r="M1709">
        <f>orders[[#This Row],[Ship Date]]-orders[[#This Row],[Order Date]]</f>
        <v>1</v>
      </c>
      <c r="N1709">
        <f>WEEKNUM(orders[[#This Row],[Order Date]],1)</f>
        <v>10</v>
      </c>
      <c r="O1709" t="str">
        <f t="array" ref="O1709">_xlfn.IFS(orders[[#This Row],[Customer Gender]]="M","Male", orders[[#This Row],[Customer Gender]]="F","Female", orders[[#This Row],[Customer Gender]]="O","Other", TRUE(),"Unknown")</f>
        <v>Female</v>
      </c>
    </row>
    <row r="1710" spans="1:15" x14ac:dyDescent="0.25">
      <c r="A1710" t="s">
        <v>1938</v>
      </c>
      <c r="B1710" t="s">
        <v>75</v>
      </c>
      <c r="C1710">
        <v>6</v>
      </c>
      <c r="D1710">
        <v>38.5</v>
      </c>
      <c r="E1710">
        <v>231</v>
      </c>
      <c r="F1710" s="58">
        <v>45720</v>
      </c>
      <c r="G1710" s="58">
        <v>45724</v>
      </c>
      <c r="H1710" t="s">
        <v>231</v>
      </c>
      <c r="I1710" t="s">
        <v>59</v>
      </c>
      <c r="J1710">
        <v>4</v>
      </c>
      <c r="K1710" t="s">
        <v>103</v>
      </c>
      <c r="L1710" t="s">
        <v>124</v>
      </c>
      <c r="M1710">
        <f>orders[[#This Row],[Ship Date]]-orders[[#This Row],[Order Date]]</f>
        <v>4</v>
      </c>
      <c r="N1710">
        <f>WEEKNUM(orders[[#This Row],[Order Date]],1)</f>
        <v>10</v>
      </c>
      <c r="O1710" t="str">
        <f t="array" ref="O1710">_xlfn.IFS(orders[[#This Row],[Customer Gender]]="M","Male", orders[[#This Row],[Customer Gender]]="F","Female", orders[[#This Row],[Customer Gender]]="O","Other", TRUE(),"Unknown")</f>
        <v>Female</v>
      </c>
    </row>
    <row r="1711" spans="1:15" x14ac:dyDescent="0.25">
      <c r="A1711" t="s">
        <v>1939</v>
      </c>
      <c r="B1711" t="s">
        <v>80</v>
      </c>
      <c r="C1711">
        <v>1</v>
      </c>
      <c r="D1711">
        <v>86.1</v>
      </c>
      <c r="E1711">
        <v>86.1</v>
      </c>
      <c r="F1711" s="58">
        <v>45720</v>
      </c>
      <c r="G1711" s="58">
        <v>45722</v>
      </c>
      <c r="H1711" t="s">
        <v>231</v>
      </c>
      <c r="I1711" t="s">
        <v>60</v>
      </c>
      <c r="J1711">
        <v>4</v>
      </c>
      <c r="K1711" t="s">
        <v>103</v>
      </c>
      <c r="L1711" t="s">
        <v>124</v>
      </c>
      <c r="M1711">
        <f>orders[[#This Row],[Ship Date]]-orders[[#This Row],[Order Date]]</f>
        <v>2</v>
      </c>
      <c r="N1711">
        <f>WEEKNUM(orders[[#This Row],[Order Date]],1)</f>
        <v>10</v>
      </c>
      <c r="O1711" t="str">
        <f t="array" ref="O1711">_xlfn.IFS(orders[[#This Row],[Customer Gender]]="M","Male", orders[[#This Row],[Customer Gender]]="F","Female", orders[[#This Row],[Customer Gender]]="O","Other", TRUE(),"Unknown")</f>
        <v>Female</v>
      </c>
    </row>
    <row r="1712" spans="1:15" x14ac:dyDescent="0.25">
      <c r="A1712" t="s">
        <v>1940</v>
      </c>
      <c r="B1712" t="s">
        <v>87</v>
      </c>
      <c r="C1712">
        <v>5</v>
      </c>
      <c r="D1712">
        <v>51</v>
      </c>
      <c r="E1712">
        <v>255</v>
      </c>
      <c r="F1712" s="58">
        <v>45720</v>
      </c>
      <c r="G1712" s="58">
        <v>45721</v>
      </c>
      <c r="H1712" t="s">
        <v>229</v>
      </c>
      <c r="I1712" t="s">
        <v>59</v>
      </c>
      <c r="J1712">
        <v>3</v>
      </c>
      <c r="K1712" t="s">
        <v>103</v>
      </c>
      <c r="L1712" t="s">
        <v>124</v>
      </c>
      <c r="M1712">
        <f>orders[[#This Row],[Ship Date]]-orders[[#This Row],[Order Date]]</f>
        <v>1</v>
      </c>
      <c r="N1712">
        <f>WEEKNUM(orders[[#This Row],[Order Date]],1)</f>
        <v>10</v>
      </c>
      <c r="O1712" t="str">
        <f t="array" ref="O1712">_xlfn.IFS(orders[[#This Row],[Customer Gender]]="M","Male", orders[[#This Row],[Customer Gender]]="F","Female", orders[[#This Row],[Customer Gender]]="O","Other", TRUE(),"Unknown")</f>
        <v>Male</v>
      </c>
    </row>
    <row r="1713" spans="1:15" x14ac:dyDescent="0.25">
      <c r="A1713" t="s">
        <v>1941</v>
      </c>
      <c r="B1713" t="s">
        <v>93</v>
      </c>
      <c r="C1713">
        <v>5</v>
      </c>
      <c r="D1713">
        <v>115.4</v>
      </c>
      <c r="E1713">
        <v>577</v>
      </c>
      <c r="F1713" s="58">
        <v>45720</v>
      </c>
      <c r="G1713" s="58">
        <v>45721</v>
      </c>
      <c r="H1713" t="s">
        <v>229</v>
      </c>
      <c r="I1713" t="s">
        <v>59</v>
      </c>
      <c r="J1713">
        <v>4</v>
      </c>
      <c r="K1713" t="s">
        <v>103</v>
      </c>
      <c r="L1713" t="s">
        <v>124</v>
      </c>
      <c r="M1713">
        <f>orders[[#This Row],[Ship Date]]-orders[[#This Row],[Order Date]]</f>
        <v>1</v>
      </c>
      <c r="N1713">
        <f>WEEKNUM(orders[[#This Row],[Order Date]],1)</f>
        <v>10</v>
      </c>
      <c r="O1713" t="str">
        <f t="array" ref="O1713">_xlfn.IFS(orders[[#This Row],[Customer Gender]]="M","Male", orders[[#This Row],[Customer Gender]]="F","Female", orders[[#This Row],[Customer Gender]]="O","Other", TRUE(),"Unknown")</f>
        <v>Male</v>
      </c>
    </row>
    <row r="1714" spans="1:15" x14ac:dyDescent="0.25">
      <c r="A1714" t="s">
        <v>1942</v>
      </c>
      <c r="B1714" t="s">
        <v>80</v>
      </c>
      <c r="C1714">
        <v>4</v>
      </c>
      <c r="D1714">
        <v>176.5</v>
      </c>
      <c r="E1714">
        <v>706</v>
      </c>
      <c r="F1714" s="58">
        <v>45720</v>
      </c>
      <c r="G1714" s="58">
        <v>45721</v>
      </c>
      <c r="H1714" t="s">
        <v>231</v>
      </c>
      <c r="I1714" t="s">
        <v>62</v>
      </c>
      <c r="J1714">
        <v>5</v>
      </c>
      <c r="K1714" t="s">
        <v>103</v>
      </c>
      <c r="L1714" t="s">
        <v>124</v>
      </c>
      <c r="M1714">
        <f>orders[[#This Row],[Ship Date]]-orders[[#This Row],[Order Date]]</f>
        <v>1</v>
      </c>
      <c r="N1714">
        <f>WEEKNUM(orders[[#This Row],[Order Date]],1)</f>
        <v>10</v>
      </c>
      <c r="O1714" t="str">
        <f t="array" ref="O1714">_xlfn.IFS(orders[[#This Row],[Customer Gender]]="M","Male", orders[[#This Row],[Customer Gender]]="F","Female", orders[[#This Row],[Customer Gender]]="O","Other", TRUE(),"Unknown")</f>
        <v>Female</v>
      </c>
    </row>
    <row r="1715" spans="1:15" x14ac:dyDescent="0.25">
      <c r="A1715" t="s">
        <v>1943</v>
      </c>
      <c r="B1715" t="s">
        <v>79</v>
      </c>
      <c r="C1715">
        <v>3</v>
      </c>
      <c r="D1715">
        <v>48.9</v>
      </c>
      <c r="E1715">
        <v>146.69999999999999</v>
      </c>
      <c r="F1715" s="58">
        <v>45720</v>
      </c>
      <c r="G1715" s="58">
        <v>45721</v>
      </c>
      <c r="H1715" t="s">
        <v>229</v>
      </c>
      <c r="I1715" t="s">
        <v>61</v>
      </c>
      <c r="J1715">
        <v>4</v>
      </c>
      <c r="K1715" t="s">
        <v>103</v>
      </c>
      <c r="L1715" t="s">
        <v>124</v>
      </c>
      <c r="M1715">
        <f>orders[[#This Row],[Ship Date]]-orders[[#This Row],[Order Date]]</f>
        <v>1</v>
      </c>
      <c r="N1715">
        <f>WEEKNUM(orders[[#This Row],[Order Date]],1)</f>
        <v>10</v>
      </c>
      <c r="O1715" t="str">
        <f t="array" ref="O1715">_xlfn.IFS(orders[[#This Row],[Customer Gender]]="M","Male", orders[[#This Row],[Customer Gender]]="F","Female", orders[[#This Row],[Customer Gender]]="O","Other", TRUE(),"Unknown")</f>
        <v>Male</v>
      </c>
    </row>
    <row r="1716" spans="1:15" x14ac:dyDescent="0.25">
      <c r="A1716" t="s">
        <v>1944</v>
      </c>
      <c r="B1716" t="s">
        <v>90</v>
      </c>
      <c r="C1716">
        <v>3</v>
      </c>
      <c r="D1716">
        <v>18.100000000000001</v>
      </c>
      <c r="E1716">
        <v>54.3</v>
      </c>
      <c r="F1716" s="58">
        <v>45720</v>
      </c>
      <c r="G1716" s="58">
        <v>45727</v>
      </c>
      <c r="H1716" t="s">
        <v>231</v>
      </c>
      <c r="I1716" t="s">
        <v>63</v>
      </c>
      <c r="J1716">
        <v>5</v>
      </c>
      <c r="K1716" t="s">
        <v>103</v>
      </c>
      <c r="L1716" t="s">
        <v>128</v>
      </c>
      <c r="M1716">
        <f>orders[[#This Row],[Ship Date]]-orders[[#This Row],[Order Date]]</f>
        <v>7</v>
      </c>
      <c r="N1716">
        <f>WEEKNUM(orders[[#This Row],[Order Date]],1)</f>
        <v>10</v>
      </c>
      <c r="O1716" t="str">
        <f t="array" ref="O1716">_xlfn.IFS(orders[[#This Row],[Customer Gender]]="M","Male", orders[[#This Row],[Customer Gender]]="F","Female", orders[[#This Row],[Customer Gender]]="O","Other", TRUE(),"Unknown")</f>
        <v>Female</v>
      </c>
    </row>
    <row r="1717" spans="1:15" x14ac:dyDescent="0.25">
      <c r="A1717" t="s">
        <v>1945</v>
      </c>
      <c r="B1717" t="s">
        <v>87</v>
      </c>
      <c r="C1717">
        <v>2</v>
      </c>
      <c r="D1717">
        <v>118.5</v>
      </c>
      <c r="E1717">
        <v>237</v>
      </c>
      <c r="F1717" s="58">
        <v>45720</v>
      </c>
      <c r="G1717" s="58">
        <v>45723</v>
      </c>
      <c r="H1717" t="s">
        <v>229</v>
      </c>
      <c r="I1717" t="s">
        <v>63</v>
      </c>
      <c r="J1717">
        <v>5</v>
      </c>
      <c r="K1717" t="s">
        <v>103</v>
      </c>
      <c r="L1717" t="s">
        <v>133</v>
      </c>
      <c r="M1717">
        <f>orders[[#This Row],[Ship Date]]-orders[[#This Row],[Order Date]]</f>
        <v>3</v>
      </c>
      <c r="N1717">
        <f>WEEKNUM(orders[[#This Row],[Order Date]],1)</f>
        <v>10</v>
      </c>
      <c r="O1717" t="str">
        <f t="array" ref="O1717">_xlfn.IFS(orders[[#This Row],[Customer Gender]]="M","Male", orders[[#This Row],[Customer Gender]]="F","Female", orders[[#This Row],[Customer Gender]]="O","Other", TRUE(),"Unknown")</f>
        <v>Male</v>
      </c>
    </row>
    <row r="1718" spans="1:15" x14ac:dyDescent="0.25">
      <c r="A1718" t="s">
        <v>1946</v>
      </c>
      <c r="B1718" t="s">
        <v>77</v>
      </c>
      <c r="C1718">
        <v>7</v>
      </c>
      <c r="D1718">
        <v>59.1</v>
      </c>
      <c r="E1718">
        <v>413.7</v>
      </c>
      <c r="F1718" s="58">
        <v>45720</v>
      </c>
      <c r="G1718" s="58">
        <v>45721</v>
      </c>
      <c r="H1718" t="s">
        <v>231</v>
      </c>
      <c r="I1718" t="s">
        <v>60</v>
      </c>
      <c r="J1718">
        <v>4</v>
      </c>
      <c r="K1718" t="s">
        <v>103</v>
      </c>
      <c r="L1718" t="s">
        <v>135</v>
      </c>
      <c r="M1718">
        <f>orders[[#This Row],[Ship Date]]-orders[[#This Row],[Order Date]]</f>
        <v>1</v>
      </c>
      <c r="N1718">
        <f>WEEKNUM(orders[[#This Row],[Order Date]],1)</f>
        <v>10</v>
      </c>
      <c r="O1718" t="str">
        <f t="array" ref="O1718">_xlfn.IFS(orders[[#This Row],[Customer Gender]]="M","Male", orders[[#This Row],[Customer Gender]]="F","Female", orders[[#This Row],[Customer Gender]]="O","Other", TRUE(),"Unknown")</f>
        <v>Female</v>
      </c>
    </row>
    <row r="1719" spans="1:15" x14ac:dyDescent="0.25">
      <c r="A1719" t="s">
        <v>1947</v>
      </c>
      <c r="B1719" t="s">
        <v>78</v>
      </c>
      <c r="C1719">
        <v>1</v>
      </c>
      <c r="D1719">
        <v>21.2</v>
      </c>
      <c r="E1719">
        <v>21.2</v>
      </c>
      <c r="F1719" s="58">
        <v>45720</v>
      </c>
      <c r="G1719" s="58">
        <v>45721</v>
      </c>
      <c r="H1719" t="s">
        <v>231</v>
      </c>
      <c r="I1719" t="s">
        <v>59</v>
      </c>
      <c r="J1719">
        <v>3</v>
      </c>
      <c r="K1719" t="s">
        <v>103</v>
      </c>
      <c r="L1719" t="s">
        <v>139</v>
      </c>
      <c r="M1719">
        <f>orders[[#This Row],[Ship Date]]-orders[[#This Row],[Order Date]]</f>
        <v>1</v>
      </c>
      <c r="N1719">
        <f>WEEKNUM(orders[[#This Row],[Order Date]],1)</f>
        <v>10</v>
      </c>
      <c r="O1719" t="str">
        <f t="array" ref="O1719">_xlfn.IFS(orders[[#This Row],[Customer Gender]]="M","Male", orders[[#This Row],[Customer Gender]]="F","Female", orders[[#This Row],[Customer Gender]]="O","Other", TRUE(),"Unknown")</f>
        <v>Female</v>
      </c>
    </row>
    <row r="1720" spans="1:15" x14ac:dyDescent="0.25">
      <c r="A1720" t="s">
        <v>1948</v>
      </c>
      <c r="B1720" t="s">
        <v>80</v>
      </c>
      <c r="C1720">
        <v>2</v>
      </c>
      <c r="D1720">
        <v>68.8</v>
      </c>
      <c r="E1720">
        <v>137.6</v>
      </c>
      <c r="F1720" s="58">
        <v>45720</v>
      </c>
      <c r="G1720" s="58">
        <v>45725</v>
      </c>
      <c r="H1720" t="s">
        <v>231</v>
      </c>
      <c r="I1720" t="s">
        <v>60</v>
      </c>
      <c r="J1720">
        <v>5</v>
      </c>
      <c r="K1720" t="s">
        <v>103</v>
      </c>
      <c r="L1720" t="s">
        <v>139</v>
      </c>
      <c r="M1720">
        <f>orders[[#This Row],[Ship Date]]-orders[[#This Row],[Order Date]]</f>
        <v>5</v>
      </c>
      <c r="N1720">
        <f>WEEKNUM(orders[[#This Row],[Order Date]],1)</f>
        <v>10</v>
      </c>
      <c r="O1720" t="str">
        <f t="array" ref="O1720">_xlfn.IFS(orders[[#This Row],[Customer Gender]]="M","Male", orders[[#This Row],[Customer Gender]]="F","Female", orders[[#This Row],[Customer Gender]]="O","Other", TRUE(),"Unknown")</f>
        <v>Female</v>
      </c>
    </row>
    <row r="1721" spans="1:15" x14ac:dyDescent="0.25">
      <c r="A1721" t="s">
        <v>1949</v>
      </c>
      <c r="B1721" t="s">
        <v>80</v>
      </c>
      <c r="C1721">
        <v>2</v>
      </c>
      <c r="D1721">
        <v>65.400000000000006</v>
      </c>
      <c r="E1721">
        <v>130.80000000000001</v>
      </c>
      <c r="F1721" s="58">
        <v>45720</v>
      </c>
      <c r="G1721" s="58">
        <v>45724</v>
      </c>
      <c r="H1721" t="s">
        <v>231</v>
      </c>
      <c r="I1721" t="s">
        <v>59</v>
      </c>
      <c r="J1721">
        <v>4</v>
      </c>
      <c r="K1721" t="s">
        <v>103</v>
      </c>
      <c r="L1721" t="s">
        <v>139</v>
      </c>
      <c r="M1721">
        <f>orders[[#This Row],[Ship Date]]-orders[[#This Row],[Order Date]]</f>
        <v>4</v>
      </c>
      <c r="N1721">
        <f>WEEKNUM(orders[[#This Row],[Order Date]],1)</f>
        <v>10</v>
      </c>
      <c r="O1721" t="str">
        <f t="array" ref="O1721">_xlfn.IFS(orders[[#This Row],[Customer Gender]]="M","Male", orders[[#This Row],[Customer Gender]]="F","Female", orders[[#This Row],[Customer Gender]]="O","Other", TRUE(),"Unknown")</f>
        <v>Female</v>
      </c>
    </row>
    <row r="1722" spans="1:15" x14ac:dyDescent="0.25">
      <c r="A1722" t="s">
        <v>1950</v>
      </c>
      <c r="B1722" t="s">
        <v>76</v>
      </c>
      <c r="C1722">
        <v>5</v>
      </c>
      <c r="D1722">
        <v>66.3</v>
      </c>
      <c r="E1722">
        <v>331.5</v>
      </c>
      <c r="F1722" s="58">
        <v>45721</v>
      </c>
      <c r="G1722" s="58">
        <v>45724</v>
      </c>
      <c r="H1722" t="s">
        <v>231</v>
      </c>
      <c r="I1722" t="s">
        <v>61</v>
      </c>
      <c r="J1722">
        <v>4</v>
      </c>
      <c r="K1722" t="s">
        <v>103</v>
      </c>
      <c r="L1722" t="s">
        <v>139</v>
      </c>
      <c r="M1722">
        <f>orders[[#This Row],[Ship Date]]-orders[[#This Row],[Order Date]]</f>
        <v>3</v>
      </c>
      <c r="N1722">
        <f>WEEKNUM(orders[[#This Row],[Order Date]],1)</f>
        <v>10</v>
      </c>
      <c r="O1722" t="str">
        <f t="array" ref="O1722">_xlfn.IFS(orders[[#This Row],[Customer Gender]]="M","Male", orders[[#This Row],[Customer Gender]]="F","Female", orders[[#This Row],[Customer Gender]]="O","Other", TRUE(),"Unknown")</f>
        <v>Female</v>
      </c>
    </row>
    <row r="1723" spans="1:15" x14ac:dyDescent="0.25">
      <c r="A1723" t="s">
        <v>1951</v>
      </c>
      <c r="B1723" t="s">
        <v>80</v>
      </c>
      <c r="C1723">
        <v>3</v>
      </c>
      <c r="D1723">
        <v>97.5</v>
      </c>
      <c r="E1723">
        <v>292.5</v>
      </c>
      <c r="F1723" s="58">
        <v>45721</v>
      </c>
      <c r="G1723" s="58">
        <v>45721</v>
      </c>
      <c r="H1723" t="s">
        <v>229</v>
      </c>
      <c r="I1723" t="s">
        <v>60</v>
      </c>
      <c r="J1723">
        <v>4</v>
      </c>
      <c r="K1723" t="s">
        <v>103</v>
      </c>
      <c r="L1723" t="s">
        <v>142</v>
      </c>
      <c r="M1723">
        <f>orders[[#This Row],[Ship Date]]-orders[[#This Row],[Order Date]]</f>
        <v>0</v>
      </c>
      <c r="N1723">
        <f>WEEKNUM(orders[[#This Row],[Order Date]],1)</f>
        <v>10</v>
      </c>
      <c r="O1723" t="str">
        <f t="array" ref="O1723">_xlfn.IFS(orders[[#This Row],[Customer Gender]]="M","Male", orders[[#This Row],[Customer Gender]]="F","Female", orders[[#This Row],[Customer Gender]]="O","Other", TRUE(),"Unknown")</f>
        <v>Male</v>
      </c>
    </row>
    <row r="1724" spans="1:15" x14ac:dyDescent="0.25">
      <c r="A1724" t="s">
        <v>1952</v>
      </c>
      <c r="B1724" t="s">
        <v>91</v>
      </c>
      <c r="C1724">
        <v>2</v>
      </c>
      <c r="D1724">
        <v>44</v>
      </c>
      <c r="E1724">
        <v>88</v>
      </c>
      <c r="F1724" s="58">
        <v>45721</v>
      </c>
      <c r="G1724" s="58">
        <v>45724</v>
      </c>
      <c r="H1724" t="s">
        <v>231</v>
      </c>
      <c r="I1724" t="s">
        <v>63</v>
      </c>
      <c r="J1724">
        <v>5</v>
      </c>
      <c r="K1724" t="s">
        <v>103</v>
      </c>
      <c r="L1724" t="s">
        <v>142</v>
      </c>
      <c r="M1724">
        <f>orders[[#This Row],[Ship Date]]-orders[[#This Row],[Order Date]]</f>
        <v>3</v>
      </c>
      <c r="N1724">
        <f>WEEKNUM(orders[[#This Row],[Order Date]],1)</f>
        <v>10</v>
      </c>
      <c r="O1724" t="str">
        <f t="array" ref="O1724">_xlfn.IFS(orders[[#This Row],[Customer Gender]]="M","Male", orders[[#This Row],[Customer Gender]]="F","Female", orders[[#This Row],[Customer Gender]]="O","Other", TRUE(),"Unknown")</f>
        <v>Female</v>
      </c>
    </row>
    <row r="1725" spans="1:15" x14ac:dyDescent="0.25">
      <c r="A1725" t="s">
        <v>1953</v>
      </c>
      <c r="B1725" t="s">
        <v>86</v>
      </c>
      <c r="C1725">
        <v>1</v>
      </c>
      <c r="D1725">
        <v>21.9</v>
      </c>
      <c r="E1725">
        <v>21.9</v>
      </c>
      <c r="F1725" s="58">
        <v>45721</v>
      </c>
      <c r="G1725" s="58">
        <v>45722</v>
      </c>
      <c r="H1725" t="s">
        <v>229</v>
      </c>
      <c r="I1725" t="s">
        <v>59</v>
      </c>
      <c r="J1725">
        <v>4</v>
      </c>
      <c r="K1725" t="s">
        <v>103</v>
      </c>
      <c r="L1725" t="s">
        <v>142</v>
      </c>
      <c r="M1725">
        <f>orders[[#This Row],[Ship Date]]-orders[[#This Row],[Order Date]]</f>
        <v>1</v>
      </c>
      <c r="N1725">
        <f>WEEKNUM(orders[[#This Row],[Order Date]],1)</f>
        <v>10</v>
      </c>
      <c r="O1725" t="str">
        <f t="array" ref="O1725">_xlfn.IFS(orders[[#This Row],[Customer Gender]]="M","Male", orders[[#This Row],[Customer Gender]]="F","Female", orders[[#This Row],[Customer Gender]]="O","Other", TRUE(),"Unknown")</f>
        <v>Male</v>
      </c>
    </row>
    <row r="1726" spans="1:15" x14ac:dyDescent="0.25">
      <c r="A1726" t="s">
        <v>1954</v>
      </c>
      <c r="B1726" t="s">
        <v>78</v>
      </c>
      <c r="C1726">
        <v>7</v>
      </c>
      <c r="D1726">
        <v>21.5</v>
      </c>
      <c r="E1726">
        <v>150.5</v>
      </c>
      <c r="F1726" s="58">
        <v>45721</v>
      </c>
      <c r="G1726" s="58">
        <v>45723</v>
      </c>
      <c r="H1726" t="s">
        <v>231</v>
      </c>
      <c r="I1726" t="s">
        <v>63</v>
      </c>
      <c r="J1726">
        <v>5</v>
      </c>
      <c r="K1726" t="s">
        <v>103</v>
      </c>
      <c r="L1726" t="s">
        <v>146</v>
      </c>
      <c r="M1726">
        <f>orders[[#This Row],[Ship Date]]-orders[[#This Row],[Order Date]]</f>
        <v>2</v>
      </c>
      <c r="N1726">
        <f>WEEKNUM(orders[[#This Row],[Order Date]],1)</f>
        <v>10</v>
      </c>
      <c r="O1726" t="str">
        <f t="array" ref="O1726">_xlfn.IFS(orders[[#This Row],[Customer Gender]]="M","Male", orders[[#This Row],[Customer Gender]]="F","Female", orders[[#This Row],[Customer Gender]]="O","Other", TRUE(),"Unknown")</f>
        <v>Female</v>
      </c>
    </row>
    <row r="1727" spans="1:15" x14ac:dyDescent="0.25">
      <c r="A1727" t="s">
        <v>1955</v>
      </c>
      <c r="B1727" t="s">
        <v>76</v>
      </c>
      <c r="C1727">
        <v>6</v>
      </c>
      <c r="D1727">
        <v>133</v>
      </c>
      <c r="E1727">
        <v>798</v>
      </c>
      <c r="F1727" s="58">
        <v>45721</v>
      </c>
      <c r="G1727" s="58">
        <v>45722</v>
      </c>
      <c r="H1727" t="s">
        <v>263</v>
      </c>
      <c r="I1727" t="s">
        <v>59</v>
      </c>
      <c r="J1727">
        <v>5</v>
      </c>
      <c r="K1727" t="s">
        <v>103</v>
      </c>
      <c r="L1727" t="s">
        <v>147</v>
      </c>
      <c r="M1727">
        <f>orders[[#This Row],[Ship Date]]-orders[[#This Row],[Order Date]]</f>
        <v>1</v>
      </c>
      <c r="N1727">
        <f>WEEKNUM(orders[[#This Row],[Order Date]],1)</f>
        <v>10</v>
      </c>
      <c r="O1727" t="str">
        <f t="array" ref="O1727">_xlfn.IFS(orders[[#This Row],[Customer Gender]]="M","Male", orders[[#This Row],[Customer Gender]]="F","Female", orders[[#This Row],[Customer Gender]]="O","Other", TRUE(),"Unknown")</f>
        <v>Other</v>
      </c>
    </row>
    <row r="1728" spans="1:15" x14ac:dyDescent="0.25">
      <c r="A1728" t="s">
        <v>1956</v>
      </c>
      <c r="B1728" t="s">
        <v>90</v>
      </c>
      <c r="C1728">
        <v>2</v>
      </c>
      <c r="D1728">
        <v>47.7</v>
      </c>
      <c r="E1728">
        <v>95.4</v>
      </c>
      <c r="F1728" s="58">
        <v>45721</v>
      </c>
      <c r="G1728" s="58">
        <v>45725</v>
      </c>
      <c r="H1728" t="s">
        <v>229</v>
      </c>
      <c r="I1728" t="s">
        <v>59</v>
      </c>
      <c r="J1728">
        <v>5</v>
      </c>
      <c r="K1728" t="s">
        <v>103</v>
      </c>
      <c r="L1728" t="s">
        <v>147</v>
      </c>
      <c r="M1728">
        <f>orders[[#This Row],[Ship Date]]-orders[[#This Row],[Order Date]]</f>
        <v>4</v>
      </c>
      <c r="N1728">
        <f>WEEKNUM(orders[[#This Row],[Order Date]],1)</f>
        <v>10</v>
      </c>
      <c r="O1728" t="str">
        <f t="array" ref="O1728">_xlfn.IFS(orders[[#This Row],[Customer Gender]]="M","Male", orders[[#This Row],[Customer Gender]]="F","Female", orders[[#This Row],[Customer Gender]]="O","Other", TRUE(),"Unknown")</f>
        <v>Male</v>
      </c>
    </row>
    <row r="1729" spans="1:15" x14ac:dyDescent="0.25">
      <c r="A1729" t="s">
        <v>1957</v>
      </c>
      <c r="B1729" t="s">
        <v>89</v>
      </c>
      <c r="C1729">
        <v>3</v>
      </c>
      <c r="D1729">
        <v>58.1</v>
      </c>
      <c r="E1729">
        <v>174.3</v>
      </c>
      <c r="F1729" s="58">
        <v>45721</v>
      </c>
      <c r="G1729" s="58">
        <v>45722</v>
      </c>
      <c r="H1729" t="s">
        <v>231</v>
      </c>
      <c r="I1729" t="s">
        <v>59</v>
      </c>
      <c r="J1729">
        <v>4</v>
      </c>
      <c r="K1729" t="s">
        <v>103</v>
      </c>
      <c r="L1729" t="s">
        <v>148</v>
      </c>
      <c r="M1729">
        <f>orders[[#This Row],[Ship Date]]-orders[[#This Row],[Order Date]]</f>
        <v>1</v>
      </c>
      <c r="N1729">
        <f>WEEKNUM(orders[[#This Row],[Order Date]],1)</f>
        <v>10</v>
      </c>
      <c r="O1729" t="str">
        <f t="array" ref="O1729">_xlfn.IFS(orders[[#This Row],[Customer Gender]]="M","Male", orders[[#This Row],[Customer Gender]]="F","Female", orders[[#This Row],[Customer Gender]]="O","Other", TRUE(),"Unknown")</f>
        <v>Female</v>
      </c>
    </row>
    <row r="1730" spans="1:15" x14ac:dyDescent="0.25">
      <c r="A1730" t="s">
        <v>1958</v>
      </c>
      <c r="B1730" t="s">
        <v>76</v>
      </c>
      <c r="C1730">
        <v>4</v>
      </c>
      <c r="D1730">
        <v>66.599999999999994</v>
      </c>
      <c r="E1730">
        <v>266.39999999999998</v>
      </c>
      <c r="F1730" s="58">
        <v>45721</v>
      </c>
      <c r="G1730" s="58">
        <v>45722</v>
      </c>
      <c r="I1730" t="s">
        <v>59</v>
      </c>
      <c r="J1730">
        <v>4</v>
      </c>
      <c r="K1730" t="s">
        <v>103</v>
      </c>
      <c r="L1730" t="s">
        <v>148</v>
      </c>
      <c r="M1730">
        <f>orders[[#This Row],[Ship Date]]-orders[[#This Row],[Order Date]]</f>
        <v>1</v>
      </c>
      <c r="N1730">
        <f>WEEKNUM(orders[[#This Row],[Order Date]],1)</f>
        <v>10</v>
      </c>
      <c r="O1730" t="str">
        <f t="array" ref="O1730">_xlfn.IFS(orders[[#This Row],[Customer Gender]]="M","Male", orders[[#This Row],[Customer Gender]]="F","Female", orders[[#This Row],[Customer Gender]]="O","Other", TRUE(),"Unknown")</f>
        <v>Unknown</v>
      </c>
    </row>
    <row r="1731" spans="1:15" x14ac:dyDescent="0.25">
      <c r="A1731" t="s">
        <v>1959</v>
      </c>
      <c r="B1731" t="s">
        <v>88</v>
      </c>
      <c r="C1731">
        <v>1</v>
      </c>
      <c r="D1731">
        <v>24.1</v>
      </c>
      <c r="E1731">
        <v>24.1</v>
      </c>
      <c r="F1731" s="58">
        <v>45721</v>
      </c>
      <c r="G1731" s="58">
        <v>45724</v>
      </c>
      <c r="H1731" t="s">
        <v>229</v>
      </c>
      <c r="I1731" t="s">
        <v>62</v>
      </c>
      <c r="J1731">
        <v>3</v>
      </c>
      <c r="K1731" t="s">
        <v>103</v>
      </c>
      <c r="L1731" t="s">
        <v>155</v>
      </c>
      <c r="M1731">
        <f>orders[[#This Row],[Ship Date]]-orders[[#This Row],[Order Date]]</f>
        <v>3</v>
      </c>
      <c r="N1731">
        <f>WEEKNUM(orders[[#This Row],[Order Date]],1)</f>
        <v>10</v>
      </c>
      <c r="O1731" t="str">
        <f t="array" ref="O1731">_xlfn.IFS(orders[[#This Row],[Customer Gender]]="M","Male", orders[[#This Row],[Customer Gender]]="F","Female", orders[[#This Row],[Customer Gender]]="O","Other", TRUE(),"Unknown")</f>
        <v>Male</v>
      </c>
    </row>
    <row r="1732" spans="1:15" x14ac:dyDescent="0.25">
      <c r="A1732" t="s">
        <v>1960</v>
      </c>
      <c r="B1732" t="s">
        <v>75</v>
      </c>
      <c r="C1732">
        <v>5</v>
      </c>
      <c r="D1732">
        <v>51.5</v>
      </c>
      <c r="E1732">
        <v>257.5</v>
      </c>
      <c r="F1732" s="58">
        <v>45721</v>
      </c>
      <c r="G1732" s="58">
        <v>45726</v>
      </c>
      <c r="H1732" t="s">
        <v>231</v>
      </c>
      <c r="I1732" t="s">
        <v>59</v>
      </c>
      <c r="J1732">
        <v>4</v>
      </c>
      <c r="K1732" t="s">
        <v>103</v>
      </c>
      <c r="L1732" t="s">
        <v>161</v>
      </c>
      <c r="M1732">
        <f>orders[[#This Row],[Ship Date]]-orders[[#This Row],[Order Date]]</f>
        <v>5</v>
      </c>
      <c r="N1732">
        <f>WEEKNUM(orders[[#This Row],[Order Date]],1)</f>
        <v>10</v>
      </c>
      <c r="O1732" t="str">
        <f t="array" ref="O1732">_xlfn.IFS(orders[[#This Row],[Customer Gender]]="M","Male", orders[[#This Row],[Customer Gender]]="F","Female", orders[[#This Row],[Customer Gender]]="O","Other", TRUE(),"Unknown")</f>
        <v>Female</v>
      </c>
    </row>
    <row r="1733" spans="1:15" x14ac:dyDescent="0.25">
      <c r="A1733" t="s">
        <v>1961</v>
      </c>
      <c r="B1733" t="s">
        <v>86</v>
      </c>
      <c r="C1733">
        <v>11</v>
      </c>
      <c r="D1733">
        <v>25.8</v>
      </c>
      <c r="E1733">
        <v>283.8</v>
      </c>
      <c r="F1733" s="58">
        <v>45721</v>
      </c>
      <c r="G1733" s="58">
        <v>45725</v>
      </c>
      <c r="H1733" t="s">
        <v>231</v>
      </c>
      <c r="I1733" t="s">
        <v>60</v>
      </c>
      <c r="J1733">
        <v>2</v>
      </c>
      <c r="K1733" t="s">
        <v>103</v>
      </c>
      <c r="L1733" t="s">
        <v>106</v>
      </c>
      <c r="M1733">
        <f>orders[[#This Row],[Ship Date]]-orders[[#This Row],[Order Date]]</f>
        <v>4</v>
      </c>
      <c r="N1733">
        <f>WEEKNUM(orders[[#This Row],[Order Date]],1)</f>
        <v>10</v>
      </c>
      <c r="O1733" t="str">
        <f t="array" ref="O1733">_xlfn.IFS(orders[[#This Row],[Customer Gender]]="M","Male", orders[[#This Row],[Customer Gender]]="F","Female", orders[[#This Row],[Customer Gender]]="O","Other", TRUE(),"Unknown")</f>
        <v>Female</v>
      </c>
    </row>
    <row r="1734" spans="1:15" x14ac:dyDescent="0.25">
      <c r="A1734" t="s">
        <v>1962</v>
      </c>
      <c r="B1734" t="s">
        <v>88</v>
      </c>
      <c r="C1734">
        <v>4</v>
      </c>
      <c r="D1734">
        <v>47.7</v>
      </c>
      <c r="E1734">
        <v>190.8</v>
      </c>
      <c r="F1734" s="58">
        <v>45721</v>
      </c>
      <c r="G1734" s="58">
        <v>45721</v>
      </c>
      <c r="H1734" t="s">
        <v>231</v>
      </c>
      <c r="I1734" t="s">
        <v>59</v>
      </c>
      <c r="J1734">
        <v>3</v>
      </c>
      <c r="K1734" t="s">
        <v>103</v>
      </c>
      <c r="L1734" t="s">
        <v>106</v>
      </c>
      <c r="M1734">
        <f>orders[[#This Row],[Ship Date]]-orders[[#This Row],[Order Date]]</f>
        <v>0</v>
      </c>
      <c r="N1734">
        <f>WEEKNUM(orders[[#This Row],[Order Date]],1)</f>
        <v>10</v>
      </c>
      <c r="O1734" t="str">
        <f t="array" ref="O1734">_xlfn.IFS(orders[[#This Row],[Customer Gender]]="M","Male", orders[[#This Row],[Customer Gender]]="F","Female", orders[[#This Row],[Customer Gender]]="O","Other", TRUE(),"Unknown")</f>
        <v>Female</v>
      </c>
    </row>
    <row r="1735" spans="1:15" x14ac:dyDescent="0.25">
      <c r="A1735" t="s">
        <v>1963</v>
      </c>
      <c r="B1735" t="s">
        <v>79</v>
      </c>
      <c r="C1735">
        <v>5</v>
      </c>
      <c r="D1735">
        <v>73.599999999999994</v>
      </c>
      <c r="E1735">
        <v>368</v>
      </c>
      <c r="F1735" s="58">
        <v>45721</v>
      </c>
      <c r="G1735" s="58">
        <v>45725</v>
      </c>
      <c r="H1735" t="s">
        <v>229</v>
      </c>
      <c r="I1735" t="s">
        <v>63</v>
      </c>
      <c r="J1735">
        <v>4</v>
      </c>
      <c r="K1735" t="s">
        <v>103</v>
      </c>
      <c r="L1735" t="s">
        <v>106</v>
      </c>
      <c r="M1735">
        <f>orders[[#This Row],[Ship Date]]-orders[[#This Row],[Order Date]]</f>
        <v>4</v>
      </c>
      <c r="N1735">
        <f>WEEKNUM(orders[[#This Row],[Order Date]],1)</f>
        <v>10</v>
      </c>
      <c r="O1735" t="str">
        <f t="array" ref="O1735">_xlfn.IFS(orders[[#This Row],[Customer Gender]]="M","Male", orders[[#This Row],[Customer Gender]]="F","Female", orders[[#This Row],[Customer Gender]]="O","Other", TRUE(),"Unknown")</f>
        <v>Male</v>
      </c>
    </row>
    <row r="1736" spans="1:15" x14ac:dyDescent="0.25">
      <c r="A1736" t="s">
        <v>1964</v>
      </c>
      <c r="B1736" t="s">
        <v>85</v>
      </c>
      <c r="C1736">
        <v>7</v>
      </c>
      <c r="D1736">
        <v>91.2</v>
      </c>
      <c r="E1736">
        <v>638.4</v>
      </c>
      <c r="F1736" s="58">
        <v>45721</v>
      </c>
      <c r="G1736" s="58">
        <v>45722</v>
      </c>
      <c r="H1736" t="s">
        <v>229</v>
      </c>
      <c r="I1736" t="s">
        <v>63</v>
      </c>
      <c r="J1736">
        <v>5</v>
      </c>
      <c r="K1736" t="s">
        <v>103</v>
      </c>
      <c r="L1736" t="s">
        <v>106</v>
      </c>
      <c r="M1736">
        <f>orders[[#This Row],[Ship Date]]-orders[[#This Row],[Order Date]]</f>
        <v>1</v>
      </c>
      <c r="N1736">
        <f>WEEKNUM(orders[[#This Row],[Order Date]],1)</f>
        <v>10</v>
      </c>
      <c r="O1736" t="str">
        <f t="array" ref="O1736">_xlfn.IFS(orders[[#This Row],[Customer Gender]]="M","Male", orders[[#This Row],[Customer Gender]]="F","Female", orders[[#This Row],[Customer Gender]]="O","Other", TRUE(),"Unknown")</f>
        <v>Male</v>
      </c>
    </row>
    <row r="1737" spans="1:15" x14ac:dyDescent="0.25">
      <c r="A1737" t="s">
        <v>1965</v>
      </c>
      <c r="B1737" t="s">
        <v>91</v>
      </c>
      <c r="C1737">
        <v>8</v>
      </c>
      <c r="D1737">
        <v>36.200000000000003</v>
      </c>
      <c r="E1737">
        <v>289.60000000000002</v>
      </c>
      <c r="F1737" s="58">
        <v>45721</v>
      </c>
      <c r="G1737" s="58">
        <v>45721</v>
      </c>
      <c r="H1737" t="s">
        <v>229</v>
      </c>
      <c r="I1737" t="s">
        <v>62</v>
      </c>
      <c r="J1737">
        <v>5</v>
      </c>
      <c r="K1737" t="s">
        <v>103</v>
      </c>
      <c r="L1737" t="s">
        <v>112</v>
      </c>
      <c r="M1737">
        <f>orders[[#This Row],[Ship Date]]-orders[[#This Row],[Order Date]]</f>
        <v>0</v>
      </c>
      <c r="N1737">
        <f>WEEKNUM(orders[[#This Row],[Order Date]],1)</f>
        <v>10</v>
      </c>
      <c r="O1737" t="str">
        <f t="array" ref="O1737">_xlfn.IFS(orders[[#This Row],[Customer Gender]]="M","Male", orders[[#This Row],[Customer Gender]]="F","Female", orders[[#This Row],[Customer Gender]]="O","Other", TRUE(),"Unknown")</f>
        <v>Male</v>
      </c>
    </row>
    <row r="1738" spans="1:15" x14ac:dyDescent="0.25">
      <c r="A1738" t="s">
        <v>1966</v>
      </c>
      <c r="B1738" t="s">
        <v>88</v>
      </c>
      <c r="C1738">
        <v>8</v>
      </c>
      <c r="D1738">
        <v>98</v>
      </c>
      <c r="E1738">
        <v>784</v>
      </c>
      <c r="F1738" s="58">
        <v>45721</v>
      </c>
      <c r="G1738" s="58">
        <v>45725</v>
      </c>
      <c r="H1738" t="s">
        <v>231</v>
      </c>
      <c r="I1738" t="s">
        <v>62</v>
      </c>
      <c r="J1738">
        <v>4</v>
      </c>
      <c r="K1738" t="s">
        <v>103</v>
      </c>
      <c r="L1738" t="s">
        <v>115</v>
      </c>
      <c r="M1738">
        <f>orders[[#This Row],[Ship Date]]-orders[[#This Row],[Order Date]]</f>
        <v>4</v>
      </c>
      <c r="N1738">
        <f>WEEKNUM(orders[[#This Row],[Order Date]],1)</f>
        <v>10</v>
      </c>
      <c r="O1738" t="str">
        <f t="array" ref="O1738">_xlfn.IFS(orders[[#This Row],[Customer Gender]]="M","Male", orders[[#This Row],[Customer Gender]]="F","Female", orders[[#This Row],[Customer Gender]]="O","Other", TRUE(),"Unknown")</f>
        <v>Female</v>
      </c>
    </row>
    <row r="1739" spans="1:15" x14ac:dyDescent="0.25">
      <c r="A1739" t="s">
        <v>1967</v>
      </c>
      <c r="B1739" t="s">
        <v>91</v>
      </c>
      <c r="C1739">
        <v>8</v>
      </c>
      <c r="D1739">
        <v>43.6</v>
      </c>
      <c r="E1739">
        <v>348.8</v>
      </c>
      <c r="F1739" s="58">
        <v>45721</v>
      </c>
      <c r="G1739" s="58">
        <v>45722</v>
      </c>
      <c r="H1739" t="s">
        <v>231</v>
      </c>
      <c r="I1739" t="s">
        <v>62</v>
      </c>
      <c r="J1739">
        <v>4</v>
      </c>
      <c r="K1739" t="s">
        <v>103</v>
      </c>
      <c r="L1739" t="s">
        <v>120</v>
      </c>
      <c r="M1739">
        <f>orders[[#This Row],[Ship Date]]-orders[[#This Row],[Order Date]]</f>
        <v>1</v>
      </c>
      <c r="N1739">
        <f>WEEKNUM(orders[[#This Row],[Order Date]],1)</f>
        <v>10</v>
      </c>
      <c r="O1739" t="str">
        <f t="array" ref="O1739">_xlfn.IFS(orders[[#This Row],[Customer Gender]]="M","Male", orders[[#This Row],[Customer Gender]]="F","Female", orders[[#This Row],[Customer Gender]]="O","Other", TRUE(),"Unknown")</f>
        <v>Female</v>
      </c>
    </row>
    <row r="1740" spans="1:15" x14ac:dyDescent="0.25">
      <c r="A1740" t="s">
        <v>1968</v>
      </c>
      <c r="B1740" t="s">
        <v>90</v>
      </c>
      <c r="C1740">
        <v>10</v>
      </c>
      <c r="D1740">
        <v>37.799999999999997</v>
      </c>
      <c r="E1740">
        <v>378</v>
      </c>
      <c r="F1740" s="58">
        <v>45721</v>
      </c>
      <c r="G1740" s="58">
        <v>45721</v>
      </c>
      <c r="H1740" t="s">
        <v>263</v>
      </c>
      <c r="I1740" t="s">
        <v>59</v>
      </c>
      <c r="J1740">
        <v>4</v>
      </c>
      <c r="K1740" t="s">
        <v>103</v>
      </c>
      <c r="L1740" t="s">
        <v>122</v>
      </c>
      <c r="M1740">
        <f>orders[[#This Row],[Ship Date]]-orders[[#This Row],[Order Date]]</f>
        <v>0</v>
      </c>
      <c r="N1740">
        <f>WEEKNUM(orders[[#This Row],[Order Date]],1)</f>
        <v>10</v>
      </c>
      <c r="O1740" t="str">
        <f t="array" ref="O1740">_xlfn.IFS(orders[[#This Row],[Customer Gender]]="M","Male", orders[[#This Row],[Customer Gender]]="F","Female", orders[[#This Row],[Customer Gender]]="O","Other", TRUE(),"Unknown")</f>
        <v>Other</v>
      </c>
    </row>
    <row r="1741" spans="1:15" x14ac:dyDescent="0.25">
      <c r="A1741" t="s">
        <v>1969</v>
      </c>
      <c r="B1741" t="s">
        <v>84</v>
      </c>
      <c r="C1741">
        <v>5</v>
      </c>
      <c r="D1741">
        <v>63.7</v>
      </c>
      <c r="E1741">
        <v>318.5</v>
      </c>
      <c r="F1741" s="58">
        <v>45721</v>
      </c>
      <c r="G1741" s="58">
        <v>45724</v>
      </c>
      <c r="H1741" t="s">
        <v>231</v>
      </c>
      <c r="I1741" t="s">
        <v>62</v>
      </c>
      <c r="J1741">
        <v>3</v>
      </c>
      <c r="K1741" t="s">
        <v>103</v>
      </c>
      <c r="L1741" t="s">
        <v>124</v>
      </c>
      <c r="M1741">
        <f>orders[[#This Row],[Ship Date]]-orders[[#This Row],[Order Date]]</f>
        <v>3</v>
      </c>
      <c r="N1741">
        <f>WEEKNUM(orders[[#This Row],[Order Date]],1)</f>
        <v>10</v>
      </c>
      <c r="O1741" t="str">
        <f t="array" ref="O1741">_xlfn.IFS(orders[[#This Row],[Customer Gender]]="M","Male", orders[[#This Row],[Customer Gender]]="F","Female", orders[[#This Row],[Customer Gender]]="O","Other", TRUE(),"Unknown")</f>
        <v>Female</v>
      </c>
    </row>
    <row r="1742" spans="1:15" x14ac:dyDescent="0.25">
      <c r="A1742" t="s">
        <v>1970</v>
      </c>
      <c r="B1742" t="s">
        <v>85</v>
      </c>
      <c r="C1742">
        <v>9</v>
      </c>
      <c r="D1742">
        <v>62.9</v>
      </c>
      <c r="E1742">
        <v>566.1</v>
      </c>
      <c r="F1742" s="58">
        <v>45721</v>
      </c>
      <c r="G1742" s="58">
        <v>45726</v>
      </c>
      <c r="H1742" t="s">
        <v>229</v>
      </c>
      <c r="I1742" t="s">
        <v>60</v>
      </c>
      <c r="J1742">
        <v>5</v>
      </c>
      <c r="K1742" t="s">
        <v>103</v>
      </c>
      <c r="L1742" t="s">
        <v>124</v>
      </c>
      <c r="M1742">
        <f>orders[[#This Row],[Ship Date]]-orders[[#This Row],[Order Date]]</f>
        <v>5</v>
      </c>
      <c r="N1742">
        <f>WEEKNUM(orders[[#This Row],[Order Date]],1)</f>
        <v>10</v>
      </c>
      <c r="O1742" t="str">
        <f t="array" ref="O1742">_xlfn.IFS(orders[[#This Row],[Customer Gender]]="M","Male", orders[[#This Row],[Customer Gender]]="F","Female", orders[[#This Row],[Customer Gender]]="O","Other", TRUE(),"Unknown")</f>
        <v>Male</v>
      </c>
    </row>
    <row r="1743" spans="1:15" x14ac:dyDescent="0.25">
      <c r="A1743" t="s">
        <v>1971</v>
      </c>
      <c r="B1743" t="s">
        <v>80</v>
      </c>
      <c r="C1743">
        <v>7</v>
      </c>
      <c r="D1743">
        <v>61.7</v>
      </c>
      <c r="E1743">
        <v>431.9</v>
      </c>
      <c r="F1743" s="58">
        <v>45721</v>
      </c>
      <c r="G1743" s="58">
        <v>45724</v>
      </c>
      <c r="H1743" t="s">
        <v>231</v>
      </c>
      <c r="I1743" t="s">
        <v>62</v>
      </c>
      <c r="J1743">
        <v>5</v>
      </c>
      <c r="K1743" t="s">
        <v>103</v>
      </c>
      <c r="L1743" t="s">
        <v>124</v>
      </c>
      <c r="M1743">
        <f>orders[[#This Row],[Ship Date]]-orders[[#This Row],[Order Date]]</f>
        <v>3</v>
      </c>
      <c r="N1743">
        <f>WEEKNUM(orders[[#This Row],[Order Date]],1)</f>
        <v>10</v>
      </c>
      <c r="O1743" t="str">
        <f t="array" ref="O1743">_xlfn.IFS(orders[[#This Row],[Customer Gender]]="M","Male", orders[[#This Row],[Customer Gender]]="F","Female", orders[[#This Row],[Customer Gender]]="O","Other", TRUE(),"Unknown")</f>
        <v>Female</v>
      </c>
    </row>
    <row r="1744" spans="1:15" x14ac:dyDescent="0.25">
      <c r="A1744" t="s">
        <v>1972</v>
      </c>
      <c r="B1744" t="s">
        <v>82</v>
      </c>
      <c r="C1744">
        <v>14</v>
      </c>
      <c r="D1744">
        <v>36.5</v>
      </c>
      <c r="E1744">
        <v>511</v>
      </c>
      <c r="F1744" s="58">
        <v>45721</v>
      </c>
      <c r="G1744" s="58">
        <v>45722</v>
      </c>
      <c r="H1744" t="s">
        <v>229</v>
      </c>
      <c r="I1744" t="s">
        <v>59</v>
      </c>
      <c r="J1744">
        <v>5</v>
      </c>
      <c r="K1744" t="s">
        <v>103</v>
      </c>
      <c r="L1744" t="s">
        <v>124</v>
      </c>
      <c r="M1744">
        <f>orders[[#This Row],[Ship Date]]-orders[[#This Row],[Order Date]]</f>
        <v>1</v>
      </c>
      <c r="N1744">
        <f>WEEKNUM(orders[[#This Row],[Order Date]],1)</f>
        <v>10</v>
      </c>
      <c r="O1744" t="str">
        <f t="array" ref="O1744">_xlfn.IFS(orders[[#This Row],[Customer Gender]]="M","Male", orders[[#This Row],[Customer Gender]]="F","Female", orders[[#This Row],[Customer Gender]]="O","Other", TRUE(),"Unknown")</f>
        <v>Male</v>
      </c>
    </row>
    <row r="1745" spans="1:15" x14ac:dyDescent="0.25">
      <c r="A1745" t="s">
        <v>1973</v>
      </c>
      <c r="B1745" t="s">
        <v>83</v>
      </c>
      <c r="C1745">
        <v>3</v>
      </c>
      <c r="D1745">
        <v>98.6</v>
      </c>
      <c r="E1745">
        <v>295.8</v>
      </c>
      <c r="F1745" s="58">
        <v>45721</v>
      </c>
      <c r="G1745" s="58">
        <v>45724</v>
      </c>
      <c r="H1745" t="s">
        <v>263</v>
      </c>
      <c r="I1745" t="s">
        <v>59</v>
      </c>
      <c r="J1745">
        <v>2</v>
      </c>
      <c r="K1745" t="s">
        <v>103</v>
      </c>
      <c r="L1745" t="s">
        <v>124</v>
      </c>
      <c r="M1745">
        <f>orders[[#This Row],[Ship Date]]-orders[[#This Row],[Order Date]]</f>
        <v>3</v>
      </c>
      <c r="N1745">
        <f>WEEKNUM(orders[[#This Row],[Order Date]],1)</f>
        <v>10</v>
      </c>
      <c r="O1745" t="str">
        <f t="array" ref="O1745">_xlfn.IFS(orders[[#This Row],[Customer Gender]]="M","Male", orders[[#This Row],[Customer Gender]]="F","Female", orders[[#This Row],[Customer Gender]]="O","Other", TRUE(),"Unknown")</f>
        <v>Other</v>
      </c>
    </row>
    <row r="1746" spans="1:15" x14ac:dyDescent="0.25">
      <c r="A1746" t="s">
        <v>1974</v>
      </c>
      <c r="B1746" t="s">
        <v>90</v>
      </c>
      <c r="C1746">
        <v>2</v>
      </c>
      <c r="D1746">
        <v>19.2</v>
      </c>
      <c r="E1746">
        <v>38.4</v>
      </c>
      <c r="F1746" s="58">
        <v>45721</v>
      </c>
      <c r="G1746" s="58">
        <v>45731</v>
      </c>
      <c r="H1746" t="s">
        <v>229</v>
      </c>
      <c r="I1746" t="s">
        <v>59</v>
      </c>
      <c r="J1746">
        <v>4</v>
      </c>
      <c r="K1746" t="s">
        <v>103</v>
      </c>
      <c r="L1746" t="s">
        <v>124</v>
      </c>
      <c r="M1746">
        <f>orders[[#This Row],[Ship Date]]-orders[[#This Row],[Order Date]]</f>
        <v>10</v>
      </c>
      <c r="N1746">
        <f>WEEKNUM(orders[[#This Row],[Order Date]],1)</f>
        <v>10</v>
      </c>
      <c r="O1746" t="str">
        <f t="array" ref="O1746">_xlfn.IFS(orders[[#This Row],[Customer Gender]]="M","Male", orders[[#This Row],[Customer Gender]]="F","Female", orders[[#This Row],[Customer Gender]]="O","Other", TRUE(),"Unknown")</f>
        <v>Male</v>
      </c>
    </row>
    <row r="1747" spans="1:15" x14ac:dyDescent="0.25">
      <c r="A1747" t="s">
        <v>1975</v>
      </c>
      <c r="B1747" t="s">
        <v>93</v>
      </c>
      <c r="C1747">
        <v>6</v>
      </c>
      <c r="D1747">
        <v>55.6</v>
      </c>
      <c r="E1747">
        <v>333.6</v>
      </c>
      <c r="F1747" s="58">
        <v>45721</v>
      </c>
      <c r="G1747" s="58">
        <v>45725</v>
      </c>
      <c r="H1747" t="s">
        <v>231</v>
      </c>
      <c r="I1747" t="s">
        <v>59</v>
      </c>
      <c r="J1747">
        <v>5</v>
      </c>
      <c r="K1747" t="s">
        <v>103</v>
      </c>
      <c r="L1747" t="s">
        <v>124</v>
      </c>
      <c r="M1747">
        <f>orders[[#This Row],[Ship Date]]-orders[[#This Row],[Order Date]]</f>
        <v>4</v>
      </c>
      <c r="N1747">
        <f>WEEKNUM(orders[[#This Row],[Order Date]],1)</f>
        <v>10</v>
      </c>
      <c r="O1747" t="str">
        <f t="array" ref="O1747">_xlfn.IFS(orders[[#This Row],[Customer Gender]]="M","Male", orders[[#This Row],[Customer Gender]]="F","Female", orders[[#This Row],[Customer Gender]]="O","Other", TRUE(),"Unknown")</f>
        <v>Female</v>
      </c>
    </row>
    <row r="1748" spans="1:15" x14ac:dyDescent="0.25">
      <c r="A1748" t="s">
        <v>1976</v>
      </c>
      <c r="B1748" t="s">
        <v>85</v>
      </c>
      <c r="C1748">
        <v>6</v>
      </c>
      <c r="D1748">
        <v>56.4</v>
      </c>
      <c r="E1748">
        <v>338.4</v>
      </c>
      <c r="F1748" s="58">
        <v>45721</v>
      </c>
      <c r="G1748" s="58">
        <v>45722</v>
      </c>
      <c r="H1748" t="s">
        <v>231</v>
      </c>
      <c r="I1748" t="s">
        <v>63</v>
      </c>
      <c r="J1748">
        <v>4</v>
      </c>
      <c r="K1748" t="s">
        <v>103</v>
      </c>
      <c r="L1748" t="s">
        <v>124</v>
      </c>
      <c r="M1748">
        <f>orders[[#This Row],[Ship Date]]-orders[[#This Row],[Order Date]]</f>
        <v>1</v>
      </c>
      <c r="N1748">
        <f>WEEKNUM(orders[[#This Row],[Order Date]],1)</f>
        <v>10</v>
      </c>
      <c r="O1748" t="str">
        <f t="array" ref="O1748">_xlfn.IFS(orders[[#This Row],[Customer Gender]]="M","Male", orders[[#This Row],[Customer Gender]]="F","Female", orders[[#This Row],[Customer Gender]]="O","Other", TRUE(),"Unknown")</f>
        <v>Female</v>
      </c>
    </row>
    <row r="1749" spans="1:15" x14ac:dyDescent="0.25">
      <c r="A1749" t="s">
        <v>1977</v>
      </c>
      <c r="B1749" t="s">
        <v>78</v>
      </c>
      <c r="C1749">
        <v>8</v>
      </c>
      <c r="D1749">
        <v>43.1</v>
      </c>
      <c r="E1749">
        <v>344.8</v>
      </c>
      <c r="F1749" s="58">
        <v>45721</v>
      </c>
      <c r="G1749" s="58">
        <v>45725</v>
      </c>
      <c r="H1749" t="s">
        <v>231</v>
      </c>
      <c r="I1749" t="s">
        <v>61</v>
      </c>
      <c r="J1749">
        <v>4</v>
      </c>
      <c r="K1749" t="s">
        <v>103</v>
      </c>
      <c r="L1749" t="s">
        <v>124</v>
      </c>
      <c r="M1749">
        <f>orders[[#This Row],[Ship Date]]-orders[[#This Row],[Order Date]]</f>
        <v>4</v>
      </c>
      <c r="N1749">
        <f>WEEKNUM(orders[[#This Row],[Order Date]],1)</f>
        <v>10</v>
      </c>
      <c r="O1749" t="str">
        <f t="array" ref="O1749">_xlfn.IFS(orders[[#This Row],[Customer Gender]]="M","Male", orders[[#This Row],[Customer Gender]]="F","Female", orders[[#This Row],[Customer Gender]]="O","Other", TRUE(),"Unknown")</f>
        <v>Female</v>
      </c>
    </row>
    <row r="1750" spans="1:15" x14ac:dyDescent="0.25">
      <c r="A1750" t="s">
        <v>1978</v>
      </c>
      <c r="B1750" t="s">
        <v>91</v>
      </c>
      <c r="C1750">
        <v>2</v>
      </c>
      <c r="D1750">
        <v>77.3</v>
      </c>
      <c r="E1750">
        <v>154.6</v>
      </c>
      <c r="F1750" s="58">
        <v>45721</v>
      </c>
      <c r="G1750" s="58">
        <v>45723</v>
      </c>
      <c r="H1750" t="s">
        <v>229</v>
      </c>
      <c r="I1750" t="s">
        <v>59</v>
      </c>
      <c r="J1750">
        <v>4</v>
      </c>
      <c r="K1750" t="s">
        <v>103</v>
      </c>
      <c r="L1750" t="s">
        <v>139</v>
      </c>
      <c r="M1750">
        <f>orders[[#This Row],[Ship Date]]-orders[[#This Row],[Order Date]]</f>
        <v>2</v>
      </c>
      <c r="N1750">
        <f>WEEKNUM(orders[[#This Row],[Order Date]],1)</f>
        <v>10</v>
      </c>
      <c r="O1750" t="str">
        <f t="array" ref="O1750">_xlfn.IFS(orders[[#This Row],[Customer Gender]]="M","Male", orders[[#This Row],[Customer Gender]]="F","Female", orders[[#This Row],[Customer Gender]]="O","Other", TRUE(),"Unknown")</f>
        <v>Male</v>
      </c>
    </row>
    <row r="1751" spans="1:15" x14ac:dyDescent="0.25">
      <c r="A1751" t="s">
        <v>1979</v>
      </c>
      <c r="B1751" t="s">
        <v>88</v>
      </c>
      <c r="C1751">
        <v>8</v>
      </c>
      <c r="D1751">
        <v>38.299999999999997</v>
      </c>
      <c r="E1751">
        <v>306.39999999999998</v>
      </c>
      <c r="F1751" s="58">
        <v>45721</v>
      </c>
      <c r="G1751" s="58">
        <v>45722</v>
      </c>
      <c r="H1751" t="s">
        <v>229</v>
      </c>
      <c r="I1751" t="s">
        <v>59</v>
      </c>
      <c r="J1751">
        <v>4</v>
      </c>
      <c r="K1751" t="s">
        <v>103</v>
      </c>
      <c r="L1751" t="s">
        <v>141</v>
      </c>
      <c r="M1751">
        <f>orders[[#This Row],[Ship Date]]-orders[[#This Row],[Order Date]]</f>
        <v>1</v>
      </c>
      <c r="N1751">
        <f>WEEKNUM(orders[[#This Row],[Order Date]],1)</f>
        <v>10</v>
      </c>
      <c r="O1751" t="str">
        <f t="array" ref="O1751">_xlfn.IFS(orders[[#This Row],[Customer Gender]]="M","Male", orders[[#This Row],[Customer Gender]]="F","Female", orders[[#This Row],[Customer Gender]]="O","Other", TRUE(),"Unknown")</f>
        <v>Male</v>
      </c>
    </row>
    <row r="1752" spans="1:15" x14ac:dyDescent="0.25">
      <c r="A1752" t="s">
        <v>1980</v>
      </c>
      <c r="B1752" t="s">
        <v>86</v>
      </c>
      <c r="C1752">
        <v>7</v>
      </c>
      <c r="D1752">
        <v>16.8</v>
      </c>
      <c r="E1752">
        <v>117.6</v>
      </c>
      <c r="F1752" s="58">
        <v>45721</v>
      </c>
      <c r="G1752" s="58">
        <v>45724</v>
      </c>
      <c r="H1752" t="s">
        <v>229</v>
      </c>
      <c r="I1752" t="s">
        <v>62</v>
      </c>
      <c r="J1752">
        <v>3</v>
      </c>
      <c r="K1752" t="s">
        <v>103</v>
      </c>
      <c r="L1752" t="s">
        <v>142</v>
      </c>
      <c r="M1752">
        <f>orders[[#This Row],[Ship Date]]-orders[[#This Row],[Order Date]]</f>
        <v>3</v>
      </c>
      <c r="N1752">
        <f>WEEKNUM(orders[[#This Row],[Order Date]],1)</f>
        <v>10</v>
      </c>
      <c r="O1752" t="str">
        <f t="array" ref="O1752">_xlfn.IFS(orders[[#This Row],[Customer Gender]]="M","Male", orders[[#This Row],[Customer Gender]]="F","Female", orders[[#This Row],[Customer Gender]]="O","Other", TRUE(),"Unknown")</f>
        <v>Male</v>
      </c>
    </row>
    <row r="1753" spans="1:15" x14ac:dyDescent="0.25">
      <c r="A1753" t="s">
        <v>1981</v>
      </c>
      <c r="B1753" t="s">
        <v>87</v>
      </c>
      <c r="C1753">
        <v>3</v>
      </c>
      <c r="D1753">
        <v>63.2</v>
      </c>
      <c r="E1753">
        <v>189.6</v>
      </c>
      <c r="F1753" s="58">
        <v>45721</v>
      </c>
      <c r="G1753" s="58">
        <v>45722</v>
      </c>
      <c r="H1753" t="s">
        <v>231</v>
      </c>
      <c r="I1753" t="s">
        <v>59</v>
      </c>
      <c r="J1753">
        <v>5</v>
      </c>
      <c r="K1753" t="s">
        <v>103</v>
      </c>
      <c r="L1753" t="s">
        <v>142</v>
      </c>
      <c r="M1753">
        <f>orders[[#This Row],[Ship Date]]-orders[[#This Row],[Order Date]]</f>
        <v>1</v>
      </c>
      <c r="N1753">
        <f>WEEKNUM(orders[[#This Row],[Order Date]],1)</f>
        <v>10</v>
      </c>
      <c r="O1753" t="str">
        <f t="array" ref="O1753">_xlfn.IFS(orders[[#This Row],[Customer Gender]]="M","Male", orders[[#This Row],[Customer Gender]]="F","Female", orders[[#This Row],[Customer Gender]]="O","Other", TRUE(),"Unknown")</f>
        <v>Female</v>
      </c>
    </row>
    <row r="1754" spans="1:15" x14ac:dyDescent="0.25">
      <c r="A1754" t="s">
        <v>1982</v>
      </c>
      <c r="B1754" t="s">
        <v>74</v>
      </c>
      <c r="C1754">
        <v>23</v>
      </c>
      <c r="D1754">
        <v>39.700000000000003</v>
      </c>
      <c r="E1754">
        <v>913.1</v>
      </c>
      <c r="F1754" s="58">
        <v>45721</v>
      </c>
      <c r="G1754" s="58">
        <v>45722</v>
      </c>
      <c r="H1754" t="s">
        <v>229</v>
      </c>
      <c r="I1754" t="s">
        <v>59</v>
      </c>
      <c r="J1754">
        <v>4</v>
      </c>
      <c r="K1754" t="s">
        <v>103</v>
      </c>
      <c r="L1754" t="s">
        <v>142</v>
      </c>
      <c r="M1754">
        <f>orders[[#This Row],[Ship Date]]-orders[[#This Row],[Order Date]]</f>
        <v>1</v>
      </c>
      <c r="N1754">
        <f>WEEKNUM(orders[[#This Row],[Order Date]],1)</f>
        <v>10</v>
      </c>
      <c r="O1754" t="str">
        <f t="array" ref="O1754">_xlfn.IFS(orders[[#This Row],[Customer Gender]]="M","Male", orders[[#This Row],[Customer Gender]]="F","Female", orders[[#This Row],[Customer Gender]]="O","Other", TRUE(),"Unknown")</f>
        <v>Male</v>
      </c>
    </row>
    <row r="1755" spans="1:15" x14ac:dyDescent="0.25">
      <c r="A1755" t="s">
        <v>1983</v>
      </c>
      <c r="B1755" t="s">
        <v>75</v>
      </c>
      <c r="C1755">
        <v>3</v>
      </c>
      <c r="D1755">
        <v>45.8</v>
      </c>
      <c r="E1755">
        <v>137.4</v>
      </c>
      <c r="F1755" s="58">
        <v>45721</v>
      </c>
      <c r="G1755" s="58">
        <v>45722</v>
      </c>
      <c r="H1755" t="s">
        <v>231</v>
      </c>
      <c r="I1755" t="s">
        <v>63</v>
      </c>
      <c r="J1755">
        <v>5</v>
      </c>
      <c r="K1755" t="s">
        <v>103</v>
      </c>
      <c r="L1755" t="s">
        <v>142</v>
      </c>
      <c r="M1755">
        <f>orders[[#This Row],[Ship Date]]-orders[[#This Row],[Order Date]]</f>
        <v>1</v>
      </c>
      <c r="N1755">
        <f>WEEKNUM(orders[[#This Row],[Order Date]],1)</f>
        <v>10</v>
      </c>
      <c r="O1755" t="str">
        <f t="array" ref="O1755">_xlfn.IFS(orders[[#This Row],[Customer Gender]]="M","Male", orders[[#This Row],[Customer Gender]]="F","Female", orders[[#This Row],[Customer Gender]]="O","Other", TRUE(),"Unknown")</f>
        <v>Female</v>
      </c>
    </row>
    <row r="1756" spans="1:15" x14ac:dyDescent="0.25">
      <c r="A1756" t="s">
        <v>1984</v>
      </c>
      <c r="B1756" t="s">
        <v>86</v>
      </c>
      <c r="C1756">
        <v>6</v>
      </c>
      <c r="D1756">
        <v>12.4</v>
      </c>
      <c r="E1756">
        <v>74.400000000000006</v>
      </c>
      <c r="F1756" s="58">
        <v>45721</v>
      </c>
      <c r="G1756" s="58">
        <v>45724</v>
      </c>
      <c r="H1756" t="s">
        <v>229</v>
      </c>
      <c r="I1756" t="s">
        <v>59</v>
      </c>
      <c r="J1756">
        <v>4</v>
      </c>
      <c r="K1756" t="s">
        <v>103</v>
      </c>
      <c r="L1756" t="s">
        <v>142</v>
      </c>
      <c r="M1756">
        <f>orders[[#This Row],[Ship Date]]-orders[[#This Row],[Order Date]]</f>
        <v>3</v>
      </c>
      <c r="N1756">
        <f>WEEKNUM(orders[[#This Row],[Order Date]],1)</f>
        <v>10</v>
      </c>
      <c r="O1756" t="str">
        <f t="array" ref="O1756">_xlfn.IFS(orders[[#This Row],[Customer Gender]]="M","Male", orders[[#This Row],[Customer Gender]]="F","Female", orders[[#This Row],[Customer Gender]]="O","Other", TRUE(),"Unknown")</f>
        <v>Male</v>
      </c>
    </row>
    <row r="1757" spans="1:15" x14ac:dyDescent="0.25">
      <c r="A1757" t="s">
        <v>1985</v>
      </c>
      <c r="B1757" t="s">
        <v>74</v>
      </c>
      <c r="C1757">
        <v>3</v>
      </c>
      <c r="D1757">
        <v>50.8</v>
      </c>
      <c r="E1757">
        <v>152.4</v>
      </c>
      <c r="F1757" s="58">
        <v>45722</v>
      </c>
      <c r="G1757" s="58">
        <v>45722</v>
      </c>
      <c r="H1757" t="s">
        <v>231</v>
      </c>
      <c r="I1757" t="s">
        <v>61</v>
      </c>
      <c r="J1757">
        <v>4</v>
      </c>
      <c r="K1757" t="s">
        <v>103</v>
      </c>
      <c r="L1757" t="s">
        <v>143</v>
      </c>
      <c r="M1757">
        <f>orders[[#This Row],[Ship Date]]-orders[[#This Row],[Order Date]]</f>
        <v>0</v>
      </c>
      <c r="N1757">
        <f>WEEKNUM(orders[[#This Row],[Order Date]],1)</f>
        <v>10</v>
      </c>
      <c r="O1757" t="str">
        <f t="array" ref="O1757">_xlfn.IFS(orders[[#This Row],[Customer Gender]]="M","Male", orders[[#This Row],[Customer Gender]]="F","Female", orders[[#This Row],[Customer Gender]]="O","Other", TRUE(),"Unknown")</f>
        <v>Female</v>
      </c>
    </row>
    <row r="1758" spans="1:15" x14ac:dyDescent="0.25">
      <c r="A1758" t="s">
        <v>1986</v>
      </c>
      <c r="B1758" t="s">
        <v>88</v>
      </c>
      <c r="C1758">
        <v>1</v>
      </c>
      <c r="D1758">
        <v>76</v>
      </c>
      <c r="E1758">
        <v>76</v>
      </c>
      <c r="F1758" s="58">
        <v>45722</v>
      </c>
      <c r="G1758" s="58">
        <v>45726</v>
      </c>
      <c r="H1758" t="s">
        <v>263</v>
      </c>
      <c r="I1758" t="s">
        <v>62</v>
      </c>
      <c r="J1758">
        <v>5</v>
      </c>
      <c r="K1758" t="s">
        <v>103</v>
      </c>
      <c r="L1758" t="s">
        <v>143</v>
      </c>
      <c r="M1758">
        <f>orders[[#This Row],[Ship Date]]-orders[[#This Row],[Order Date]]</f>
        <v>4</v>
      </c>
      <c r="N1758">
        <f>WEEKNUM(orders[[#This Row],[Order Date]],1)</f>
        <v>10</v>
      </c>
      <c r="O1758" t="str">
        <f t="array" ref="O1758">_xlfn.IFS(orders[[#This Row],[Customer Gender]]="M","Male", orders[[#This Row],[Customer Gender]]="F","Female", orders[[#This Row],[Customer Gender]]="O","Other", TRUE(),"Unknown")</f>
        <v>Other</v>
      </c>
    </row>
    <row r="1759" spans="1:15" x14ac:dyDescent="0.25">
      <c r="A1759" t="s">
        <v>1987</v>
      </c>
      <c r="B1759" t="s">
        <v>91</v>
      </c>
      <c r="C1759">
        <v>2</v>
      </c>
      <c r="D1759">
        <v>51.9</v>
      </c>
      <c r="E1759">
        <v>103.8</v>
      </c>
      <c r="F1759" s="58">
        <v>45722</v>
      </c>
      <c r="G1759" s="58">
        <v>45723</v>
      </c>
      <c r="H1759" t="s">
        <v>229</v>
      </c>
      <c r="I1759" t="s">
        <v>63</v>
      </c>
      <c r="J1759">
        <v>5</v>
      </c>
      <c r="K1759" t="s">
        <v>103</v>
      </c>
      <c r="L1759" t="s">
        <v>144</v>
      </c>
      <c r="M1759">
        <f>orders[[#This Row],[Ship Date]]-orders[[#This Row],[Order Date]]</f>
        <v>1</v>
      </c>
      <c r="N1759">
        <f>WEEKNUM(orders[[#This Row],[Order Date]],1)</f>
        <v>10</v>
      </c>
      <c r="O1759" t="str">
        <f t="array" ref="O1759">_xlfn.IFS(orders[[#This Row],[Customer Gender]]="M","Male", orders[[#This Row],[Customer Gender]]="F","Female", orders[[#This Row],[Customer Gender]]="O","Other", TRUE(),"Unknown")</f>
        <v>Male</v>
      </c>
    </row>
    <row r="1760" spans="1:15" x14ac:dyDescent="0.25">
      <c r="A1760" t="s">
        <v>1988</v>
      </c>
      <c r="B1760" t="s">
        <v>87</v>
      </c>
      <c r="C1760">
        <v>2</v>
      </c>
      <c r="D1760">
        <v>93.4</v>
      </c>
      <c r="E1760">
        <v>186.8</v>
      </c>
      <c r="F1760" s="58">
        <v>45722</v>
      </c>
      <c r="G1760" s="58">
        <v>45729</v>
      </c>
      <c r="H1760" t="s">
        <v>229</v>
      </c>
      <c r="I1760" t="s">
        <v>59</v>
      </c>
      <c r="J1760">
        <v>1</v>
      </c>
      <c r="K1760" t="s">
        <v>103</v>
      </c>
      <c r="L1760" t="s">
        <v>148</v>
      </c>
      <c r="M1760">
        <f>orders[[#This Row],[Ship Date]]-orders[[#This Row],[Order Date]]</f>
        <v>7</v>
      </c>
      <c r="N1760">
        <f>WEEKNUM(orders[[#This Row],[Order Date]],1)</f>
        <v>10</v>
      </c>
      <c r="O1760" t="str">
        <f t="array" ref="O1760">_xlfn.IFS(orders[[#This Row],[Customer Gender]]="M","Male", orders[[#This Row],[Customer Gender]]="F","Female", orders[[#This Row],[Customer Gender]]="O","Other", TRUE(),"Unknown")</f>
        <v>Male</v>
      </c>
    </row>
    <row r="1761" spans="1:15" x14ac:dyDescent="0.25">
      <c r="A1761" t="s">
        <v>1989</v>
      </c>
      <c r="B1761" t="s">
        <v>79</v>
      </c>
      <c r="C1761">
        <v>6</v>
      </c>
      <c r="D1761">
        <v>30.8</v>
      </c>
      <c r="E1761">
        <v>184.8</v>
      </c>
      <c r="F1761" s="58">
        <v>45722</v>
      </c>
      <c r="G1761" s="58">
        <v>45725</v>
      </c>
      <c r="H1761" t="s">
        <v>231</v>
      </c>
      <c r="I1761" t="s">
        <v>63</v>
      </c>
      <c r="J1761">
        <v>4</v>
      </c>
      <c r="K1761" t="s">
        <v>103</v>
      </c>
      <c r="L1761" t="s">
        <v>148</v>
      </c>
      <c r="M1761">
        <f>orders[[#This Row],[Ship Date]]-orders[[#This Row],[Order Date]]</f>
        <v>3</v>
      </c>
      <c r="N1761">
        <f>WEEKNUM(orders[[#This Row],[Order Date]],1)</f>
        <v>10</v>
      </c>
      <c r="O1761" t="str">
        <f t="array" ref="O1761">_xlfn.IFS(orders[[#This Row],[Customer Gender]]="M","Male", orders[[#This Row],[Customer Gender]]="F","Female", orders[[#This Row],[Customer Gender]]="O","Other", TRUE(),"Unknown")</f>
        <v>Female</v>
      </c>
    </row>
    <row r="1762" spans="1:15" x14ac:dyDescent="0.25">
      <c r="A1762" t="s">
        <v>1990</v>
      </c>
      <c r="B1762" t="s">
        <v>87</v>
      </c>
      <c r="C1762">
        <v>1</v>
      </c>
      <c r="D1762">
        <v>143.19999999999999</v>
      </c>
      <c r="E1762">
        <v>143.19999999999999</v>
      </c>
      <c r="F1762" s="58">
        <v>45722</v>
      </c>
      <c r="G1762" s="58">
        <v>45725</v>
      </c>
      <c r="H1762" t="s">
        <v>229</v>
      </c>
      <c r="I1762" t="s">
        <v>62</v>
      </c>
      <c r="J1762">
        <v>4</v>
      </c>
      <c r="K1762" t="s">
        <v>103</v>
      </c>
      <c r="L1762" t="s">
        <v>148</v>
      </c>
      <c r="M1762">
        <f>orders[[#This Row],[Ship Date]]-orders[[#This Row],[Order Date]]</f>
        <v>3</v>
      </c>
      <c r="N1762">
        <f>WEEKNUM(orders[[#This Row],[Order Date]],1)</f>
        <v>10</v>
      </c>
      <c r="O1762" t="str">
        <f t="array" ref="O1762">_xlfn.IFS(orders[[#This Row],[Customer Gender]]="M","Male", orders[[#This Row],[Customer Gender]]="F","Female", orders[[#This Row],[Customer Gender]]="O","Other", TRUE(),"Unknown")</f>
        <v>Male</v>
      </c>
    </row>
    <row r="1763" spans="1:15" x14ac:dyDescent="0.25">
      <c r="A1763" t="s">
        <v>1991</v>
      </c>
      <c r="B1763" t="s">
        <v>80</v>
      </c>
      <c r="C1763">
        <v>11</v>
      </c>
      <c r="D1763">
        <v>40.4</v>
      </c>
      <c r="E1763">
        <v>444.4</v>
      </c>
      <c r="F1763" s="58">
        <v>45722</v>
      </c>
      <c r="G1763" s="58">
        <v>45724</v>
      </c>
      <c r="H1763" t="s">
        <v>229</v>
      </c>
      <c r="I1763" t="s">
        <v>62</v>
      </c>
      <c r="J1763">
        <v>5</v>
      </c>
      <c r="K1763" t="s">
        <v>103</v>
      </c>
      <c r="L1763" t="s">
        <v>154</v>
      </c>
      <c r="M1763">
        <f>orders[[#This Row],[Ship Date]]-orders[[#This Row],[Order Date]]</f>
        <v>2</v>
      </c>
      <c r="N1763">
        <f>WEEKNUM(orders[[#This Row],[Order Date]],1)</f>
        <v>10</v>
      </c>
      <c r="O1763" t="str">
        <f t="array" ref="O1763">_xlfn.IFS(orders[[#This Row],[Customer Gender]]="M","Male", orders[[#This Row],[Customer Gender]]="F","Female", orders[[#This Row],[Customer Gender]]="O","Other", TRUE(),"Unknown")</f>
        <v>Male</v>
      </c>
    </row>
    <row r="1764" spans="1:15" x14ac:dyDescent="0.25">
      <c r="A1764" t="s">
        <v>1992</v>
      </c>
      <c r="B1764" t="s">
        <v>87</v>
      </c>
      <c r="C1764">
        <v>19</v>
      </c>
      <c r="D1764">
        <v>131.5</v>
      </c>
      <c r="E1764">
        <v>2498.5</v>
      </c>
      <c r="F1764" s="58">
        <v>45722</v>
      </c>
      <c r="G1764" s="58">
        <v>45724</v>
      </c>
      <c r="H1764" t="s">
        <v>229</v>
      </c>
      <c r="I1764" t="s">
        <v>63</v>
      </c>
      <c r="J1764">
        <v>3</v>
      </c>
      <c r="K1764" t="s">
        <v>103</v>
      </c>
      <c r="L1764" t="s">
        <v>154</v>
      </c>
      <c r="M1764">
        <f>orders[[#This Row],[Ship Date]]-orders[[#This Row],[Order Date]]</f>
        <v>2</v>
      </c>
      <c r="N1764">
        <f>WEEKNUM(orders[[#This Row],[Order Date]],1)</f>
        <v>10</v>
      </c>
      <c r="O1764" t="str">
        <f t="array" ref="O1764">_xlfn.IFS(orders[[#This Row],[Customer Gender]]="M","Male", orders[[#This Row],[Customer Gender]]="F","Female", orders[[#This Row],[Customer Gender]]="O","Other", TRUE(),"Unknown")</f>
        <v>Male</v>
      </c>
    </row>
    <row r="1765" spans="1:15" x14ac:dyDescent="0.25">
      <c r="A1765" t="s">
        <v>1993</v>
      </c>
      <c r="B1765" t="s">
        <v>82</v>
      </c>
      <c r="C1765">
        <v>7</v>
      </c>
      <c r="D1765">
        <v>61.6</v>
      </c>
      <c r="E1765">
        <v>431.2</v>
      </c>
      <c r="F1765" s="58">
        <v>45722</v>
      </c>
      <c r="G1765" s="58">
        <v>45723</v>
      </c>
      <c r="H1765" t="s">
        <v>229</v>
      </c>
      <c r="I1765" t="s">
        <v>62</v>
      </c>
      <c r="J1765">
        <v>4</v>
      </c>
      <c r="K1765" t="s">
        <v>103</v>
      </c>
      <c r="L1765" t="s">
        <v>106</v>
      </c>
      <c r="M1765">
        <f>orders[[#This Row],[Ship Date]]-orders[[#This Row],[Order Date]]</f>
        <v>1</v>
      </c>
      <c r="N1765">
        <f>WEEKNUM(orders[[#This Row],[Order Date]],1)</f>
        <v>10</v>
      </c>
      <c r="O1765" t="str">
        <f t="array" ref="O1765">_xlfn.IFS(orders[[#This Row],[Customer Gender]]="M","Male", orders[[#This Row],[Customer Gender]]="F","Female", orders[[#This Row],[Customer Gender]]="O","Other", TRUE(),"Unknown")</f>
        <v>Male</v>
      </c>
    </row>
    <row r="1766" spans="1:15" x14ac:dyDescent="0.25">
      <c r="A1766" t="s">
        <v>1994</v>
      </c>
      <c r="B1766" t="s">
        <v>88</v>
      </c>
      <c r="C1766">
        <v>5</v>
      </c>
      <c r="D1766">
        <v>32.700000000000003</v>
      </c>
      <c r="E1766">
        <v>163.5</v>
      </c>
      <c r="F1766" s="58">
        <v>45722</v>
      </c>
      <c r="G1766" s="58">
        <v>45724</v>
      </c>
      <c r="H1766" t="s">
        <v>229</v>
      </c>
      <c r="I1766" t="s">
        <v>62</v>
      </c>
      <c r="J1766">
        <v>4</v>
      </c>
      <c r="K1766" t="s">
        <v>103</v>
      </c>
      <c r="L1766" t="s">
        <v>112</v>
      </c>
      <c r="M1766">
        <f>orders[[#This Row],[Ship Date]]-orders[[#This Row],[Order Date]]</f>
        <v>2</v>
      </c>
      <c r="N1766">
        <f>WEEKNUM(orders[[#This Row],[Order Date]],1)</f>
        <v>10</v>
      </c>
      <c r="O1766" t="str">
        <f t="array" ref="O1766">_xlfn.IFS(orders[[#This Row],[Customer Gender]]="M","Male", orders[[#This Row],[Customer Gender]]="F","Female", orders[[#This Row],[Customer Gender]]="O","Other", TRUE(),"Unknown")</f>
        <v>Male</v>
      </c>
    </row>
    <row r="1767" spans="1:15" x14ac:dyDescent="0.25">
      <c r="A1767" t="s">
        <v>1995</v>
      </c>
      <c r="B1767" t="s">
        <v>86</v>
      </c>
      <c r="C1767">
        <v>10</v>
      </c>
      <c r="D1767">
        <v>13.7</v>
      </c>
      <c r="E1767">
        <v>137</v>
      </c>
      <c r="F1767" s="58">
        <v>45722</v>
      </c>
      <c r="G1767" s="58">
        <v>45723</v>
      </c>
      <c r="H1767" t="s">
        <v>229</v>
      </c>
      <c r="I1767" t="s">
        <v>59</v>
      </c>
      <c r="J1767">
        <v>5</v>
      </c>
      <c r="K1767" t="s">
        <v>103</v>
      </c>
      <c r="L1767" t="s">
        <v>124</v>
      </c>
      <c r="M1767">
        <f>orders[[#This Row],[Ship Date]]-orders[[#This Row],[Order Date]]</f>
        <v>1</v>
      </c>
      <c r="N1767">
        <f>WEEKNUM(orders[[#This Row],[Order Date]],1)</f>
        <v>10</v>
      </c>
      <c r="O1767" t="str">
        <f t="array" ref="O1767">_xlfn.IFS(orders[[#This Row],[Customer Gender]]="M","Male", orders[[#This Row],[Customer Gender]]="F","Female", orders[[#This Row],[Customer Gender]]="O","Other", TRUE(),"Unknown")</f>
        <v>Male</v>
      </c>
    </row>
    <row r="1768" spans="1:15" x14ac:dyDescent="0.25">
      <c r="A1768" t="s">
        <v>1996</v>
      </c>
      <c r="B1768" t="s">
        <v>86</v>
      </c>
      <c r="C1768">
        <v>4</v>
      </c>
      <c r="D1768">
        <v>32.1</v>
      </c>
      <c r="E1768">
        <v>128.4</v>
      </c>
      <c r="F1768" s="58">
        <v>45722</v>
      </c>
      <c r="G1768" s="58">
        <v>45723</v>
      </c>
      <c r="H1768" t="s">
        <v>229</v>
      </c>
      <c r="I1768" t="s">
        <v>61</v>
      </c>
      <c r="J1768">
        <v>3</v>
      </c>
      <c r="K1768" t="s">
        <v>103</v>
      </c>
      <c r="L1768" t="s">
        <v>124</v>
      </c>
      <c r="M1768">
        <f>orders[[#This Row],[Ship Date]]-orders[[#This Row],[Order Date]]</f>
        <v>1</v>
      </c>
      <c r="N1768">
        <f>WEEKNUM(orders[[#This Row],[Order Date]],1)</f>
        <v>10</v>
      </c>
      <c r="O1768" t="str">
        <f t="array" ref="O1768">_xlfn.IFS(orders[[#This Row],[Customer Gender]]="M","Male", orders[[#This Row],[Customer Gender]]="F","Female", orders[[#This Row],[Customer Gender]]="O","Other", TRUE(),"Unknown")</f>
        <v>Male</v>
      </c>
    </row>
    <row r="1769" spans="1:15" x14ac:dyDescent="0.25">
      <c r="A1769" t="s">
        <v>1997</v>
      </c>
      <c r="B1769" t="s">
        <v>74</v>
      </c>
      <c r="C1769">
        <v>8</v>
      </c>
      <c r="D1769">
        <v>12</v>
      </c>
      <c r="E1769">
        <v>96</v>
      </c>
      <c r="F1769" s="58">
        <v>45722</v>
      </c>
      <c r="G1769" s="58">
        <v>45723</v>
      </c>
      <c r="H1769" t="s">
        <v>229</v>
      </c>
      <c r="I1769" t="s">
        <v>63</v>
      </c>
      <c r="J1769">
        <v>4</v>
      </c>
      <c r="K1769" t="s">
        <v>103</v>
      </c>
      <c r="L1769" t="s">
        <v>129</v>
      </c>
      <c r="M1769">
        <f>orders[[#This Row],[Ship Date]]-orders[[#This Row],[Order Date]]</f>
        <v>1</v>
      </c>
      <c r="N1769">
        <f>WEEKNUM(orders[[#This Row],[Order Date]],1)</f>
        <v>10</v>
      </c>
      <c r="O1769" t="str">
        <f t="array" ref="O1769">_xlfn.IFS(orders[[#This Row],[Customer Gender]]="M","Male", orders[[#This Row],[Customer Gender]]="F","Female", orders[[#This Row],[Customer Gender]]="O","Other", TRUE(),"Unknown")</f>
        <v>Male</v>
      </c>
    </row>
    <row r="1770" spans="1:15" x14ac:dyDescent="0.25">
      <c r="A1770" t="s">
        <v>1998</v>
      </c>
      <c r="B1770" t="s">
        <v>76</v>
      </c>
      <c r="C1770">
        <v>1</v>
      </c>
      <c r="D1770">
        <v>64.3</v>
      </c>
      <c r="E1770">
        <v>64.3</v>
      </c>
      <c r="F1770" s="58">
        <v>45722</v>
      </c>
      <c r="G1770" s="58">
        <v>45724</v>
      </c>
      <c r="H1770" t="s">
        <v>231</v>
      </c>
      <c r="I1770" t="s">
        <v>62</v>
      </c>
      <c r="J1770">
        <v>5</v>
      </c>
      <c r="K1770" t="s">
        <v>103</v>
      </c>
      <c r="L1770" t="s">
        <v>139</v>
      </c>
      <c r="M1770">
        <f>orders[[#This Row],[Ship Date]]-orders[[#This Row],[Order Date]]</f>
        <v>2</v>
      </c>
      <c r="N1770">
        <f>WEEKNUM(orders[[#This Row],[Order Date]],1)</f>
        <v>10</v>
      </c>
      <c r="O1770" t="str">
        <f t="array" ref="O1770">_xlfn.IFS(orders[[#This Row],[Customer Gender]]="M","Male", orders[[#This Row],[Customer Gender]]="F","Female", orders[[#This Row],[Customer Gender]]="O","Other", TRUE(),"Unknown")</f>
        <v>Female</v>
      </c>
    </row>
    <row r="1771" spans="1:15" x14ac:dyDescent="0.25">
      <c r="A1771" t="s">
        <v>1999</v>
      </c>
      <c r="B1771" t="s">
        <v>91</v>
      </c>
      <c r="C1771">
        <v>3</v>
      </c>
      <c r="D1771">
        <v>58.2</v>
      </c>
      <c r="E1771">
        <v>174.6</v>
      </c>
      <c r="F1771" s="58">
        <v>45722</v>
      </c>
      <c r="G1771" s="58">
        <v>45724</v>
      </c>
      <c r="H1771" t="s">
        <v>231</v>
      </c>
      <c r="I1771" t="s">
        <v>63</v>
      </c>
      <c r="J1771">
        <v>5</v>
      </c>
      <c r="K1771" t="s">
        <v>103</v>
      </c>
      <c r="L1771" t="s">
        <v>139</v>
      </c>
      <c r="M1771">
        <f>orders[[#This Row],[Ship Date]]-orders[[#This Row],[Order Date]]</f>
        <v>2</v>
      </c>
      <c r="N1771">
        <f>WEEKNUM(orders[[#This Row],[Order Date]],1)</f>
        <v>10</v>
      </c>
      <c r="O1771" t="str">
        <f t="array" ref="O1771">_xlfn.IFS(orders[[#This Row],[Customer Gender]]="M","Male", orders[[#This Row],[Customer Gender]]="F","Female", orders[[#This Row],[Customer Gender]]="O","Other", TRUE(),"Unknown")</f>
        <v>Female</v>
      </c>
    </row>
    <row r="1772" spans="1:15" x14ac:dyDescent="0.25">
      <c r="A1772" t="s">
        <v>2000</v>
      </c>
      <c r="B1772" t="s">
        <v>80</v>
      </c>
      <c r="C1772">
        <v>4</v>
      </c>
      <c r="D1772">
        <v>59.2</v>
      </c>
      <c r="E1772">
        <v>236.8</v>
      </c>
      <c r="F1772" s="58">
        <v>45722</v>
      </c>
      <c r="G1772" s="58">
        <v>45722</v>
      </c>
      <c r="H1772" t="s">
        <v>229</v>
      </c>
      <c r="I1772" t="s">
        <v>63</v>
      </c>
      <c r="J1772">
        <v>5</v>
      </c>
      <c r="K1772" t="s">
        <v>103</v>
      </c>
      <c r="L1772" t="s">
        <v>139</v>
      </c>
      <c r="M1772">
        <f>orders[[#This Row],[Ship Date]]-orders[[#This Row],[Order Date]]</f>
        <v>0</v>
      </c>
      <c r="N1772">
        <f>WEEKNUM(orders[[#This Row],[Order Date]],1)</f>
        <v>10</v>
      </c>
      <c r="O1772" t="str">
        <f t="array" ref="O1772">_xlfn.IFS(orders[[#This Row],[Customer Gender]]="M","Male", orders[[#This Row],[Customer Gender]]="F","Female", orders[[#This Row],[Customer Gender]]="O","Other", TRUE(),"Unknown")</f>
        <v>Male</v>
      </c>
    </row>
    <row r="1773" spans="1:15" x14ac:dyDescent="0.25">
      <c r="A1773" t="s">
        <v>2001</v>
      </c>
      <c r="B1773" t="s">
        <v>75</v>
      </c>
      <c r="C1773">
        <v>11</v>
      </c>
      <c r="D1773">
        <v>35.6</v>
      </c>
      <c r="E1773">
        <v>391.6</v>
      </c>
      <c r="F1773" s="58">
        <v>45722</v>
      </c>
      <c r="G1773" s="58">
        <v>45729</v>
      </c>
      <c r="H1773" t="s">
        <v>229</v>
      </c>
      <c r="I1773" t="s">
        <v>59</v>
      </c>
      <c r="J1773">
        <v>5</v>
      </c>
      <c r="K1773" t="s">
        <v>103</v>
      </c>
      <c r="L1773" t="s">
        <v>142</v>
      </c>
      <c r="M1773">
        <f>orders[[#This Row],[Ship Date]]-orders[[#This Row],[Order Date]]</f>
        <v>7</v>
      </c>
      <c r="N1773">
        <f>WEEKNUM(orders[[#This Row],[Order Date]],1)</f>
        <v>10</v>
      </c>
      <c r="O1773" t="str">
        <f t="array" ref="O1773">_xlfn.IFS(orders[[#This Row],[Customer Gender]]="M","Male", orders[[#This Row],[Customer Gender]]="F","Female", orders[[#This Row],[Customer Gender]]="O","Other", TRUE(),"Unknown")</f>
        <v>Male</v>
      </c>
    </row>
    <row r="1774" spans="1:15" x14ac:dyDescent="0.25">
      <c r="A1774" t="s">
        <v>2002</v>
      </c>
      <c r="B1774" t="s">
        <v>89</v>
      </c>
      <c r="C1774">
        <v>8</v>
      </c>
      <c r="D1774">
        <v>37</v>
      </c>
      <c r="E1774">
        <v>296</v>
      </c>
      <c r="F1774" s="58">
        <v>45722</v>
      </c>
      <c r="G1774" s="58">
        <v>45726</v>
      </c>
      <c r="H1774" t="s">
        <v>231</v>
      </c>
      <c r="I1774" t="s">
        <v>62</v>
      </c>
      <c r="J1774">
        <v>3</v>
      </c>
      <c r="K1774" t="s">
        <v>103</v>
      </c>
      <c r="L1774" t="s">
        <v>142</v>
      </c>
      <c r="M1774">
        <f>orders[[#This Row],[Ship Date]]-orders[[#This Row],[Order Date]]</f>
        <v>4</v>
      </c>
      <c r="N1774">
        <f>WEEKNUM(orders[[#This Row],[Order Date]],1)</f>
        <v>10</v>
      </c>
      <c r="O1774" t="str">
        <f t="array" ref="O1774">_xlfn.IFS(orders[[#This Row],[Customer Gender]]="M","Male", orders[[#This Row],[Customer Gender]]="F","Female", orders[[#This Row],[Customer Gender]]="O","Other", TRUE(),"Unknown")</f>
        <v>Female</v>
      </c>
    </row>
    <row r="1775" spans="1:15" x14ac:dyDescent="0.25">
      <c r="A1775" t="s">
        <v>2003</v>
      </c>
      <c r="B1775" t="s">
        <v>91</v>
      </c>
      <c r="C1775">
        <v>13</v>
      </c>
      <c r="D1775">
        <v>80.8</v>
      </c>
      <c r="E1775">
        <v>1050.4000000000001</v>
      </c>
      <c r="F1775" s="58">
        <v>45722</v>
      </c>
      <c r="G1775" s="58">
        <v>45724</v>
      </c>
      <c r="H1775" t="s">
        <v>231</v>
      </c>
      <c r="I1775" t="s">
        <v>59</v>
      </c>
      <c r="J1775">
        <v>4</v>
      </c>
      <c r="K1775" t="s">
        <v>103</v>
      </c>
      <c r="L1775" t="s">
        <v>142</v>
      </c>
      <c r="M1775">
        <f>orders[[#This Row],[Ship Date]]-orders[[#This Row],[Order Date]]</f>
        <v>2</v>
      </c>
      <c r="N1775">
        <f>WEEKNUM(orders[[#This Row],[Order Date]],1)</f>
        <v>10</v>
      </c>
      <c r="O1775" t="str">
        <f t="array" ref="O1775">_xlfn.IFS(orders[[#This Row],[Customer Gender]]="M","Male", orders[[#This Row],[Customer Gender]]="F","Female", orders[[#This Row],[Customer Gender]]="O","Other", TRUE(),"Unknown")</f>
        <v>Female</v>
      </c>
    </row>
    <row r="1776" spans="1:15" x14ac:dyDescent="0.25">
      <c r="A1776" t="s">
        <v>2004</v>
      </c>
      <c r="B1776" t="s">
        <v>90</v>
      </c>
      <c r="C1776">
        <v>2</v>
      </c>
      <c r="D1776">
        <v>63.2</v>
      </c>
      <c r="E1776">
        <v>126.4</v>
      </c>
      <c r="F1776" s="58">
        <v>45722</v>
      </c>
      <c r="G1776" s="58">
        <v>45723</v>
      </c>
      <c r="H1776" t="s">
        <v>229</v>
      </c>
      <c r="I1776" t="s">
        <v>59</v>
      </c>
      <c r="J1776">
        <v>3</v>
      </c>
      <c r="K1776" t="s">
        <v>103</v>
      </c>
      <c r="L1776" t="s">
        <v>142</v>
      </c>
      <c r="M1776">
        <f>orders[[#This Row],[Ship Date]]-orders[[#This Row],[Order Date]]</f>
        <v>1</v>
      </c>
      <c r="N1776">
        <f>WEEKNUM(orders[[#This Row],[Order Date]],1)</f>
        <v>10</v>
      </c>
      <c r="O1776" t="str">
        <f t="array" ref="O1776">_xlfn.IFS(orders[[#This Row],[Customer Gender]]="M","Male", orders[[#This Row],[Customer Gender]]="F","Female", orders[[#This Row],[Customer Gender]]="O","Other", TRUE(),"Unknown")</f>
        <v>Male</v>
      </c>
    </row>
    <row r="1777" spans="1:15" x14ac:dyDescent="0.25">
      <c r="A1777" t="s">
        <v>2005</v>
      </c>
      <c r="B1777" t="s">
        <v>93</v>
      </c>
      <c r="C1777">
        <v>2</v>
      </c>
      <c r="D1777">
        <v>40.799999999999997</v>
      </c>
      <c r="E1777">
        <v>81.599999999999994</v>
      </c>
      <c r="F1777" s="58">
        <v>45722</v>
      </c>
      <c r="G1777" s="58">
        <v>45724</v>
      </c>
      <c r="H1777" t="s">
        <v>229</v>
      </c>
      <c r="I1777" t="s">
        <v>59</v>
      </c>
      <c r="J1777">
        <v>3</v>
      </c>
      <c r="K1777" t="s">
        <v>103</v>
      </c>
      <c r="L1777" t="s">
        <v>143</v>
      </c>
      <c r="M1777">
        <f>orders[[#This Row],[Ship Date]]-orders[[#This Row],[Order Date]]</f>
        <v>2</v>
      </c>
      <c r="N1777">
        <f>WEEKNUM(orders[[#This Row],[Order Date]],1)</f>
        <v>10</v>
      </c>
      <c r="O1777" t="str">
        <f t="array" ref="O1777">_xlfn.IFS(orders[[#This Row],[Customer Gender]]="M","Male", orders[[#This Row],[Customer Gender]]="F","Female", orders[[#This Row],[Customer Gender]]="O","Other", TRUE(),"Unknown")</f>
        <v>Male</v>
      </c>
    </row>
    <row r="1778" spans="1:15" x14ac:dyDescent="0.25">
      <c r="A1778" t="s">
        <v>2006</v>
      </c>
      <c r="B1778" t="s">
        <v>92</v>
      </c>
      <c r="C1778">
        <v>6</v>
      </c>
      <c r="D1778">
        <v>25.7</v>
      </c>
      <c r="E1778">
        <v>154.19999999999999</v>
      </c>
      <c r="F1778" s="58">
        <v>45722</v>
      </c>
      <c r="G1778" s="58">
        <v>45724</v>
      </c>
      <c r="H1778" t="s">
        <v>229</v>
      </c>
      <c r="I1778" t="s">
        <v>61</v>
      </c>
      <c r="J1778">
        <v>4</v>
      </c>
      <c r="K1778" t="s">
        <v>103</v>
      </c>
      <c r="L1778" t="s">
        <v>154</v>
      </c>
      <c r="M1778">
        <f>orders[[#This Row],[Ship Date]]-orders[[#This Row],[Order Date]]</f>
        <v>2</v>
      </c>
      <c r="N1778">
        <f>WEEKNUM(orders[[#This Row],[Order Date]],1)</f>
        <v>10</v>
      </c>
      <c r="O1778" t="str">
        <f t="array" ref="O1778">_xlfn.IFS(orders[[#This Row],[Customer Gender]]="M","Male", orders[[#This Row],[Customer Gender]]="F","Female", orders[[#This Row],[Customer Gender]]="O","Other", TRUE(),"Unknown")</f>
        <v>Male</v>
      </c>
    </row>
    <row r="1779" spans="1:15" x14ac:dyDescent="0.25">
      <c r="A1779" t="s">
        <v>2007</v>
      </c>
      <c r="B1779" t="s">
        <v>89</v>
      </c>
      <c r="C1779">
        <v>2</v>
      </c>
      <c r="D1779">
        <v>49.9</v>
      </c>
      <c r="E1779">
        <v>99.8</v>
      </c>
      <c r="F1779" s="58">
        <v>45722</v>
      </c>
      <c r="G1779" s="58">
        <v>45725</v>
      </c>
      <c r="H1779" t="s">
        <v>229</v>
      </c>
      <c r="I1779" t="s">
        <v>59</v>
      </c>
      <c r="J1779">
        <v>4</v>
      </c>
      <c r="K1779" t="s">
        <v>103</v>
      </c>
      <c r="L1779" t="s">
        <v>159</v>
      </c>
      <c r="M1779">
        <f>orders[[#This Row],[Ship Date]]-orders[[#This Row],[Order Date]]</f>
        <v>3</v>
      </c>
      <c r="N1779">
        <f>WEEKNUM(orders[[#This Row],[Order Date]],1)</f>
        <v>10</v>
      </c>
      <c r="O1779" t="str">
        <f t="array" ref="O1779">_xlfn.IFS(orders[[#This Row],[Customer Gender]]="M","Male", orders[[#This Row],[Customer Gender]]="F","Female", orders[[#This Row],[Customer Gender]]="O","Other", TRUE(),"Unknown")</f>
        <v>Male</v>
      </c>
    </row>
    <row r="1780" spans="1:15" x14ac:dyDescent="0.25">
      <c r="A1780" t="s">
        <v>2008</v>
      </c>
      <c r="B1780" t="s">
        <v>90</v>
      </c>
      <c r="C1780">
        <v>2</v>
      </c>
      <c r="D1780">
        <v>20.2</v>
      </c>
      <c r="E1780">
        <v>40.4</v>
      </c>
      <c r="F1780" s="58">
        <v>45722</v>
      </c>
      <c r="G1780" s="58">
        <v>45724</v>
      </c>
      <c r="H1780" t="s">
        <v>231</v>
      </c>
      <c r="I1780" t="s">
        <v>60</v>
      </c>
      <c r="J1780">
        <v>4</v>
      </c>
      <c r="K1780" t="s">
        <v>103</v>
      </c>
      <c r="L1780" t="s">
        <v>106</v>
      </c>
      <c r="M1780">
        <f>orders[[#This Row],[Ship Date]]-orders[[#This Row],[Order Date]]</f>
        <v>2</v>
      </c>
      <c r="N1780">
        <f>WEEKNUM(orders[[#This Row],[Order Date]],1)</f>
        <v>10</v>
      </c>
      <c r="O1780" t="str">
        <f t="array" ref="O1780">_xlfn.IFS(orders[[#This Row],[Customer Gender]]="M","Male", orders[[#This Row],[Customer Gender]]="F","Female", orders[[#This Row],[Customer Gender]]="O","Other", TRUE(),"Unknown")</f>
        <v>Female</v>
      </c>
    </row>
    <row r="1781" spans="1:15" x14ac:dyDescent="0.25">
      <c r="A1781" t="s">
        <v>2009</v>
      </c>
      <c r="B1781" t="s">
        <v>80</v>
      </c>
      <c r="C1781">
        <v>3</v>
      </c>
      <c r="D1781">
        <v>48.4</v>
      </c>
      <c r="E1781">
        <v>145.19999999999999</v>
      </c>
      <c r="F1781" s="58">
        <v>45722</v>
      </c>
      <c r="G1781" s="58">
        <v>45727</v>
      </c>
      <c r="H1781" t="s">
        <v>231</v>
      </c>
      <c r="I1781" t="s">
        <v>59</v>
      </c>
      <c r="J1781">
        <v>5</v>
      </c>
      <c r="K1781" t="s">
        <v>103</v>
      </c>
      <c r="L1781" t="s">
        <v>106</v>
      </c>
      <c r="M1781">
        <f>orders[[#This Row],[Ship Date]]-orders[[#This Row],[Order Date]]</f>
        <v>5</v>
      </c>
      <c r="N1781">
        <f>WEEKNUM(orders[[#This Row],[Order Date]],1)</f>
        <v>10</v>
      </c>
      <c r="O1781" t="str">
        <f t="array" ref="O1781">_xlfn.IFS(orders[[#This Row],[Customer Gender]]="M","Male", orders[[#This Row],[Customer Gender]]="F","Female", orders[[#This Row],[Customer Gender]]="O","Other", TRUE(),"Unknown")</f>
        <v>Female</v>
      </c>
    </row>
    <row r="1782" spans="1:15" x14ac:dyDescent="0.25">
      <c r="A1782" t="s">
        <v>2010</v>
      </c>
      <c r="B1782" t="s">
        <v>80</v>
      </c>
      <c r="C1782">
        <v>2</v>
      </c>
      <c r="D1782">
        <v>81</v>
      </c>
      <c r="E1782">
        <v>162</v>
      </c>
      <c r="F1782" s="58">
        <v>45722</v>
      </c>
      <c r="G1782" s="58">
        <v>45723</v>
      </c>
      <c r="H1782" t="s">
        <v>231</v>
      </c>
      <c r="I1782" t="s">
        <v>63</v>
      </c>
      <c r="J1782">
        <v>5</v>
      </c>
      <c r="K1782" t="s">
        <v>103</v>
      </c>
      <c r="L1782" t="s">
        <v>106</v>
      </c>
      <c r="M1782">
        <f>orders[[#This Row],[Ship Date]]-orders[[#This Row],[Order Date]]</f>
        <v>1</v>
      </c>
      <c r="N1782">
        <f>WEEKNUM(orders[[#This Row],[Order Date]],1)</f>
        <v>10</v>
      </c>
      <c r="O1782" t="str">
        <f t="array" ref="O1782">_xlfn.IFS(orders[[#This Row],[Customer Gender]]="M","Male", orders[[#This Row],[Customer Gender]]="F","Female", orders[[#This Row],[Customer Gender]]="O","Other", TRUE(),"Unknown")</f>
        <v>Female</v>
      </c>
    </row>
    <row r="1783" spans="1:15" x14ac:dyDescent="0.25">
      <c r="A1783" t="s">
        <v>2011</v>
      </c>
      <c r="B1783" t="s">
        <v>90</v>
      </c>
      <c r="C1783">
        <v>6</v>
      </c>
      <c r="D1783">
        <v>19.899999999999999</v>
      </c>
      <c r="E1783">
        <v>119.4</v>
      </c>
      <c r="F1783" s="58">
        <v>45722</v>
      </c>
      <c r="G1783" s="58">
        <v>45725</v>
      </c>
      <c r="H1783" t="s">
        <v>231</v>
      </c>
      <c r="I1783" t="s">
        <v>59</v>
      </c>
      <c r="J1783">
        <v>3</v>
      </c>
      <c r="K1783" t="s">
        <v>103</v>
      </c>
      <c r="L1783" t="s">
        <v>120</v>
      </c>
      <c r="M1783">
        <f>orders[[#This Row],[Ship Date]]-orders[[#This Row],[Order Date]]</f>
        <v>3</v>
      </c>
      <c r="N1783">
        <f>WEEKNUM(orders[[#This Row],[Order Date]],1)</f>
        <v>10</v>
      </c>
      <c r="O1783" t="str">
        <f t="array" ref="O1783">_xlfn.IFS(orders[[#This Row],[Customer Gender]]="M","Male", orders[[#This Row],[Customer Gender]]="F","Female", orders[[#This Row],[Customer Gender]]="O","Other", TRUE(),"Unknown")</f>
        <v>Female</v>
      </c>
    </row>
    <row r="1784" spans="1:15" x14ac:dyDescent="0.25">
      <c r="A1784" t="s">
        <v>2012</v>
      </c>
      <c r="B1784" t="s">
        <v>78</v>
      </c>
      <c r="C1784">
        <v>4</v>
      </c>
      <c r="D1784">
        <v>32.200000000000003</v>
      </c>
      <c r="E1784">
        <v>128.80000000000001</v>
      </c>
      <c r="F1784" s="58">
        <v>45722</v>
      </c>
      <c r="G1784" s="58">
        <v>45732</v>
      </c>
      <c r="H1784" t="s">
        <v>229</v>
      </c>
      <c r="I1784" t="s">
        <v>59</v>
      </c>
      <c r="J1784">
        <v>4</v>
      </c>
      <c r="K1784" t="s">
        <v>103</v>
      </c>
      <c r="L1784" t="s">
        <v>120</v>
      </c>
      <c r="M1784">
        <f>orders[[#This Row],[Ship Date]]-orders[[#This Row],[Order Date]]</f>
        <v>10</v>
      </c>
      <c r="N1784">
        <f>WEEKNUM(orders[[#This Row],[Order Date]],1)</f>
        <v>10</v>
      </c>
      <c r="O1784" t="str">
        <f t="array" ref="O1784">_xlfn.IFS(orders[[#This Row],[Customer Gender]]="M","Male", orders[[#This Row],[Customer Gender]]="F","Female", orders[[#This Row],[Customer Gender]]="O","Other", TRUE(),"Unknown")</f>
        <v>Male</v>
      </c>
    </row>
    <row r="1785" spans="1:15" x14ac:dyDescent="0.25">
      <c r="A1785" t="s">
        <v>2013</v>
      </c>
      <c r="B1785" t="s">
        <v>85</v>
      </c>
      <c r="C1785">
        <v>3</v>
      </c>
      <c r="D1785">
        <v>76.8</v>
      </c>
      <c r="E1785">
        <v>230.4</v>
      </c>
      <c r="F1785" s="58">
        <v>45722</v>
      </c>
      <c r="G1785" s="58">
        <v>45723</v>
      </c>
      <c r="H1785" t="s">
        <v>231</v>
      </c>
      <c r="I1785" t="s">
        <v>59</v>
      </c>
      <c r="J1785">
        <v>3</v>
      </c>
      <c r="K1785" t="s">
        <v>103</v>
      </c>
      <c r="L1785" t="s">
        <v>124</v>
      </c>
      <c r="M1785">
        <f>orders[[#This Row],[Ship Date]]-orders[[#This Row],[Order Date]]</f>
        <v>1</v>
      </c>
      <c r="N1785">
        <f>WEEKNUM(orders[[#This Row],[Order Date]],1)</f>
        <v>10</v>
      </c>
      <c r="O1785" t="str">
        <f t="array" ref="O1785">_xlfn.IFS(orders[[#This Row],[Customer Gender]]="M","Male", orders[[#This Row],[Customer Gender]]="F","Female", orders[[#This Row],[Customer Gender]]="O","Other", TRUE(),"Unknown")</f>
        <v>Female</v>
      </c>
    </row>
    <row r="1786" spans="1:15" x14ac:dyDescent="0.25">
      <c r="A1786" t="s">
        <v>2014</v>
      </c>
      <c r="B1786" t="s">
        <v>80</v>
      </c>
      <c r="C1786">
        <v>2</v>
      </c>
      <c r="D1786">
        <v>41.9</v>
      </c>
      <c r="E1786">
        <v>83.8</v>
      </c>
      <c r="F1786" s="58">
        <v>45722</v>
      </c>
      <c r="G1786" s="58">
        <v>45724</v>
      </c>
      <c r="H1786" t="s">
        <v>231</v>
      </c>
      <c r="I1786" t="s">
        <v>59</v>
      </c>
      <c r="J1786">
        <v>4</v>
      </c>
      <c r="K1786" t="s">
        <v>103</v>
      </c>
      <c r="L1786" t="s">
        <v>124</v>
      </c>
      <c r="M1786">
        <f>orders[[#This Row],[Ship Date]]-orders[[#This Row],[Order Date]]</f>
        <v>2</v>
      </c>
      <c r="N1786">
        <f>WEEKNUM(orders[[#This Row],[Order Date]],1)</f>
        <v>10</v>
      </c>
      <c r="O1786" t="str">
        <f t="array" ref="O1786">_xlfn.IFS(orders[[#This Row],[Customer Gender]]="M","Male", orders[[#This Row],[Customer Gender]]="F","Female", orders[[#This Row],[Customer Gender]]="O","Other", TRUE(),"Unknown")</f>
        <v>Female</v>
      </c>
    </row>
    <row r="1787" spans="1:15" x14ac:dyDescent="0.25">
      <c r="A1787" t="s">
        <v>2015</v>
      </c>
      <c r="B1787" t="s">
        <v>86</v>
      </c>
      <c r="C1787">
        <v>7</v>
      </c>
      <c r="D1787">
        <v>34</v>
      </c>
      <c r="E1787">
        <v>238</v>
      </c>
      <c r="F1787" s="58">
        <v>45722</v>
      </c>
      <c r="G1787" s="58">
        <v>45724</v>
      </c>
      <c r="H1787" t="s">
        <v>231</v>
      </c>
      <c r="I1787" t="s">
        <v>63</v>
      </c>
      <c r="J1787">
        <v>5</v>
      </c>
      <c r="K1787" t="s">
        <v>103</v>
      </c>
      <c r="L1787" t="s">
        <v>124</v>
      </c>
      <c r="M1787">
        <f>orders[[#This Row],[Ship Date]]-orders[[#This Row],[Order Date]]</f>
        <v>2</v>
      </c>
      <c r="N1787">
        <f>WEEKNUM(orders[[#This Row],[Order Date]],1)</f>
        <v>10</v>
      </c>
      <c r="O1787" t="str">
        <f t="array" ref="O1787">_xlfn.IFS(orders[[#This Row],[Customer Gender]]="M","Male", orders[[#This Row],[Customer Gender]]="F","Female", orders[[#This Row],[Customer Gender]]="O","Other", TRUE(),"Unknown")</f>
        <v>Female</v>
      </c>
    </row>
    <row r="1788" spans="1:15" x14ac:dyDescent="0.25">
      <c r="A1788" t="s">
        <v>2016</v>
      </c>
      <c r="B1788" t="s">
        <v>79</v>
      </c>
      <c r="C1788">
        <v>7</v>
      </c>
      <c r="D1788">
        <v>61.3</v>
      </c>
      <c r="E1788">
        <v>429.1</v>
      </c>
      <c r="F1788" s="58">
        <v>45722</v>
      </c>
      <c r="G1788" s="58">
        <v>45722</v>
      </c>
      <c r="H1788" t="s">
        <v>231</v>
      </c>
      <c r="I1788" t="s">
        <v>61</v>
      </c>
      <c r="J1788">
        <v>5</v>
      </c>
      <c r="K1788" t="s">
        <v>103</v>
      </c>
      <c r="L1788" t="s">
        <v>124</v>
      </c>
      <c r="M1788">
        <f>orders[[#This Row],[Ship Date]]-orders[[#This Row],[Order Date]]</f>
        <v>0</v>
      </c>
      <c r="N1788">
        <f>WEEKNUM(orders[[#This Row],[Order Date]],1)</f>
        <v>10</v>
      </c>
      <c r="O1788" t="str">
        <f t="array" ref="O1788">_xlfn.IFS(orders[[#This Row],[Customer Gender]]="M","Male", orders[[#This Row],[Customer Gender]]="F","Female", orders[[#This Row],[Customer Gender]]="O","Other", TRUE(),"Unknown")</f>
        <v>Female</v>
      </c>
    </row>
    <row r="1789" spans="1:15" x14ac:dyDescent="0.25">
      <c r="A1789" t="s">
        <v>2017</v>
      </c>
      <c r="B1789" t="s">
        <v>88</v>
      </c>
      <c r="C1789">
        <v>1</v>
      </c>
      <c r="D1789">
        <v>54.7</v>
      </c>
      <c r="E1789">
        <v>54.7</v>
      </c>
      <c r="F1789" s="58">
        <v>45723</v>
      </c>
      <c r="G1789" s="58">
        <v>45724</v>
      </c>
      <c r="H1789" t="s">
        <v>229</v>
      </c>
      <c r="I1789" t="s">
        <v>59</v>
      </c>
      <c r="J1789">
        <v>3</v>
      </c>
      <c r="K1789" t="s">
        <v>103</v>
      </c>
      <c r="L1789" t="s">
        <v>124</v>
      </c>
      <c r="M1789">
        <f>orders[[#This Row],[Ship Date]]-orders[[#This Row],[Order Date]]</f>
        <v>1</v>
      </c>
      <c r="N1789">
        <f>WEEKNUM(orders[[#This Row],[Order Date]],1)</f>
        <v>10</v>
      </c>
      <c r="O1789" t="str">
        <f t="array" ref="O1789">_xlfn.IFS(orders[[#This Row],[Customer Gender]]="M","Male", orders[[#This Row],[Customer Gender]]="F","Female", orders[[#This Row],[Customer Gender]]="O","Other", TRUE(),"Unknown")</f>
        <v>Male</v>
      </c>
    </row>
    <row r="1790" spans="1:15" x14ac:dyDescent="0.25">
      <c r="A1790" t="s">
        <v>2018</v>
      </c>
      <c r="B1790" t="s">
        <v>80</v>
      </c>
      <c r="C1790">
        <v>10</v>
      </c>
      <c r="D1790">
        <v>84.7</v>
      </c>
      <c r="E1790">
        <v>847</v>
      </c>
      <c r="F1790" s="58">
        <v>45723</v>
      </c>
      <c r="G1790" s="58">
        <v>45727</v>
      </c>
      <c r="H1790" t="s">
        <v>231</v>
      </c>
      <c r="I1790" t="s">
        <v>59</v>
      </c>
      <c r="J1790">
        <v>4</v>
      </c>
      <c r="K1790" t="s">
        <v>103</v>
      </c>
      <c r="L1790" t="s">
        <v>124</v>
      </c>
      <c r="M1790">
        <f>orders[[#This Row],[Ship Date]]-orders[[#This Row],[Order Date]]</f>
        <v>4</v>
      </c>
      <c r="N1790">
        <f>WEEKNUM(orders[[#This Row],[Order Date]],1)</f>
        <v>10</v>
      </c>
      <c r="O1790" t="str">
        <f t="array" ref="O1790">_xlfn.IFS(orders[[#This Row],[Customer Gender]]="M","Male", orders[[#This Row],[Customer Gender]]="F","Female", orders[[#This Row],[Customer Gender]]="O","Other", TRUE(),"Unknown")</f>
        <v>Female</v>
      </c>
    </row>
    <row r="1791" spans="1:15" x14ac:dyDescent="0.25">
      <c r="A1791" t="s">
        <v>2019</v>
      </c>
      <c r="B1791" t="s">
        <v>91</v>
      </c>
      <c r="C1791">
        <v>3</v>
      </c>
      <c r="D1791">
        <v>93.4</v>
      </c>
      <c r="E1791">
        <v>280.2</v>
      </c>
      <c r="F1791" s="58">
        <v>45723</v>
      </c>
      <c r="G1791" s="58">
        <v>45727</v>
      </c>
      <c r="H1791" t="s">
        <v>231</v>
      </c>
      <c r="I1791" t="s">
        <v>60</v>
      </c>
      <c r="J1791">
        <v>4</v>
      </c>
      <c r="K1791" t="s">
        <v>103</v>
      </c>
      <c r="L1791" t="s">
        <v>124</v>
      </c>
      <c r="M1791">
        <f>orders[[#This Row],[Ship Date]]-orders[[#This Row],[Order Date]]</f>
        <v>4</v>
      </c>
      <c r="N1791">
        <f>WEEKNUM(orders[[#This Row],[Order Date]],1)</f>
        <v>10</v>
      </c>
      <c r="O1791" t="str">
        <f t="array" ref="O1791">_xlfn.IFS(orders[[#This Row],[Customer Gender]]="M","Male", orders[[#This Row],[Customer Gender]]="F","Female", orders[[#This Row],[Customer Gender]]="O","Other", TRUE(),"Unknown")</f>
        <v>Female</v>
      </c>
    </row>
    <row r="1792" spans="1:15" x14ac:dyDescent="0.25">
      <c r="A1792" t="s">
        <v>2020</v>
      </c>
      <c r="B1792" t="s">
        <v>90</v>
      </c>
      <c r="C1792">
        <v>5</v>
      </c>
      <c r="D1792">
        <v>27</v>
      </c>
      <c r="E1792">
        <v>135</v>
      </c>
      <c r="F1792" s="58">
        <v>45723</v>
      </c>
      <c r="G1792" s="58">
        <v>45726</v>
      </c>
      <c r="H1792" t="s">
        <v>229</v>
      </c>
      <c r="I1792" t="s">
        <v>59</v>
      </c>
      <c r="J1792">
        <v>3</v>
      </c>
      <c r="K1792" t="s">
        <v>103</v>
      </c>
      <c r="L1792" t="s">
        <v>124</v>
      </c>
      <c r="M1792">
        <f>orders[[#This Row],[Ship Date]]-orders[[#This Row],[Order Date]]</f>
        <v>3</v>
      </c>
      <c r="N1792">
        <f>WEEKNUM(orders[[#This Row],[Order Date]],1)</f>
        <v>10</v>
      </c>
      <c r="O1792" t="str">
        <f t="array" ref="O1792">_xlfn.IFS(orders[[#This Row],[Customer Gender]]="M","Male", orders[[#This Row],[Customer Gender]]="F","Female", orders[[#This Row],[Customer Gender]]="O","Other", TRUE(),"Unknown")</f>
        <v>Male</v>
      </c>
    </row>
    <row r="1793" spans="1:15" x14ac:dyDescent="0.25">
      <c r="A1793" t="s">
        <v>2021</v>
      </c>
      <c r="B1793" t="s">
        <v>86</v>
      </c>
      <c r="C1793">
        <v>4</v>
      </c>
      <c r="D1793">
        <v>10.9</v>
      </c>
      <c r="E1793">
        <v>43.6</v>
      </c>
      <c r="F1793" s="58">
        <v>45723</v>
      </c>
      <c r="G1793" s="58">
        <v>45724</v>
      </c>
      <c r="H1793" t="s">
        <v>229</v>
      </c>
      <c r="I1793" t="s">
        <v>62</v>
      </c>
      <c r="J1793">
        <v>4</v>
      </c>
      <c r="K1793" t="s">
        <v>103</v>
      </c>
      <c r="L1793" t="s">
        <v>124</v>
      </c>
      <c r="M1793">
        <f>orders[[#This Row],[Ship Date]]-orders[[#This Row],[Order Date]]</f>
        <v>1</v>
      </c>
      <c r="N1793">
        <f>WEEKNUM(orders[[#This Row],[Order Date]],1)</f>
        <v>10</v>
      </c>
      <c r="O1793" t="str">
        <f t="array" ref="O1793">_xlfn.IFS(orders[[#This Row],[Customer Gender]]="M","Male", orders[[#This Row],[Customer Gender]]="F","Female", orders[[#This Row],[Customer Gender]]="O","Other", TRUE(),"Unknown")</f>
        <v>Male</v>
      </c>
    </row>
    <row r="1794" spans="1:15" x14ac:dyDescent="0.25">
      <c r="A1794" t="s">
        <v>2022</v>
      </c>
      <c r="B1794" t="s">
        <v>89</v>
      </c>
      <c r="C1794">
        <v>3</v>
      </c>
      <c r="D1794">
        <v>48</v>
      </c>
      <c r="E1794">
        <v>144</v>
      </c>
      <c r="F1794" s="58">
        <v>45723</v>
      </c>
      <c r="G1794" s="58">
        <v>45728</v>
      </c>
      <c r="H1794" t="s">
        <v>231</v>
      </c>
      <c r="I1794" t="s">
        <v>61</v>
      </c>
      <c r="J1794">
        <v>4</v>
      </c>
      <c r="K1794" t="s">
        <v>103</v>
      </c>
      <c r="L1794" t="s">
        <v>124</v>
      </c>
      <c r="M1794">
        <f>orders[[#This Row],[Ship Date]]-orders[[#This Row],[Order Date]]</f>
        <v>5</v>
      </c>
      <c r="N1794">
        <f>WEEKNUM(orders[[#This Row],[Order Date]],1)</f>
        <v>10</v>
      </c>
      <c r="O1794" t="str">
        <f t="array" ref="O1794">_xlfn.IFS(orders[[#This Row],[Customer Gender]]="M","Male", orders[[#This Row],[Customer Gender]]="F","Female", orders[[#This Row],[Customer Gender]]="O","Other", TRUE(),"Unknown")</f>
        <v>Female</v>
      </c>
    </row>
    <row r="1795" spans="1:15" x14ac:dyDescent="0.25">
      <c r="A1795" t="s">
        <v>2023</v>
      </c>
      <c r="B1795" t="s">
        <v>85</v>
      </c>
      <c r="C1795">
        <v>2</v>
      </c>
      <c r="D1795">
        <v>67.900000000000006</v>
      </c>
      <c r="E1795">
        <v>135.80000000000001</v>
      </c>
      <c r="F1795" s="58">
        <v>45723</v>
      </c>
      <c r="G1795" s="58">
        <v>45724</v>
      </c>
      <c r="H1795" t="s">
        <v>229</v>
      </c>
      <c r="I1795" t="s">
        <v>59</v>
      </c>
      <c r="J1795">
        <v>5</v>
      </c>
      <c r="K1795" t="s">
        <v>103</v>
      </c>
      <c r="L1795" t="s">
        <v>138</v>
      </c>
      <c r="M1795">
        <f>orders[[#This Row],[Ship Date]]-orders[[#This Row],[Order Date]]</f>
        <v>1</v>
      </c>
      <c r="N1795">
        <f>WEEKNUM(orders[[#This Row],[Order Date]],1)</f>
        <v>10</v>
      </c>
      <c r="O1795" t="str">
        <f t="array" ref="O1795">_xlfn.IFS(orders[[#This Row],[Customer Gender]]="M","Male", orders[[#This Row],[Customer Gender]]="F","Female", orders[[#This Row],[Customer Gender]]="O","Other", TRUE(),"Unknown")</f>
        <v>Male</v>
      </c>
    </row>
    <row r="1796" spans="1:15" x14ac:dyDescent="0.25">
      <c r="A1796" t="s">
        <v>2024</v>
      </c>
      <c r="B1796" t="s">
        <v>78</v>
      </c>
      <c r="C1796">
        <v>3</v>
      </c>
      <c r="D1796">
        <v>36</v>
      </c>
      <c r="E1796">
        <v>108</v>
      </c>
      <c r="F1796" s="58">
        <v>45723</v>
      </c>
      <c r="G1796" s="58">
        <v>45724</v>
      </c>
      <c r="H1796" t="s">
        <v>229</v>
      </c>
      <c r="I1796" t="s">
        <v>63</v>
      </c>
      <c r="J1796">
        <v>4</v>
      </c>
      <c r="K1796" t="s">
        <v>103</v>
      </c>
      <c r="L1796" t="s">
        <v>139</v>
      </c>
      <c r="M1796">
        <f>orders[[#This Row],[Ship Date]]-orders[[#This Row],[Order Date]]</f>
        <v>1</v>
      </c>
      <c r="N1796">
        <f>WEEKNUM(orders[[#This Row],[Order Date]],1)</f>
        <v>10</v>
      </c>
      <c r="O1796" t="str">
        <f t="array" ref="O1796">_xlfn.IFS(orders[[#This Row],[Customer Gender]]="M","Male", orders[[#This Row],[Customer Gender]]="F","Female", orders[[#This Row],[Customer Gender]]="O","Other", TRUE(),"Unknown")</f>
        <v>Male</v>
      </c>
    </row>
    <row r="1797" spans="1:15" x14ac:dyDescent="0.25">
      <c r="A1797" t="s">
        <v>2025</v>
      </c>
      <c r="B1797" t="s">
        <v>87</v>
      </c>
      <c r="C1797">
        <v>1</v>
      </c>
      <c r="D1797">
        <v>128.80000000000001</v>
      </c>
      <c r="E1797">
        <v>128.80000000000001</v>
      </c>
      <c r="F1797" s="58">
        <v>45723</v>
      </c>
      <c r="G1797" s="58">
        <v>45724</v>
      </c>
      <c r="H1797" t="s">
        <v>229</v>
      </c>
      <c r="I1797" t="s">
        <v>61</v>
      </c>
      <c r="J1797">
        <v>5</v>
      </c>
      <c r="K1797" t="s">
        <v>103</v>
      </c>
      <c r="L1797" t="s">
        <v>139</v>
      </c>
      <c r="M1797">
        <f>orders[[#This Row],[Ship Date]]-orders[[#This Row],[Order Date]]</f>
        <v>1</v>
      </c>
      <c r="N1797">
        <f>WEEKNUM(orders[[#This Row],[Order Date]],1)</f>
        <v>10</v>
      </c>
      <c r="O1797" t="str">
        <f t="array" ref="O1797">_xlfn.IFS(orders[[#This Row],[Customer Gender]]="M","Male", orders[[#This Row],[Customer Gender]]="F","Female", orders[[#This Row],[Customer Gender]]="O","Other", TRUE(),"Unknown")</f>
        <v>Male</v>
      </c>
    </row>
    <row r="1798" spans="1:15" x14ac:dyDescent="0.25">
      <c r="A1798" t="s">
        <v>2026</v>
      </c>
      <c r="B1798" t="s">
        <v>82</v>
      </c>
      <c r="C1798">
        <v>7</v>
      </c>
      <c r="D1798">
        <v>33.299999999999997</v>
      </c>
      <c r="E1798">
        <v>233.1</v>
      </c>
      <c r="F1798" s="58">
        <v>45723</v>
      </c>
      <c r="G1798" s="58">
        <v>45724</v>
      </c>
      <c r="H1798" t="s">
        <v>231</v>
      </c>
      <c r="I1798" t="s">
        <v>60</v>
      </c>
      <c r="J1798">
        <v>4</v>
      </c>
      <c r="K1798" t="s">
        <v>103</v>
      </c>
      <c r="L1798" t="s">
        <v>142</v>
      </c>
      <c r="M1798">
        <f>orders[[#This Row],[Ship Date]]-orders[[#This Row],[Order Date]]</f>
        <v>1</v>
      </c>
      <c r="N1798">
        <f>WEEKNUM(orders[[#This Row],[Order Date]],1)</f>
        <v>10</v>
      </c>
      <c r="O1798" t="str">
        <f t="array" ref="O1798">_xlfn.IFS(orders[[#This Row],[Customer Gender]]="M","Male", orders[[#This Row],[Customer Gender]]="F","Female", orders[[#This Row],[Customer Gender]]="O","Other", TRUE(),"Unknown")</f>
        <v>Female</v>
      </c>
    </row>
    <row r="1799" spans="1:15" x14ac:dyDescent="0.25">
      <c r="A1799" t="s">
        <v>2027</v>
      </c>
      <c r="B1799" t="s">
        <v>75</v>
      </c>
      <c r="C1799">
        <v>3</v>
      </c>
      <c r="D1799">
        <v>37.799999999999997</v>
      </c>
      <c r="E1799">
        <v>113.4</v>
      </c>
      <c r="F1799" s="58">
        <v>45723</v>
      </c>
      <c r="G1799" s="58">
        <v>45725</v>
      </c>
      <c r="H1799" t="s">
        <v>229</v>
      </c>
      <c r="I1799" t="s">
        <v>63</v>
      </c>
      <c r="J1799">
        <v>5</v>
      </c>
      <c r="K1799" t="s">
        <v>103</v>
      </c>
      <c r="L1799" t="s">
        <v>142</v>
      </c>
      <c r="M1799">
        <f>orders[[#This Row],[Ship Date]]-orders[[#This Row],[Order Date]]</f>
        <v>2</v>
      </c>
      <c r="N1799">
        <f>WEEKNUM(orders[[#This Row],[Order Date]],1)</f>
        <v>10</v>
      </c>
      <c r="O1799" t="str">
        <f t="array" ref="O1799">_xlfn.IFS(orders[[#This Row],[Customer Gender]]="M","Male", orders[[#This Row],[Customer Gender]]="F","Female", orders[[#This Row],[Customer Gender]]="O","Other", TRUE(),"Unknown")</f>
        <v>Male</v>
      </c>
    </row>
    <row r="1800" spans="1:15" x14ac:dyDescent="0.25">
      <c r="A1800" t="s">
        <v>2028</v>
      </c>
      <c r="B1800" t="s">
        <v>85</v>
      </c>
      <c r="C1800">
        <v>3</v>
      </c>
      <c r="D1800">
        <v>26</v>
      </c>
      <c r="E1800">
        <v>78</v>
      </c>
      <c r="F1800" s="58">
        <v>45723</v>
      </c>
      <c r="G1800" s="58">
        <v>45728</v>
      </c>
      <c r="H1800" t="s">
        <v>231</v>
      </c>
      <c r="I1800" t="s">
        <v>59</v>
      </c>
      <c r="J1800">
        <v>4</v>
      </c>
      <c r="K1800" t="s">
        <v>103</v>
      </c>
      <c r="L1800" t="s">
        <v>142</v>
      </c>
      <c r="M1800">
        <f>orders[[#This Row],[Ship Date]]-orders[[#This Row],[Order Date]]</f>
        <v>5</v>
      </c>
      <c r="N1800">
        <f>WEEKNUM(orders[[#This Row],[Order Date]],1)</f>
        <v>10</v>
      </c>
      <c r="O1800" t="str">
        <f t="array" ref="O1800">_xlfn.IFS(orders[[#This Row],[Customer Gender]]="M","Male", orders[[#This Row],[Customer Gender]]="F","Female", orders[[#This Row],[Customer Gender]]="O","Other", TRUE(),"Unknown")</f>
        <v>Female</v>
      </c>
    </row>
    <row r="1801" spans="1:15" x14ac:dyDescent="0.25">
      <c r="A1801" t="s">
        <v>2029</v>
      </c>
      <c r="B1801" t="s">
        <v>90</v>
      </c>
      <c r="C1801">
        <v>19</v>
      </c>
      <c r="D1801">
        <v>28.3</v>
      </c>
      <c r="E1801">
        <v>537.70000000000005</v>
      </c>
      <c r="F1801" s="58">
        <v>45723</v>
      </c>
      <c r="G1801" s="58">
        <v>45724</v>
      </c>
      <c r="H1801" t="s">
        <v>231</v>
      </c>
      <c r="I1801" t="s">
        <v>60</v>
      </c>
      <c r="J1801">
        <v>2</v>
      </c>
      <c r="K1801" t="s">
        <v>103</v>
      </c>
      <c r="L1801" t="s">
        <v>142</v>
      </c>
      <c r="M1801">
        <f>orders[[#This Row],[Ship Date]]-orders[[#This Row],[Order Date]]</f>
        <v>1</v>
      </c>
      <c r="N1801">
        <f>WEEKNUM(orders[[#This Row],[Order Date]],1)</f>
        <v>10</v>
      </c>
      <c r="O1801" t="str">
        <f t="array" ref="O1801">_xlfn.IFS(orders[[#This Row],[Customer Gender]]="M","Male", orders[[#This Row],[Customer Gender]]="F","Female", orders[[#This Row],[Customer Gender]]="O","Other", TRUE(),"Unknown")</f>
        <v>Female</v>
      </c>
    </row>
    <row r="1802" spans="1:15" x14ac:dyDescent="0.25">
      <c r="A1802" t="s">
        <v>2030</v>
      </c>
      <c r="B1802" t="s">
        <v>90</v>
      </c>
      <c r="C1802">
        <v>4</v>
      </c>
      <c r="D1802">
        <v>31.3</v>
      </c>
      <c r="E1802">
        <v>125.2</v>
      </c>
      <c r="F1802" s="58">
        <v>45723</v>
      </c>
      <c r="G1802" s="58">
        <v>45723</v>
      </c>
      <c r="H1802" t="s">
        <v>231</v>
      </c>
      <c r="I1802" t="s">
        <v>59</v>
      </c>
      <c r="J1802">
        <v>4</v>
      </c>
      <c r="K1802" t="s">
        <v>103</v>
      </c>
      <c r="L1802" t="s">
        <v>142</v>
      </c>
      <c r="M1802">
        <f>orders[[#This Row],[Ship Date]]-orders[[#This Row],[Order Date]]</f>
        <v>0</v>
      </c>
      <c r="N1802">
        <f>WEEKNUM(orders[[#This Row],[Order Date]],1)</f>
        <v>10</v>
      </c>
      <c r="O1802" t="str">
        <f t="array" ref="O1802">_xlfn.IFS(orders[[#This Row],[Customer Gender]]="M","Male", orders[[#This Row],[Customer Gender]]="F","Female", orders[[#This Row],[Customer Gender]]="O","Other", TRUE(),"Unknown")</f>
        <v>Female</v>
      </c>
    </row>
    <row r="1803" spans="1:15" x14ac:dyDescent="0.25">
      <c r="A1803" t="s">
        <v>2031</v>
      </c>
      <c r="B1803" t="s">
        <v>79</v>
      </c>
      <c r="C1803">
        <v>3</v>
      </c>
      <c r="D1803">
        <v>69.5</v>
      </c>
      <c r="E1803">
        <v>208.5</v>
      </c>
      <c r="F1803" s="58">
        <v>45723</v>
      </c>
      <c r="G1803" s="58">
        <v>45724</v>
      </c>
      <c r="H1803" t="s">
        <v>231</v>
      </c>
      <c r="I1803" t="s">
        <v>60</v>
      </c>
      <c r="J1803">
        <v>5</v>
      </c>
      <c r="K1803" t="s">
        <v>103</v>
      </c>
      <c r="L1803" t="s">
        <v>142</v>
      </c>
      <c r="M1803">
        <f>orders[[#This Row],[Ship Date]]-orders[[#This Row],[Order Date]]</f>
        <v>1</v>
      </c>
      <c r="N1803">
        <f>WEEKNUM(orders[[#This Row],[Order Date]],1)</f>
        <v>10</v>
      </c>
      <c r="O1803" t="str">
        <f t="array" ref="O1803">_xlfn.IFS(orders[[#This Row],[Customer Gender]]="M","Male", orders[[#This Row],[Customer Gender]]="F","Female", orders[[#This Row],[Customer Gender]]="O","Other", TRUE(),"Unknown")</f>
        <v>Female</v>
      </c>
    </row>
    <row r="1804" spans="1:15" x14ac:dyDescent="0.25">
      <c r="A1804" t="s">
        <v>2032</v>
      </c>
      <c r="B1804" t="s">
        <v>86</v>
      </c>
      <c r="C1804">
        <v>2</v>
      </c>
      <c r="D1804">
        <v>16.7</v>
      </c>
      <c r="E1804">
        <v>33.4</v>
      </c>
      <c r="F1804" s="58">
        <v>45723</v>
      </c>
      <c r="G1804" s="58">
        <v>45724</v>
      </c>
      <c r="H1804" t="s">
        <v>231</v>
      </c>
      <c r="I1804" t="s">
        <v>60</v>
      </c>
      <c r="J1804">
        <v>3</v>
      </c>
      <c r="K1804" t="s">
        <v>103</v>
      </c>
      <c r="L1804" t="s">
        <v>142</v>
      </c>
      <c r="M1804">
        <f>orders[[#This Row],[Ship Date]]-orders[[#This Row],[Order Date]]</f>
        <v>1</v>
      </c>
      <c r="N1804">
        <f>WEEKNUM(orders[[#This Row],[Order Date]],1)</f>
        <v>10</v>
      </c>
      <c r="O1804" t="str">
        <f t="array" ref="O1804">_xlfn.IFS(orders[[#This Row],[Customer Gender]]="M","Male", orders[[#This Row],[Customer Gender]]="F","Female", orders[[#This Row],[Customer Gender]]="O","Other", TRUE(),"Unknown")</f>
        <v>Female</v>
      </c>
    </row>
    <row r="1805" spans="1:15" x14ac:dyDescent="0.25">
      <c r="A1805" t="s">
        <v>2033</v>
      </c>
      <c r="B1805" t="s">
        <v>88</v>
      </c>
      <c r="C1805">
        <v>2</v>
      </c>
      <c r="D1805">
        <v>62.6</v>
      </c>
      <c r="E1805">
        <v>125.2</v>
      </c>
      <c r="F1805" s="58">
        <v>45723</v>
      </c>
      <c r="G1805" s="58">
        <v>45724</v>
      </c>
      <c r="H1805" t="s">
        <v>229</v>
      </c>
      <c r="I1805" t="s">
        <v>62</v>
      </c>
      <c r="J1805">
        <v>5</v>
      </c>
      <c r="K1805" t="s">
        <v>103</v>
      </c>
      <c r="L1805" t="s">
        <v>146</v>
      </c>
      <c r="M1805">
        <f>orders[[#This Row],[Ship Date]]-orders[[#This Row],[Order Date]]</f>
        <v>1</v>
      </c>
      <c r="N1805">
        <f>WEEKNUM(orders[[#This Row],[Order Date]],1)</f>
        <v>10</v>
      </c>
      <c r="O1805" t="str">
        <f t="array" ref="O1805">_xlfn.IFS(orders[[#This Row],[Customer Gender]]="M","Male", orders[[#This Row],[Customer Gender]]="F","Female", orders[[#This Row],[Customer Gender]]="O","Other", TRUE(),"Unknown")</f>
        <v>Male</v>
      </c>
    </row>
    <row r="1806" spans="1:15" x14ac:dyDescent="0.25">
      <c r="A1806" t="s">
        <v>2034</v>
      </c>
      <c r="B1806" t="s">
        <v>79</v>
      </c>
      <c r="C1806">
        <v>1</v>
      </c>
      <c r="D1806">
        <v>81.2</v>
      </c>
      <c r="E1806">
        <v>81.2</v>
      </c>
      <c r="F1806" s="58">
        <v>45723</v>
      </c>
      <c r="G1806" s="58">
        <v>45729</v>
      </c>
      <c r="H1806" t="s">
        <v>229</v>
      </c>
      <c r="I1806" t="s">
        <v>61</v>
      </c>
      <c r="J1806">
        <v>2</v>
      </c>
      <c r="K1806" t="s">
        <v>103</v>
      </c>
      <c r="L1806" t="s">
        <v>146</v>
      </c>
      <c r="M1806">
        <f>orders[[#This Row],[Ship Date]]-orders[[#This Row],[Order Date]]</f>
        <v>6</v>
      </c>
      <c r="N1806">
        <f>WEEKNUM(orders[[#This Row],[Order Date]],1)</f>
        <v>10</v>
      </c>
      <c r="O1806" t="str">
        <f t="array" ref="O1806">_xlfn.IFS(orders[[#This Row],[Customer Gender]]="M","Male", orders[[#This Row],[Customer Gender]]="F","Female", orders[[#This Row],[Customer Gender]]="O","Other", TRUE(),"Unknown")</f>
        <v>Male</v>
      </c>
    </row>
    <row r="1807" spans="1:15" x14ac:dyDescent="0.25">
      <c r="A1807" t="s">
        <v>2035</v>
      </c>
      <c r="B1807" t="s">
        <v>86</v>
      </c>
      <c r="C1807">
        <v>10</v>
      </c>
      <c r="D1807">
        <v>12.7</v>
      </c>
      <c r="E1807">
        <v>127</v>
      </c>
      <c r="F1807" s="58">
        <v>45723</v>
      </c>
      <c r="G1807" s="58">
        <v>45724</v>
      </c>
      <c r="H1807" t="s">
        <v>231</v>
      </c>
      <c r="I1807" t="s">
        <v>59</v>
      </c>
      <c r="J1807">
        <v>5</v>
      </c>
      <c r="K1807" t="s">
        <v>103</v>
      </c>
      <c r="L1807" t="s">
        <v>146</v>
      </c>
      <c r="M1807">
        <f>orders[[#This Row],[Ship Date]]-orders[[#This Row],[Order Date]]</f>
        <v>1</v>
      </c>
      <c r="N1807">
        <f>WEEKNUM(orders[[#This Row],[Order Date]],1)</f>
        <v>10</v>
      </c>
      <c r="O1807" t="str">
        <f t="array" ref="O1807">_xlfn.IFS(orders[[#This Row],[Customer Gender]]="M","Male", orders[[#This Row],[Customer Gender]]="F","Female", orders[[#This Row],[Customer Gender]]="O","Other", TRUE(),"Unknown")</f>
        <v>Female</v>
      </c>
    </row>
    <row r="1808" spans="1:15" x14ac:dyDescent="0.25">
      <c r="A1808" t="s">
        <v>2036</v>
      </c>
      <c r="B1808" t="s">
        <v>79</v>
      </c>
      <c r="C1808">
        <v>4</v>
      </c>
      <c r="D1808">
        <v>77.7</v>
      </c>
      <c r="E1808">
        <v>310.8</v>
      </c>
      <c r="F1808" s="58">
        <v>45724</v>
      </c>
      <c r="G1808" s="58">
        <v>45728</v>
      </c>
      <c r="H1808" t="s">
        <v>229</v>
      </c>
      <c r="I1808" t="s">
        <v>63</v>
      </c>
      <c r="J1808">
        <v>4</v>
      </c>
      <c r="K1808" t="s">
        <v>103</v>
      </c>
      <c r="L1808" t="s">
        <v>148</v>
      </c>
      <c r="M1808">
        <f>orders[[#This Row],[Ship Date]]-orders[[#This Row],[Order Date]]</f>
        <v>4</v>
      </c>
      <c r="N1808">
        <f>WEEKNUM(orders[[#This Row],[Order Date]],1)</f>
        <v>10</v>
      </c>
      <c r="O1808" t="str">
        <f t="array" ref="O1808">_xlfn.IFS(orders[[#This Row],[Customer Gender]]="M","Male", orders[[#This Row],[Customer Gender]]="F","Female", orders[[#This Row],[Customer Gender]]="O","Other", TRUE(),"Unknown")</f>
        <v>Male</v>
      </c>
    </row>
    <row r="1809" spans="1:15" x14ac:dyDescent="0.25">
      <c r="A1809" t="s">
        <v>2037</v>
      </c>
      <c r="B1809" t="s">
        <v>85</v>
      </c>
      <c r="C1809">
        <v>2</v>
      </c>
      <c r="D1809">
        <v>37.299999999999997</v>
      </c>
      <c r="E1809">
        <v>74.599999999999994</v>
      </c>
      <c r="F1809" s="58">
        <v>45724</v>
      </c>
      <c r="G1809" s="58">
        <v>45725</v>
      </c>
      <c r="H1809" t="s">
        <v>231</v>
      </c>
      <c r="I1809" t="s">
        <v>59</v>
      </c>
      <c r="J1809">
        <v>5</v>
      </c>
      <c r="K1809" t="s">
        <v>103</v>
      </c>
      <c r="L1809" t="s">
        <v>154</v>
      </c>
      <c r="M1809">
        <f>orders[[#This Row],[Ship Date]]-orders[[#This Row],[Order Date]]</f>
        <v>1</v>
      </c>
      <c r="N1809">
        <f>WEEKNUM(orders[[#This Row],[Order Date]],1)</f>
        <v>10</v>
      </c>
      <c r="O1809" t="str">
        <f t="array" ref="O1809">_xlfn.IFS(orders[[#This Row],[Customer Gender]]="M","Male", orders[[#This Row],[Customer Gender]]="F","Female", orders[[#This Row],[Customer Gender]]="O","Other", TRUE(),"Unknown")</f>
        <v>Female</v>
      </c>
    </row>
    <row r="1810" spans="1:15" x14ac:dyDescent="0.25">
      <c r="A1810" t="s">
        <v>2038</v>
      </c>
      <c r="B1810" t="s">
        <v>75</v>
      </c>
      <c r="C1810">
        <v>4</v>
      </c>
      <c r="D1810">
        <v>35.6</v>
      </c>
      <c r="E1810">
        <v>142.4</v>
      </c>
      <c r="F1810" s="58">
        <v>45724</v>
      </c>
      <c r="G1810" s="58">
        <v>45726</v>
      </c>
      <c r="H1810" t="s">
        <v>231</v>
      </c>
      <c r="I1810" t="s">
        <v>63</v>
      </c>
      <c r="J1810">
        <v>3</v>
      </c>
      <c r="K1810" t="s">
        <v>103</v>
      </c>
      <c r="L1810" t="s">
        <v>155</v>
      </c>
      <c r="M1810">
        <f>orders[[#This Row],[Ship Date]]-orders[[#This Row],[Order Date]]</f>
        <v>2</v>
      </c>
      <c r="N1810">
        <f>WEEKNUM(orders[[#This Row],[Order Date]],1)</f>
        <v>10</v>
      </c>
      <c r="O1810" t="str">
        <f t="array" ref="O1810">_xlfn.IFS(orders[[#This Row],[Customer Gender]]="M","Male", orders[[#This Row],[Customer Gender]]="F","Female", orders[[#This Row],[Customer Gender]]="O","Other", TRUE(),"Unknown")</f>
        <v>Female</v>
      </c>
    </row>
    <row r="1811" spans="1:15" x14ac:dyDescent="0.25">
      <c r="A1811" t="s">
        <v>2039</v>
      </c>
      <c r="B1811" t="s">
        <v>87</v>
      </c>
      <c r="C1811">
        <v>3</v>
      </c>
      <c r="D1811">
        <v>95</v>
      </c>
      <c r="E1811">
        <v>285</v>
      </c>
      <c r="F1811" s="58">
        <v>45724</v>
      </c>
      <c r="G1811" s="58">
        <v>45728</v>
      </c>
      <c r="H1811" t="s">
        <v>231</v>
      </c>
      <c r="I1811" t="s">
        <v>62</v>
      </c>
      <c r="J1811">
        <v>5</v>
      </c>
      <c r="K1811" t="s">
        <v>103</v>
      </c>
      <c r="L1811" t="s">
        <v>163</v>
      </c>
      <c r="M1811">
        <f>orders[[#This Row],[Ship Date]]-orders[[#This Row],[Order Date]]</f>
        <v>4</v>
      </c>
      <c r="N1811">
        <f>WEEKNUM(orders[[#This Row],[Order Date]],1)</f>
        <v>10</v>
      </c>
      <c r="O1811" t="str">
        <f t="array" ref="O1811">_xlfn.IFS(orders[[#This Row],[Customer Gender]]="M","Male", orders[[#This Row],[Customer Gender]]="F","Female", orders[[#This Row],[Customer Gender]]="O","Other", TRUE(),"Unknown")</f>
        <v>Female</v>
      </c>
    </row>
    <row r="1812" spans="1:15" x14ac:dyDescent="0.25">
      <c r="A1812" t="s">
        <v>2040</v>
      </c>
      <c r="B1812" t="s">
        <v>87</v>
      </c>
      <c r="C1812">
        <v>4</v>
      </c>
      <c r="D1812">
        <v>172.1</v>
      </c>
      <c r="E1812">
        <v>688.4</v>
      </c>
      <c r="F1812" s="58">
        <v>45724</v>
      </c>
      <c r="G1812" s="58">
        <v>45728</v>
      </c>
      <c r="H1812" t="s">
        <v>263</v>
      </c>
      <c r="I1812" t="s">
        <v>62</v>
      </c>
      <c r="J1812">
        <v>5</v>
      </c>
      <c r="K1812" t="s">
        <v>103</v>
      </c>
      <c r="L1812" t="s">
        <v>106</v>
      </c>
      <c r="M1812">
        <f>orders[[#This Row],[Ship Date]]-orders[[#This Row],[Order Date]]</f>
        <v>4</v>
      </c>
      <c r="N1812">
        <f>WEEKNUM(orders[[#This Row],[Order Date]],1)</f>
        <v>10</v>
      </c>
      <c r="O1812" t="str">
        <f t="array" ref="O1812">_xlfn.IFS(orders[[#This Row],[Customer Gender]]="M","Male", orders[[#This Row],[Customer Gender]]="F","Female", orders[[#This Row],[Customer Gender]]="O","Other", TRUE(),"Unknown")</f>
        <v>Other</v>
      </c>
    </row>
    <row r="1813" spans="1:15" x14ac:dyDescent="0.25">
      <c r="A1813" t="s">
        <v>2041</v>
      </c>
      <c r="B1813" t="s">
        <v>87</v>
      </c>
      <c r="C1813">
        <v>2</v>
      </c>
      <c r="D1813">
        <v>233</v>
      </c>
      <c r="E1813">
        <v>466</v>
      </c>
      <c r="F1813" s="58">
        <v>45724</v>
      </c>
      <c r="G1813" s="58">
        <v>45727</v>
      </c>
      <c r="H1813" t="s">
        <v>231</v>
      </c>
      <c r="I1813" t="s">
        <v>63</v>
      </c>
      <c r="J1813">
        <v>4</v>
      </c>
      <c r="K1813" t="s">
        <v>103</v>
      </c>
      <c r="L1813" t="s">
        <v>106</v>
      </c>
      <c r="M1813">
        <f>orders[[#This Row],[Ship Date]]-orders[[#This Row],[Order Date]]</f>
        <v>3</v>
      </c>
      <c r="N1813">
        <f>WEEKNUM(orders[[#This Row],[Order Date]],1)</f>
        <v>10</v>
      </c>
      <c r="O1813" t="str">
        <f t="array" ref="O1813">_xlfn.IFS(orders[[#This Row],[Customer Gender]]="M","Male", orders[[#This Row],[Customer Gender]]="F","Female", orders[[#This Row],[Customer Gender]]="O","Other", TRUE(),"Unknown")</f>
        <v>Female</v>
      </c>
    </row>
    <row r="1814" spans="1:15" x14ac:dyDescent="0.25">
      <c r="A1814" t="s">
        <v>2042</v>
      </c>
      <c r="B1814" t="s">
        <v>86</v>
      </c>
      <c r="C1814">
        <v>1</v>
      </c>
      <c r="D1814">
        <v>43.5</v>
      </c>
      <c r="E1814">
        <v>43.5</v>
      </c>
      <c r="F1814" s="58">
        <v>45724</v>
      </c>
      <c r="G1814" s="58">
        <v>45725</v>
      </c>
      <c r="H1814" t="s">
        <v>231</v>
      </c>
      <c r="I1814" t="s">
        <v>62</v>
      </c>
      <c r="J1814">
        <v>5</v>
      </c>
      <c r="K1814" t="s">
        <v>103</v>
      </c>
      <c r="L1814" t="s">
        <v>106</v>
      </c>
      <c r="M1814">
        <f>orders[[#This Row],[Ship Date]]-orders[[#This Row],[Order Date]]</f>
        <v>1</v>
      </c>
      <c r="N1814">
        <f>WEEKNUM(orders[[#This Row],[Order Date]],1)</f>
        <v>10</v>
      </c>
      <c r="O1814" t="str">
        <f t="array" ref="O1814">_xlfn.IFS(orders[[#This Row],[Customer Gender]]="M","Male", orders[[#This Row],[Customer Gender]]="F","Female", orders[[#This Row],[Customer Gender]]="O","Other", TRUE(),"Unknown")</f>
        <v>Female</v>
      </c>
    </row>
    <row r="1815" spans="1:15" x14ac:dyDescent="0.25">
      <c r="A1815" t="s">
        <v>2043</v>
      </c>
      <c r="B1815" t="s">
        <v>88</v>
      </c>
      <c r="C1815">
        <v>2</v>
      </c>
      <c r="D1815">
        <v>47.8</v>
      </c>
      <c r="E1815">
        <v>95.6</v>
      </c>
      <c r="F1815" s="58">
        <v>45724</v>
      </c>
      <c r="G1815" s="58">
        <v>45727</v>
      </c>
      <c r="H1815" t="s">
        <v>229</v>
      </c>
      <c r="I1815" t="s">
        <v>61</v>
      </c>
      <c r="J1815">
        <v>5</v>
      </c>
      <c r="K1815" t="s">
        <v>103</v>
      </c>
      <c r="L1815" t="s">
        <v>112</v>
      </c>
      <c r="M1815">
        <f>orders[[#This Row],[Ship Date]]-orders[[#This Row],[Order Date]]</f>
        <v>3</v>
      </c>
      <c r="N1815">
        <f>WEEKNUM(orders[[#This Row],[Order Date]],1)</f>
        <v>10</v>
      </c>
      <c r="O1815" t="str">
        <f t="array" ref="O1815">_xlfn.IFS(orders[[#This Row],[Customer Gender]]="M","Male", orders[[#This Row],[Customer Gender]]="F","Female", orders[[#This Row],[Customer Gender]]="O","Other", TRUE(),"Unknown")</f>
        <v>Male</v>
      </c>
    </row>
    <row r="1816" spans="1:15" x14ac:dyDescent="0.25">
      <c r="A1816" t="s">
        <v>2044</v>
      </c>
      <c r="B1816" t="s">
        <v>76</v>
      </c>
      <c r="C1816">
        <v>2</v>
      </c>
      <c r="D1816">
        <v>65.8</v>
      </c>
      <c r="E1816">
        <v>131.6</v>
      </c>
      <c r="F1816" s="58">
        <v>45724</v>
      </c>
      <c r="G1816" s="58">
        <v>45726</v>
      </c>
      <c r="H1816" t="s">
        <v>231</v>
      </c>
      <c r="I1816" t="s">
        <v>59</v>
      </c>
      <c r="J1816">
        <v>1</v>
      </c>
      <c r="K1816" t="s">
        <v>103</v>
      </c>
      <c r="L1816" t="s">
        <v>118</v>
      </c>
      <c r="M1816">
        <f>orders[[#This Row],[Ship Date]]-orders[[#This Row],[Order Date]]</f>
        <v>2</v>
      </c>
      <c r="N1816">
        <f>WEEKNUM(orders[[#This Row],[Order Date]],1)</f>
        <v>10</v>
      </c>
      <c r="O1816" t="str">
        <f t="array" ref="O1816">_xlfn.IFS(orders[[#This Row],[Customer Gender]]="M","Male", orders[[#This Row],[Customer Gender]]="F","Female", orders[[#This Row],[Customer Gender]]="O","Other", TRUE(),"Unknown")</f>
        <v>Female</v>
      </c>
    </row>
    <row r="1817" spans="1:15" x14ac:dyDescent="0.25">
      <c r="A1817" t="s">
        <v>2045</v>
      </c>
      <c r="B1817" t="s">
        <v>77</v>
      </c>
      <c r="C1817">
        <v>11</v>
      </c>
      <c r="D1817">
        <v>38.700000000000003</v>
      </c>
      <c r="E1817">
        <v>425.7</v>
      </c>
      <c r="F1817" s="58">
        <v>45724</v>
      </c>
      <c r="G1817" s="58">
        <v>45724</v>
      </c>
      <c r="H1817" t="s">
        <v>229</v>
      </c>
      <c r="I1817" t="s">
        <v>59</v>
      </c>
      <c r="J1817">
        <v>4</v>
      </c>
      <c r="K1817" t="s">
        <v>103</v>
      </c>
      <c r="L1817" t="s">
        <v>120</v>
      </c>
      <c r="M1817">
        <f>orders[[#This Row],[Ship Date]]-orders[[#This Row],[Order Date]]</f>
        <v>0</v>
      </c>
      <c r="N1817">
        <f>WEEKNUM(orders[[#This Row],[Order Date]],1)</f>
        <v>10</v>
      </c>
      <c r="O1817" t="str">
        <f t="array" ref="O1817">_xlfn.IFS(orders[[#This Row],[Customer Gender]]="M","Male", orders[[#This Row],[Customer Gender]]="F","Female", orders[[#This Row],[Customer Gender]]="O","Other", TRUE(),"Unknown")</f>
        <v>Male</v>
      </c>
    </row>
    <row r="1818" spans="1:15" x14ac:dyDescent="0.25">
      <c r="A1818" t="s">
        <v>2046</v>
      </c>
      <c r="B1818" t="s">
        <v>93</v>
      </c>
      <c r="C1818">
        <v>4</v>
      </c>
      <c r="D1818">
        <v>55.7</v>
      </c>
      <c r="E1818">
        <v>222.8</v>
      </c>
      <c r="F1818" s="58">
        <v>45724</v>
      </c>
      <c r="G1818" s="58">
        <v>45726</v>
      </c>
      <c r="H1818" t="s">
        <v>263</v>
      </c>
      <c r="I1818" t="s">
        <v>59</v>
      </c>
      <c r="J1818">
        <v>3</v>
      </c>
      <c r="K1818" t="s">
        <v>103</v>
      </c>
      <c r="L1818" t="s">
        <v>120</v>
      </c>
      <c r="M1818">
        <f>orders[[#This Row],[Ship Date]]-orders[[#This Row],[Order Date]]</f>
        <v>2</v>
      </c>
      <c r="N1818">
        <f>WEEKNUM(orders[[#This Row],[Order Date]],1)</f>
        <v>10</v>
      </c>
      <c r="O1818" t="str">
        <f t="array" ref="O1818">_xlfn.IFS(orders[[#This Row],[Customer Gender]]="M","Male", orders[[#This Row],[Customer Gender]]="F","Female", orders[[#This Row],[Customer Gender]]="O","Other", TRUE(),"Unknown")</f>
        <v>Other</v>
      </c>
    </row>
    <row r="1819" spans="1:15" x14ac:dyDescent="0.25">
      <c r="A1819" t="s">
        <v>2047</v>
      </c>
      <c r="B1819" t="s">
        <v>79</v>
      </c>
      <c r="C1819">
        <v>2</v>
      </c>
      <c r="D1819">
        <v>102.4</v>
      </c>
      <c r="E1819">
        <v>204.8</v>
      </c>
      <c r="F1819" s="58">
        <v>45724</v>
      </c>
      <c r="G1819" s="58">
        <v>45724</v>
      </c>
      <c r="H1819" t="s">
        <v>231</v>
      </c>
      <c r="I1819" t="s">
        <v>63</v>
      </c>
      <c r="J1819">
        <v>4</v>
      </c>
      <c r="K1819" t="s">
        <v>103</v>
      </c>
      <c r="L1819" t="s">
        <v>124</v>
      </c>
      <c r="M1819">
        <f>orders[[#This Row],[Ship Date]]-orders[[#This Row],[Order Date]]</f>
        <v>0</v>
      </c>
      <c r="N1819">
        <f>WEEKNUM(orders[[#This Row],[Order Date]],1)</f>
        <v>10</v>
      </c>
      <c r="O1819" t="str">
        <f t="array" ref="O1819">_xlfn.IFS(orders[[#This Row],[Customer Gender]]="M","Male", orders[[#This Row],[Customer Gender]]="F","Female", orders[[#This Row],[Customer Gender]]="O","Other", TRUE(),"Unknown")</f>
        <v>Female</v>
      </c>
    </row>
    <row r="1820" spans="1:15" x14ac:dyDescent="0.25">
      <c r="A1820" t="s">
        <v>2048</v>
      </c>
      <c r="B1820" t="s">
        <v>91</v>
      </c>
      <c r="C1820">
        <v>1</v>
      </c>
      <c r="D1820">
        <v>92</v>
      </c>
      <c r="E1820">
        <v>92</v>
      </c>
      <c r="F1820" s="58">
        <v>45724</v>
      </c>
      <c r="G1820" s="58">
        <v>45728</v>
      </c>
      <c r="I1820" t="s">
        <v>62</v>
      </c>
      <c r="J1820">
        <v>4</v>
      </c>
      <c r="K1820" t="s">
        <v>103</v>
      </c>
      <c r="L1820" t="s">
        <v>124</v>
      </c>
      <c r="M1820">
        <f>orders[[#This Row],[Ship Date]]-orders[[#This Row],[Order Date]]</f>
        <v>4</v>
      </c>
      <c r="N1820">
        <f>WEEKNUM(orders[[#This Row],[Order Date]],1)</f>
        <v>10</v>
      </c>
      <c r="O1820" t="str">
        <f t="array" ref="O1820">_xlfn.IFS(orders[[#This Row],[Customer Gender]]="M","Male", orders[[#This Row],[Customer Gender]]="F","Female", orders[[#This Row],[Customer Gender]]="O","Other", TRUE(),"Unknown")</f>
        <v>Unknown</v>
      </c>
    </row>
    <row r="1821" spans="1:15" x14ac:dyDescent="0.25">
      <c r="A1821" t="s">
        <v>2049</v>
      </c>
      <c r="B1821" t="s">
        <v>80</v>
      </c>
      <c r="C1821">
        <v>4</v>
      </c>
      <c r="D1821">
        <v>75.900000000000006</v>
      </c>
      <c r="E1821">
        <v>303.60000000000002</v>
      </c>
      <c r="F1821" s="58">
        <v>45724</v>
      </c>
      <c r="G1821" s="58">
        <v>45726</v>
      </c>
      <c r="H1821" t="s">
        <v>231</v>
      </c>
      <c r="I1821" t="s">
        <v>63</v>
      </c>
      <c r="J1821">
        <v>4</v>
      </c>
      <c r="K1821" t="s">
        <v>103</v>
      </c>
      <c r="L1821" t="s">
        <v>124</v>
      </c>
      <c r="M1821">
        <f>orders[[#This Row],[Ship Date]]-orders[[#This Row],[Order Date]]</f>
        <v>2</v>
      </c>
      <c r="N1821">
        <f>WEEKNUM(orders[[#This Row],[Order Date]],1)</f>
        <v>10</v>
      </c>
      <c r="O1821" t="str">
        <f t="array" ref="O1821">_xlfn.IFS(orders[[#This Row],[Customer Gender]]="M","Male", orders[[#This Row],[Customer Gender]]="F","Female", orders[[#This Row],[Customer Gender]]="O","Other", TRUE(),"Unknown")</f>
        <v>Female</v>
      </c>
    </row>
    <row r="1822" spans="1:15" x14ac:dyDescent="0.25">
      <c r="A1822" t="s">
        <v>2050</v>
      </c>
      <c r="B1822" t="s">
        <v>91</v>
      </c>
      <c r="C1822">
        <v>4</v>
      </c>
      <c r="D1822">
        <v>36.200000000000003</v>
      </c>
      <c r="E1822">
        <v>144.80000000000001</v>
      </c>
      <c r="F1822" s="58">
        <v>45724</v>
      </c>
      <c r="G1822" s="58">
        <v>45725</v>
      </c>
      <c r="H1822" t="s">
        <v>231</v>
      </c>
      <c r="I1822" t="s">
        <v>63</v>
      </c>
      <c r="J1822">
        <v>4</v>
      </c>
      <c r="K1822" t="s">
        <v>103</v>
      </c>
      <c r="L1822" t="s">
        <v>124</v>
      </c>
      <c r="M1822">
        <f>orders[[#This Row],[Ship Date]]-orders[[#This Row],[Order Date]]</f>
        <v>1</v>
      </c>
      <c r="N1822">
        <f>WEEKNUM(orders[[#This Row],[Order Date]],1)</f>
        <v>10</v>
      </c>
      <c r="O1822" t="str">
        <f t="array" ref="O1822">_xlfn.IFS(orders[[#This Row],[Customer Gender]]="M","Male", orders[[#This Row],[Customer Gender]]="F","Female", orders[[#This Row],[Customer Gender]]="O","Other", TRUE(),"Unknown")</f>
        <v>Female</v>
      </c>
    </row>
    <row r="1823" spans="1:15" x14ac:dyDescent="0.25">
      <c r="A1823" t="s">
        <v>2051</v>
      </c>
      <c r="B1823" t="s">
        <v>80</v>
      </c>
      <c r="C1823">
        <v>87</v>
      </c>
      <c r="D1823">
        <v>83.5</v>
      </c>
      <c r="E1823">
        <v>7264.5</v>
      </c>
      <c r="F1823" s="58">
        <v>45724</v>
      </c>
      <c r="G1823" s="58">
        <v>45726</v>
      </c>
      <c r="I1823" t="s">
        <v>60</v>
      </c>
      <c r="J1823">
        <v>4</v>
      </c>
      <c r="K1823" t="s">
        <v>103</v>
      </c>
      <c r="L1823" t="s">
        <v>124</v>
      </c>
      <c r="M1823">
        <f>orders[[#This Row],[Ship Date]]-orders[[#This Row],[Order Date]]</f>
        <v>2</v>
      </c>
      <c r="N1823">
        <f>WEEKNUM(orders[[#This Row],[Order Date]],1)</f>
        <v>10</v>
      </c>
      <c r="O1823" t="str">
        <f t="array" ref="O1823">_xlfn.IFS(orders[[#This Row],[Customer Gender]]="M","Male", orders[[#This Row],[Customer Gender]]="F","Female", orders[[#This Row],[Customer Gender]]="O","Other", TRUE(),"Unknown")</f>
        <v>Unknown</v>
      </c>
    </row>
    <row r="1824" spans="1:15" x14ac:dyDescent="0.25">
      <c r="A1824" t="s">
        <v>2052</v>
      </c>
      <c r="B1824" t="s">
        <v>81</v>
      </c>
      <c r="C1824">
        <v>12</v>
      </c>
      <c r="D1824">
        <v>52.4</v>
      </c>
      <c r="E1824">
        <v>628.79999999999995</v>
      </c>
      <c r="F1824" s="58">
        <v>45724</v>
      </c>
      <c r="G1824" s="58">
        <v>45724</v>
      </c>
      <c r="H1824" t="s">
        <v>229</v>
      </c>
      <c r="I1824" t="s">
        <v>62</v>
      </c>
      <c r="J1824">
        <v>4</v>
      </c>
      <c r="K1824" t="s">
        <v>103</v>
      </c>
      <c r="L1824" t="s">
        <v>124</v>
      </c>
      <c r="M1824">
        <f>orders[[#This Row],[Ship Date]]-orders[[#This Row],[Order Date]]</f>
        <v>0</v>
      </c>
      <c r="N1824">
        <f>WEEKNUM(orders[[#This Row],[Order Date]],1)</f>
        <v>10</v>
      </c>
      <c r="O1824" t="str">
        <f t="array" ref="O1824">_xlfn.IFS(orders[[#This Row],[Customer Gender]]="M","Male", orders[[#This Row],[Customer Gender]]="F","Female", orders[[#This Row],[Customer Gender]]="O","Other", TRUE(),"Unknown")</f>
        <v>Male</v>
      </c>
    </row>
    <row r="1825" spans="1:15" x14ac:dyDescent="0.25">
      <c r="A1825" t="s">
        <v>2053</v>
      </c>
      <c r="B1825" t="s">
        <v>76</v>
      </c>
      <c r="C1825">
        <v>3</v>
      </c>
      <c r="D1825">
        <v>69.5</v>
      </c>
      <c r="E1825">
        <v>208.5</v>
      </c>
      <c r="F1825" s="58">
        <v>45724</v>
      </c>
      <c r="G1825" s="58">
        <v>45725</v>
      </c>
      <c r="H1825" t="s">
        <v>263</v>
      </c>
      <c r="I1825" t="s">
        <v>61</v>
      </c>
      <c r="J1825">
        <v>4</v>
      </c>
      <c r="K1825" t="s">
        <v>103</v>
      </c>
      <c r="L1825" t="s">
        <v>124</v>
      </c>
      <c r="M1825">
        <f>orders[[#This Row],[Ship Date]]-orders[[#This Row],[Order Date]]</f>
        <v>1</v>
      </c>
      <c r="N1825">
        <f>WEEKNUM(orders[[#This Row],[Order Date]],1)</f>
        <v>10</v>
      </c>
      <c r="O1825" t="str">
        <f t="array" ref="O1825">_xlfn.IFS(orders[[#This Row],[Customer Gender]]="M","Male", orders[[#This Row],[Customer Gender]]="F","Female", orders[[#This Row],[Customer Gender]]="O","Other", TRUE(),"Unknown")</f>
        <v>Other</v>
      </c>
    </row>
    <row r="1826" spans="1:15" x14ac:dyDescent="0.25">
      <c r="A1826" t="s">
        <v>2054</v>
      </c>
      <c r="B1826" t="s">
        <v>86</v>
      </c>
      <c r="C1826">
        <v>1</v>
      </c>
      <c r="D1826">
        <v>15.5</v>
      </c>
      <c r="E1826">
        <v>15.5</v>
      </c>
      <c r="F1826" s="58">
        <v>45724</v>
      </c>
      <c r="G1826" s="58">
        <v>45726</v>
      </c>
      <c r="H1826" t="s">
        <v>229</v>
      </c>
      <c r="I1826" t="s">
        <v>59</v>
      </c>
      <c r="J1826">
        <v>4</v>
      </c>
      <c r="K1826" t="s">
        <v>103</v>
      </c>
      <c r="L1826" t="s">
        <v>124</v>
      </c>
      <c r="M1826">
        <f>orders[[#This Row],[Ship Date]]-orders[[#This Row],[Order Date]]</f>
        <v>2</v>
      </c>
      <c r="N1826">
        <f>WEEKNUM(orders[[#This Row],[Order Date]],1)</f>
        <v>10</v>
      </c>
      <c r="O1826" t="str">
        <f t="array" ref="O1826">_xlfn.IFS(orders[[#This Row],[Customer Gender]]="M","Male", orders[[#This Row],[Customer Gender]]="F","Female", orders[[#This Row],[Customer Gender]]="O","Other", TRUE(),"Unknown")</f>
        <v>Male</v>
      </c>
    </row>
    <row r="1827" spans="1:15" x14ac:dyDescent="0.25">
      <c r="A1827" t="s">
        <v>2055</v>
      </c>
      <c r="B1827" t="s">
        <v>78</v>
      </c>
      <c r="C1827">
        <v>4</v>
      </c>
      <c r="D1827">
        <v>35.200000000000003</v>
      </c>
      <c r="E1827">
        <v>140.80000000000001</v>
      </c>
      <c r="F1827" s="58">
        <v>45724</v>
      </c>
      <c r="G1827" s="58">
        <v>45725</v>
      </c>
      <c r="H1827" t="s">
        <v>231</v>
      </c>
      <c r="I1827" t="s">
        <v>62</v>
      </c>
      <c r="J1827">
        <v>5</v>
      </c>
      <c r="K1827" t="s">
        <v>103</v>
      </c>
      <c r="L1827" t="s">
        <v>124</v>
      </c>
      <c r="M1827">
        <f>orders[[#This Row],[Ship Date]]-orders[[#This Row],[Order Date]]</f>
        <v>1</v>
      </c>
      <c r="N1827">
        <f>WEEKNUM(orders[[#This Row],[Order Date]],1)</f>
        <v>10</v>
      </c>
      <c r="O1827" t="str">
        <f t="array" ref="O1827">_xlfn.IFS(orders[[#This Row],[Customer Gender]]="M","Male", orders[[#This Row],[Customer Gender]]="F","Female", orders[[#This Row],[Customer Gender]]="O","Other", TRUE(),"Unknown")</f>
        <v>Female</v>
      </c>
    </row>
    <row r="1828" spans="1:15" x14ac:dyDescent="0.25">
      <c r="A1828" t="s">
        <v>2056</v>
      </c>
      <c r="B1828" t="s">
        <v>90</v>
      </c>
      <c r="C1828">
        <v>6</v>
      </c>
      <c r="D1828">
        <v>34.6</v>
      </c>
      <c r="E1828">
        <v>207.6</v>
      </c>
      <c r="F1828" s="58">
        <v>45724</v>
      </c>
      <c r="G1828" s="58">
        <v>45725</v>
      </c>
      <c r="I1828" t="s">
        <v>59</v>
      </c>
      <c r="J1828">
        <v>3</v>
      </c>
      <c r="K1828" t="s">
        <v>103</v>
      </c>
      <c r="L1828" t="s">
        <v>124</v>
      </c>
      <c r="M1828">
        <f>orders[[#This Row],[Ship Date]]-orders[[#This Row],[Order Date]]</f>
        <v>1</v>
      </c>
      <c r="N1828">
        <f>WEEKNUM(orders[[#This Row],[Order Date]],1)</f>
        <v>10</v>
      </c>
      <c r="O1828" t="str">
        <f t="array" ref="O1828">_xlfn.IFS(orders[[#This Row],[Customer Gender]]="M","Male", orders[[#This Row],[Customer Gender]]="F","Female", orders[[#This Row],[Customer Gender]]="O","Other", TRUE(),"Unknown")</f>
        <v>Unknown</v>
      </c>
    </row>
    <row r="1829" spans="1:15" x14ac:dyDescent="0.25">
      <c r="A1829" t="s">
        <v>2057</v>
      </c>
      <c r="B1829" t="s">
        <v>78</v>
      </c>
      <c r="C1829">
        <v>1</v>
      </c>
      <c r="D1829">
        <v>21.3</v>
      </c>
      <c r="E1829">
        <v>21.3</v>
      </c>
      <c r="F1829" s="58">
        <v>45725</v>
      </c>
      <c r="G1829" s="58">
        <v>45726</v>
      </c>
      <c r="H1829" t="s">
        <v>229</v>
      </c>
      <c r="I1829" t="s">
        <v>62</v>
      </c>
      <c r="J1829">
        <v>3</v>
      </c>
      <c r="K1829" t="s">
        <v>103</v>
      </c>
      <c r="L1829" t="s">
        <v>124</v>
      </c>
      <c r="M1829">
        <f>orders[[#This Row],[Ship Date]]-orders[[#This Row],[Order Date]]</f>
        <v>1</v>
      </c>
      <c r="N1829">
        <f>WEEKNUM(orders[[#This Row],[Order Date]],1)</f>
        <v>11</v>
      </c>
      <c r="O1829" t="str">
        <f t="array" ref="O1829">_xlfn.IFS(orders[[#This Row],[Customer Gender]]="M","Male", orders[[#This Row],[Customer Gender]]="F","Female", orders[[#This Row],[Customer Gender]]="O","Other", TRUE(),"Unknown")</f>
        <v>Male</v>
      </c>
    </row>
    <row r="1830" spans="1:15" x14ac:dyDescent="0.25">
      <c r="A1830" t="s">
        <v>2058</v>
      </c>
      <c r="B1830" t="s">
        <v>80</v>
      </c>
      <c r="C1830">
        <v>2</v>
      </c>
      <c r="D1830">
        <v>136.5</v>
      </c>
      <c r="E1830">
        <v>273</v>
      </c>
      <c r="F1830" s="58">
        <v>45725</v>
      </c>
      <c r="G1830" s="58">
        <v>45731</v>
      </c>
      <c r="H1830" t="s">
        <v>231</v>
      </c>
      <c r="I1830" t="s">
        <v>59</v>
      </c>
      <c r="J1830">
        <v>4</v>
      </c>
      <c r="K1830" t="s">
        <v>103</v>
      </c>
      <c r="L1830" t="s">
        <v>125</v>
      </c>
      <c r="M1830">
        <f>orders[[#This Row],[Ship Date]]-orders[[#This Row],[Order Date]]</f>
        <v>6</v>
      </c>
      <c r="N1830">
        <f>WEEKNUM(orders[[#This Row],[Order Date]],1)</f>
        <v>11</v>
      </c>
      <c r="O1830" t="str">
        <f t="array" ref="O1830">_xlfn.IFS(orders[[#This Row],[Customer Gender]]="M","Male", orders[[#This Row],[Customer Gender]]="F","Female", orders[[#This Row],[Customer Gender]]="O","Other", TRUE(),"Unknown")</f>
        <v>Female</v>
      </c>
    </row>
    <row r="1831" spans="1:15" x14ac:dyDescent="0.25">
      <c r="A1831" t="s">
        <v>2059</v>
      </c>
      <c r="B1831" t="s">
        <v>88</v>
      </c>
      <c r="C1831">
        <v>7</v>
      </c>
      <c r="D1831">
        <v>30.7</v>
      </c>
      <c r="E1831">
        <v>214.9</v>
      </c>
      <c r="F1831" s="58">
        <v>45725</v>
      </c>
      <c r="G1831" s="58">
        <v>45726</v>
      </c>
      <c r="H1831" t="s">
        <v>229</v>
      </c>
      <c r="I1831" t="s">
        <v>62</v>
      </c>
      <c r="J1831">
        <v>5</v>
      </c>
      <c r="K1831" t="s">
        <v>103</v>
      </c>
      <c r="L1831" t="s">
        <v>135</v>
      </c>
      <c r="M1831">
        <f>orders[[#This Row],[Ship Date]]-orders[[#This Row],[Order Date]]</f>
        <v>1</v>
      </c>
      <c r="N1831">
        <f>WEEKNUM(orders[[#This Row],[Order Date]],1)</f>
        <v>11</v>
      </c>
      <c r="O1831" t="str">
        <f t="array" ref="O1831">_xlfn.IFS(orders[[#This Row],[Customer Gender]]="M","Male", orders[[#This Row],[Customer Gender]]="F","Female", orders[[#This Row],[Customer Gender]]="O","Other", TRUE(),"Unknown")</f>
        <v>Male</v>
      </c>
    </row>
    <row r="1832" spans="1:15" x14ac:dyDescent="0.25">
      <c r="A1832" t="s">
        <v>2060</v>
      </c>
      <c r="B1832" t="s">
        <v>91</v>
      </c>
      <c r="C1832">
        <v>2</v>
      </c>
      <c r="D1832">
        <v>61.6</v>
      </c>
      <c r="E1832">
        <v>123.2</v>
      </c>
      <c r="F1832" s="58">
        <v>45725</v>
      </c>
      <c r="G1832" s="58">
        <v>45726</v>
      </c>
      <c r="H1832" t="s">
        <v>231</v>
      </c>
      <c r="I1832" t="s">
        <v>62</v>
      </c>
      <c r="J1832">
        <v>5</v>
      </c>
      <c r="K1832" t="s">
        <v>103</v>
      </c>
      <c r="L1832" t="s">
        <v>138</v>
      </c>
      <c r="M1832">
        <f>orders[[#This Row],[Ship Date]]-orders[[#This Row],[Order Date]]</f>
        <v>1</v>
      </c>
      <c r="N1832">
        <f>WEEKNUM(orders[[#This Row],[Order Date]],1)</f>
        <v>11</v>
      </c>
      <c r="O1832" t="str">
        <f t="array" ref="O1832">_xlfn.IFS(orders[[#This Row],[Customer Gender]]="M","Male", orders[[#This Row],[Customer Gender]]="F","Female", orders[[#This Row],[Customer Gender]]="O","Other", TRUE(),"Unknown")</f>
        <v>Female</v>
      </c>
    </row>
    <row r="1833" spans="1:15" x14ac:dyDescent="0.25">
      <c r="A1833" t="s">
        <v>2061</v>
      </c>
      <c r="B1833" t="s">
        <v>80</v>
      </c>
      <c r="C1833">
        <v>4</v>
      </c>
      <c r="D1833">
        <v>54.3</v>
      </c>
      <c r="E1833">
        <v>217.2</v>
      </c>
      <c r="F1833" s="58">
        <v>45725</v>
      </c>
      <c r="G1833" s="58">
        <v>45727</v>
      </c>
      <c r="I1833" t="s">
        <v>61</v>
      </c>
      <c r="J1833">
        <v>4</v>
      </c>
      <c r="K1833" t="s">
        <v>103</v>
      </c>
      <c r="L1833" t="s">
        <v>141</v>
      </c>
      <c r="M1833">
        <f>orders[[#This Row],[Ship Date]]-orders[[#This Row],[Order Date]]</f>
        <v>2</v>
      </c>
      <c r="N1833">
        <f>WEEKNUM(orders[[#This Row],[Order Date]],1)</f>
        <v>11</v>
      </c>
      <c r="O1833" t="str">
        <f t="array" ref="O1833">_xlfn.IFS(orders[[#This Row],[Customer Gender]]="M","Male", orders[[#This Row],[Customer Gender]]="F","Female", orders[[#This Row],[Customer Gender]]="O","Other", TRUE(),"Unknown")</f>
        <v>Unknown</v>
      </c>
    </row>
    <row r="1834" spans="1:15" x14ac:dyDescent="0.25">
      <c r="A1834" t="s">
        <v>2062</v>
      </c>
      <c r="B1834" t="s">
        <v>91</v>
      </c>
      <c r="C1834">
        <v>2</v>
      </c>
      <c r="D1834">
        <v>44.1</v>
      </c>
      <c r="E1834">
        <v>88.2</v>
      </c>
      <c r="F1834" s="58">
        <v>45725</v>
      </c>
      <c r="G1834" s="58">
        <v>45737</v>
      </c>
      <c r="H1834" t="s">
        <v>231</v>
      </c>
      <c r="I1834" t="s">
        <v>59</v>
      </c>
      <c r="J1834">
        <v>5</v>
      </c>
      <c r="K1834" t="s">
        <v>103</v>
      </c>
      <c r="L1834" t="s">
        <v>142</v>
      </c>
      <c r="M1834">
        <f>orders[[#This Row],[Ship Date]]-orders[[#This Row],[Order Date]]</f>
        <v>12</v>
      </c>
      <c r="N1834">
        <f>WEEKNUM(orders[[#This Row],[Order Date]],1)</f>
        <v>11</v>
      </c>
      <c r="O1834" t="str">
        <f t="array" ref="O1834">_xlfn.IFS(orders[[#This Row],[Customer Gender]]="M","Male", orders[[#This Row],[Customer Gender]]="F","Female", orders[[#This Row],[Customer Gender]]="O","Other", TRUE(),"Unknown")</f>
        <v>Female</v>
      </c>
    </row>
    <row r="1835" spans="1:15" x14ac:dyDescent="0.25">
      <c r="A1835" t="s">
        <v>2063</v>
      </c>
      <c r="B1835" t="s">
        <v>90</v>
      </c>
      <c r="C1835">
        <v>4</v>
      </c>
      <c r="D1835">
        <v>43.5</v>
      </c>
      <c r="E1835">
        <v>174</v>
      </c>
      <c r="F1835" s="58">
        <v>45725</v>
      </c>
      <c r="G1835" s="58">
        <v>45731</v>
      </c>
      <c r="H1835" t="s">
        <v>229</v>
      </c>
      <c r="I1835" t="s">
        <v>60</v>
      </c>
      <c r="J1835">
        <v>4</v>
      </c>
      <c r="K1835" t="s">
        <v>103</v>
      </c>
      <c r="L1835" t="s">
        <v>142</v>
      </c>
      <c r="M1835">
        <f>orders[[#This Row],[Ship Date]]-orders[[#This Row],[Order Date]]</f>
        <v>6</v>
      </c>
      <c r="N1835">
        <f>WEEKNUM(orders[[#This Row],[Order Date]],1)</f>
        <v>11</v>
      </c>
      <c r="O1835" t="str">
        <f t="array" ref="O1835">_xlfn.IFS(orders[[#This Row],[Customer Gender]]="M","Male", orders[[#This Row],[Customer Gender]]="F","Female", orders[[#This Row],[Customer Gender]]="O","Other", TRUE(),"Unknown")</f>
        <v>Male</v>
      </c>
    </row>
    <row r="1836" spans="1:15" x14ac:dyDescent="0.25">
      <c r="A1836" t="s">
        <v>2064</v>
      </c>
      <c r="B1836" t="s">
        <v>90</v>
      </c>
      <c r="C1836">
        <v>3</v>
      </c>
      <c r="D1836">
        <v>48.2</v>
      </c>
      <c r="E1836">
        <v>144.6</v>
      </c>
      <c r="F1836" s="58">
        <v>45725</v>
      </c>
      <c r="G1836" s="58">
        <v>45729</v>
      </c>
      <c r="H1836" t="s">
        <v>229</v>
      </c>
      <c r="I1836" t="s">
        <v>60</v>
      </c>
      <c r="J1836">
        <v>3</v>
      </c>
      <c r="K1836" t="s">
        <v>103</v>
      </c>
      <c r="L1836" t="s">
        <v>142</v>
      </c>
      <c r="M1836">
        <f>orders[[#This Row],[Ship Date]]-orders[[#This Row],[Order Date]]</f>
        <v>4</v>
      </c>
      <c r="N1836">
        <f>WEEKNUM(orders[[#This Row],[Order Date]],1)</f>
        <v>11</v>
      </c>
      <c r="O1836" t="str">
        <f t="array" ref="O1836">_xlfn.IFS(orders[[#This Row],[Customer Gender]]="M","Male", orders[[#This Row],[Customer Gender]]="F","Female", orders[[#This Row],[Customer Gender]]="O","Other", TRUE(),"Unknown")</f>
        <v>Male</v>
      </c>
    </row>
    <row r="1837" spans="1:15" x14ac:dyDescent="0.25">
      <c r="A1837" t="s">
        <v>2065</v>
      </c>
      <c r="B1837" t="s">
        <v>81</v>
      </c>
      <c r="C1837">
        <v>1</v>
      </c>
      <c r="D1837">
        <v>13.7</v>
      </c>
      <c r="E1837">
        <v>13.7</v>
      </c>
      <c r="F1837" s="58">
        <v>45725</v>
      </c>
      <c r="G1837" s="58">
        <v>45726</v>
      </c>
      <c r="H1837" t="s">
        <v>231</v>
      </c>
      <c r="I1837" t="s">
        <v>62</v>
      </c>
      <c r="J1837">
        <v>5</v>
      </c>
      <c r="K1837" t="s">
        <v>103</v>
      </c>
      <c r="L1837" t="s">
        <v>142</v>
      </c>
      <c r="M1837">
        <f>orders[[#This Row],[Ship Date]]-orders[[#This Row],[Order Date]]</f>
        <v>1</v>
      </c>
      <c r="N1837">
        <f>WEEKNUM(orders[[#This Row],[Order Date]],1)</f>
        <v>11</v>
      </c>
      <c r="O1837" t="str">
        <f t="array" ref="O1837">_xlfn.IFS(orders[[#This Row],[Customer Gender]]="M","Male", orders[[#This Row],[Customer Gender]]="F","Female", orders[[#This Row],[Customer Gender]]="O","Other", TRUE(),"Unknown")</f>
        <v>Female</v>
      </c>
    </row>
    <row r="1838" spans="1:15" x14ac:dyDescent="0.25">
      <c r="A1838" t="s">
        <v>2066</v>
      </c>
      <c r="B1838" t="s">
        <v>87</v>
      </c>
      <c r="C1838">
        <v>2</v>
      </c>
      <c r="D1838">
        <v>110.5</v>
      </c>
      <c r="E1838">
        <v>221</v>
      </c>
      <c r="F1838" s="58">
        <v>45725</v>
      </c>
      <c r="G1838" s="58">
        <v>45726</v>
      </c>
      <c r="H1838" t="s">
        <v>231</v>
      </c>
      <c r="I1838" t="s">
        <v>59</v>
      </c>
      <c r="J1838">
        <v>3</v>
      </c>
      <c r="K1838" t="s">
        <v>103</v>
      </c>
      <c r="L1838" t="s">
        <v>142</v>
      </c>
      <c r="M1838">
        <f>orders[[#This Row],[Ship Date]]-orders[[#This Row],[Order Date]]</f>
        <v>1</v>
      </c>
      <c r="N1838">
        <f>WEEKNUM(orders[[#This Row],[Order Date]],1)</f>
        <v>11</v>
      </c>
      <c r="O1838" t="str">
        <f t="array" ref="O1838">_xlfn.IFS(orders[[#This Row],[Customer Gender]]="M","Male", orders[[#This Row],[Customer Gender]]="F","Female", orders[[#This Row],[Customer Gender]]="O","Other", TRUE(),"Unknown")</f>
        <v>Female</v>
      </c>
    </row>
    <row r="1839" spans="1:15" x14ac:dyDescent="0.25">
      <c r="A1839" t="s">
        <v>2067</v>
      </c>
      <c r="B1839" t="s">
        <v>90</v>
      </c>
      <c r="C1839">
        <v>3</v>
      </c>
      <c r="D1839">
        <v>26</v>
      </c>
      <c r="E1839">
        <v>78</v>
      </c>
      <c r="F1839" s="58">
        <v>45725</v>
      </c>
      <c r="G1839" s="58">
        <v>45730</v>
      </c>
      <c r="H1839" t="s">
        <v>231</v>
      </c>
      <c r="I1839" t="s">
        <v>63</v>
      </c>
      <c r="J1839">
        <v>3</v>
      </c>
      <c r="K1839" t="s">
        <v>103</v>
      </c>
      <c r="L1839" t="s">
        <v>142</v>
      </c>
      <c r="M1839">
        <f>orders[[#This Row],[Ship Date]]-orders[[#This Row],[Order Date]]</f>
        <v>5</v>
      </c>
      <c r="N1839">
        <f>WEEKNUM(orders[[#This Row],[Order Date]],1)</f>
        <v>11</v>
      </c>
      <c r="O1839" t="str">
        <f t="array" ref="O1839">_xlfn.IFS(orders[[#This Row],[Customer Gender]]="M","Male", orders[[#This Row],[Customer Gender]]="F","Female", orders[[#This Row],[Customer Gender]]="O","Other", TRUE(),"Unknown")</f>
        <v>Female</v>
      </c>
    </row>
    <row r="1840" spans="1:15" x14ac:dyDescent="0.25">
      <c r="A1840" t="s">
        <v>2068</v>
      </c>
      <c r="B1840" t="s">
        <v>87</v>
      </c>
      <c r="C1840">
        <v>10</v>
      </c>
      <c r="D1840">
        <v>140.69999999999999</v>
      </c>
      <c r="E1840">
        <v>1407</v>
      </c>
      <c r="F1840" s="58">
        <v>45725</v>
      </c>
      <c r="G1840" s="58">
        <v>45731</v>
      </c>
      <c r="H1840" t="s">
        <v>229</v>
      </c>
      <c r="I1840" t="s">
        <v>60</v>
      </c>
      <c r="J1840">
        <v>3</v>
      </c>
      <c r="K1840" t="s">
        <v>103</v>
      </c>
      <c r="L1840" t="s">
        <v>142</v>
      </c>
      <c r="M1840">
        <f>orders[[#This Row],[Ship Date]]-orders[[#This Row],[Order Date]]</f>
        <v>6</v>
      </c>
      <c r="N1840">
        <f>WEEKNUM(orders[[#This Row],[Order Date]],1)</f>
        <v>11</v>
      </c>
      <c r="O1840" t="str">
        <f t="array" ref="O1840">_xlfn.IFS(orders[[#This Row],[Customer Gender]]="M","Male", orders[[#This Row],[Customer Gender]]="F","Female", orders[[#This Row],[Customer Gender]]="O","Other", TRUE(),"Unknown")</f>
        <v>Male</v>
      </c>
    </row>
    <row r="1841" spans="1:15" x14ac:dyDescent="0.25">
      <c r="A1841" t="s">
        <v>2069</v>
      </c>
      <c r="B1841" t="s">
        <v>84</v>
      </c>
      <c r="C1841">
        <v>2</v>
      </c>
      <c r="D1841">
        <v>41.7</v>
      </c>
      <c r="E1841">
        <v>83.4</v>
      </c>
      <c r="F1841" s="58">
        <v>45725</v>
      </c>
      <c r="G1841" s="58">
        <v>45733</v>
      </c>
      <c r="H1841" t="s">
        <v>231</v>
      </c>
      <c r="I1841" t="s">
        <v>59</v>
      </c>
      <c r="J1841">
        <v>2</v>
      </c>
      <c r="K1841" t="s">
        <v>103</v>
      </c>
      <c r="L1841" t="s">
        <v>142</v>
      </c>
      <c r="M1841">
        <f>orders[[#This Row],[Ship Date]]-orders[[#This Row],[Order Date]]</f>
        <v>8</v>
      </c>
      <c r="N1841">
        <f>WEEKNUM(orders[[#This Row],[Order Date]],1)</f>
        <v>11</v>
      </c>
      <c r="O1841" t="str">
        <f t="array" ref="O1841">_xlfn.IFS(orders[[#This Row],[Customer Gender]]="M","Male", orders[[#This Row],[Customer Gender]]="F","Female", orders[[#This Row],[Customer Gender]]="O","Other", TRUE(),"Unknown")</f>
        <v>Female</v>
      </c>
    </row>
    <row r="1842" spans="1:15" x14ac:dyDescent="0.25">
      <c r="A1842" t="s">
        <v>2070</v>
      </c>
      <c r="B1842" t="s">
        <v>87</v>
      </c>
      <c r="C1842">
        <v>2</v>
      </c>
      <c r="D1842">
        <v>135.1</v>
      </c>
      <c r="E1842">
        <v>270.2</v>
      </c>
      <c r="F1842" s="58">
        <v>45725</v>
      </c>
      <c r="G1842" s="58">
        <v>45726</v>
      </c>
      <c r="H1842" t="s">
        <v>229</v>
      </c>
      <c r="I1842" t="s">
        <v>59</v>
      </c>
      <c r="J1842">
        <v>5</v>
      </c>
      <c r="K1842" t="s">
        <v>103</v>
      </c>
      <c r="L1842" t="s">
        <v>143</v>
      </c>
      <c r="M1842">
        <f>orders[[#This Row],[Ship Date]]-orders[[#This Row],[Order Date]]</f>
        <v>1</v>
      </c>
      <c r="N1842">
        <f>WEEKNUM(orders[[#This Row],[Order Date]],1)</f>
        <v>11</v>
      </c>
      <c r="O1842" t="str">
        <f t="array" ref="O1842">_xlfn.IFS(orders[[#This Row],[Customer Gender]]="M","Male", orders[[#This Row],[Customer Gender]]="F","Female", orders[[#This Row],[Customer Gender]]="O","Other", TRUE(),"Unknown")</f>
        <v>Male</v>
      </c>
    </row>
    <row r="1843" spans="1:15" x14ac:dyDescent="0.25">
      <c r="A1843" t="s">
        <v>2071</v>
      </c>
      <c r="B1843" t="s">
        <v>76</v>
      </c>
      <c r="C1843">
        <v>22</v>
      </c>
      <c r="D1843">
        <v>95.5</v>
      </c>
      <c r="E1843">
        <v>2101</v>
      </c>
      <c r="F1843" s="58">
        <v>45725</v>
      </c>
      <c r="G1843" s="58">
        <v>45726</v>
      </c>
      <c r="H1843" t="s">
        <v>231</v>
      </c>
      <c r="I1843" t="s">
        <v>61</v>
      </c>
      <c r="J1843">
        <v>2</v>
      </c>
      <c r="K1843" t="s">
        <v>103</v>
      </c>
      <c r="L1843" t="s">
        <v>144</v>
      </c>
      <c r="M1843">
        <f>orders[[#This Row],[Ship Date]]-orders[[#This Row],[Order Date]]</f>
        <v>1</v>
      </c>
      <c r="N1843">
        <f>WEEKNUM(orders[[#This Row],[Order Date]],1)</f>
        <v>11</v>
      </c>
      <c r="O1843" t="str">
        <f t="array" ref="O1843">_xlfn.IFS(orders[[#This Row],[Customer Gender]]="M","Male", orders[[#This Row],[Customer Gender]]="F","Female", orders[[#This Row],[Customer Gender]]="O","Other", TRUE(),"Unknown")</f>
        <v>Female</v>
      </c>
    </row>
    <row r="1844" spans="1:15" x14ac:dyDescent="0.25">
      <c r="A1844" t="s">
        <v>2072</v>
      </c>
      <c r="B1844" t="s">
        <v>77</v>
      </c>
      <c r="C1844">
        <v>1</v>
      </c>
      <c r="D1844">
        <v>25.5</v>
      </c>
      <c r="E1844">
        <v>25.5</v>
      </c>
      <c r="F1844" s="58">
        <v>45725</v>
      </c>
      <c r="G1844" s="58">
        <v>45728</v>
      </c>
      <c r="I1844" t="s">
        <v>62</v>
      </c>
      <c r="J1844">
        <v>5</v>
      </c>
      <c r="K1844" t="s">
        <v>103</v>
      </c>
      <c r="L1844" t="s">
        <v>148</v>
      </c>
      <c r="M1844">
        <f>orders[[#This Row],[Ship Date]]-orders[[#This Row],[Order Date]]</f>
        <v>3</v>
      </c>
      <c r="N1844">
        <f>WEEKNUM(orders[[#This Row],[Order Date]],1)</f>
        <v>11</v>
      </c>
      <c r="O1844" t="str">
        <f t="array" ref="O1844">_xlfn.IFS(orders[[#This Row],[Customer Gender]]="M","Male", orders[[#This Row],[Customer Gender]]="F","Female", orders[[#This Row],[Customer Gender]]="O","Other", TRUE(),"Unknown")</f>
        <v>Unknown</v>
      </c>
    </row>
    <row r="1845" spans="1:15" x14ac:dyDescent="0.25">
      <c r="A1845" t="s">
        <v>2073</v>
      </c>
      <c r="B1845" t="s">
        <v>91</v>
      </c>
      <c r="C1845">
        <v>1</v>
      </c>
      <c r="D1845">
        <v>42.6</v>
      </c>
      <c r="E1845">
        <v>42.6</v>
      </c>
      <c r="F1845" s="58">
        <v>45725</v>
      </c>
      <c r="G1845" s="58">
        <v>45729</v>
      </c>
      <c r="H1845" t="s">
        <v>231</v>
      </c>
      <c r="I1845" t="s">
        <v>59</v>
      </c>
      <c r="J1845">
        <v>4</v>
      </c>
      <c r="K1845" t="s">
        <v>103</v>
      </c>
      <c r="L1845" t="s">
        <v>148</v>
      </c>
      <c r="M1845">
        <f>orders[[#This Row],[Ship Date]]-orders[[#This Row],[Order Date]]</f>
        <v>4</v>
      </c>
      <c r="N1845">
        <f>WEEKNUM(orders[[#This Row],[Order Date]],1)</f>
        <v>11</v>
      </c>
      <c r="O1845" t="str">
        <f t="array" ref="O1845">_xlfn.IFS(orders[[#This Row],[Customer Gender]]="M","Male", orders[[#This Row],[Customer Gender]]="F","Female", orders[[#This Row],[Customer Gender]]="O","Other", TRUE(),"Unknown")</f>
        <v>Female</v>
      </c>
    </row>
    <row r="1846" spans="1:15" x14ac:dyDescent="0.25">
      <c r="A1846" t="s">
        <v>2074</v>
      </c>
      <c r="B1846" t="s">
        <v>90</v>
      </c>
      <c r="C1846">
        <v>15</v>
      </c>
      <c r="D1846">
        <v>32.4</v>
      </c>
      <c r="E1846">
        <v>486</v>
      </c>
      <c r="F1846" s="58">
        <v>45725</v>
      </c>
      <c r="G1846" s="58">
        <v>45726</v>
      </c>
      <c r="H1846" t="s">
        <v>229</v>
      </c>
      <c r="I1846" t="s">
        <v>63</v>
      </c>
      <c r="J1846">
        <v>3</v>
      </c>
      <c r="K1846" t="s">
        <v>103</v>
      </c>
      <c r="L1846" t="s">
        <v>148</v>
      </c>
      <c r="M1846">
        <f>orders[[#This Row],[Ship Date]]-orders[[#This Row],[Order Date]]</f>
        <v>1</v>
      </c>
      <c r="N1846">
        <f>WEEKNUM(orders[[#This Row],[Order Date]],1)</f>
        <v>11</v>
      </c>
      <c r="O1846" t="str">
        <f t="array" ref="O1846">_xlfn.IFS(orders[[#This Row],[Customer Gender]]="M","Male", orders[[#This Row],[Customer Gender]]="F","Female", orders[[#This Row],[Customer Gender]]="O","Other", TRUE(),"Unknown")</f>
        <v>Male</v>
      </c>
    </row>
    <row r="1847" spans="1:15" x14ac:dyDescent="0.25">
      <c r="A1847" t="s">
        <v>2075</v>
      </c>
      <c r="B1847" t="s">
        <v>78</v>
      </c>
      <c r="C1847">
        <v>4</v>
      </c>
      <c r="D1847">
        <v>20.2</v>
      </c>
      <c r="E1847">
        <v>80.8</v>
      </c>
      <c r="F1847" s="58">
        <v>45725</v>
      </c>
      <c r="G1847" s="58">
        <v>45726</v>
      </c>
      <c r="H1847" t="s">
        <v>263</v>
      </c>
      <c r="I1847" t="s">
        <v>62</v>
      </c>
      <c r="J1847">
        <v>4</v>
      </c>
      <c r="K1847" t="s">
        <v>103</v>
      </c>
      <c r="L1847" t="s">
        <v>148</v>
      </c>
      <c r="M1847">
        <f>orders[[#This Row],[Ship Date]]-orders[[#This Row],[Order Date]]</f>
        <v>1</v>
      </c>
      <c r="N1847">
        <f>WEEKNUM(orders[[#This Row],[Order Date]],1)</f>
        <v>11</v>
      </c>
      <c r="O1847" t="str">
        <f t="array" ref="O1847">_xlfn.IFS(orders[[#This Row],[Customer Gender]]="M","Male", orders[[#This Row],[Customer Gender]]="F","Female", orders[[#This Row],[Customer Gender]]="O","Other", TRUE(),"Unknown")</f>
        <v>Other</v>
      </c>
    </row>
    <row r="1848" spans="1:15" x14ac:dyDescent="0.25">
      <c r="A1848" t="s">
        <v>2076</v>
      </c>
      <c r="B1848" t="s">
        <v>89</v>
      </c>
      <c r="C1848">
        <v>3</v>
      </c>
      <c r="D1848">
        <v>52.5</v>
      </c>
      <c r="E1848">
        <v>157.5</v>
      </c>
      <c r="F1848" s="58">
        <v>45725</v>
      </c>
      <c r="G1848" s="58">
        <v>45730</v>
      </c>
      <c r="H1848" t="s">
        <v>231</v>
      </c>
      <c r="I1848" t="s">
        <v>61</v>
      </c>
      <c r="J1848">
        <v>4</v>
      </c>
      <c r="K1848" t="s">
        <v>103</v>
      </c>
      <c r="L1848" t="s">
        <v>154</v>
      </c>
      <c r="M1848">
        <f>orders[[#This Row],[Ship Date]]-orders[[#This Row],[Order Date]]</f>
        <v>5</v>
      </c>
      <c r="N1848">
        <f>WEEKNUM(orders[[#This Row],[Order Date]],1)</f>
        <v>11</v>
      </c>
      <c r="O1848" t="str">
        <f t="array" ref="O1848">_xlfn.IFS(orders[[#This Row],[Customer Gender]]="M","Male", orders[[#This Row],[Customer Gender]]="F","Female", orders[[#This Row],[Customer Gender]]="O","Other", TRUE(),"Unknown")</f>
        <v>Female</v>
      </c>
    </row>
    <row r="1849" spans="1:15" x14ac:dyDescent="0.25">
      <c r="A1849" t="s">
        <v>2077</v>
      </c>
      <c r="B1849" t="s">
        <v>87</v>
      </c>
      <c r="C1849">
        <v>5</v>
      </c>
      <c r="D1849">
        <v>59.9</v>
      </c>
      <c r="E1849">
        <v>299.5</v>
      </c>
      <c r="F1849" s="58">
        <v>45725</v>
      </c>
      <c r="G1849" s="58">
        <v>45727</v>
      </c>
      <c r="H1849" t="s">
        <v>231</v>
      </c>
      <c r="I1849" t="s">
        <v>62</v>
      </c>
      <c r="J1849">
        <v>4</v>
      </c>
      <c r="K1849" t="s">
        <v>103</v>
      </c>
      <c r="L1849" t="s">
        <v>155</v>
      </c>
      <c r="M1849">
        <f>orders[[#This Row],[Ship Date]]-orders[[#This Row],[Order Date]]</f>
        <v>2</v>
      </c>
      <c r="N1849">
        <f>WEEKNUM(orders[[#This Row],[Order Date]],1)</f>
        <v>11</v>
      </c>
      <c r="O1849" t="str">
        <f t="array" ref="O1849">_xlfn.IFS(orders[[#This Row],[Customer Gender]]="M","Male", orders[[#This Row],[Customer Gender]]="F","Female", orders[[#This Row],[Customer Gender]]="O","Other", TRUE(),"Unknown")</f>
        <v>Female</v>
      </c>
    </row>
    <row r="1850" spans="1:15" x14ac:dyDescent="0.25">
      <c r="A1850" t="s">
        <v>2078</v>
      </c>
      <c r="B1850" t="s">
        <v>78</v>
      </c>
      <c r="C1850">
        <v>2</v>
      </c>
      <c r="D1850">
        <v>53.2</v>
      </c>
      <c r="E1850">
        <v>106.4</v>
      </c>
      <c r="F1850" s="58">
        <v>45725</v>
      </c>
      <c r="G1850" s="58">
        <v>45726</v>
      </c>
      <c r="H1850" t="s">
        <v>231</v>
      </c>
      <c r="I1850" t="s">
        <v>63</v>
      </c>
      <c r="J1850">
        <v>1</v>
      </c>
      <c r="K1850" t="s">
        <v>103</v>
      </c>
      <c r="L1850" t="s">
        <v>159</v>
      </c>
      <c r="M1850">
        <f>orders[[#This Row],[Ship Date]]-orders[[#This Row],[Order Date]]</f>
        <v>1</v>
      </c>
      <c r="N1850">
        <f>WEEKNUM(orders[[#This Row],[Order Date]],1)</f>
        <v>11</v>
      </c>
      <c r="O1850" t="str">
        <f t="array" ref="O1850">_xlfn.IFS(orders[[#This Row],[Customer Gender]]="M","Male", orders[[#This Row],[Customer Gender]]="F","Female", orders[[#This Row],[Customer Gender]]="O","Other", TRUE(),"Unknown")</f>
        <v>Female</v>
      </c>
    </row>
    <row r="1851" spans="1:15" x14ac:dyDescent="0.25">
      <c r="A1851" t="s">
        <v>2079</v>
      </c>
      <c r="B1851" t="s">
        <v>87</v>
      </c>
      <c r="C1851">
        <v>2</v>
      </c>
      <c r="D1851">
        <v>60</v>
      </c>
      <c r="E1851">
        <v>120</v>
      </c>
      <c r="F1851" s="58">
        <v>45725</v>
      </c>
      <c r="G1851" s="58">
        <v>45731</v>
      </c>
      <c r="H1851" t="s">
        <v>229</v>
      </c>
      <c r="I1851" t="s">
        <v>63</v>
      </c>
      <c r="J1851">
        <v>5</v>
      </c>
      <c r="K1851" t="s">
        <v>103</v>
      </c>
      <c r="L1851" t="s">
        <v>159</v>
      </c>
      <c r="M1851">
        <f>orders[[#This Row],[Ship Date]]-orders[[#This Row],[Order Date]]</f>
        <v>6</v>
      </c>
      <c r="N1851">
        <f>WEEKNUM(orders[[#This Row],[Order Date]],1)</f>
        <v>11</v>
      </c>
      <c r="O1851" t="str">
        <f t="array" ref="O1851">_xlfn.IFS(orders[[#This Row],[Customer Gender]]="M","Male", orders[[#This Row],[Customer Gender]]="F","Female", orders[[#This Row],[Customer Gender]]="O","Other", TRUE(),"Unknown")</f>
        <v>Male</v>
      </c>
    </row>
    <row r="1852" spans="1:15" x14ac:dyDescent="0.25">
      <c r="A1852" t="s">
        <v>2080</v>
      </c>
      <c r="B1852" t="s">
        <v>90</v>
      </c>
      <c r="C1852">
        <v>3</v>
      </c>
      <c r="D1852">
        <v>29.3</v>
      </c>
      <c r="E1852">
        <v>87.9</v>
      </c>
      <c r="F1852" s="58">
        <v>45725</v>
      </c>
      <c r="G1852" s="58">
        <v>45726</v>
      </c>
      <c r="H1852" t="s">
        <v>231</v>
      </c>
      <c r="I1852" t="s">
        <v>61</v>
      </c>
      <c r="J1852">
        <v>4</v>
      </c>
      <c r="K1852" t="s">
        <v>103</v>
      </c>
      <c r="L1852" t="s">
        <v>161</v>
      </c>
      <c r="M1852">
        <f>orders[[#This Row],[Ship Date]]-orders[[#This Row],[Order Date]]</f>
        <v>1</v>
      </c>
      <c r="N1852">
        <f>WEEKNUM(orders[[#This Row],[Order Date]],1)</f>
        <v>11</v>
      </c>
      <c r="O1852" t="str">
        <f t="array" ref="O1852">_xlfn.IFS(orders[[#This Row],[Customer Gender]]="M","Male", orders[[#This Row],[Customer Gender]]="F","Female", orders[[#This Row],[Customer Gender]]="O","Other", TRUE(),"Unknown")</f>
        <v>Female</v>
      </c>
    </row>
    <row r="1853" spans="1:15" x14ac:dyDescent="0.25">
      <c r="A1853" t="s">
        <v>2081</v>
      </c>
      <c r="B1853" t="s">
        <v>76</v>
      </c>
      <c r="C1853">
        <v>2</v>
      </c>
      <c r="D1853">
        <v>55.4</v>
      </c>
      <c r="E1853">
        <v>110.8</v>
      </c>
      <c r="F1853" s="58">
        <v>45725</v>
      </c>
      <c r="G1853" s="58">
        <v>45726</v>
      </c>
      <c r="H1853" t="s">
        <v>231</v>
      </c>
      <c r="I1853" t="s">
        <v>59</v>
      </c>
      <c r="J1853">
        <v>5</v>
      </c>
      <c r="K1853" t="s">
        <v>103</v>
      </c>
      <c r="L1853" t="s">
        <v>106</v>
      </c>
      <c r="M1853">
        <f>orders[[#This Row],[Ship Date]]-orders[[#This Row],[Order Date]]</f>
        <v>1</v>
      </c>
      <c r="N1853">
        <f>WEEKNUM(orders[[#This Row],[Order Date]],1)</f>
        <v>11</v>
      </c>
      <c r="O1853" t="str">
        <f t="array" ref="O1853">_xlfn.IFS(orders[[#This Row],[Customer Gender]]="M","Male", orders[[#This Row],[Customer Gender]]="F","Female", orders[[#This Row],[Customer Gender]]="O","Other", TRUE(),"Unknown")</f>
        <v>Female</v>
      </c>
    </row>
    <row r="1854" spans="1:15" x14ac:dyDescent="0.25">
      <c r="A1854" t="s">
        <v>2082</v>
      </c>
      <c r="B1854" t="s">
        <v>86</v>
      </c>
      <c r="C1854">
        <v>5</v>
      </c>
      <c r="D1854">
        <v>20.100000000000001</v>
      </c>
      <c r="E1854">
        <v>100.5</v>
      </c>
      <c r="F1854" s="58">
        <v>45725</v>
      </c>
      <c r="G1854" s="58">
        <v>45727</v>
      </c>
      <c r="H1854" t="s">
        <v>231</v>
      </c>
      <c r="I1854" t="s">
        <v>63</v>
      </c>
      <c r="J1854">
        <v>5</v>
      </c>
      <c r="K1854" t="s">
        <v>103</v>
      </c>
      <c r="L1854" t="s">
        <v>106</v>
      </c>
      <c r="M1854">
        <f>orders[[#This Row],[Ship Date]]-orders[[#This Row],[Order Date]]</f>
        <v>2</v>
      </c>
      <c r="N1854">
        <f>WEEKNUM(orders[[#This Row],[Order Date]],1)</f>
        <v>11</v>
      </c>
      <c r="O1854" t="str">
        <f t="array" ref="O1854">_xlfn.IFS(orders[[#This Row],[Customer Gender]]="M","Male", orders[[#This Row],[Customer Gender]]="F","Female", orders[[#This Row],[Customer Gender]]="O","Other", TRUE(),"Unknown")</f>
        <v>Female</v>
      </c>
    </row>
    <row r="1855" spans="1:15" x14ac:dyDescent="0.25">
      <c r="A1855" t="s">
        <v>2083</v>
      </c>
      <c r="B1855" t="s">
        <v>74</v>
      </c>
      <c r="C1855">
        <v>5</v>
      </c>
      <c r="D1855">
        <v>24</v>
      </c>
      <c r="E1855">
        <v>120</v>
      </c>
      <c r="F1855" s="58">
        <v>45725</v>
      </c>
      <c r="G1855" s="58">
        <v>45728</v>
      </c>
      <c r="H1855" t="s">
        <v>229</v>
      </c>
      <c r="I1855" t="s">
        <v>62</v>
      </c>
      <c r="J1855">
        <v>4</v>
      </c>
      <c r="K1855" t="s">
        <v>103</v>
      </c>
      <c r="L1855" t="s">
        <v>112</v>
      </c>
      <c r="M1855">
        <f>orders[[#This Row],[Ship Date]]-orders[[#This Row],[Order Date]]</f>
        <v>3</v>
      </c>
      <c r="N1855">
        <f>WEEKNUM(orders[[#This Row],[Order Date]],1)</f>
        <v>11</v>
      </c>
      <c r="O1855" t="str">
        <f t="array" ref="O1855">_xlfn.IFS(orders[[#This Row],[Customer Gender]]="M","Male", orders[[#This Row],[Customer Gender]]="F","Female", orders[[#This Row],[Customer Gender]]="O","Other", TRUE(),"Unknown")</f>
        <v>Male</v>
      </c>
    </row>
    <row r="1856" spans="1:15" x14ac:dyDescent="0.25">
      <c r="A1856" t="s">
        <v>2084</v>
      </c>
      <c r="B1856" t="s">
        <v>90</v>
      </c>
      <c r="C1856">
        <v>2</v>
      </c>
      <c r="D1856">
        <v>30.6</v>
      </c>
      <c r="E1856">
        <v>61.2</v>
      </c>
      <c r="F1856" s="58">
        <v>45726</v>
      </c>
      <c r="G1856" s="58">
        <v>45728</v>
      </c>
      <c r="H1856" t="s">
        <v>231</v>
      </c>
      <c r="I1856" t="s">
        <v>59</v>
      </c>
      <c r="J1856">
        <v>4</v>
      </c>
      <c r="K1856" t="s">
        <v>103</v>
      </c>
      <c r="L1856" t="s">
        <v>112</v>
      </c>
      <c r="M1856">
        <f>orders[[#This Row],[Ship Date]]-orders[[#This Row],[Order Date]]</f>
        <v>2</v>
      </c>
      <c r="N1856">
        <f>WEEKNUM(orders[[#This Row],[Order Date]],1)</f>
        <v>11</v>
      </c>
      <c r="O1856" t="str">
        <f t="array" ref="O1856">_xlfn.IFS(orders[[#This Row],[Customer Gender]]="M","Male", orders[[#This Row],[Customer Gender]]="F","Female", orders[[#This Row],[Customer Gender]]="O","Other", TRUE(),"Unknown")</f>
        <v>Female</v>
      </c>
    </row>
    <row r="1857" spans="1:15" x14ac:dyDescent="0.25">
      <c r="A1857" t="s">
        <v>2085</v>
      </c>
      <c r="B1857" t="s">
        <v>75</v>
      </c>
      <c r="C1857">
        <v>5</v>
      </c>
      <c r="D1857">
        <v>33</v>
      </c>
      <c r="E1857">
        <v>165</v>
      </c>
      <c r="F1857" s="58">
        <v>45726</v>
      </c>
      <c r="G1857" s="58">
        <v>45727</v>
      </c>
      <c r="H1857" t="s">
        <v>229</v>
      </c>
      <c r="I1857" t="s">
        <v>63</v>
      </c>
      <c r="J1857">
        <v>3</v>
      </c>
      <c r="K1857" t="s">
        <v>103</v>
      </c>
      <c r="L1857" t="s">
        <v>116</v>
      </c>
      <c r="M1857">
        <f>orders[[#This Row],[Ship Date]]-orders[[#This Row],[Order Date]]</f>
        <v>1</v>
      </c>
      <c r="N1857">
        <f>WEEKNUM(orders[[#This Row],[Order Date]],1)</f>
        <v>11</v>
      </c>
      <c r="O1857" t="str">
        <f t="array" ref="O1857">_xlfn.IFS(orders[[#This Row],[Customer Gender]]="M","Male", orders[[#This Row],[Customer Gender]]="F","Female", orders[[#This Row],[Customer Gender]]="O","Other", TRUE(),"Unknown")</f>
        <v>Male</v>
      </c>
    </row>
    <row r="1858" spans="1:15" x14ac:dyDescent="0.25">
      <c r="A1858" t="s">
        <v>2086</v>
      </c>
      <c r="B1858" t="s">
        <v>84</v>
      </c>
      <c r="C1858">
        <v>9</v>
      </c>
      <c r="D1858">
        <v>42.1</v>
      </c>
      <c r="E1858">
        <v>378.9</v>
      </c>
      <c r="F1858" s="58">
        <v>45726</v>
      </c>
      <c r="G1858" s="58">
        <v>45732</v>
      </c>
      <c r="H1858" t="s">
        <v>231</v>
      </c>
      <c r="I1858" t="s">
        <v>62</v>
      </c>
      <c r="J1858">
        <v>4</v>
      </c>
      <c r="K1858" t="s">
        <v>103</v>
      </c>
      <c r="L1858" t="s">
        <v>117</v>
      </c>
      <c r="M1858">
        <f>orders[[#This Row],[Ship Date]]-orders[[#This Row],[Order Date]]</f>
        <v>6</v>
      </c>
      <c r="N1858">
        <f>WEEKNUM(orders[[#This Row],[Order Date]],1)</f>
        <v>11</v>
      </c>
      <c r="O1858" t="str">
        <f t="array" ref="O1858">_xlfn.IFS(orders[[#This Row],[Customer Gender]]="M","Male", orders[[#This Row],[Customer Gender]]="F","Female", orders[[#This Row],[Customer Gender]]="O","Other", TRUE(),"Unknown")</f>
        <v>Female</v>
      </c>
    </row>
    <row r="1859" spans="1:15" x14ac:dyDescent="0.25">
      <c r="A1859" t="s">
        <v>2087</v>
      </c>
      <c r="B1859" t="s">
        <v>80</v>
      </c>
      <c r="C1859">
        <v>7</v>
      </c>
      <c r="D1859">
        <v>77.7</v>
      </c>
      <c r="E1859">
        <v>543.9</v>
      </c>
      <c r="F1859" s="58">
        <v>45726</v>
      </c>
      <c r="G1859" s="58">
        <v>45731</v>
      </c>
      <c r="H1859" t="s">
        <v>231</v>
      </c>
      <c r="I1859" t="s">
        <v>63</v>
      </c>
      <c r="J1859">
        <v>5</v>
      </c>
      <c r="K1859" t="s">
        <v>103</v>
      </c>
      <c r="L1859" t="s">
        <v>122</v>
      </c>
      <c r="M1859">
        <f>orders[[#This Row],[Ship Date]]-orders[[#This Row],[Order Date]]</f>
        <v>5</v>
      </c>
      <c r="N1859">
        <f>WEEKNUM(orders[[#This Row],[Order Date]],1)</f>
        <v>11</v>
      </c>
      <c r="O1859" t="str">
        <f t="array" ref="O1859">_xlfn.IFS(orders[[#This Row],[Customer Gender]]="M","Male", orders[[#This Row],[Customer Gender]]="F","Female", orders[[#This Row],[Customer Gender]]="O","Other", TRUE(),"Unknown")</f>
        <v>Female</v>
      </c>
    </row>
    <row r="1860" spans="1:15" x14ac:dyDescent="0.25">
      <c r="A1860" t="s">
        <v>2088</v>
      </c>
      <c r="B1860" t="s">
        <v>84</v>
      </c>
      <c r="C1860">
        <v>6</v>
      </c>
      <c r="D1860">
        <v>22.7</v>
      </c>
      <c r="E1860">
        <v>136.19999999999999</v>
      </c>
      <c r="F1860" s="58">
        <v>45726</v>
      </c>
      <c r="G1860" s="58">
        <v>45729</v>
      </c>
      <c r="H1860" t="s">
        <v>231</v>
      </c>
      <c r="I1860" t="s">
        <v>62</v>
      </c>
      <c r="J1860">
        <v>4</v>
      </c>
      <c r="K1860" t="s">
        <v>103</v>
      </c>
      <c r="L1860" t="s">
        <v>124</v>
      </c>
      <c r="M1860">
        <f>orders[[#This Row],[Ship Date]]-orders[[#This Row],[Order Date]]</f>
        <v>3</v>
      </c>
      <c r="N1860">
        <f>WEEKNUM(orders[[#This Row],[Order Date]],1)</f>
        <v>11</v>
      </c>
      <c r="O1860" t="str">
        <f t="array" ref="O1860">_xlfn.IFS(orders[[#This Row],[Customer Gender]]="M","Male", orders[[#This Row],[Customer Gender]]="F","Female", orders[[#This Row],[Customer Gender]]="O","Other", TRUE(),"Unknown")</f>
        <v>Female</v>
      </c>
    </row>
    <row r="1861" spans="1:15" x14ac:dyDescent="0.25">
      <c r="A1861" t="s">
        <v>2089</v>
      </c>
      <c r="B1861" t="s">
        <v>87</v>
      </c>
      <c r="C1861">
        <v>2</v>
      </c>
      <c r="D1861">
        <v>133</v>
      </c>
      <c r="E1861">
        <v>266</v>
      </c>
      <c r="F1861" s="58">
        <v>45726</v>
      </c>
      <c r="G1861" s="58">
        <v>45726</v>
      </c>
      <c r="H1861" t="s">
        <v>229</v>
      </c>
      <c r="I1861" t="s">
        <v>62</v>
      </c>
      <c r="J1861">
        <v>5</v>
      </c>
      <c r="K1861" t="s">
        <v>103</v>
      </c>
      <c r="L1861" t="s">
        <v>124</v>
      </c>
      <c r="M1861">
        <f>orders[[#This Row],[Ship Date]]-orders[[#This Row],[Order Date]]</f>
        <v>0</v>
      </c>
      <c r="N1861">
        <f>WEEKNUM(orders[[#This Row],[Order Date]],1)</f>
        <v>11</v>
      </c>
      <c r="O1861" t="str">
        <f t="array" ref="O1861">_xlfn.IFS(orders[[#This Row],[Customer Gender]]="M","Male", orders[[#This Row],[Customer Gender]]="F","Female", orders[[#This Row],[Customer Gender]]="O","Other", TRUE(),"Unknown")</f>
        <v>Male</v>
      </c>
    </row>
    <row r="1862" spans="1:15" x14ac:dyDescent="0.25">
      <c r="A1862" t="s">
        <v>2090</v>
      </c>
      <c r="B1862" t="s">
        <v>86</v>
      </c>
      <c r="C1862">
        <v>2</v>
      </c>
      <c r="D1862">
        <v>23.3</v>
      </c>
      <c r="E1862">
        <v>46.6</v>
      </c>
      <c r="F1862" s="58">
        <v>45726</v>
      </c>
      <c r="G1862" s="58">
        <v>45727</v>
      </c>
      <c r="H1862" t="s">
        <v>229</v>
      </c>
      <c r="I1862" t="s">
        <v>63</v>
      </c>
      <c r="J1862">
        <v>5</v>
      </c>
      <c r="K1862" t="s">
        <v>103</v>
      </c>
      <c r="L1862" t="s">
        <v>124</v>
      </c>
      <c r="M1862">
        <f>orders[[#This Row],[Ship Date]]-orders[[#This Row],[Order Date]]</f>
        <v>1</v>
      </c>
      <c r="N1862">
        <f>WEEKNUM(orders[[#This Row],[Order Date]],1)</f>
        <v>11</v>
      </c>
      <c r="O1862" t="str">
        <f t="array" ref="O1862">_xlfn.IFS(orders[[#This Row],[Customer Gender]]="M","Male", orders[[#This Row],[Customer Gender]]="F","Female", orders[[#This Row],[Customer Gender]]="O","Other", TRUE(),"Unknown")</f>
        <v>Male</v>
      </c>
    </row>
    <row r="1863" spans="1:15" x14ac:dyDescent="0.25">
      <c r="A1863" t="s">
        <v>2091</v>
      </c>
      <c r="B1863" t="s">
        <v>90</v>
      </c>
      <c r="C1863">
        <v>3</v>
      </c>
      <c r="D1863">
        <v>20.7</v>
      </c>
      <c r="E1863">
        <v>62.1</v>
      </c>
      <c r="F1863" s="58">
        <v>45726</v>
      </c>
      <c r="G1863" s="58">
        <v>45728</v>
      </c>
      <c r="H1863" t="s">
        <v>263</v>
      </c>
      <c r="I1863" t="s">
        <v>59</v>
      </c>
      <c r="J1863">
        <v>5</v>
      </c>
      <c r="K1863" t="s">
        <v>103</v>
      </c>
      <c r="L1863" t="s">
        <v>124</v>
      </c>
      <c r="M1863">
        <f>orders[[#This Row],[Ship Date]]-orders[[#This Row],[Order Date]]</f>
        <v>2</v>
      </c>
      <c r="N1863">
        <f>WEEKNUM(orders[[#This Row],[Order Date]],1)</f>
        <v>11</v>
      </c>
      <c r="O1863" t="str">
        <f t="array" ref="O1863">_xlfn.IFS(orders[[#This Row],[Customer Gender]]="M","Male", orders[[#This Row],[Customer Gender]]="F","Female", orders[[#This Row],[Customer Gender]]="O","Other", TRUE(),"Unknown")</f>
        <v>Other</v>
      </c>
    </row>
    <row r="1864" spans="1:15" x14ac:dyDescent="0.25">
      <c r="A1864" t="s">
        <v>2092</v>
      </c>
      <c r="B1864" t="s">
        <v>76</v>
      </c>
      <c r="C1864">
        <v>2</v>
      </c>
      <c r="D1864">
        <v>47</v>
      </c>
      <c r="E1864">
        <v>94</v>
      </c>
      <c r="F1864" s="58">
        <v>45726</v>
      </c>
      <c r="G1864" s="58">
        <v>45727</v>
      </c>
      <c r="H1864" t="s">
        <v>229</v>
      </c>
      <c r="I1864" t="s">
        <v>63</v>
      </c>
      <c r="J1864">
        <v>5</v>
      </c>
      <c r="K1864" t="s">
        <v>103</v>
      </c>
      <c r="L1864" t="s">
        <v>124</v>
      </c>
      <c r="M1864">
        <f>orders[[#This Row],[Ship Date]]-orders[[#This Row],[Order Date]]</f>
        <v>1</v>
      </c>
      <c r="N1864">
        <f>WEEKNUM(orders[[#This Row],[Order Date]],1)</f>
        <v>11</v>
      </c>
      <c r="O1864" t="str">
        <f t="array" ref="O1864">_xlfn.IFS(orders[[#This Row],[Customer Gender]]="M","Male", orders[[#This Row],[Customer Gender]]="F","Female", orders[[#This Row],[Customer Gender]]="O","Other", TRUE(),"Unknown")</f>
        <v>Male</v>
      </c>
    </row>
    <row r="1865" spans="1:15" x14ac:dyDescent="0.25">
      <c r="A1865" t="s">
        <v>2093</v>
      </c>
      <c r="B1865" t="s">
        <v>76</v>
      </c>
      <c r="C1865">
        <v>3</v>
      </c>
      <c r="D1865">
        <v>38.200000000000003</v>
      </c>
      <c r="E1865">
        <v>114.6</v>
      </c>
      <c r="F1865" s="58">
        <v>45726</v>
      </c>
      <c r="G1865" s="58">
        <v>45728</v>
      </c>
      <c r="H1865" t="s">
        <v>231</v>
      </c>
      <c r="I1865" t="s">
        <v>62</v>
      </c>
      <c r="J1865">
        <v>2</v>
      </c>
      <c r="K1865" t="s">
        <v>103</v>
      </c>
      <c r="L1865" t="s">
        <v>124</v>
      </c>
      <c r="M1865">
        <f>orders[[#This Row],[Ship Date]]-orders[[#This Row],[Order Date]]</f>
        <v>2</v>
      </c>
      <c r="N1865">
        <f>WEEKNUM(orders[[#This Row],[Order Date]],1)</f>
        <v>11</v>
      </c>
      <c r="O1865" t="str">
        <f t="array" ref="O1865">_xlfn.IFS(orders[[#This Row],[Customer Gender]]="M","Male", orders[[#This Row],[Customer Gender]]="F","Female", orders[[#This Row],[Customer Gender]]="O","Other", TRUE(),"Unknown")</f>
        <v>Female</v>
      </c>
    </row>
    <row r="1866" spans="1:15" x14ac:dyDescent="0.25">
      <c r="A1866" t="s">
        <v>2094</v>
      </c>
      <c r="B1866" t="s">
        <v>88</v>
      </c>
      <c r="C1866">
        <v>1</v>
      </c>
      <c r="D1866">
        <v>39.1</v>
      </c>
      <c r="E1866">
        <v>39.1</v>
      </c>
      <c r="F1866" s="58">
        <v>45726</v>
      </c>
      <c r="G1866" s="58">
        <v>45728</v>
      </c>
      <c r="H1866" t="s">
        <v>231</v>
      </c>
      <c r="I1866" t="s">
        <v>59</v>
      </c>
      <c r="J1866">
        <v>4</v>
      </c>
      <c r="K1866" t="s">
        <v>103</v>
      </c>
      <c r="L1866" t="s">
        <v>124</v>
      </c>
      <c r="M1866">
        <f>orders[[#This Row],[Ship Date]]-orders[[#This Row],[Order Date]]</f>
        <v>2</v>
      </c>
      <c r="N1866">
        <f>WEEKNUM(orders[[#This Row],[Order Date]],1)</f>
        <v>11</v>
      </c>
      <c r="O1866" t="str">
        <f t="array" ref="O1866">_xlfn.IFS(orders[[#This Row],[Customer Gender]]="M","Male", orders[[#This Row],[Customer Gender]]="F","Female", orders[[#This Row],[Customer Gender]]="O","Other", TRUE(),"Unknown")</f>
        <v>Female</v>
      </c>
    </row>
    <row r="1867" spans="1:15" x14ac:dyDescent="0.25">
      <c r="A1867" t="s">
        <v>2095</v>
      </c>
      <c r="B1867" t="s">
        <v>79</v>
      </c>
      <c r="C1867">
        <v>25</v>
      </c>
      <c r="D1867">
        <v>55.6</v>
      </c>
      <c r="E1867">
        <v>1390</v>
      </c>
      <c r="F1867" s="58">
        <v>45726</v>
      </c>
      <c r="G1867" s="58">
        <v>45728</v>
      </c>
      <c r="H1867" t="s">
        <v>229</v>
      </c>
      <c r="I1867" t="s">
        <v>59</v>
      </c>
      <c r="J1867">
        <v>5</v>
      </c>
      <c r="K1867" t="s">
        <v>103</v>
      </c>
      <c r="L1867" t="s">
        <v>124</v>
      </c>
      <c r="M1867">
        <f>orders[[#This Row],[Ship Date]]-orders[[#This Row],[Order Date]]</f>
        <v>2</v>
      </c>
      <c r="N1867">
        <f>WEEKNUM(orders[[#This Row],[Order Date]],1)</f>
        <v>11</v>
      </c>
      <c r="O1867" t="str">
        <f t="array" ref="O1867">_xlfn.IFS(orders[[#This Row],[Customer Gender]]="M","Male", orders[[#This Row],[Customer Gender]]="F","Female", orders[[#This Row],[Customer Gender]]="O","Other", TRUE(),"Unknown")</f>
        <v>Male</v>
      </c>
    </row>
    <row r="1868" spans="1:15" x14ac:dyDescent="0.25">
      <c r="A1868" t="s">
        <v>2096</v>
      </c>
      <c r="B1868" t="s">
        <v>77</v>
      </c>
      <c r="C1868">
        <v>1</v>
      </c>
      <c r="D1868">
        <v>43.1</v>
      </c>
      <c r="E1868">
        <v>43.1</v>
      </c>
      <c r="F1868" s="58">
        <v>45726</v>
      </c>
      <c r="G1868" s="58">
        <v>45726</v>
      </c>
      <c r="H1868" t="s">
        <v>263</v>
      </c>
      <c r="I1868" t="s">
        <v>63</v>
      </c>
      <c r="J1868">
        <v>5</v>
      </c>
      <c r="K1868" t="s">
        <v>103</v>
      </c>
      <c r="L1868" t="s">
        <v>124</v>
      </c>
      <c r="M1868">
        <f>orders[[#This Row],[Ship Date]]-orders[[#This Row],[Order Date]]</f>
        <v>0</v>
      </c>
      <c r="N1868">
        <f>WEEKNUM(orders[[#This Row],[Order Date]],1)</f>
        <v>11</v>
      </c>
      <c r="O1868" t="str">
        <f t="array" ref="O1868">_xlfn.IFS(orders[[#This Row],[Customer Gender]]="M","Male", orders[[#This Row],[Customer Gender]]="F","Female", orders[[#This Row],[Customer Gender]]="O","Other", TRUE(),"Unknown")</f>
        <v>Other</v>
      </c>
    </row>
    <row r="1869" spans="1:15" x14ac:dyDescent="0.25">
      <c r="A1869" t="s">
        <v>2097</v>
      </c>
      <c r="B1869" t="s">
        <v>80</v>
      </c>
      <c r="C1869">
        <v>4</v>
      </c>
      <c r="D1869">
        <v>48.1</v>
      </c>
      <c r="E1869">
        <v>192.4</v>
      </c>
      <c r="F1869" s="58">
        <v>45726</v>
      </c>
      <c r="G1869" s="58">
        <v>45727</v>
      </c>
      <c r="H1869" t="s">
        <v>231</v>
      </c>
      <c r="I1869" t="s">
        <v>61</v>
      </c>
      <c r="J1869">
        <v>5</v>
      </c>
      <c r="K1869" t="s">
        <v>103</v>
      </c>
      <c r="L1869" t="s">
        <v>124</v>
      </c>
      <c r="M1869">
        <f>orders[[#This Row],[Ship Date]]-orders[[#This Row],[Order Date]]</f>
        <v>1</v>
      </c>
      <c r="N1869">
        <f>WEEKNUM(orders[[#This Row],[Order Date]],1)</f>
        <v>11</v>
      </c>
      <c r="O1869" t="str">
        <f t="array" ref="O1869">_xlfn.IFS(orders[[#This Row],[Customer Gender]]="M","Male", orders[[#This Row],[Customer Gender]]="F","Female", orders[[#This Row],[Customer Gender]]="O","Other", TRUE(),"Unknown")</f>
        <v>Female</v>
      </c>
    </row>
    <row r="1870" spans="1:15" x14ac:dyDescent="0.25">
      <c r="A1870" t="s">
        <v>2098</v>
      </c>
      <c r="B1870" t="s">
        <v>78</v>
      </c>
      <c r="C1870">
        <v>1</v>
      </c>
      <c r="D1870">
        <v>42</v>
      </c>
      <c r="E1870">
        <v>42</v>
      </c>
      <c r="F1870" s="58">
        <v>45726</v>
      </c>
      <c r="G1870" s="58">
        <v>45727</v>
      </c>
      <c r="H1870" t="s">
        <v>263</v>
      </c>
      <c r="I1870" t="s">
        <v>59</v>
      </c>
      <c r="J1870">
        <v>4</v>
      </c>
      <c r="K1870" t="s">
        <v>103</v>
      </c>
      <c r="L1870" t="s">
        <v>124</v>
      </c>
      <c r="M1870">
        <f>orders[[#This Row],[Ship Date]]-orders[[#This Row],[Order Date]]</f>
        <v>1</v>
      </c>
      <c r="N1870">
        <f>WEEKNUM(orders[[#This Row],[Order Date]],1)</f>
        <v>11</v>
      </c>
      <c r="O1870" t="str">
        <f t="array" ref="O1870">_xlfn.IFS(orders[[#This Row],[Customer Gender]]="M","Male", orders[[#This Row],[Customer Gender]]="F","Female", orders[[#This Row],[Customer Gender]]="O","Other", TRUE(),"Unknown")</f>
        <v>Other</v>
      </c>
    </row>
    <row r="1871" spans="1:15" x14ac:dyDescent="0.25">
      <c r="A1871" t="s">
        <v>2099</v>
      </c>
      <c r="B1871" t="s">
        <v>90</v>
      </c>
      <c r="C1871">
        <v>5</v>
      </c>
      <c r="D1871">
        <v>18.3</v>
      </c>
      <c r="E1871">
        <v>91.5</v>
      </c>
      <c r="F1871" s="58">
        <v>45726</v>
      </c>
      <c r="G1871" s="58">
        <v>45726</v>
      </c>
      <c r="H1871" t="s">
        <v>231</v>
      </c>
      <c r="I1871" t="s">
        <v>62</v>
      </c>
      <c r="J1871">
        <v>4</v>
      </c>
      <c r="K1871" t="s">
        <v>103</v>
      </c>
      <c r="L1871" t="s">
        <v>124</v>
      </c>
      <c r="M1871">
        <f>orders[[#This Row],[Ship Date]]-orders[[#This Row],[Order Date]]</f>
        <v>0</v>
      </c>
      <c r="N1871">
        <f>WEEKNUM(orders[[#This Row],[Order Date]],1)</f>
        <v>11</v>
      </c>
      <c r="O1871" t="str">
        <f t="array" ref="O1871">_xlfn.IFS(orders[[#This Row],[Customer Gender]]="M","Male", orders[[#This Row],[Customer Gender]]="F","Female", orders[[#This Row],[Customer Gender]]="O","Other", TRUE(),"Unknown")</f>
        <v>Female</v>
      </c>
    </row>
    <row r="1872" spans="1:15" x14ac:dyDescent="0.25">
      <c r="A1872" t="s">
        <v>2100</v>
      </c>
      <c r="B1872" t="s">
        <v>75</v>
      </c>
      <c r="C1872">
        <v>4</v>
      </c>
      <c r="D1872">
        <v>45.3</v>
      </c>
      <c r="E1872">
        <v>181.2</v>
      </c>
      <c r="F1872" s="58">
        <v>45726</v>
      </c>
      <c r="G1872" s="58">
        <v>45729</v>
      </c>
      <c r="H1872" t="s">
        <v>231</v>
      </c>
      <c r="I1872" t="s">
        <v>59</v>
      </c>
      <c r="J1872">
        <v>5</v>
      </c>
      <c r="K1872" t="s">
        <v>103</v>
      </c>
      <c r="L1872" t="s">
        <v>124</v>
      </c>
      <c r="M1872">
        <f>orders[[#This Row],[Ship Date]]-orders[[#This Row],[Order Date]]</f>
        <v>3</v>
      </c>
      <c r="N1872">
        <f>WEEKNUM(orders[[#This Row],[Order Date]],1)</f>
        <v>11</v>
      </c>
      <c r="O1872" t="str">
        <f t="array" ref="O1872">_xlfn.IFS(orders[[#This Row],[Customer Gender]]="M","Male", orders[[#This Row],[Customer Gender]]="F","Female", orders[[#This Row],[Customer Gender]]="O","Other", TRUE(),"Unknown")</f>
        <v>Female</v>
      </c>
    </row>
    <row r="1873" spans="1:15" x14ac:dyDescent="0.25">
      <c r="A1873" t="s">
        <v>2101</v>
      </c>
      <c r="B1873" t="s">
        <v>86</v>
      </c>
      <c r="C1873">
        <v>2</v>
      </c>
      <c r="D1873">
        <v>27.6</v>
      </c>
      <c r="E1873">
        <v>55.2</v>
      </c>
      <c r="F1873" s="58">
        <v>45726</v>
      </c>
      <c r="G1873" s="58">
        <v>45728</v>
      </c>
      <c r="H1873" t="s">
        <v>229</v>
      </c>
      <c r="I1873" t="s">
        <v>59</v>
      </c>
      <c r="J1873">
        <v>5</v>
      </c>
      <c r="K1873" t="s">
        <v>103</v>
      </c>
      <c r="L1873" t="s">
        <v>125</v>
      </c>
      <c r="M1873">
        <f>orders[[#This Row],[Ship Date]]-orders[[#This Row],[Order Date]]</f>
        <v>2</v>
      </c>
      <c r="N1873">
        <f>WEEKNUM(orders[[#This Row],[Order Date]],1)</f>
        <v>11</v>
      </c>
      <c r="O1873" t="str">
        <f t="array" ref="O1873">_xlfn.IFS(orders[[#This Row],[Customer Gender]]="M","Male", orders[[#This Row],[Customer Gender]]="F","Female", orders[[#This Row],[Customer Gender]]="O","Other", TRUE(),"Unknown")</f>
        <v>Male</v>
      </c>
    </row>
    <row r="1874" spans="1:15" x14ac:dyDescent="0.25">
      <c r="A1874" t="s">
        <v>2102</v>
      </c>
      <c r="B1874" t="s">
        <v>78</v>
      </c>
      <c r="C1874">
        <v>5</v>
      </c>
      <c r="D1874">
        <v>26.9</v>
      </c>
      <c r="E1874">
        <v>134.5</v>
      </c>
      <c r="F1874" s="58">
        <v>45726</v>
      </c>
      <c r="G1874" s="58">
        <v>45727</v>
      </c>
      <c r="H1874" t="s">
        <v>231</v>
      </c>
      <c r="I1874" t="s">
        <v>62</v>
      </c>
      <c r="J1874">
        <v>4</v>
      </c>
      <c r="K1874" t="s">
        <v>103</v>
      </c>
      <c r="L1874" t="s">
        <v>135</v>
      </c>
      <c r="M1874">
        <f>orders[[#This Row],[Ship Date]]-orders[[#This Row],[Order Date]]</f>
        <v>1</v>
      </c>
      <c r="N1874">
        <f>WEEKNUM(orders[[#This Row],[Order Date]],1)</f>
        <v>11</v>
      </c>
      <c r="O1874" t="str">
        <f t="array" ref="O1874">_xlfn.IFS(orders[[#This Row],[Customer Gender]]="M","Male", orders[[#This Row],[Customer Gender]]="F","Female", orders[[#This Row],[Customer Gender]]="O","Other", TRUE(),"Unknown")</f>
        <v>Female</v>
      </c>
    </row>
    <row r="1875" spans="1:15" x14ac:dyDescent="0.25">
      <c r="A1875" t="s">
        <v>2103</v>
      </c>
      <c r="B1875" t="s">
        <v>87</v>
      </c>
      <c r="C1875">
        <v>9</v>
      </c>
      <c r="D1875">
        <v>82.4</v>
      </c>
      <c r="E1875">
        <v>741.6</v>
      </c>
      <c r="F1875" s="58">
        <v>45726</v>
      </c>
      <c r="G1875" s="58">
        <v>45728</v>
      </c>
      <c r="H1875" t="s">
        <v>263</v>
      </c>
      <c r="I1875" t="s">
        <v>62</v>
      </c>
      <c r="J1875">
        <v>4</v>
      </c>
      <c r="K1875" t="s">
        <v>103</v>
      </c>
      <c r="L1875" t="s">
        <v>136</v>
      </c>
      <c r="M1875">
        <f>orders[[#This Row],[Ship Date]]-orders[[#This Row],[Order Date]]</f>
        <v>2</v>
      </c>
      <c r="N1875">
        <f>WEEKNUM(orders[[#This Row],[Order Date]],1)</f>
        <v>11</v>
      </c>
      <c r="O1875" t="str">
        <f t="array" ref="O1875">_xlfn.IFS(orders[[#This Row],[Customer Gender]]="M","Male", orders[[#This Row],[Customer Gender]]="F","Female", orders[[#This Row],[Customer Gender]]="O","Other", TRUE(),"Unknown")</f>
        <v>Other</v>
      </c>
    </row>
    <row r="1876" spans="1:15" x14ac:dyDescent="0.25">
      <c r="A1876" t="s">
        <v>2104</v>
      </c>
      <c r="B1876" t="s">
        <v>80</v>
      </c>
      <c r="C1876">
        <v>1</v>
      </c>
      <c r="D1876">
        <v>103.7</v>
      </c>
      <c r="E1876">
        <v>103.7</v>
      </c>
      <c r="F1876" s="58">
        <v>45726</v>
      </c>
      <c r="G1876" s="58">
        <v>45728</v>
      </c>
      <c r="H1876" t="s">
        <v>231</v>
      </c>
      <c r="I1876" t="s">
        <v>63</v>
      </c>
      <c r="J1876">
        <v>4</v>
      </c>
      <c r="K1876" t="s">
        <v>103</v>
      </c>
      <c r="L1876" t="s">
        <v>136</v>
      </c>
      <c r="M1876">
        <f>orders[[#This Row],[Ship Date]]-orders[[#This Row],[Order Date]]</f>
        <v>2</v>
      </c>
      <c r="N1876">
        <f>WEEKNUM(orders[[#This Row],[Order Date]],1)</f>
        <v>11</v>
      </c>
      <c r="O1876" t="str">
        <f t="array" ref="O1876">_xlfn.IFS(orders[[#This Row],[Customer Gender]]="M","Male", orders[[#This Row],[Customer Gender]]="F","Female", orders[[#This Row],[Customer Gender]]="O","Other", TRUE(),"Unknown")</f>
        <v>Female</v>
      </c>
    </row>
    <row r="1877" spans="1:15" x14ac:dyDescent="0.25">
      <c r="A1877" t="s">
        <v>2105</v>
      </c>
      <c r="B1877" t="s">
        <v>87</v>
      </c>
      <c r="C1877">
        <v>2</v>
      </c>
      <c r="D1877">
        <v>58.8</v>
      </c>
      <c r="E1877">
        <v>117.6</v>
      </c>
      <c r="F1877" s="58">
        <v>45726</v>
      </c>
      <c r="G1877" s="58">
        <v>45731</v>
      </c>
      <c r="H1877" t="s">
        <v>231</v>
      </c>
      <c r="I1877" t="s">
        <v>63</v>
      </c>
      <c r="J1877">
        <v>5</v>
      </c>
      <c r="K1877" t="s">
        <v>103</v>
      </c>
      <c r="L1877" t="s">
        <v>139</v>
      </c>
      <c r="M1877">
        <f>orders[[#This Row],[Ship Date]]-orders[[#This Row],[Order Date]]</f>
        <v>5</v>
      </c>
      <c r="N1877">
        <f>WEEKNUM(orders[[#This Row],[Order Date]],1)</f>
        <v>11</v>
      </c>
      <c r="O1877" t="str">
        <f t="array" ref="O1877">_xlfn.IFS(orders[[#This Row],[Customer Gender]]="M","Male", orders[[#This Row],[Customer Gender]]="F","Female", orders[[#This Row],[Customer Gender]]="O","Other", TRUE(),"Unknown")</f>
        <v>Female</v>
      </c>
    </row>
    <row r="1878" spans="1:15" x14ac:dyDescent="0.25">
      <c r="A1878" t="s">
        <v>2106</v>
      </c>
      <c r="B1878" t="s">
        <v>92</v>
      </c>
      <c r="C1878">
        <v>1</v>
      </c>
      <c r="D1878">
        <v>31.5</v>
      </c>
      <c r="E1878">
        <v>31.5</v>
      </c>
      <c r="F1878" s="58">
        <v>45726</v>
      </c>
      <c r="G1878" s="58">
        <v>45727</v>
      </c>
      <c r="H1878" t="s">
        <v>231</v>
      </c>
      <c r="I1878" t="s">
        <v>63</v>
      </c>
      <c r="J1878">
        <v>3</v>
      </c>
      <c r="K1878" t="s">
        <v>103</v>
      </c>
      <c r="L1878" t="s">
        <v>139</v>
      </c>
      <c r="M1878">
        <f>orders[[#This Row],[Ship Date]]-orders[[#This Row],[Order Date]]</f>
        <v>1</v>
      </c>
      <c r="N1878">
        <f>WEEKNUM(orders[[#This Row],[Order Date]],1)</f>
        <v>11</v>
      </c>
      <c r="O1878" t="str">
        <f t="array" ref="O1878">_xlfn.IFS(orders[[#This Row],[Customer Gender]]="M","Male", orders[[#This Row],[Customer Gender]]="F","Female", orders[[#This Row],[Customer Gender]]="O","Other", TRUE(),"Unknown")</f>
        <v>Female</v>
      </c>
    </row>
    <row r="1879" spans="1:15" x14ac:dyDescent="0.25">
      <c r="A1879" t="s">
        <v>2107</v>
      </c>
      <c r="B1879" t="s">
        <v>79</v>
      </c>
      <c r="C1879">
        <v>5</v>
      </c>
      <c r="D1879">
        <v>36.799999999999997</v>
      </c>
      <c r="E1879">
        <v>184</v>
      </c>
      <c r="F1879" s="58">
        <v>45726</v>
      </c>
      <c r="G1879" s="58">
        <v>45728</v>
      </c>
      <c r="H1879" t="s">
        <v>231</v>
      </c>
      <c r="I1879" t="s">
        <v>59</v>
      </c>
      <c r="J1879">
        <v>4</v>
      </c>
      <c r="K1879" t="s">
        <v>103</v>
      </c>
      <c r="L1879" t="s">
        <v>142</v>
      </c>
      <c r="M1879">
        <f>orders[[#This Row],[Ship Date]]-orders[[#This Row],[Order Date]]</f>
        <v>2</v>
      </c>
      <c r="N1879">
        <f>WEEKNUM(orders[[#This Row],[Order Date]],1)</f>
        <v>11</v>
      </c>
      <c r="O1879" t="str">
        <f t="array" ref="O1879">_xlfn.IFS(orders[[#This Row],[Customer Gender]]="M","Male", orders[[#This Row],[Customer Gender]]="F","Female", orders[[#This Row],[Customer Gender]]="O","Other", TRUE(),"Unknown")</f>
        <v>Female</v>
      </c>
    </row>
    <row r="1880" spans="1:15" x14ac:dyDescent="0.25">
      <c r="A1880" t="s">
        <v>2108</v>
      </c>
      <c r="B1880" t="s">
        <v>93</v>
      </c>
      <c r="C1880">
        <v>1</v>
      </c>
      <c r="D1880">
        <v>84.4</v>
      </c>
      <c r="E1880">
        <v>84.4</v>
      </c>
      <c r="F1880" s="58">
        <v>45726</v>
      </c>
      <c r="G1880" s="58">
        <v>45727</v>
      </c>
      <c r="H1880" t="s">
        <v>231</v>
      </c>
      <c r="I1880" t="s">
        <v>59</v>
      </c>
      <c r="J1880">
        <v>4</v>
      </c>
      <c r="K1880" t="s">
        <v>103</v>
      </c>
      <c r="L1880" t="s">
        <v>142</v>
      </c>
      <c r="M1880">
        <f>orders[[#This Row],[Ship Date]]-orders[[#This Row],[Order Date]]</f>
        <v>1</v>
      </c>
      <c r="N1880">
        <f>WEEKNUM(orders[[#This Row],[Order Date]],1)</f>
        <v>11</v>
      </c>
      <c r="O1880" t="str">
        <f t="array" ref="O1880">_xlfn.IFS(orders[[#This Row],[Customer Gender]]="M","Male", orders[[#This Row],[Customer Gender]]="F","Female", orders[[#This Row],[Customer Gender]]="O","Other", TRUE(),"Unknown")</f>
        <v>Female</v>
      </c>
    </row>
    <row r="1881" spans="1:15" x14ac:dyDescent="0.25">
      <c r="A1881" t="s">
        <v>2109</v>
      </c>
      <c r="B1881" t="s">
        <v>74</v>
      </c>
      <c r="C1881">
        <v>1</v>
      </c>
      <c r="D1881">
        <v>44.7</v>
      </c>
      <c r="E1881">
        <v>44.7</v>
      </c>
      <c r="F1881" s="58">
        <v>45726</v>
      </c>
      <c r="G1881" s="58">
        <v>45727</v>
      </c>
      <c r="H1881" t="s">
        <v>229</v>
      </c>
      <c r="I1881" t="s">
        <v>59</v>
      </c>
      <c r="J1881">
        <v>3</v>
      </c>
      <c r="K1881" t="s">
        <v>103</v>
      </c>
      <c r="L1881" t="s">
        <v>142</v>
      </c>
      <c r="M1881">
        <f>orders[[#This Row],[Ship Date]]-orders[[#This Row],[Order Date]]</f>
        <v>1</v>
      </c>
      <c r="N1881">
        <f>WEEKNUM(orders[[#This Row],[Order Date]],1)</f>
        <v>11</v>
      </c>
      <c r="O1881" t="str">
        <f t="array" ref="O1881">_xlfn.IFS(orders[[#This Row],[Customer Gender]]="M","Male", orders[[#This Row],[Customer Gender]]="F","Female", orders[[#This Row],[Customer Gender]]="O","Other", TRUE(),"Unknown")</f>
        <v>Male</v>
      </c>
    </row>
    <row r="1882" spans="1:15" x14ac:dyDescent="0.25">
      <c r="A1882" t="s">
        <v>2110</v>
      </c>
      <c r="B1882" t="s">
        <v>88</v>
      </c>
      <c r="C1882">
        <v>8</v>
      </c>
      <c r="D1882">
        <v>39.4</v>
      </c>
      <c r="E1882">
        <v>315.2</v>
      </c>
      <c r="F1882" s="58">
        <v>45726</v>
      </c>
      <c r="G1882" s="58">
        <v>45727</v>
      </c>
      <c r="H1882" t="s">
        <v>231</v>
      </c>
      <c r="I1882" t="s">
        <v>63</v>
      </c>
      <c r="J1882">
        <v>5</v>
      </c>
      <c r="K1882" t="s">
        <v>103</v>
      </c>
      <c r="L1882" t="s">
        <v>142</v>
      </c>
      <c r="M1882">
        <f>orders[[#This Row],[Ship Date]]-orders[[#This Row],[Order Date]]</f>
        <v>1</v>
      </c>
      <c r="N1882">
        <f>WEEKNUM(orders[[#This Row],[Order Date]],1)</f>
        <v>11</v>
      </c>
      <c r="O1882" t="str">
        <f t="array" ref="O1882">_xlfn.IFS(orders[[#This Row],[Customer Gender]]="M","Male", orders[[#This Row],[Customer Gender]]="F","Female", orders[[#This Row],[Customer Gender]]="O","Other", TRUE(),"Unknown")</f>
        <v>Female</v>
      </c>
    </row>
    <row r="1883" spans="1:15" x14ac:dyDescent="0.25">
      <c r="A1883" t="s">
        <v>2111</v>
      </c>
      <c r="B1883" t="s">
        <v>83</v>
      </c>
      <c r="C1883">
        <v>4</v>
      </c>
      <c r="D1883">
        <v>34.9</v>
      </c>
      <c r="E1883">
        <v>139.6</v>
      </c>
      <c r="F1883" s="58">
        <v>45726</v>
      </c>
      <c r="G1883" s="58">
        <v>45728</v>
      </c>
      <c r="H1883" t="s">
        <v>231</v>
      </c>
      <c r="I1883" t="s">
        <v>59</v>
      </c>
      <c r="J1883">
        <v>5</v>
      </c>
      <c r="K1883" t="s">
        <v>103</v>
      </c>
      <c r="L1883" t="s">
        <v>142</v>
      </c>
      <c r="M1883">
        <f>orders[[#This Row],[Ship Date]]-orders[[#This Row],[Order Date]]</f>
        <v>2</v>
      </c>
      <c r="N1883">
        <f>WEEKNUM(orders[[#This Row],[Order Date]],1)</f>
        <v>11</v>
      </c>
      <c r="O1883" t="str">
        <f t="array" ref="O1883">_xlfn.IFS(orders[[#This Row],[Customer Gender]]="M","Male", orders[[#This Row],[Customer Gender]]="F","Female", orders[[#This Row],[Customer Gender]]="O","Other", TRUE(),"Unknown")</f>
        <v>Female</v>
      </c>
    </row>
    <row r="1884" spans="1:15" x14ac:dyDescent="0.25">
      <c r="A1884" t="s">
        <v>2112</v>
      </c>
      <c r="B1884" t="s">
        <v>91</v>
      </c>
      <c r="C1884">
        <v>3</v>
      </c>
      <c r="D1884">
        <v>62.3</v>
      </c>
      <c r="E1884">
        <v>186.9</v>
      </c>
      <c r="F1884" s="58">
        <v>45726</v>
      </c>
      <c r="G1884" s="58">
        <v>45728</v>
      </c>
      <c r="H1884" t="s">
        <v>229</v>
      </c>
      <c r="I1884" t="s">
        <v>61</v>
      </c>
      <c r="J1884">
        <v>5</v>
      </c>
      <c r="K1884" t="s">
        <v>103</v>
      </c>
      <c r="L1884" t="s">
        <v>142</v>
      </c>
      <c r="M1884">
        <f>orders[[#This Row],[Ship Date]]-orders[[#This Row],[Order Date]]</f>
        <v>2</v>
      </c>
      <c r="N1884">
        <f>WEEKNUM(orders[[#This Row],[Order Date]],1)</f>
        <v>11</v>
      </c>
      <c r="O1884" t="str">
        <f t="array" ref="O1884">_xlfn.IFS(orders[[#This Row],[Customer Gender]]="M","Male", orders[[#This Row],[Customer Gender]]="F","Female", orders[[#This Row],[Customer Gender]]="O","Other", TRUE(),"Unknown")</f>
        <v>Male</v>
      </c>
    </row>
    <row r="1885" spans="1:15" x14ac:dyDescent="0.25">
      <c r="A1885" t="s">
        <v>2113</v>
      </c>
      <c r="B1885" t="s">
        <v>90</v>
      </c>
      <c r="C1885">
        <v>4</v>
      </c>
      <c r="D1885">
        <v>21.1</v>
      </c>
      <c r="E1885">
        <v>84.4</v>
      </c>
      <c r="F1885" s="58">
        <v>45726</v>
      </c>
      <c r="G1885" s="58">
        <v>45729</v>
      </c>
      <c r="H1885" t="s">
        <v>229</v>
      </c>
      <c r="I1885" t="s">
        <v>60</v>
      </c>
      <c r="J1885">
        <v>4</v>
      </c>
      <c r="K1885" t="s">
        <v>103</v>
      </c>
      <c r="L1885" t="s">
        <v>142</v>
      </c>
      <c r="M1885">
        <f>orders[[#This Row],[Ship Date]]-orders[[#This Row],[Order Date]]</f>
        <v>3</v>
      </c>
      <c r="N1885">
        <f>WEEKNUM(orders[[#This Row],[Order Date]],1)</f>
        <v>11</v>
      </c>
      <c r="O1885" t="str">
        <f t="array" ref="O1885">_xlfn.IFS(orders[[#This Row],[Customer Gender]]="M","Male", orders[[#This Row],[Customer Gender]]="F","Female", orders[[#This Row],[Customer Gender]]="O","Other", TRUE(),"Unknown")</f>
        <v>Male</v>
      </c>
    </row>
    <row r="1886" spans="1:15" x14ac:dyDescent="0.25">
      <c r="A1886" t="s">
        <v>2114</v>
      </c>
      <c r="B1886" t="s">
        <v>90</v>
      </c>
      <c r="C1886">
        <v>3</v>
      </c>
      <c r="D1886">
        <v>33.200000000000003</v>
      </c>
      <c r="E1886">
        <v>99.6</v>
      </c>
      <c r="F1886" s="58">
        <v>45726</v>
      </c>
      <c r="G1886" s="58">
        <v>45740</v>
      </c>
      <c r="I1886" t="s">
        <v>59</v>
      </c>
      <c r="J1886">
        <v>2</v>
      </c>
      <c r="K1886" t="s">
        <v>103</v>
      </c>
      <c r="L1886" t="s">
        <v>142</v>
      </c>
      <c r="M1886">
        <f>orders[[#This Row],[Ship Date]]-orders[[#This Row],[Order Date]]</f>
        <v>14</v>
      </c>
      <c r="N1886">
        <f>WEEKNUM(orders[[#This Row],[Order Date]],1)</f>
        <v>11</v>
      </c>
      <c r="O1886" t="str">
        <f t="array" ref="O1886">_xlfn.IFS(orders[[#This Row],[Customer Gender]]="M","Male", orders[[#This Row],[Customer Gender]]="F","Female", orders[[#This Row],[Customer Gender]]="O","Other", TRUE(),"Unknown")</f>
        <v>Unknown</v>
      </c>
    </row>
    <row r="1887" spans="1:15" x14ac:dyDescent="0.25">
      <c r="A1887" t="s">
        <v>2115</v>
      </c>
      <c r="B1887" t="s">
        <v>91</v>
      </c>
      <c r="C1887">
        <v>4</v>
      </c>
      <c r="D1887">
        <v>74.5</v>
      </c>
      <c r="E1887">
        <v>298</v>
      </c>
      <c r="F1887" s="58">
        <v>45726</v>
      </c>
      <c r="G1887" s="58">
        <v>45727</v>
      </c>
      <c r="H1887" t="s">
        <v>229</v>
      </c>
      <c r="I1887" t="s">
        <v>61</v>
      </c>
      <c r="J1887">
        <v>4</v>
      </c>
      <c r="K1887" t="s">
        <v>103</v>
      </c>
      <c r="L1887" t="s">
        <v>142</v>
      </c>
      <c r="M1887">
        <f>orders[[#This Row],[Ship Date]]-orders[[#This Row],[Order Date]]</f>
        <v>1</v>
      </c>
      <c r="N1887">
        <f>WEEKNUM(orders[[#This Row],[Order Date]],1)</f>
        <v>11</v>
      </c>
      <c r="O1887" t="str">
        <f t="array" ref="O1887">_xlfn.IFS(orders[[#This Row],[Customer Gender]]="M","Male", orders[[#This Row],[Customer Gender]]="F","Female", orders[[#This Row],[Customer Gender]]="O","Other", TRUE(),"Unknown")</f>
        <v>Male</v>
      </c>
    </row>
    <row r="1888" spans="1:15" x14ac:dyDescent="0.25">
      <c r="A1888" t="s">
        <v>2116</v>
      </c>
      <c r="B1888" t="s">
        <v>75</v>
      </c>
      <c r="C1888">
        <v>12</v>
      </c>
      <c r="D1888">
        <v>68.599999999999994</v>
      </c>
      <c r="E1888">
        <v>823.2</v>
      </c>
      <c r="F1888" s="58">
        <v>45726</v>
      </c>
      <c r="G1888" s="58">
        <v>45729</v>
      </c>
      <c r="H1888" t="s">
        <v>231</v>
      </c>
      <c r="I1888" t="s">
        <v>59</v>
      </c>
      <c r="J1888">
        <v>5</v>
      </c>
      <c r="K1888" t="s">
        <v>103</v>
      </c>
      <c r="L1888" t="s">
        <v>142</v>
      </c>
      <c r="M1888">
        <f>orders[[#This Row],[Ship Date]]-orders[[#This Row],[Order Date]]</f>
        <v>3</v>
      </c>
      <c r="N1888">
        <f>WEEKNUM(orders[[#This Row],[Order Date]],1)</f>
        <v>11</v>
      </c>
      <c r="O1888" t="str">
        <f t="array" ref="O1888">_xlfn.IFS(orders[[#This Row],[Customer Gender]]="M","Male", orders[[#This Row],[Customer Gender]]="F","Female", orders[[#This Row],[Customer Gender]]="O","Other", TRUE(),"Unknown")</f>
        <v>Female</v>
      </c>
    </row>
    <row r="1889" spans="1:15" x14ac:dyDescent="0.25">
      <c r="A1889" t="s">
        <v>2117</v>
      </c>
      <c r="B1889" t="s">
        <v>85</v>
      </c>
      <c r="C1889">
        <v>14</v>
      </c>
      <c r="D1889">
        <v>36.4</v>
      </c>
      <c r="E1889">
        <v>509.6</v>
      </c>
      <c r="F1889" s="58">
        <v>45726</v>
      </c>
      <c r="G1889" s="58">
        <v>45728</v>
      </c>
      <c r="H1889" t="s">
        <v>231</v>
      </c>
      <c r="I1889" t="s">
        <v>59</v>
      </c>
      <c r="J1889">
        <v>3</v>
      </c>
      <c r="K1889" t="s">
        <v>103</v>
      </c>
      <c r="L1889" t="s">
        <v>146</v>
      </c>
      <c r="M1889">
        <f>orders[[#This Row],[Ship Date]]-orders[[#This Row],[Order Date]]</f>
        <v>2</v>
      </c>
      <c r="N1889">
        <f>WEEKNUM(orders[[#This Row],[Order Date]],1)</f>
        <v>11</v>
      </c>
      <c r="O1889" t="str">
        <f t="array" ref="O1889">_xlfn.IFS(orders[[#This Row],[Customer Gender]]="M","Male", orders[[#This Row],[Customer Gender]]="F","Female", orders[[#This Row],[Customer Gender]]="O","Other", TRUE(),"Unknown")</f>
        <v>Female</v>
      </c>
    </row>
    <row r="1890" spans="1:15" x14ac:dyDescent="0.25">
      <c r="A1890" t="s">
        <v>2118</v>
      </c>
      <c r="B1890" t="s">
        <v>89</v>
      </c>
      <c r="C1890">
        <v>5</v>
      </c>
      <c r="D1890">
        <v>67.599999999999994</v>
      </c>
      <c r="E1890">
        <v>338</v>
      </c>
      <c r="F1890" s="58">
        <v>45727</v>
      </c>
      <c r="G1890" s="58">
        <v>45730</v>
      </c>
      <c r="H1890" t="s">
        <v>231</v>
      </c>
      <c r="I1890" t="s">
        <v>61</v>
      </c>
      <c r="J1890">
        <v>3</v>
      </c>
      <c r="K1890" t="s">
        <v>103</v>
      </c>
      <c r="L1890" t="s">
        <v>146</v>
      </c>
      <c r="M1890">
        <f>orders[[#This Row],[Ship Date]]-orders[[#This Row],[Order Date]]</f>
        <v>3</v>
      </c>
      <c r="N1890">
        <f>WEEKNUM(orders[[#This Row],[Order Date]],1)</f>
        <v>11</v>
      </c>
      <c r="O1890" t="str">
        <f t="array" ref="O1890">_xlfn.IFS(orders[[#This Row],[Customer Gender]]="M","Male", orders[[#This Row],[Customer Gender]]="F","Female", orders[[#This Row],[Customer Gender]]="O","Other", TRUE(),"Unknown")</f>
        <v>Female</v>
      </c>
    </row>
    <row r="1891" spans="1:15" x14ac:dyDescent="0.25">
      <c r="A1891" t="s">
        <v>2119</v>
      </c>
      <c r="B1891" t="s">
        <v>77</v>
      </c>
      <c r="C1891">
        <v>1</v>
      </c>
      <c r="D1891">
        <v>46.3</v>
      </c>
      <c r="E1891">
        <v>46.3</v>
      </c>
      <c r="F1891" s="58">
        <v>45727</v>
      </c>
      <c r="G1891" s="58">
        <v>45728</v>
      </c>
      <c r="H1891" t="s">
        <v>229</v>
      </c>
      <c r="I1891" t="s">
        <v>62</v>
      </c>
      <c r="J1891">
        <v>4</v>
      </c>
      <c r="K1891" t="s">
        <v>103</v>
      </c>
      <c r="L1891" t="s">
        <v>146</v>
      </c>
      <c r="M1891">
        <f>orders[[#This Row],[Ship Date]]-orders[[#This Row],[Order Date]]</f>
        <v>1</v>
      </c>
      <c r="N1891">
        <f>WEEKNUM(orders[[#This Row],[Order Date]],1)</f>
        <v>11</v>
      </c>
      <c r="O1891" t="str">
        <f t="array" ref="O1891">_xlfn.IFS(orders[[#This Row],[Customer Gender]]="M","Male", orders[[#This Row],[Customer Gender]]="F","Female", orders[[#This Row],[Customer Gender]]="O","Other", TRUE(),"Unknown")</f>
        <v>Male</v>
      </c>
    </row>
    <row r="1892" spans="1:15" x14ac:dyDescent="0.25">
      <c r="A1892" t="s">
        <v>2120</v>
      </c>
      <c r="B1892" t="s">
        <v>91</v>
      </c>
      <c r="C1892">
        <v>3</v>
      </c>
      <c r="D1892">
        <v>124.2</v>
      </c>
      <c r="E1892">
        <v>372.6</v>
      </c>
      <c r="F1892" s="58">
        <v>45727</v>
      </c>
      <c r="G1892" s="58">
        <v>45729</v>
      </c>
      <c r="H1892" t="s">
        <v>231</v>
      </c>
      <c r="I1892" t="s">
        <v>63</v>
      </c>
      <c r="J1892">
        <v>5</v>
      </c>
      <c r="K1892" t="s">
        <v>103</v>
      </c>
      <c r="L1892" t="s">
        <v>148</v>
      </c>
      <c r="M1892">
        <f>orders[[#This Row],[Ship Date]]-orders[[#This Row],[Order Date]]</f>
        <v>2</v>
      </c>
      <c r="N1892">
        <f>WEEKNUM(orders[[#This Row],[Order Date]],1)</f>
        <v>11</v>
      </c>
      <c r="O1892" t="str">
        <f t="array" ref="O1892">_xlfn.IFS(orders[[#This Row],[Customer Gender]]="M","Male", orders[[#This Row],[Customer Gender]]="F","Female", orders[[#This Row],[Customer Gender]]="O","Other", TRUE(),"Unknown")</f>
        <v>Female</v>
      </c>
    </row>
    <row r="1893" spans="1:15" x14ac:dyDescent="0.25">
      <c r="A1893" t="s">
        <v>2121</v>
      </c>
      <c r="B1893" t="s">
        <v>75</v>
      </c>
      <c r="C1893">
        <v>2</v>
      </c>
      <c r="D1893">
        <v>37</v>
      </c>
      <c r="E1893">
        <v>74</v>
      </c>
      <c r="F1893" s="58">
        <v>45727</v>
      </c>
      <c r="G1893" s="58">
        <v>45733</v>
      </c>
      <c r="H1893" t="s">
        <v>229</v>
      </c>
      <c r="I1893" t="s">
        <v>59</v>
      </c>
      <c r="J1893">
        <v>4</v>
      </c>
      <c r="K1893" t="s">
        <v>103</v>
      </c>
      <c r="L1893" t="s">
        <v>148</v>
      </c>
      <c r="M1893">
        <f>orders[[#This Row],[Ship Date]]-orders[[#This Row],[Order Date]]</f>
        <v>6</v>
      </c>
      <c r="N1893">
        <f>WEEKNUM(orders[[#This Row],[Order Date]],1)</f>
        <v>11</v>
      </c>
      <c r="O1893" t="str">
        <f t="array" ref="O1893">_xlfn.IFS(orders[[#This Row],[Customer Gender]]="M","Male", orders[[#This Row],[Customer Gender]]="F","Female", orders[[#This Row],[Customer Gender]]="O","Other", TRUE(),"Unknown")</f>
        <v>Male</v>
      </c>
    </row>
    <row r="1894" spans="1:15" x14ac:dyDescent="0.25">
      <c r="A1894" t="s">
        <v>2122</v>
      </c>
      <c r="B1894" t="s">
        <v>85</v>
      </c>
      <c r="C1894">
        <v>1</v>
      </c>
      <c r="D1894">
        <v>41.8</v>
      </c>
      <c r="E1894">
        <v>41.8</v>
      </c>
      <c r="F1894" s="58">
        <v>45727</v>
      </c>
      <c r="G1894" s="58">
        <v>45728</v>
      </c>
      <c r="H1894" t="s">
        <v>229</v>
      </c>
      <c r="I1894" t="s">
        <v>62</v>
      </c>
      <c r="J1894">
        <v>4</v>
      </c>
      <c r="K1894" t="s">
        <v>103</v>
      </c>
      <c r="L1894" t="s">
        <v>156</v>
      </c>
      <c r="M1894">
        <f>orders[[#This Row],[Ship Date]]-orders[[#This Row],[Order Date]]</f>
        <v>1</v>
      </c>
      <c r="N1894">
        <f>WEEKNUM(orders[[#This Row],[Order Date]],1)</f>
        <v>11</v>
      </c>
      <c r="O1894" t="str">
        <f t="array" ref="O1894">_xlfn.IFS(orders[[#This Row],[Customer Gender]]="M","Male", orders[[#This Row],[Customer Gender]]="F","Female", orders[[#This Row],[Customer Gender]]="O","Other", TRUE(),"Unknown")</f>
        <v>Male</v>
      </c>
    </row>
    <row r="1895" spans="1:15" x14ac:dyDescent="0.25">
      <c r="A1895" t="s">
        <v>2123</v>
      </c>
      <c r="B1895" t="s">
        <v>88</v>
      </c>
      <c r="C1895">
        <v>2</v>
      </c>
      <c r="D1895">
        <v>57.2</v>
      </c>
      <c r="E1895">
        <v>114.4</v>
      </c>
      <c r="F1895" s="58">
        <v>45727</v>
      </c>
      <c r="G1895" s="58">
        <v>45729</v>
      </c>
      <c r="H1895" t="s">
        <v>229</v>
      </c>
      <c r="I1895" t="s">
        <v>62</v>
      </c>
      <c r="J1895">
        <v>3</v>
      </c>
      <c r="K1895" t="s">
        <v>103</v>
      </c>
      <c r="L1895" t="s">
        <v>159</v>
      </c>
      <c r="M1895">
        <f>orders[[#This Row],[Ship Date]]-orders[[#This Row],[Order Date]]</f>
        <v>2</v>
      </c>
      <c r="N1895">
        <f>WEEKNUM(orders[[#This Row],[Order Date]],1)</f>
        <v>11</v>
      </c>
      <c r="O1895" t="str">
        <f t="array" ref="O1895">_xlfn.IFS(orders[[#This Row],[Customer Gender]]="M","Male", orders[[#This Row],[Customer Gender]]="F","Female", orders[[#This Row],[Customer Gender]]="O","Other", TRUE(),"Unknown")</f>
        <v>Male</v>
      </c>
    </row>
    <row r="1896" spans="1:15" x14ac:dyDescent="0.25">
      <c r="A1896" t="s">
        <v>2124</v>
      </c>
      <c r="B1896" t="s">
        <v>80</v>
      </c>
      <c r="C1896">
        <v>2</v>
      </c>
      <c r="D1896">
        <v>47.1</v>
      </c>
      <c r="E1896">
        <v>94.2</v>
      </c>
      <c r="F1896" s="58">
        <v>45727</v>
      </c>
      <c r="G1896" s="58">
        <v>45729</v>
      </c>
      <c r="H1896" t="s">
        <v>231</v>
      </c>
      <c r="I1896" t="s">
        <v>59</v>
      </c>
      <c r="J1896">
        <v>2</v>
      </c>
      <c r="K1896" t="s">
        <v>103</v>
      </c>
      <c r="L1896" t="s">
        <v>159</v>
      </c>
      <c r="M1896">
        <f>orders[[#This Row],[Ship Date]]-orders[[#This Row],[Order Date]]</f>
        <v>2</v>
      </c>
      <c r="N1896">
        <f>WEEKNUM(orders[[#This Row],[Order Date]],1)</f>
        <v>11</v>
      </c>
      <c r="O1896" t="str">
        <f t="array" ref="O1896">_xlfn.IFS(orders[[#This Row],[Customer Gender]]="M","Male", orders[[#This Row],[Customer Gender]]="F","Female", orders[[#This Row],[Customer Gender]]="O","Other", TRUE(),"Unknown")</f>
        <v>Female</v>
      </c>
    </row>
    <row r="1897" spans="1:15" x14ac:dyDescent="0.25">
      <c r="A1897" t="s">
        <v>2125</v>
      </c>
      <c r="B1897" t="s">
        <v>85</v>
      </c>
      <c r="C1897">
        <v>3</v>
      </c>
      <c r="D1897">
        <v>86.4</v>
      </c>
      <c r="E1897">
        <v>259.2</v>
      </c>
      <c r="F1897" s="58">
        <v>45727</v>
      </c>
      <c r="G1897" s="58">
        <v>45728</v>
      </c>
      <c r="H1897" t="s">
        <v>229</v>
      </c>
      <c r="I1897" t="s">
        <v>62</v>
      </c>
      <c r="J1897">
        <v>3</v>
      </c>
      <c r="K1897" t="s">
        <v>103</v>
      </c>
      <c r="L1897" t="s">
        <v>160</v>
      </c>
      <c r="M1897">
        <f>orders[[#This Row],[Ship Date]]-orders[[#This Row],[Order Date]]</f>
        <v>1</v>
      </c>
      <c r="N1897">
        <f>WEEKNUM(orders[[#This Row],[Order Date]],1)</f>
        <v>11</v>
      </c>
      <c r="O1897" t="str">
        <f t="array" ref="O1897">_xlfn.IFS(orders[[#This Row],[Customer Gender]]="M","Male", orders[[#This Row],[Customer Gender]]="F","Female", orders[[#This Row],[Customer Gender]]="O","Other", TRUE(),"Unknown")</f>
        <v>Male</v>
      </c>
    </row>
    <row r="1898" spans="1:15" x14ac:dyDescent="0.25">
      <c r="A1898" t="s">
        <v>2126</v>
      </c>
      <c r="B1898" t="s">
        <v>80</v>
      </c>
      <c r="C1898">
        <v>5</v>
      </c>
      <c r="D1898">
        <v>105</v>
      </c>
      <c r="E1898">
        <v>525</v>
      </c>
      <c r="F1898" s="58">
        <v>45727</v>
      </c>
      <c r="G1898" s="58">
        <v>45730</v>
      </c>
      <c r="H1898" t="s">
        <v>229</v>
      </c>
      <c r="I1898" t="s">
        <v>59</v>
      </c>
      <c r="J1898">
        <v>4</v>
      </c>
      <c r="K1898" t="s">
        <v>103</v>
      </c>
      <c r="L1898" t="s">
        <v>161</v>
      </c>
      <c r="M1898">
        <f>orders[[#This Row],[Ship Date]]-orders[[#This Row],[Order Date]]</f>
        <v>3</v>
      </c>
      <c r="N1898">
        <f>WEEKNUM(orders[[#This Row],[Order Date]],1)</f>
        <v>11</v>
      </c>
      <c r="O1898" t="str">
        <f t="array" ref="O1898">_xlfn.IFS(orders[[#This Row],[Customer Gender]]="M","Male", orders[[#This Row],[Customer Gender]]="F","Female", orders[[#This Row],[Customer Gender]]="O","Other", TRUE(),"Unknown")</f>
        <v>Male</v>
      </c>
    </row>
    <row r="1899" spans="1:15" x14ac:dyDescent="0.25">
      <c r="A1899" t="s">
        <v>2127</v>
      </c>
      <c r="B1899" t="s">
        <v>82</v>
      </c>
      <c r="C1899">
        <v>1</v>
      </c>
      <c r="D1899">
        <v>33</v>
      </c>
      <c r="E1899">
        <v>33</v>
      </c>
      <c r="F1899" s="58">
        <v>45727</v>
      </c>
      <c r="G1899" s="58">
        <v>45730</v>
      </c>
      <c r="H1899" t="s">
        <v>229</v>
      </c>
      <c r="I1899" t="s">
        <v>61</v>
      </c>
      <c r="J1899">
        <v>4</v>
      </c>
      <c r="K1899" t="s">
        <v>103</v>
      </c>
      <c r="L1899" t="s">
        <v>106</v>
      </c>
      <c r="M1899">
        <f>orders[[#This Row],[Ship Date]]-orders[[#This Row],[Order Date]]</f>
        <v>3</v>
      </c>
      <c r="N1899">
        <f>WEEKNUM(orders[[#This Row],[Order Date]],1)</f>
        <v>11</v>
      </c>
      <c r="O1899" t="str">
        <f t="array" ref="O1899">_xlfn.IFS(orders[[#This Row],[Customer Gender]]="M","Male", orders[[#This Row],[Customer Gender]]="F","Female", orders[[#This Row],[Customer Gender]]="O","Other", TRUE(),"Unknown")</f>
        <v>Male</v>
      </c>
    </row>
    <row r="1900" spans="1:15" x14ac:dyDescent="0.25">
      <c r="A1900" t="s">
        <v>2128</v>
      </c>
      <c r="B1900" t="s">
        <v>80</v>
      </c>
      <c r="C1900">
        <v>5</v>
      </c>
      <c r="D1900">
        <v>106.6</v>
      </c>
      <c r="E1900">
        <v>533</v>
      </c>
      <c r="F1900" s="58">
        <v>45727</v>
      </c>
      <c r="G1900" s="58">
        <v>45740</v>
      </c>
      <c r="H1900" t="s">
        <v>231</v>
      </c>
      <c r="I1900" t="s">
        <v>62</v>
      </c>
      <c r="J1900">
        <v>4</v>
      </c>
      <c r="K1900" t="s">
        <v>103</v>
      </c>
      <c r="L1900" t="s">
        <v>112</v>
      </c>
      <c r="M1900">
        <f>orders[[#This Row],[Ship Date]]-orders[[#This Row],[Order Date]]</f>
        <v>13</v>
      </c>
      <c r="N1900">
        <f>WEEKNUM(orders[[#This Row],[Order Date]],1)</f>
        <v>11</v>
      </c>
      <c r="O1900" t="str">
        <f t="array" ref="O1900">_xlfn.IFS(orders[[#This Row],[Customer Gender]]="M","Male", orders[[#This Row],[Customer Gender]]="F","Female", orders[[#This Row],[Customer Gender]]="O","Other", TRUE(),"Unknown")</f>
        <v>Female</v>
      </c>
    </row>
    <row r="1901" spans="1:15" x14ac:dyDescent="0.25">
      <c r="A1901" t="s">
        <v>2129</v>
      </c>
      <c r="B1901" t="s">
        <v>75</v>
      </c>
      <c r="C1901">
        <v>32</v>
      </c>
      <c r="D1901">
        <v>26.8</v>
      </c>
      <c r="E1901">
        <v>857.6</v>
      </c>
      <c r="F1901" s="58">
        <v>45727</v>
      </c>
      <c r="G1901" s="58">
        <v>45728</v>
      </c>
      <c r="H1901" t="s">
        <v>231</v>
      </c>
      <c r="I1901" t="s">
        <v>62</v>
      </c>
      <c r="J1901">
        <v>4</v>
      </c>
      <c r="K1901" t="s">
        <v>103</v>
      </c>
      <c r="L1901" t="s">
        <v>112</v>
      </c>
      <c r="M1901">
        <f>orders[[#This Row],[Ship Date]]-orders[[#This Row],[Order Date]]</f>
        <v>1</v>
      </c>
      <c r="N1901">
        <f>WEEKNUM(orders[[#This Row],[Order Date]],1)</f>
        <v>11</v>
      </c>
      <c r="O1901" t="str">
        <f t="array" ref="O1901">_xlfn.IFS(orders[[#This Row],[Customer Gender]]="M","Male", orders[[#This Row],[Customer Gender]]="F","Female", orders[[#This Row],[Customer Gender]]="O","Other", TRUE(),"Unknown")</f>
        <v>Female</v>
      </c>
    </row>
    <row r="1902" spans="1:15" x14ac:dyDescent="0.25">
      <c r="A1902" t="s">
        <v>2130</v>
      </c>
      <c r="B1902" t="s">
        <v>84</v>
      </c>
      <c r="C1902">
        <v>5</v>
      </c>
      <c r="D1902">
        <v>25.8</v>
      </c>
      <c r="E1902">
        <v>129</v>
      </c>
      <c r="F1902" s="58">
        <v>45727</v>
      </c>
      <c r="G1902" s="58">
        <v>45727</v>
      </c>
      <c r="H1902" t="s">
        <v>231</v>
      </c>
      <c r="I1902" t="s">
        <v>63</v>
      </c>
      <c r="J1902">
        <v>5</v>
      </c>
      <c r="K1902" t="s">
        <v>103</v>
      </c>
      <c r="L1902" t="s">
        <v>124</v>
      </c>
      <c r="M1902">
        <f>orders[[#This Row],[Ship Date]]-orders[[#This Row],[Order Date]]</f>
        <v>0</v>
      </c>
      <c r="N1902">
        <f>WEEKNUM(orders[[#This Row],[Order Date]],1)</f>
        <v>11</v>
      </c>
      <c r="O1902" t="str">
        <f t="array" ref="O1902">_xlfn.IFS(orders[[#This Row],[Customer Gender]]="M","Male", orders[[#This Row],[Customer Gender]]="F","Female", orders[[#This Row],[Customer Gender]]="O","Other", TRUE(),"Unknown")</f>
        <v>Female</v>
      </c>
    </row>
    <row r="1903" spans="1:15" x14ac:dyDescent="0.25">
      <c r="A1903" t="s">
        <v>2131</v>
      </c>
      <c r="B1903" t="s">
        <v>87</v>
      </c>
      <c r="C1903">
        <v>3</v>
      </c>
      <c r="D1903">
        <v>217</v>
      </c>
      <c r="E1903">
        <v>651</v>
      </c>
      <c r="F1903" s="58">
        <v>45727</v>
      </c>
      <c r="G1903" s="58">
        <v>45728</v>
      </c>
      <c r="H1903" t="s">
        <v>231</v>
      </c>
      <c r="I1903" t="s">
        <v>63</v>
      </c>
      <c r="J1903">
        <v>3</v>
      </c>
      <c r="K1903" t="s">
        <v>103</v>
      </c>
      <c r="L1903" t="s">
        <v>124</v>
      </c>
      <c r="M1903">
        <f>orders[[#This Row],[Ship Date]]-orders[[#This Row],[Order Date]]</f>
        <v>1</v>
      </c>
      <c r="N1903">
        <f>WEEKNUM(orders[[#This Row],[Order Date]],1)</f>
        <v>11</v>
      </c>
      <c r="O1903" t="str">
        <f t="array" ref="O1903">_xlfn.IFS(orders[[#This Row],[Customer Gender]]="M","Male", orders[[#This Row],[Customer Gender]]="F","Female", orders[[#This Row],[Customer Gender]]="O","Other", TRUE(),"Unknown")</f>
        <v>Female</v>
      </c>
    </row>
    <row r="1904" spans="1:15" x14ac:dyDescent="0.25">
      <c r="A1904" t="s">
        <v>2132</v>
      </c>
      <c r="B1904" t="s">
        <v>87</v>
      </c>
      <c r="C1904">
        <v>2</v>
      </c>
      <c r="D1904">
        <v>97.3</v>
      </c>
      <c r="E1904">
        <v>194.6</v>
      </c>
      <c r="F1904" s="58">
        <v>45727</v>
      </c>
      <c r="G1904" s="58">
        <v>45728</v>
      </c>
      <c r="H1904" t="s">
        <v>229</v>
      </c>
      <c r="I1904" t="s">
        <v>62</v>
      </c>
      <c r="J1904">
        <v>2</v>
      </c>
      <c r="K1904" t="s">
        <v>103</v>
      </c>
      <c r="L1904" t="s">
        <v>124</v>
      </c>
      <c r="M1904">
        <f>orders[[#This Row],[Ship Date]]-orders[[#This Row],[Order Date]]</f>
        <v>1</v>
      </c>
      <c r="N1904">
        <f>WEEKNUM(orders[[#This Row],[Order Date]],1)</f>
        <v>11</v>
      </c>
      <c r="O1904" t="str">
        <f t="array" ref="O1904">_xlfn.IFS(orders[[#This Row],[Customer Gender]]="M","Male", orders[[#This Row],[Customer Gender]]="F","Female", orders[[#This Row],[Customer Gender]]="O","Other", TRUE(),"Unknown")</f>
        <v>Male</v>
      </c>
    </row>
    <row r="1905" spans="1:15" x14ac:dyDescent="0.25">
      <c r="A1905" t="s">
        <v>2133</v>
      </c>
      <c r="B1905" t="s">
        <v>91</v>
      </c>
      <c r="C1905">
        <v>1</v>
      </c>
      <c r="D1905">
        <v>49.8</v>
      </c>
      <c r="E1905">
        <v>49.8</v>
      </c>
      <c r="F1905" s="58">
        <v>45727</v>
      </c>
      <c r="G1905" s="58">
        <v>45728</v>
      </c>
      <c r="H1905" t="s">
        <v>231</v>
      </c>
      <c r="I1905" t="s">
        <v>59</v>
      </c>
      <c r="J1905">
        <v>4</v>
      </c>
      <c r="K1905" t="s">
        <v>103</v>
      </c>
      <c r="L1905" t="s">
        <v>124</v>
      </c>
      <c r="M1905">
        <f>orders[[#This Row],[Ship Date]]-orders[[#This Row],[Order Date]]</f>
        <v>1</v>
      </c>
      <c r="N1905">
        <f>WEEKNUM(orders[[#This Row],[Order Date]],1)</f>
        <v>11</v>
      </c>
      <c r="O1905" t="str">
        <f t="array" ref="O1905">_xlfn.IFS(orders[[#This Row],[Customer Gender]]="M","Male", orders[[#This Row],[Customer Gender]]="F","Female", orders[[#This Row],[Customer Gender]]="O","Other", TRUE(),"Unknown")</f>
        <v>Female</v>
      </c>
    </row>
    <row r="1906" spans="1:15" x14ac:dyDescent="0.25">
      <c r="A1906" t="s">
        <v>2134</v>
      </c>
      <c r="B1906" t="s">
        <v>76</v>
      </c>
      <c r="C1906">
        <v>5</v>
      </c>
      <c r="D1906">
        <v>32.6</v>
      </c>
      <c r="E1906">
        <v>163</v>
      </c>
      <c r="F1906" s="58">
        <v>45727</v>
      </c>
      <c r="G1906" s="58">
        <v>45728</v>
      </c>
      <c r="H1906" t="s">
        <v>231</v>
      </c>
      <c r="I1906" t="s">
        <v>59</v>
      </c>
      <c r="J1906">
        <v>4</v>
      </c>
      <c r="K1906" t="s">
        <v>103</v>
      </c>
      <c r="L1906" t="s">
        <v>124</v>
      </c>
      <c r="M1906">
        <f>orders[[#This Row],[Ship Date]]-orders[[#This Row],[Order Date]]</f>
        <v>1</v>
      </c>
      <c r="N1906">
        <f>WEEKNUM(orders[[#This Row],[Order Date]],1)</f>
        <v>11</v>
      </c>
      <c r="O1906" t="str">
        <f t="array" ref="O1906">_xlfn.IFS(orders[[#This Row],[Customer Gender]]="M","Male", orders[[#This Row],[Customer Gender]]="F","Female", orders[[#This Row],[Customer Gender]]="O","Other", TRUE(),"Unknown")</f>
        <v>Female</v>
      </c>
    </row>
    <row r="1907" spans="1:15" x14ac:dyDescent="0.25">
      <c r="A1907" t="s">
        <v>2135</v>
      </c>
      <c r="B1907" t="s">
        <v>88</v>
      </c>
      <c r="C1907">
        <v>2</v>
      </c>
      <c r="D1907">
        <v>40.1</v>
      </c>
      <c r="E1907">
        <v>80.2</v>
      </c>
      <c r="F1907" s="58">
        <v>45727</v>
      </c>
      <c r="G1907" s="58">
        <v>45730</v>
      </c>
      <c r="H1907" t="s">
        <v>229</v>
      </c>
      <c r="I1907" t="s">
        <v>63</v>
      </c>
      <c r="J1907">
        <v>5</v>
      </c>
      <c r="K1907" t="s">
        <v>103</v>
      </c>
      <c r="L1907" t="s">
        <v>124</v>
      </c>
      <c r="M1907">
        <f>orders[[#This Row],[Ship Date]]-orders[[#This Row],[Order Date]]</f>
        <v>3</v>
      </c>
      <c r="N1907">
        <f>WEEKNUM(orders[[#This Row],[Order Date]],1)</f>
        <v>11</v>
      </c>
      <c r="O1907" t="str">
        <f t="array" ref="O1907">_xlfn.IFS(orders[[#This Row],[Customer Gender]]="M","Male", orders[[#This Row],[Customer Gender]]="F","Female", orders[[#This Row],[Customer Gender]]="O","Other", TRUE(),"Unknown")</f>
        <v>Male</v>
      </c>
    </row>
    <row r="1908" spans="1:15" x14ac:dyDescent="0.25">
      <c r="A1908" t="s">
        <v>2136</v>
      </c>
      <c r="B1908" t="s">
        <v>75</v>
      </c>
      <c r="C1908">
        <v>2</v>
      </c>
      <c r="D1908">
        <v>49.4</v>
      </c>
      <c r="E1908">
        <v>98.8</v>
      </c>
      <c r="F1908" s="58">
        <v>45727</v>
      </c>
      <c r="G1908" s="58">
        <v>45729</v>
      </c>
      <c r="H1908" t="s">
        <v>229</v>
      </c>
      <c r="I1908" t="s">
        <v>63</v>
      </c>
      <c r="J1908">
        <v>4</v>
      </c>
      <c r="K1908" t="s">
        <v>103</v>
      </c>
      <c r="L1908" t="s">
        <v>124</v>
      </c>
      <c r="M1908">
        <f>orders[[#This Row],[Ship Date]]-orders[[#This Row],[Order Date]]</f>
        <v>2</v>
      </c>
      <c r="N1908">
        <f>WEEKNUM(orders[[#This Row],[Order Date]],1)</f>
        <v>11</v>
      </c>
      <c r="O1908" t="str">
        <f t="array" ref="O1908">_xlfn.IFS(orders[[#This Row],[Customer Gender]]="M","Male", orders[[#This Row],[Customer Gender]]="F","Female", orders[[#This Row],[Customer Gender]]="O","Other", TRUE(),"Unknown")</f>
        <v>Male</v>
      </c>
    </row>
    <row r="1909" spans="1:15" x14ac:dyDescent="0.25">
      <c r="A1909" t="s">
        <v>2137</v>
      </c>
      <c r="B1909" t="s">
        <v>87</v>
      </c>
      <c r="C1909">
        <v>1</v>
      </c>
      <c r="D1909">
        <v>67.3</v>
      </c>
      <c r="E1909">
        <v>67.3</v>
      </c>
      <c r="F1909" s="58">
        <v>45727</v>
      </c>
      <c r="G1909" s="58">
        <v>45728</v>
      </c>
      <c r="H1909" t="s">
        <v>231</v>
      </c>
      <c r="I1909" t="s">
        <v>59</v>
      </c>
      <c r="J1909">
        <v>5</v>
      </c>
      <c r="K1909" t="s">
        <v>103</v>
      </c>
      <c r="L1909" t="s">
        <v>124</v>
      </c>
      <c r="M1909">
        <f>orders[[#This Row],[Ship Date]]-orders[[#This Row],[Order Date]]</f>
        <v>1</v>
      </c>
      <c r="N1909">
        <f>WEEKNUM(orders[[#This Row],[Order Date]],1)</f>
        <v>11</v>
      </c>
      <c r="O1909" t="str">
        <f t="array" ref="O1909">_xlfn.IFS(orders[[#This Row],[Customer Gender]]="M","Male", orders[[#This Row],[Customer Gender]]="F","Female", orders[[#This Row],[Customer Gender]]="O","Other", TRUE(),"Unknown")</f>
        <v>Female</v>
      </c>
    </row>
    <row r="1910" spans="1:15" x14ac:dyDescent="0.25">
      <c r="A1910" t="s">
        <v>2138</v>
      </c>
      <c r="B1910" t="s">
        <v>82</v>
      </c>
      <c r="C1910">
        <v>4</v>
      </c>
      <c r="D1910">
        <v>44.5</v>
      </c>
      <c r="E1910">
        <v>178</v>
      </c>
      <c r="F1910" s="58">
        <v>45727</v>
      </c>
      <c r="G1910" s="58">
        <v>45730</v>
      </c>
      <c r="I1910" t="s">
        <v>63</v>
      </c>
      <c r="J1910">
        <v>4</v>
      </c>
      <c r="K1910" t="s">
        <v>103</v>
      </c>
      <c r="L1910" t="s">
        <v>124</v>
      </c>
      <c r="M1910">
        <f>orders[[#This Row],[Ship Date]]-orders[[#This Row],[Order Date]]</f>
        <v>3</v>
      </c>
      <c r="N1910">
        <f>WEEKNUM(orders[[#This Row],[Order Date]],1)</f>
        <v>11</v>
      </c>
      <c r="O1910" t="str">
        <f t="array" ref="O1910">_xlfn.IFS(orders[[#This Row],[Customer Gender]]="M","Male", orders[[#This Row],[Customer Gender]]="F","Female", orders[[#This Row],[Customer Gender]]="O","Other", TRUE(),"Unknown")</f>
        <v>Unknown</v>
      </c>
    </row>
    <row r="1911" spans="1:15" x14ac:dyDescent="0.25">
      <c r="A1911" t="s">
        <v>2139</v>
      </c>
      <c r="B1911" t="s">
        <v>80</v>
      </c>
      <c r="C1911">
        <v>11</v>
      </c>
      <c r="D1911">
        <v>111.1</v>
      </c>
      <c r="E1911">
        <v>1222.0999999999999</v>
      </c>
      <c r="F1911" s="58">
        <v>45727</v>
      </c>
      <c r="G1911" s="58">
        <v>45728</v>
      </c>
      <c r="H1911" t="s">
        <v>231</v>
      </c>
      <c r="I1911" t="s">
        <v>61</v>
      </c>
      <c r="J1911">
        <v>4</v>
      </c>
      <c r="K1911" t="s">
        <v>103</v>
      </c>
      <c r="L1911" t="s">
        <v>124</v>
      </c>
      <c r="M1911">
        <f>orders[[#This Row],[Ship Date]]-orders[[#This Row],[Order Date]]</f>
        <v>1</v>
      </c>
      <c r="N1911">
        <f>WEEKNUM(orders[[#This Row],[Order Date]],1)</f>
        <v>11</v>
      </c>
      <c r="O1911" t="str">
        <f t="array" ref="O1911">_xlfn.IFS(orders[[#This Row],[Customer Gender]]="M","Male", orders[[#This Row],[Customer Gender]]="F","Female", orders[[#This Row],[Customer Gender]]="O","Other", TRUE(),"Unknown")</f>
        <v>Female</v>
      </c>
    </row>
    <row r="1912" spans="1:15" x14ac:dyDescent="0.25">
      <c r="A1912" t="s">
        <v>2140</v>
      </c>
      <c r="B1912" t="s">
        <v>90</v>
      </c>
      <c r="C1912">
        <v>3</v>
      </c>
      <c r="D1912">
        <v>19.7</v>
      </c>
      <c r="E1912">
        <v>59.1</v>
      </c>
      <c r="F1912" s="58">
        <v>45727</v>
      </c>
      <c r="G1912" s="58">
        <v>45728</v>
      </c>
      <c r="H1912" t="s">
        <v>231</v>
      </c>
      <c r="I1912" t="s">
        <v>61</v>
      </c>
      <c r="J1912">
        <v>2</v>
      </c>
      <c r="K1912" t="s">
        <v>103</v>
      </c>
      <c r="L1912" t="s">
        <v>124</v>
      </c>
      <c r="M1912">
        <f>orders[[#This Row],[Ship Date]]-orders[[#This Row],[Order Date]]</f>
        <v>1</v>
      </c>
      <c r="N1912">
        <f>WEEKNUM(orders[[#This Row],[Order Date]],1)</f>
        <v>11</v>
      </c>
      <c r="O1912" t="str">
        <f t="array" ref="O1912">_xlfn.IFS(orders[[#This Row],[Customer Gender]]="M","Male", orders[[#This Row],[Customer Gender]]="F","Female", orders[[#This Row],[Customer Gender]]="O","Other", TRUE(),"Unknown")</f>
        <v>Female</v>
      </c>
    </row>
    <row r="1913" spans="1:15" x14ac:dyDescent="0.25">
      <c r="A1913" t="s">
        <v>2141</v>
      </c>
      <c r="B1913" t="s">
        <v>91</v>
      </c>
      <c r="C1913">
        <v>1</v>
      </c>
      <c r="D1913">
        <v>40.299999999999997</v>
      </c>
      <c r="E1913">
        <v>40.299999999999997</v>
      </c>
      <c r="F1913" s="58">
        <v>45727</v>
      </c>
      <c r="G1913" s="58">
        <v>45728</v>
      </c>
      <c r="H1913" t="s">
        <v>263</v>
      </c>
      <c r="I1913" t="s">
        <v>63</v>
      </c>
      <c r="J1913">
        <v>4</v>
      </c>
      <c r="K1913" t="s">
        <v>103</v>
      </c>
      <c r="L1913" t="s">
        <v>124</v>
      </c>
      <c r="M1913">
        <f>orders[[#This Row],[Ship Date]]-orders[[#This Row],[Order Date]]</f>
        <v>1</v>
      </c>
      <c r="N1913">
        <f>WEEKNUM(orders[[#This Row],[Order Date]],1)</f>
        <v>11</v>
      </c>
      <c r="O1913" t="str">
        <f t="array" ref="O1913">_xlfn.IFS(orders[[#This Row],[Customer Gender]]="M","Male", orders[[#This Row],[Customer Gender]]="F","Female", orders[[#This Row],[Customer Gender]]="O","Other", TRUE(),"Unknown")</f>
        <v>Other</v>
      </c>
    </row>
    <row r="1914" spans="1:15" x14ac:dyDescent="0.25">
      <c r="A1914" t="s">
        <v>2142</v>
      </c>
      <c r="B1914" t="s">
        <v>80</v>
      </c>
      <c r="C1914">
        <v>2</v>
      </c>
      <c r="D1914">
        <v>108.8</v>
      </c>
      <c r="E1914">
        <v>217.6</v>
      </c>
      <c r="F1914" s="58">
        <v>45727</v>
      </c>
      <c r="G1914" s="58">
        <v>45732</v>
      </c>
      <c r="H1914" t="s">
        <v>229</v>
      </c>
      <c r="I1914" t="s">
        <v>59</v>
      </c>
      <c r="J1914">
        <v>5</v>
      </c>
      <c r="K1914" t="s">
        <v>103</v>
      </c>
      <c r="L1914" t="s">
        <v>139</v>
      </c>
      <c r="M1914">
        <f>orders[[#This Row],[Ship Date]]-orders[[#This Row],[Order Date]]</f>
        <v>5</v>
      </c>
      <c r="N1914">
        <f>WEEKNUM(orders[[#This Row],[Order Date]],1)</f>
        <v>11</v>
      </c>
      <c r="O1914" t="str">
        <f t="array" ref="O1914">_xlfn.IFS(orders[[#This Row],[Customer Gender]]="M","Male", orders[[#This Row],[Customer Gender]]="F","Female", orders[[#This Row],[Customer Gender]]="O","Other", TRUE(),"Unknown")</f>
        <v>Male</v>
      </c>
    </row>
    <row r="1915" spans="1:15" x14ac:dyDescent="0.25">
      <c r="A1915" t="s">
        <v>2143</v>
      </c>
      <c r="B1915" t="s">
        <v>90</v>
      </c>
      <c r="C1915">
        <v>3</v>
      </c>
      <c r="D1915">
        <v>48.2</v>
      </c>
      <c r="E1915">
        <v>144.6</v>
      </c>
      <c r="F1915" s="58">
        <v>45727</v>
      </c>
      <c r="G1915" s="58">
        <v>45732</v>
      </c>
      <c r="H1915" t="s">
        <v>231</v>
      </c>
      <c r="I1915" t="s">
        <v>61</v>
      </c>
      <c r="J1915">
        <v>4</v>
      </c>
      <c r="K1915" t="s">
        <v>103</v>
      </c>
      <c r="L1915" t="s">
        <v>141</v>
      </c>
      <c r="M1915">
        <f>orders[[#This Row],[Ship Date]]-orders[[#This Row],[Order Date]]</f>
        <v>5</v>
      </c>
      <c r="N1915">
        <f>WEEKNUM(orders[[#This Row],[Order Date]],1)</f>
        <v>11</v>
      </c>
      <c r="O1915" t="str">
        <f t="array" ref="O1915">_xlfn.IFS(orders[[#This Row],[Customer Gender]]="M","Male", orders[[#This Row],[Customer Gender]]="F","Female", orders[[#This Row],[Customer Gender]]="O","Other", TRUE(),"Unknown")</f>
        <v>Female</v>
      </c>
    </row>
    <row r="1916" spans="1:15" x14ac:dyDescent="0.25">
      <c r="A1916" t="s">
        <v>2144</v>
      </c>
      <c r="B1916" t="s">
        <v>87</v>
      </c>
      <c r="C1916">
        <v>3</v>
      </c>
      <c r="D1916">
        <v>104.7</v>
      </c>
      <c r="E1916">
        <v>314.10000000000002</v>
      </c>
      <c r="F1916" s="58">
        <v>45727</v>
      </c>
      <c r="G1916" s="58">
        <v>45729</v>
      </c>
      <c r="H1916" t="s">
        <v>231</v>
      </c>
      <c r="I1916" t="s">
        <v>59</v>
      </c>
      <c r="J1916">
        <v>3</v>
      </c>
      <c r="K1916" t="s">
        <v>103</v>
      </c>
      <c r="L1916" t="s">
        <v>141</v>
      </c>
      <c r="M1916">
        <f>orders[[#This Row],[Ship Date]]-orders[[#This Row],[Order Date]]</f>
        <v>2</v>
      </c>
      <c r="N1916">
        <f>WEEKNUM(orders[[#This Row],[Order Date]],1)</f>
        <v>11</v>
      </c>
      <c r="O1916" t="str">
        <f t="array" ref="O1916">_xlfn.IFS(orders[[#This Row],[Customer Gender]]="M","Male", orders[[#This Row],[Customer Gender]]="F","Female", orders[[#This Row],[Customer Gender]]="O","Other", TRUE(),"Unknown")</f>
        <v>Female</v>
      </c>
    </row>
    <row r="1917" spans="1:15" x14ac:dyDescent="0.25">
      <c r="A1917" t="s">
        <v>2145</v>
      </c>
      <c r="B1917" t="s">
        <v>91</v>
      </c>
      <c r="C1917">
        <v>2</v>
      </c>
      <c r="D1917">
        <v>80.599999999999994</v>
      </c>
      <c r="E1917">
        <v>161.19999999999999</v>
      </c>
      <c r="F1917" s="58">
        <v>45727</v>
      </c>
      <c r="G1917" s="58">
        <v>45727</v>
      </c>
      <c r="H1917" t="s">
        <v>231</v>
      </c>
      <c r="I1917" t="s">
        <v>63</v>
      </c>
      <c r="J1917">
        <v>4</v>
      </c>
      <c r="K1917" t="s">
        <v>103</v>
      </c>
      <c r="L1917" t="s">
        <v>142</v>
      </c>
      <c r="M1917">
        <f>orders[[#This Row],[Ship Date]]-orders[[#This Row],[Order Date]]</f>
        <v>0</v>
      </c>
      <c r="N1917">
        <f>WEEKNUM(orders[[#This Row],[Order Date]],1)</f>
        <v>11</v>
      </c>
      <c r="O1917" t="str">
        <f t="array" ref="O1917">_xlfn.IFS(orders[[#This Row],[Customer Gender]]="M","Male", orders[[#This Row],[Customer Gender]]="F","Female", orders[[#This Row],[Customer Gender]]="O","Other", TRUE(),"Unknown")</f>
        <v>Female</v>
      </c>
    </row>
    <row r="1918" spans="1:15" x14ac:dyDescent="0.25">
      <c r="A1918" t="s">
        <v>2146</v>
      </c>
      <c r="B1918" t="s">
        <v>80</v>
      </c>
      <c r="C1918">
        <v>1</v>
      </c>
      <c r="D1918">
        <v>65.5</v>
      </c>
      <c r="E1918">
        <v>65.5</v>
      </c>
      <c r="F1918" s="58">
        <v>45727</v>
      </c>
      <c r="G1918" s="58">
        <v>45729</v>
      </c>
      <c r="H1918" t="s">
        <v>263</v>
      </c>
      <c r="I1918" t="s">
        <v>63</v>
      </c>
      <c r="J1918">
        <v>4</v>
      </c>
      <c r="K1918" t="s">
        <v>103</v>
      </c>
      <c r="L1918" t="s">
        <v>142</v>
      </c>
      <c r="M1918">
        <f>orders[[#This Row],[Ship Date]]-orders[[#This Row],[Order Date]]</f>
        <v>2</v>
      </c>
      <c r="N1918">
        <f>WEEKNUM(orders[[#This Row],[Order Date]],1)</f>
        <v>11</v>
      </c>
      <c r="O1918" t="str">
        <f t="array" ref="O1918">_xlfn.IFS(orders[[#This Row],[Customer Gender]]="M","Male", orders[[#This Row],[Customer Gender]]="F","Female", orders[[#This Row],[Customer Gender]]="O","Other", TRUE(),"Unknown")</f>
        <v>Other</v>
      </c>
    </row>
    <row r="1919" spans="1:15" x14ac:dyDescent="0.25">
      <c r="A1919" t="s">
        <v>2147</v>
      </c>
      <c r="B1919" t="s">
        <v>88</v>
      </c>
      <c r="C1919">
        <v>3</v>
      </c>
      <c r="D1919">
        <v>61.4</v>
      </c>
      <c r="E1919">
        <v>184.2</v>
      </c>
      <c r="F1919" s="58">
        <v>45727</v>
      </c>
      <c r="G1919" s="58">
        <v>45729</v>
      </c>
      <c r="H1919" t="s">
        <v>231</v>
      </c>
      <c r="I1919" t="s">
        <v>61</v>
      </c>
      <c r="J1919">
        <v>5</v>
      </c>
      <c r="K1919" t="s">
        <v>103</v>
      </c>
      <c r="L1919" t="s">
        <v>142</v>
      </c>
      <c r="M1919">
        <f>orders[[#This Row],[Ship Date]]-orders[[#This Row],[Order Date]]</f>
        <v>2</v>
      </c>
      <c r="N1919">
        <f>WEEKNUM(orders[[#This Row],[Order Date]],1)</f>
        <v>11</v>
      </c>
      <c r="O1919" t="str">
        <f t="array" ref="O1919">_xlfn.IFS(orders[[#This Row],[Customer Gender]]="M","Male", orders[[#This Row],[Customer Gender]]="F","Female", orders[[#This Row],[Customer Gender]]="O","Other", TRUE(),"Unknown")</f>
        <v>Female</v>
      </c>
    </row>
    <row r="1920" spans="1:15" x14ac:dyDescent="0.25">
      <c r="A1920" t="s">
        <v>2148</v>
      </c>
      <c r="B1920" t="s">
        <v>86</v>
      </c>
      <c r="C1920">
        <v>1</v>
      </c>
      <c r="D1920">
        <v>12.5</v>
      </c>
      <c r="E1920">
        <v>12.5</v>
      </c>
      <c r="F1920" s="58">
        <v>45728</v>
      </c>
      <c r="G1920" s="58">
        <v>45731</v>
      </c>
      <c r="H1920" t="s">
        <v>231</v>
      </c>
      <c r="I1920" t="s">
        <v>59</v>
      </c>
      <c r="J1920">
        <v>3</v>
      </c>
      <c r="K1920" t="s">
        <v>103</v>
      </c>
      <c r="L1920" t="s">
        <v>142</v>
      </c>
      <c r="M1920">
        <f>orders[[#This Row],[Ship Date]]-orders[[#This Row],[Order Date]]</f>
        <v>3</v>
      </c>
      <c r="N1920">
        <f>WEEKNUM(orders[[#This Row],[Order Date]],1)</f>
        <v>11</v>
      </c>
      <c r="O1920" t="str">
        <f t="array" ref="O1920">_xlfn.IFS(orders[[#This Row],[Customer Gender]]="M","Male", orders[[#This Row],[Customer Gender]]="F","Female", orders[[#This Row],[Customer Gender]]="O","Other", TRUE(),"Unknown")</f>
        <v>Female</v>
      </c>
    </row>
    <row r="1921" spans="1:15" x14ac:dyDescent="0.25">
      <c r="A1921" t="s">
        <v>2149</v>
      </c>
      <c r="B1921" t="s">
        <v>78</v>
      </c>
      <c r="C1921">
        <v>4</v>
      </c>
      <c r="D1921">
        <v>35.1</v>
      </c>
      <c r="E1921">
        <v>140.4</v>
      </c>
      <c r="F1921" s="58">
        <v>45728</v>
      </c>
      <c r="G1921" s="58">
        <v>45729</v>
      </c>
      <c r="H1921" t="s">
        <v>229</v>
      </c>
      <c r="I1921" t="s">
        <v>62</v>
      </c>
      <c r="J1921">
        <v>3</v>
      </c>
      <c r="K1921" t="s">
        <v>103</v>
      </c>
      <c r="L1921" t="s">
        <v>143</v>
      </c>
      <c r="M1921">
        <f>orders[[#This Row],[Ship Date]]-orders[[#This Row],[Order Date]]</f>
        <v>1</v>
      </c>
      <c r="N1921">
        <f>WEEKNUM(orders[[#This Row],[Order Date]],1)</f>
        <v>11</v>
      </c>
      <c r="O1921" t="str">
        <f t="array" ref="O1921">_xlfn.IFS(orders[[#This Row],[Customer Gender]]="M","Male", orders[[#This Row],[Customer Gender]]="F","Female", orders[[#This Row],[Customer Gender]]="O","Other", TRUE(),"Unknown")</f>
        <v>Male</v>
      </c>
    </row>
    <row r="1922" spans="1:15" x14ac:dyDescent="0.25">
      <c r="A1922" t="s">
        <v>2150</v>
      </c>
      <c r="B1922" t="s">
        <v>85</v>
      </c>
      <c r="C1922">
        <v>2</v>
      </c>
      <c r="D1922">
        <v>55.7</v>
      </c>
      <c r="E1922">
        <v>111.4</v>
      </c>
      <c r="F1922" s="58">
        <v>45728</v>
      </c>
      <c r="G1922" s="58">
        <v>45729</v>
      </c>
      <c r="H1922" t="s">
        <v>229</v>
      </c>
      <c r="I1922" t="s">
        <v>59</v>
      </c>
      <c r="J1922">
        <v>3</v>
      </c>
      <c r="K1922" t="s">
        <v>103</v>
      </c>
      <c r="L1922" t="s">
        <v>144</v>
      </c>
      <c r="M1922">
        <f>orders[[#This Row],[Ship Date]]-orders[[#This Row],[Order Date]]</f>
        <v>1</v>
      </c>
      <c r="N1922">
        <f>WEEKNUM(orders[[#This Row],[Order Date]],1)</f>
        <v>11</v>
      </c>
      <c r="O1922" t="str">
        <f t="array" ref="O1922">_xlfn.IFS(orders[[#This Row],[Customer Gender]]="M","Male", orders[[#This Row],[Customer Gender]]="F","Female", orders[[#This Row],[Customer Gender]]="O","Other", TRUE(),"Unknown")</f>
        <v>Male</v>
      </c>
    </row>
    <row r="1923" spans="1:15" x14ac:dyDescent="0.25">
      <c r="A1923" t="s">
        <v>2151</v>
      </c>
      <c r="B1923" t="s">
        <v>79</v>
      </c>
      <c r="C1923">
        <v>2</v>
      </c>
      <c r="D1923">
        <v>57.7</v>
      </c>
      <c r="E1923">
        <v>115.4</v>
      </c>
      <c r="F1923" s="58">
        <v>45728</v>
      </c>
      <c r="G1923" s="58">
        <v>45730</v>
      </c>
      <c r="H1923" t="s">
        <v>229</v>
      </c>
      <c r="I1923" t="s">
        <v>61</v>
      </c>
      <c r="J1923">
        <v>3</v>
      </c>
      <c r="K1923" t="s">
        <v>103</v>
      </c>
      <c r="L1923" t="s">
        <v>146</v>
      </c>
      <c r="M1923">
        <f>orders[[#This Row],[Ship Date]]-orders[[#This Row],[Order Date]]</f>
        <v>2</v>
      </c>
      <c r="N1923">
        <f>WEEKNUM(orders[[#This Row],[Order Date]],1)</f>
        <v>11</v>
      </c>
      <c r="O1923" t="str">
        <f t="array" ref="O1923">_xlfn.IFS(orders[[#This Row],[Customer Gender]]="M","Male", orders[[#This Row],[Customer Gender]]="F","Female", orders[[#This Row],[Customer Gender]]="O","Other", TRUE(),"Unknown")</f>
        <v>Male</v>
      </c>
    </row>
    <row r="1924" spans="1:15" x14ac:dyDescent="0.25">
      <c r="A1924" t="s">
        <v>2152</v>
      </c>
      <c r="B1924" t="s">
        <v>87</v>
      </c>
      <c r="C1924">
        <v>6</v>
      </c>
      <c r="D1924">
        <v>85.7</v>
      </c>
      <c r="E1924">
        <v>514.20000000000005</v>
      </c>
      <c r="F1924" s="58">
        <v>45728</v>
      </c>
      <c r="G1924" s="58">
        <v>45729</v>
      </c>
      <c r="H1924" t="s">
        <v>229</v>
      </c>
      <c r="I1924" t="s">
        <v>60</v>
      </c>
      <c r="J1924">
        <v>5</v>
      </c>
      <c r="K1924" t="s">
        <v>103</v>
      </c>
      <c r="L1924" t="s">
        <v>146</v>
      </c>
      <c r="M1924">
        <f>orders[[#This Row],[Ship Date]]-orders[[#This Row],[Order Date]]</f>
        <v>1</v>
      </c>
      <c r="N1924">
        <f>WEEKNUM(orders[[#This Row],[Order Date]],1)</f>
        <v>11</v>
      </c>
      <c r="O1924" t="str">
        <f t="array" ref="O1924">_xlfn.IFS(orders[[#This Row],[Customer Gender]]="M","Male", orders[[#This Row],[Customer Gender]]="F","Female", orders[[#This Row],[Customer Gender]]="O","Other", TRUE(),"Unknown")</f>
        <v>Male</v>
      </c>
    </row>
    <row r="1925" spans="1:15" x14ac:dyDescent="0.25">
      <c r="A1925" t="s">
        <v>2153</v>
      </c>
      <c r="B1925" t="s">
        <v>87</v>
      </c>
      <c r="C1925">
        <v>3</v>
      </c>
      <c r="D1925">
        <v>86.9</v>
      </c>
      <c r="E1925">
        <v>260.7</v>
      </c>
      <c r="F1925" s="58">
        <v>45728</v>
      </c>
      <c r="G1925" s="58">
        <v>45730</v>
      </c>
      <c r="H1925" t="s">
        <v>231</v>
      </c>
      <c r="I1925" t="s">
        <v>63</v>
      </c>
      <c r="J1925">
        <v>4</v>
      </c>
      <c r="K1925" t="s">
        <v>103</v>
      </c>
      <c r="L1925" t="s">
        <v>148</v>
      </c>
      <c r="M1925">
        <f>orders[[#This Row],[Ship Date]]-orders[[#This Row],[Order Date]]</f>
        <v>2</v>
      </c>
      <c r="N1925">
        <f>WEEKNUM(orders[[#This Row],[Order Date]],1)</f>
        <v>11</v>
      </c>
      <c r="O1925" t="str">
        <f t="array" ref="O1925">_xlfn.IFS(orders[[#This Row],[Customer Gender]]="M","Male", orders[[#This Row],[Customer Gender]]="F","Female", orders[[#This Row],[Customer Gender]]="O","Other", TRUE(),"Unknown")</f>
        <v>Female</v>
      </c>
    </row>
    <row r="1926" spans="1:15" x14ac:dyDescent="0.25">
      <c r="A1926" t="s">
        <v>2154</v>
      </c>
      <c r="B1926" t="s">
        <v>82</v>
      </c>
      <c r="C1926">
        <v>2</v>
      </c>
      <c r="D1926">
        <v>46.4</v>
      </c>
      <c r="E1926">
        <v>92.8</v>
      </c>
      <c r="F1926" s="58">
        <v>45728</v>
      </c>
      <c r="G1926" s="58">
        <v>45731</v>
      </c>
      <c r="H1926" t="s">
        <v>231</v>
      </c>
      <c r="I1926" t="s">
        <v>61</v>
      </c>
      <c r="J1926">
        <v>4</v>
      </c>
      <c r="K1926" t="s">
        <v>103</v>
      </c>
      <c r="L1926" t="s">
        <v>148</v>
      </c>
      <c r="M1926">
        <f>orders[[#This Row],[Ship Date]]-orders[[#This Row],[Order Date]]</f>
        <v>3</v>
      </c>
      <c r="N1926">
        <f>WEEKNUM(orders[[#This Row],[Order Date]],1)</f>
        <v>11</v>
      </c>
      <c r="O1926" t="str">
        <f t="array" ref="O1926">_xlfn.IFS(orders[[#This Row],[Customer Gender]]="M","Male", orders[[#This Row],[Customer Gender]]="F","Female", orders[[#This Row],[Customer Gender]]="O","Other", TRUE(),"Unknown")</f>
        <v>Female</v>
      </c>
    </row>
    <row r="1927" spans="1:15" x14ac:dyDescent="0.25">
      <c r="A1927" t="s">
        <v>2155</v>
      </c>
      <c r="B1927" t="s">
        <v>85</v>
      </c>
      <c r="C1927">
        <v>3</v>
      </c>
      <c r="D1927">
        <v>25.4</v>
      </c>
      <c r="E1927">
        <v>76.2</v>
      </c>
      <c r="F1927" s="58">
        <v>45728</v>
      </c>
      <c r="G1927" s="58">
        <v>45728</v>
      </c>
      <c r="H1927" t="s">
        <v>231</v>
      </c>
      <c r="I1927" t="s">
        <v>62</v>
      </c>
      <c r="J1927">
        <v>5</v>
      </c>
      <c r="K1927" t="s">
        <v>103</v>
      </c>
      <c r="L1927" t="s">
        <v>154</v>
      </c>
      <c r="M1927">
        <f>orders[[#This Row],[Ship Date]]-orders[[#This Row],[Order Date]]</f>
        <v>0</v>
      </c>
      <c r="N1927">
        <f>WEEKNUM(orders[[#This Row],[Order Date]],1)</f>
        <v>11</v>
      </c>
      <c r="O1927" t="str">
        <f t="array" ref="O1927">_xlfn.IFS(orders[[#This Row],[Customer Gender]]="M","Male", orders[[#This Row],[Customer Gender]]="F","Female", orders[[#This Row],[Customer Gender]]="O","Other", TRUE(),"Unknown")</f>
        <v>Female</v>
      </c>
    </row>
    <row r="1928" spans="1:15" x14ac:dyDescent="0.25">
      <c r="A1928" t="s">
        <v>2156</v>
      </c>
      <c r="B1928" t="s">
        <v>75</v>
      </c>
      <c r="C1928">
        <v>3</v>
      </c>
      <c r="D1928">
        <v>47.8</v>
      </c>
      <c r="E1928">
        <v>143.4</v>
      </c>
      <c r="F1928" s="58">
        <v>45728</v>
      </c>
      <c r="G1928" s="58">
        <v>45728</v>
      </c>
      <c r="I1928" t="s">
        <v>62</v>
      </c>
      <c r="J1928">
        <v>5</v>
      </c>
      <c r="K1928" t="s">
        <v>103</v>
      </c>
      <c r="L1928" t="s">
        <v>155</v>
      </c>
      <c r="M1928">
        <f>orders[[#This Row],[Ship Date]]-orders[[#This Row],[Order Date]]</f>
        <v>0</v>
      </c>
      <c r="N1928">
        <f>WEEKNUM(orders[[#This Row],[Order Date]],1)</f>
        <v>11</v>
      </c>
      <c r="O1928" t="str">
        <f t="array" ref="O1928">_xlfn.IFS(orders[[#This Row],[Customer Gender]]="M","Male", orders[[#This Row],[Customer Gender]]="F","Female", orders[[#This Row],[Customer Gender]]="O","Other", TRUE(),"Unknown")</f>
        <v>Unknown</v>
      </c>
    </row>
    <row r="1929" spans="1:15" x14ac:dyDescent="0.25">
      <c r="A1929" t="s">
        <v>2157</v>
      </c>
      <c r="B1929" t="s">
        <v>90</v>
      </c>
      <c r="C1929">
        <v>19</v>
      </c>
      <c r="D1929">
        <v>18.399999999999999</v>
      </c>
      <c r="E1929">
        <v>349.6</v>
      </c>
      <c r="F1929" s="58">
        <v>45728</v>
      </c>
      <c r="G1929" s="58">
        <v>45730</v>
      </c>
      <c r="H1929" t="s">
        <v>263</v>
      </c>
      <c r="I1929" t="s">
        <v>62</v>
      </c>
      <c r="J1929">
        <v>4</v>
      </c>
      <c r="K1929" t="s">
        <v>103</v>
      </c>
      <c r="L1929" t="s">
        <v>159</v>
      </c>
      <c r="M1929">
        <f>orders[[#This Row],[Ship Date]]-orders[[#This Row],[Order Date]]</f>
        <v>2</v>
      </c>
      <c r="N1929">
        <f>WEEKNUM(orders[[#This Row],[Order Date]],1)</f>
        <v>11</v>
      </c>
      <c r="O1929" t="str">
        <f t="array" ref="O1929">_xlfn.IFS(orders[[#This Row],[Customer Gender]]="M","Male", orders[[#This Row],[Customer Gender]]="F","Female", orders[[#This Row],[Customer Gender]]="O","Other", TRUE(),"Unknown")</f>
        <v>Other</v>
      </c>
    </row>
    <row r="1930" spans="1:15" x14ac:dyDescent="0.25">
      <c r="A1930" t="s">
        <v>2158</v>
      </c>
      <c r="B1930" t="s">
        <v>76</v>
      </c>
      <c r="C1930">
        <v>3</v>
      </c>
      <c r="D1930">
        <v>65.5</v>
      </c>
      <c r="E1930">
        <v>196.5</v>
      </c>
      <c r="F1930" s="58">
        <v>45728</v>
      </c>
      <c r="G1930" s="58">
        <v>45736</v>
      </c>
      <c r="H1930" t="s">
        <v>231</v>
      </c>
      <c r="I1930" t="s">
        <v>59</v>
      </c>
      <c r="J1930">
        <v>4</v>
      </c>
      <c r="K1930" t="s">
        <v>103</v>
      </c>
      <c r="L1930" t="s">
        <v>106</v>
      </c>
      <c r="M1930">
        <f>orders[[#This Row],[Ship Date]]-orders[[#This Row],[Order Date]]</f>
        <v>8</v>
      </c>
      <c r="N1930">
        <f>WEEKNUM(orders[[#This Row],[Order Date]],1)</f>
        <v>11</v>
      </c>
      <c r="O1930" t="str">
        <f t="array" ref="O1930">_xlfn.IFS(orders[[#This Row],[Customer Gender]]="M","Male", orders[[#This Row],[Customer Gender]]="F","Female", orders[[#This Row],[Customer Gender]]="O","Other", TRUE(),"Unknown")</f>
        <v>Female</v>
      </c>
    </row>
    <row r="1931" spans="1:15" x14ac:dyDescent="0.25">
      <c r="A1931" t="s">
        <v>2159</v>
      </c>
      <c r="B1931" t="s">
        <v>75</v>
      </c>
      <c r="C1931">
        <v>2</v>
      </c>
      <c r="D1931">
        <v>50.6</v>
      </c>
      <c r="E1931">
        <v>101.2</v>
      </c>
      <c r="F1931" s="58">
        <v>45728</v>
      </c>
      <c r="G1931" s="58">
        <v>45731</v>
      </c>
      <c r="H1931" t="s">
        <v>229</v>
      </c>
      <c r="I1931" t="s">
        <v>62</v>
      </c>
      <c r="J1931">
        <v>2</v>
      </c>
      <c r="K1931" t="s">
        <v>103</v>
      </c>
      <c r="L1931" t="s">
        <v>106</v>
      </c>
      <c r="M1931">
        <f>orders[[#This Row],[Ship Date]]-orders[[#This Row],[Order Date]]</f>
        <v>3</v>
      </c>
      <c r="N1931">
        <f>WEEKNUM(orders[[#This Row],[Order Date]],1)</f>
        <v>11</v>
      </c>
      <c r="O1931" t="str">
        <f t="array" ref="O1931">_xlfn.IFS(orders[[#This Row],[Customer Gender]]="M","Male", orders[[#This Row],[Customer Gender]]="F","Female", orders[[#This Row],[Customer Gender]]="O","Other", TRUE(),"Unknown")</f>
        <v>Male</v>
      </c>
    </row>
    <row r="1932" spans="1:15" x14ac:dyDescent="0.25">
      <c r="A1932" t="s">
        <v>2160</v>
      </c>
      <c r="B1932" t="s">
        <v>93</v>
      </c>
      <c r="C1932">
        <v>5</v>
      </c>
      <c r="D1932">
        <v>69</v>
      </c>
      <c r="E1932">
        <v>345</v>
      </c>
      <c r="F1932" s="58">
        <v>45728</v>
      </c>
      <c r="G1932" s="58">
        <v>45732</v>
      </c>
      <c r="H1932" t="s">
        <v>229</v>
      </c>
      <c r="I1932" t="s">
        <v>60</v>
      </c>
      <c r="J1932">
        <v>4</v>
      </c>
      <c r="K1932" t="s">
        <v>103</v>
      </c>
      <c r="L1932" t="s">
        <v>106</v>
      </c>
      <c r="M1932">
        <f>orders[[#This Row],[Ship Date]]-orders[[#This Row],[Order Date]]</f>
        <v>4</v>
      </c>
      <c r="N1932">
        <f>WEEKNUM(orders[[#This Row],[Order Date]],1)</f>
        <v>11</v>
      </c>
      <c r="O1932" t="str">
        <f t="array" ref="O1932">_xlfn.IFS(orders[[#This Row],[Customer Gender]]="M","Male", orders[[#This Row],[Customer Gender]]="F","Female", orders[[#This Row],[Customer Gender]]="O","Other", TRUE(),"Unknown")</f>
        <v>Male</v>
      </c>
    </row>
    <row r="1933" spans="1:15" x14ac:dyDescent="0.25">
      <c r="A1933" t="s">
        <v>2161</v>
      </c>
      <c r="B1933" t="s">
        <v>88</v>
      </c>
      <c r="C1933">
        <v>8</v>
      </c>
      <c r="D1933">
        <v>51.1</v>
      </c>
      <c r="E1933">
        <v>408.8</v>
      </c>
      <c r="F1933" s="58">
        <v>45728</v>
      </c>
      <c r="G1933" s="58">
        <v>45730</v>
      </c>
      <c r="H1933" t="s">
        <v>231</v>
      </c>
      <c r="I1933" t="s">
        <v>59</v>
      </c>
      <c r="J1933">
        <v>4</v>
      </c>
      <c r="K1933" t="s">
        <v>103</v>
      </c>
      <c r="L1933" t="s">
        <v>112</v>
      </c>
      <c r="M1933">
        <f>orders[[#This Row],[Ship Date]]-orders[[#This Row],[Order Date]]</f>
        <v>2</v>
      </c>
      <c r="N1933">
        <f>WEEKNUM(orders[[#This Row],[Order Date]],1)</f>
        <v>11</v>
      </c>
      <c r="O1933" t="str">
        <f t="array" ref="O1933">_xlfn.IFS(orders[[#This Row],[Customer Gender]]="M","Male", orders[[#This Row],[Customer Gender]]="F","Female", orders[[#This Row],[Customer Gender]]="O","Other", TRUE(),"Unknown")</f>
        <v>Female</v>
      </c>
    </row>
    <row r="1934" spans="1:15" x14ac:dyDescent="0.25">
      <c r="A1934" t="s">
        <v>2162</v>
      </c>
      <c r="B1934" t="s">
        <v>88</v>
      </c>
      <c r="C1934">
        <v>1</v>
      </c>
      <c r="D1934">
        <v>36.1</v>
      </c>
      <c r="E1934">
        <v>36.1</v>
      </c>
      <c r="F1934" s="58">
        <v>45728</v>
      </c>
      <c r="G1934" s="58">
        <v>45729</v>
      </c>
      <c r="H1934" t="s">
        <v>231</v>
      </c>
      <c r="I1934" t="s">
        <v>59</v>
      </c>
      <c r="J1934">
        <v>5</v>
      </c>
      <c r="K1934" t="s">
        <v>103</v>
      </c>
      <c r="L1934" t="s">
        <v>121</v>
      </c>
      <c r="M1934">
        <f>orders[[#This Row],[Ship Date]]-orders[[#This Row],[Order Date]]</f>
        <v>1</v>
      </c>
      <c r="N1934">
        <f>WEEKNUM(orders[[#This Row],[Order Date]],1)</f>
        <v>11</v>
      </c>
      <c r="O1934" t="str">
        <f t="array" ref="O1934">_xlfn.IFS(orders[[#This Row],[Customer Gender]]="M","Male", orders[[#This Row],[Customer Gender]]="F","Female", orders[[#This Row],[Customer Gender]]="O","Other", TRUE(),"Unknown")</f>
        <v>Female</v>
      </c>
    </row>
    <row r="1935" spans="1:15" x14ac:dyDescent="0.25">
      <c r="A1935" t="s">
        <v>2163</v>
      </c>
      <c r="B1935" t="s">
        <v>74</v>
      </c>
      <c r="C1935">
        <v>1</v>
      </c>
      <c r="D1935">
        <v>18.7</v>
      </c>
      <c r="E1935">
        <v>18.7</v>
      </c>
      <c r="F1935" s="58">
        <v>45728</v>
      </c>
      <c r="G1935" s="58">
        <v>45729</v>
      </c>
      <c r="H1935" t="s">
        <v>229</v>
      </c>
      <c r="I1935" t="s">
        <v>59</v>
      </c>
      <c r="J1935">
        <v>4</v>
      </c>
      <c r="K1935" t="s">
        <v>103</v>
      </c>
      <c r="L1935" t="s">
        <v>124</v>
      </c>
      <c r="M1935">
        <f>orders[[#This Row],[Ship Date]]-orders[[#This Row],[Order Date]]</f>
        <v>1</v>
      </c>
      <c r="N1935">
        <f>WEEKNUM(orders[[#This Row],[Order Date]],1)</f>
        <v>11</v>
      </c>
      <c r="O1935" t="str">
        <f t="array" ref="O1935">_xlfn.IFS(orders[[#This Row],[Customer Gender]]="M","Male", orders[[#This Row],[Customer Gender]]="F","Female", orders[[#This Row],[Customer Gender]]="O","Other", TRUE(),"Unknown")</f>
        <v>Male</v>
      </c>
    </row>
    <row r="1936" spans="1:15" x14ac:dyDescent="0.25">
      <c r="A1936" t="s">
        <v>2164</v>
      </c>
      <c r="B1936" t="s">
        <v>84</v>
      </c>
      <c r="C1936">
        <v>1</v>
      </c>
      <c r="D1936">
        <v>30.1</v>
      </c>
      <c r="E1936">
        <v>30.1</v>
      </c>
      <c r="F1936" s="58">
        <v>45728</v>
      </c>
      <c r="G1936" s="58">
        <v>45731</v>
      </c>
      <c r="H1936" t="s">
        <v>231</v>
      </c>
      <c r="I1936" t="s">
        <v>60</v>
      </c>
      <c r="J1936">
        <v>3</v>
      </c>
      <c r="K1936" t="s">
        <v>103</v>
      </c>
      <c r="L1936" t="s">
        <v>124</v>
      </c>
      <c r="M1936">
        <f>orders[[#This Row],[Ship Date]]-orders[[#This Row],[Order Date]]</f>
        <v>3</v>
      </c>
      <c r="N1936">
        <f>WEEKNUM(orders[[#This Row],[Order Date]],1)</f>
        <v>11</v>
      </c>
      <c r="O1936" t="str">
        <f t="array" ref="O1936">_xlfn.IFS(orders[[#This Row],[Customer Gender]]="M","Male", orders[[#This Row],[Customer Gender]]="F","Female", orders[[#This Row],[Customer Gender]]="O","Other", TRUE(),"Unknown")</f>
        <v>Female</v>
      </c>
    </row>
    <row r="1937" spans="1:15" x14ac:dyDescent="0.25">
      <c r="A1937" t="s">
        <v>2165</v>
      </c>
      <c r="B1937" t="s">
        <v>90</v>
      </c>
      <c r="C1937">
        <v>1</v>
      </c>
      <c r="D1937">
        <v>16.3</v>
      </c>
      <c r="E1937">
        <v>16.3</v>
      </c>
      <c r="F1937" s="58">
        <v>45728</v>
      </c>
      <c r="G1937" s="58">
        <v>45729</v>
      </c>
      <c r="H1937" t="s">
        <v>229</v>
      </c>
      <c r="I1937" t="s">
        <v>60</v>
      </c>
      <c r="J1937">
        <v>4</v>
      </c>
      <c r="K1937" t="s">
        <v>103</v>
      </c>
      <c r="L1937" t="s">
        <v>124</v>
      </c>
      <c r="M1937">
        <f>orders[[#This Row],[Ship Date]]-orders[[#This Row],[Order Date]]</f>
        <v>1</v>
      </c>
      <c r="N1937">
        <f>WEEKNUM(orders[[#This Row],[Order Date]],1)</f>
        <v>11</v>
      </c>
      <c r="O1937" t="str">
        <f t="array" ref="O1937">_xlfn.IFS(orders[[#This Row],[Customer Gender]]="M","Male", orders[[#This Row],[Customer Gender]]="F","Female", orders[[#This Row],[Customer Gender]]="O","Other", TRUE(),"Unknown")</f>
        <v>Male</v>
      </c>
    </row>
    <row r="1938" spans="1:15" x14ac:dyDescent="0.25">
      <c r="A1938" t="s">
        <v>2166</v>
      </c>
      <c r="B1938" t="s">
        <v>91</v>
      </c>
      <c r="C1938">
        <v>3</v>
      </c>
      <c r="D1938">
        <v>63.8</v>
      </c>
      <c r="E1938">
        <v>191.4</v>
      </c>
      <c r="F1938" s="58">
        <v>45728</v>
      </c>
      <c r="G1938" s="58">
        <v>45733</v>
      </c>
      <c r="H1938" t="s">
        <v>231</v>
      </c>
      <c r="I1938" t="s">
        <v>62</v>
      </c>
      <c r="J1938">
        <v>3</v>
      </c>
      <c r="K1938" t="s">
        <v>103</v>
      </c>
      <c r="L1938" t="s">
        <v>124</v>
      </c>
      <c r="M1938">
        <f>orders[[#This Row],[Ship Date]]-orders[[#This Row],[Order Date]]</f>
        <v>5</v>
      </c>
      <c r="N1938">
        <f>WEEKNUM(orders[[#This Row],[Order Date]],1)</f>
        <v>11</v>
      </c>
      <c r="O1938" t="str">
        <f t="array" ref="O1938">_xlfn.IFS(orders[[#This Row],[Customer Gender]]="M","Male", orders[[#This Row],[Customer Gender]]="F","Female", orders[[#This Row],[Customer Gender]]="O","Other", TRUE(),"Unknown")</f>
        <v>Female</v>
      </c>
    </row>
    <row r="1939" spans="1:15" x14ac:dyDescent="0.25">
      <c r="A1939" t="s">
        <v>2167</v>
      </c>
      <c r="B1939" t="s">
        <v>91</v>
      </c>
      <c r="C1939">
        <v>7</v>
      </c>
      <c r="D1939">
        <v>73.900000000000006</v>
      </c>
      <c r="E1939">
        <v>517.29999999999995</v>
      </c>
      <c r="F1939" s="58">
        <v>45728</v>
      </c>
      <c r="G1939" s="58">
        <v>45728</v>
      </c>
      <c r="H1939" t="s">
        <v>231</v>
      </c>
      <c r="I1939" t="s">
        <v>59</v>
      </c>
      <c r="J1939">
        <v>3</v>
      </c>
      <c r="K1939" t="s">
        <v>103</v>
      </c>
      <c r="L1939" t="s">
        <v>124</v>
      </c>
      <c r="M1939">
        <f>orders[[#This Row],[Ship Date]]-orders[[#This Row],[Order Date]]</f>
        <v>0</v>
      </c>
      <c r="N1939">
        <f>WEEKNUM(orders[[#This Row],[Order Date]],1)</f>
        <v>11</v>
      </c>
      <c r="O1939" t="str">
        <f t="array" ref="O1939">_xlfn.IFS(orders[[#This Row],[Customer Gender]]="M","Male", orders[[#This Row],[Customer Gender]]="F","Female", orders[[#This Row],[Customer Gender]]="O","Other", TRUE(),"Unknown")</f>
        <v>Female</v>
      </c>
    </row>
    <row r="1940" spans="1:15" x14ac:dyDescent="0.25">
      <c r="A1940" t="s">
        <v>2168</v>
      </c>
      <c r="B1940" t="s">
        <v>86</v>
      </c>
      <c r="C1940">
        <v>2</v>
      </c>
      <c r="D1940">
        <v>20.2</v>
      </c>
      <c r="E1940">
        <v>40.4</v>
      </c>
      <c r="F1940" s="58">
        <v>45728</v>
      </c>
      <c r="G1940" s="58">
        <v>45729</v>
      </c>
      <c r="H1940" t="s">
        <v>229</v>
      </c>
      <c r="I1940" t="s">
        <v>59</v>
      </c>
      <c r="J1940">
        <v>3</v>
      </c>
      <c r="K1940" t="s">
        <v>103</v>
      </c>
      <c r="L1940" t="s">
        <v>124</v>
      </c>
      <c r="M1940">
        <f>orders[[#This Row],[Ship Date]]-orders[[#This Row],[Order Date]]</f>
        <v>1</v>
      </c>
      <c r="N1940">
        <f>WEEKNUM(orders[[#This Row],[Order Date]],1)</f>
        <v>11</v>
      </c>
      <c r="O1940" t="str">
        <f t="array" ref="O1940">_xlfn.IFS(orders[[#This Row],[Customer Gender]]="M","Male", orders[[#This Row],[Customer Gender]]="F","Female", orders[[#This Row],[Customer Gender]]="O","Other", TRUE(),"Unknown")</f>
        <v>Male</v>
      </c>
    </row>
    <row r="1941" spans="1:15" x14ac:dyDescent="0.25">
      <c r="A1941" t="s">
        <v>2169</v>
      </c>
      <c r="B1941" t="s">
        <v>83</v>
      </c>
      <c r="C1941">
        <v>11</v>
      </c>
      <c r="D1941">
        <v>29.5</v>
      </c>
      <c r="E1941">
        <v>324.5</v>
      </c>
      <c r="F1941" s="58">
        <v>45728</v>
      </c>
      <c r="G1941" s="58">
        <v>45729</v>
      </c>
      <c r="H1941" t="s">
        <v>229</v>
      </c>
      <c r="I1941" t="s">
        <v>59</v>
      </c>
      <c r="J1941">
        <v>4</v>
      </c>
      <c r="K1941" t="s">
        <v>103</v>
      </c>
      <c r="L1941" t="s">
        <v>124</v>
      </c>
      <c r="M1941">
        <f>orders[[#This Row],[Ship Date]]-orders[[#This Row],[Order Date]]</f>
        <v>1</v>
      </c>
      <c r="N1941">
        <f>WEEKNUM(orders[[#This Row],[Order Date]],1)</f>
        <v>11</v>
      </c>
      <c r="O1941" t="str">
        <f t="array" ref="O1941">_xlfn.IFS(orders[[#This Row],[Customer Gender]]="M","Male", orders[[#This Row],[Customer Gender]]="F","Female", orders[[#This Row],[Customer Gender]]="O","Other", TRUE(),"Unknown")</f>
        <v>Male</v>
      </c>
    </row>
    <row r="1942" spans="1:15" x14ac:dyDescent="0.25">
      <c r="A1942" t="s">
        <v>2170</v>
      </c>
      <c r="B1942" t="s">
        <v>77</v>
      </c>
      <c r="C1942">
        <v>7</v>
      </c>
      <c r="D1942">
        <v>37.9</v>
      </c>
      <c r="E1942">
        <v>265.3</v>
      </c>
      <c r="F1942" s="58">
        <v>45728</v>
      </c>
      <c r="G1942" s="58">
        <v>45729</v>
      </c>
      <c r="H1942" t="s">
        <v>229</v>
      </c>
      <c r="I1942" t="s">
        <v>63</v>
      </c>
      <c r="J1942">
        <v>4</v>
      </c>
      <c r="K1942" t="s">
        <v>103</v>
      </c>
      <c r="L1942" t="s">
        <v>124</v>
      </c>
      <c r="M1942">
        <f>orders[[#This Row],[Ship Date]]-orders[[#This Row],[Order Date]]</f>
        <v>1</v>
      </c>
      <c r="N1942">
        <f>WEEKNUM(orders[[#This Row],[Order Date]],1)</f>
        <v>11</v>
      </c>
      <c r="O1942" t="str">
        <f t="array" ref="O1942">_xlfn.IFS(orders[[#This Row],[Customer Gender]]="M","Male", orders[[#This Row],[Customer Gender]]="F","Female", orders[[#This Row],[Customer Gender]]="O","Other", TRUE(),"Unknown")</f>
        <v>Male</v>
      </c>
    </row>
    <row r="1943" spans="1:15" x14ac:dyDescent="0.25">
      <c r="A1943" t="s">
        <v>2171</v>
      </c>
      <c r="B1943" t="s">
        <v>87</v>
      </c>
      <c r="C1943">
        <v>1</v>
      </c>
      <c r="D1943">
        <v>56.5</v>
      </c>
      <c r="E1943">
        <v>56.5</v>
      </c>
      <c r="F1943" s="58">
        <v>45728</v>
      </c>
      <c r="G1943" s="58">
        <v>45729</v>
      </c>
      <c r="H1943" t="s">
        <v>231</v>
      </c>
      <c r="I1943" t="s">
        <v>62</v>
      </c>
      <c r="J1943">
        <v>3</v>
      </c>
      <c r="K1943" t="s">
        <v>103</v>
      </c>
      <c r="L1943" t="s">
        <v>124</v>
      </c>
      <c r="M1943">
        <f>orders[[#This Row],[Ship Date]]-orders[[#This Row],[Order Date]]</f>
        <v>1</v>
      </c>
      <c r="N1943">
        <f>WEEKNUM(orders[[#This Row],[Order Date]],1)</f>
        <v>11</v>
      </c>
      <c r="O1943" t="str">
        <f t="array" ref="O1943">_xlfn.IFS(orders[[#This Row],[Customer Gender]]="M","Male", orders[[#This Row],[Customer Gender]]="F","Female", orders[[#This Row],[Customer Gender]]="O","Other", TRUE(),"Unknown")</f>
        <v>Female</v>
      </c>
    </row>
    <row r="1944" spans="1:15" x14ac:dyDescent="0.25">
      <c r="A1944" t="s">
        <v>2172</v>
      </c>
      <c r="B1944" t="s">
        <v>87</v>
      </c>
      <c r="C1944">
        <v>2</v>
      </c>
      <c r="D1944">
        <v>66.900000000000006</v>
      </c>
      <c r="E1944">
        <v>133.80000000000001</v>
      </c>
      <c r="F1944" s="58">
        <v>45728</v>
      </c>
      <c r="G1944" s="58">
        <v>45734</v>
      </c>
      <c r="H1944" t="s">
        <v>229</v>
      </c>
      <c r="I1944" t="s">
        <v>63</v>
      </c>
      <c r="J1944">
        <v>2</v>
      </c>
      <c r="K1944" t="s">
        <v>103</v>
      </c>
      <c r="L1944" t="s">
        <v>135</v>
      </c>
      <c r="M1944">
        <f>orders[[#This Row],[Ship Date]]-orders[[#This Row],[Order Date]]</f>
        <v>6</v>
      </c>
      <c r="N1944">
        <f>WEEKNUM(orders[[#This Row],[Order Date]],1)</f>
        <v>11</v>
      </c>
      <c r="O1944" t="str">
        <f t="array" ref="O1944">_xlfn.IFS(orders[[#This Row],[Customer Gender]]="M","Male", orders[[#This Row],[Customer Gender]]="F","Female", orders[[#This Row],[Customer Gender]]="O","Other", TRUE(),"Unknown")</f>
        <v>Male</v>
      </c>
    </row>
    <row r="1945" spans="1:15" x14ac:dyDescent="0.25">
      <c r="A1945" t="s">
        <v>2173</v>
      </c>
      <c r="B1945" t="s">
        <v>87</v>
      </c>
      <c r="C1945">
        <v>5</v>
      </c>
      <c r="D1945">
        <v>51.9</v>
      </c>
      <c r="E1945">
        <v>259.5</v>
      </c>
      <c r="F1945" s="58">
        <v>45728</v>
      </c>
      <c r="G1945" s="58">
        <v>45731</v>
      </c>
      <c r="H1945" t="s">
        <v>229</v>
      </c>
      <c r="I1945" t="s">
        <v>63</v>
      </c>
      <c r="J1945">
        <v>4</v>
      </c>
      <c r="K1945" t="s">
        <v>103</v>
      </c>
      <c r="L1945" t="s">
        <v>141</v>
      </c>
      <c r="M1945">
        <f>orders[[#This Row],[Ship Date]]-orders[[#This Row],[Order Date]]</f>
        <v>3</v>
      </c>
      <c r="N1945">
        <f>WEEKNUM(orders[[#This Row],[Order Date]],1)</f>
        <v>11</v>
      </c>
      <c r="O1945" t="str">
        <f t="array" ref="O1945">_xlfn.IFS(orders[[#This Row],[Customer Gender]]="M","Male", orders[[#This Row],[Customer Gender]]="F","Female", orders[[#This Row],[Customer Gender]]="O","Other", TRUE(),"Unknown")</f>
        <v>Male</v>
      </c>
    </row>
    <row r="1946" spans="1:15" x14ac:dyDescent="0.25">
      <c r="A1946" t="s">
        <v>2174</v>
      </c>
      <c r="B1946" t="s">
        <v>87</v>
      </c>
      <c r="C1946">
        <v>2</v>
      </c>
      <c r="D1946">
        <v>75.599999999999994</v>
      </c>
      <c r="E1946">
        <v>151.19999999999999</v>
      </c>
      <c r="F1946" s="58">
        <v>45728</v>
      </c>
      <c r="G1946" s="58">
        <v>45731</v>
      </c>
      <c r="H1946" t="s">
        <v>229</v>
      </c>
      <c r="I1946" t="s">
        <v>63</v>
      </c>
      <c r="J1946">
        <v>4</v>
      </c>
      <c r="K1946" t="s">
        <v>103</v>
      </c>
      <c r="L1946" t="s">
        <v>142</v>
      </c>
      <c r="M1946">
        <f>orders[[#This Row],[Ship Date]]-orders[[#This Row],[Order Date]]</f>
        <v>3</v>
      </c>
      <c r="N1946">
        <f>WEEKNUM(orders[[#This Row],[Order Date]],1)</f>
        <v>11</v>
      </c>
      <c r="O1946" t="str">
        <f t="array" ref="O1946">_xlfn.IFS(orders[[#This Row],[Customer Gender]]="M","Male", orders[[#This Row],[Customer Gender]]="F","Female", orders[[#This Row],[Customer Gender]]="O","Other", TRUE(),"Unknown")</f>
        <v>Male</v>
      </c>
    </row>
    <row r="1947" spans="1:15" x14ac:dyDescent="0.25">
      <c r="A1947" t="s">
        <v>2175</v>
      </c>
      <c r="B1947" t="s">
        <v>76</v>
      </c>
      <c r="C1947">
        <v>6</v>
      </c>
      <c r="D1947">
        <v>47.3</v>
      </c>
      <c r="E1947">
        <v>283.8</v>
      </c>
      <c r="F1947" s="58">
        <v>45728</v>
      </c>
      <c r="G1947" s="58">
        <v>45739</v>
      </c>
      <c r="H1947" t="s">
        <v>229</v>
      </c>
      <c r="I1947" t="s">
        <v>59</v>
      </c>
      <c r="J1947">
        <v>4</v>
      </c>
      <c r="K1947" t="s">
        <v>103</v>
      </c>
      <c r="L1947" t="s">
        <v>142</v>
      </c>
      <c r="M1947">
        <f>orders[[#This Row],[Ship Date]]-orders[[#This Row],[Order Date]]</f>
        <v>11</v>
      </c>
      <c r="N1947">
        <f>WEEKNUM(orders[[#This Row],[Order Date]],1)</f>
        <v>11</v>
      </c>
      <c r="O1947" t="str">
        <f t="array" ref="O1947">_xlfn.IFS(orders[[#This Row],[Customer Gender]]="M","Male", orders[[#This Row],[Customer Gender]]="F","Female", orders[[#This Row],[Customer Gender]]="O","Other", TRUE(),"Unknown")</f>
        <v>Male</v>
      </c>
    </row>
    <row r="1948" spans="1:15" x14ac:dyDescent="0.25">
      <c r="A1948" t="s">
        <v>2176</v>
      </c>
      <c r="B1948" t="s">
        <v>78</v>
      </c>
      <c r="C1948">
        <v>1</v>
      </c>
      <c r="D1948">
        <v>20.6</v>
      </c>
      <c r="E1948">
        <v>20.6</v>
      </c>
      <c r="F1948" s="58">
        <v>45728</v>
      </c>
      <c r="G1948" s="58">
        <v>45729</v>
      </c>
      <c r="I1948" t="s">
        <v>59</v>
      </c>
      <c r="J1948">
        <v>3</v>
      </c>
      <c r="K1948" t="s">
        <v>103</v>
      </c>
      <c r="L1948" t="s">
        <v>142</v>
      </c>
      <c r="M1948">
        <f>orders[[#This Row],[Ship Date]]-orders[[#This Row],[Order Date]]</f>
        <v>1</v>
      </c>
      <c r="N1948">
        <f>WEEKNUM(orders[[#This Row],[Order Date]],1)</f>
        <v>11</v>
      </c>
      <c r="O1948" t="str">
        <f t="array" ref="O1948">_xlfn.IFS(orders[[#This Row],[Customer Gender]]="M","Male", orders[[#This Row],[Customer Gender]]="F","Female", orders[[#This Row],[Customer Gender]]="O","Other", TRUE(),"Unknown")</f>
        <v>Unknown</v>
      </c>
    </row>
    <row r="1949" spans="1:15" x14ac:dyDescent="0.25">
      <c r="A1949" t="s">
        <v>2177</v>
      </c>
      <c r="B1949" t="s">
        <v>80</v>
      </c>
      <c r="C1949">
        <v>3</v>
      </c>
      <c r="D1949">
        <v>49.7</v>
      </c>
      <c r="E1949">
        <v>149.1</v>
      </c>
      <c r="F1949" s="58">
        <v>45728</v>
      </c>
      <c r="G1949" s="58">
        <v>45730</v>
      </c>
      <c r="H1949" t="s">
        <v>229</v>
      </c>
      <c r="I1949" t="s">
        <v>59</v>
      </c>
      <c r="J1949">
        <v>3</v>
      </c>
      <c r="K1949" t="s">
        <v>103</v>
      </c>
      <c r="L1949" t="s">
        <v>142</v>
      </c>
      <c r="M1949">
        <f>orders[[#This Row],[Ship Date]]-orders[[#This Row],[Order Date]]</f>
        <v>2</v>
      </c>
      <c r="N1949">
        <f>WEEKNUM(orders[[#This Row],[Order Date]],1)</f>
        <v>11</v>
      </c>
      <c r="O1949" t="str">
        <f t="array" ref="O1949">_xlfn.IFS(orders[[#This Row],[Customer Gender]]="M","Male", orders[[#This Row],[Customer Gender]]="F","Female", orders[[#This Row],[Customer Gender]]="O","Other", TRUE(),"Unknown")</f>
        <v>Male</v>
      </c>
    </row>
    <row r="1950" spans="1:15" x14ac:dyDescent="0.25">
      <c r="A1950" t="s">
        <v>2178</v>
      </c>
      <c r="B1950" t="s">
        <v>93</v>
      </c>
      <c r="C1950">
        <v>1</v>
      </c>
      <c r="D1950">
        <v>37.9</v>
      </c>
      <c r="E1950">
        <v>37.9</v>
      </c>
      <c r="F1950" s="58">
        <v>45728</v>
      </c>
      <c r="G1950" s="58">
        <v>45730</v>
      </c>
      <c r="H1950" t="s">
        <v>231</v>
      </c>
      <c r="I1950" t="s">
        <v>59</v>
      </c>
      <c r="J1950">
        <v>4</v>
      </c>
      <c r="K1950" t="s">
        <v>103</v>
      </c>
      <c r="L1950" t="s">
        <v>142</v>
      </c>
      <c r="M1950">
        <f>orders[[#This Row],[Ship Date]]-orders[[#This Row],[Order Date]]</f>
        <v>2</v>
      </c>
      <c r="N1950">
        <f>WEEKNUM(orders[[#This Row],[Order Date]],1)</f>
        <v>11</v>
      </c>
      <c r="O1950" t="str">
        <f t="array" ref="O1950">_xlfn.IFS(orders[[#This Row],[Customer Gender]]="M","Male", orders[[#This Row],[Customer Gender]]="F","Female", orders[[#This Row],[Customer Gender]]="O","Other", TRUE(),"Unknown")</f>
        <v>Female</v>
      </c>
    </row>
    <row r="1951" spans="1:15" x14ac:dyDescent="0.25">
      <c r="A1951" t="s">
        <v>2179</v>
      </c>
      <c r="B1951" t="s">
        <v>92</v>
      </c>
      <c r="C1951">
        <v>15</v>
      </c>
      <c r="D1951">
        <v>32</v>
      </c>
      <c r="E1951">
        <v>480</v>
      </c>
      <c r="F1951" s="58">
        <v>45728</v>
      </c>
      <c r="G1951" s="58">
        <v>45730</v>
      </c>
      <c r="H1951" t="s">
        <v>231</v>
      </c>
      <c r="I1951" t="s">
        <v>61</v>
      </c>
      <c r="J1951">
        <v>4</v>
      </c>
      <c r="K1951" t="s">
        <v>103</v>
      </c>
      <c r="L1951" t="s">
        <v>148</v>
      </c>
      <c r="M1951">
        <f>orders[[#This Row],[Ship Date]]-orders[[#This Row],[Order Date]]</f>
        <v>2</v>
      </c>
      <c r="N1951">
        <f>WEEKNUM(orders[[#This Row],[Order Date]],1)</f>
        <v>11</v>
      </c>
      <c r="O1951" t="str">
        <f t="array" ref="O1951">_xlfn.IFS(orders[[#This Row],[Customer Gender]]="M","Male", orders[[#This Row],[Customer Gender]]="F","Female", orders[[#This Row],[Customer Gender]]="O","Other", TRUE(),"Unknown")</f>
        <v>Female</v>
      </c>
    </row>
    <row r="1952" spans="1:15" x14ac:dyDescent="0.25">
      <c r="A1952" t="s">
        <v>2180</v>
      </c>
      <c r="B1952" t="s">
        <v>75</v>
      </c>
      <c r="C1952">
        <v>18</v>
      </c>
      <c r="D1952">
        <v>38.5</v>
      </c>
      <c r="E1952">
        <v>693</v>
      </c>
      <c r="F1952" s="58">
        <v>45729</v>
      </c>
      <c r="G1952" s="58">
        <v>45730</v>
      </c>
      <c r="H1952" t="s">
        <v>229</v>
      </c>
      <c r="I1952" t="s">
        <v>59</v>
      </c>
      <c r="J1952">
        <v>5</v>
      </c>
      <c r="K1952" t="s">
        <v>103</v>
      </c>
      <c r="L1952" t="s">
        <v>148</v>
      </c>
      <c r="M1952">
        <f>orders[[#This Row],[Ship Date]]-orders[[#This Row],[Order Date]]</f>
        <v>1</v>
      </c>
      <c r="N1952">
        <f>WEEKNUM(orders[[#This Row],[Order Date]],1)</f>
        <v>11</v>
      </c>
      <c r="O1952" t="str">
        <f t="array" ref="O1952">_xlfn.IFS(orders[[#This Row],[Customer Gender]]="M","Male", orders[[#This Row],[Customer Gender]]="F","Female", orders[[#This Row],[Customer Gender]]="O","Other", TRUE(),"Unknown")</f>
        <v>Male</v>
      </c>
    </row>
    <row r="1953" spans="1:15" x14ac:dyDescent="0.25">
      <c r="A1953" t="s">
        <v>2181</v>
      </c>
      <c r="B1953" t="s">
        <v>86</v>
      </c>
      <c r="C1953">
        <v>4</v>
      </c>
      <c r="D1953">
        <v>11.7</v>
      </c>
      <c r="E1953">
        <v>46.8</v>
      </c>
      <c r="F1953" s="58">
        <v>45729</v>
      </c>
      <c r="G1953" s="58">
        <v>45731</v>
      </c>
      <c r="H1953" t="s">
        <v>231</v>
      </c>
      <c r="I1953" t="s">
        <v>63</v>
      </c>
      <c r="J1953">
        <v>4</v>
      </c>
      <c r="K1953" t="s">
        <v>103</v>
      </c>
      <c r="L1953" t="s">
        <v>159</v>
      </c>
      <c r="M1953">
        <f>orders[[#This Row],[Ship Date]]-orders[[#This Row],[Order Date]]</f>
        <v>2</v>
      </c>
      <c r="N1953">
        <f>WEEKNUM(orders[[#This Row],[Order Date]],1)</f>
        <v>11</v>
      </c>
      <c r="O1953" t="str">
        <f t="array" ref="O1953">_xlfn.IFS(orders[[#This Row],[Customer Gender]]="M","Male", orders[[#This Row],[Customer Gender]]="F","Female", orders[[#This Row],[Customer Gender]]="O","Other", TRUE(),"Unknown")</f>
        <v>Female</v>
      </c>
    </row>
    <row r="1954" spans="1:15" x14ac:dyDescent="0.25">
      <c r="A1954" t="s">
        <v>2182</v>
      </c>
      <c r="B1954" t="s">
        <v>93</v>
      </c>
      <c r="C1954">
        <v>6</v>
      </c>
      <c r="D1954">
        <v>83.8</v>
      </c>
      <c r="E1954">
        <v>502.8</v>
      </c>
      <c r="F1954" s="58">
        <v>45729</v>
      </c>
      <c r="G1954" s="58">
        <v>45730</v>
      </c>
      <c r="H1954" t="s">
        <v>229</v>
      </c>
      <c r="I1954" t="s">
        <v>59</v>
      </c>
      <c r="J1954">
        <v>4</v>
      </c>
      <c r="K1954" t="s">
        <v>103</v>
      </c>
      <c r="L1954" t="s">
        <v>106</v>
      </c>
      <c r="M1954">
        <f>orders[[#This Row],[Ship Date]]-orders[[#This Row],[Order Date]]</f>
        <v>1</v>
      </c>
      <c r="N1954">
        <f>WEEKNUM(orders[[#This Row],[Order Date]],1)</f>
        <v>11</v>
      </c>
      <c r="O1954" t="str">
        <f t="array" ref="O1954">_xlfn.IFS(orders[[#This Row],[Customer Gender]]="M","Male", orders[[#This Row],[Customer Gender]]="F","Female", orders[[#This Row],[Customer Gender]]="O","Other", TRUE(),"Unknown")</f>
        <v>Male</v>
      </c>
    </row>
    <row r="1955" spans="1:15" x14ac:dyDescent="0.25">
      <c r="A1955" t="s">
        <v>2183</v>
      </c>
      <c r="B1955" t="s">
        <v>86</v>
      </c>
      <c r="C1955">
        <v>7</v>
      </c>
      <c r="D1955">
        <v>14</v>
      </c>
      <c r="E1955">
        <v>98</v>
      </c>
      <c r="F1955" s="58">
        <v>45729</v>
      </c>
      <c r="G1955" s="58">
        <v>45732</v>
      </c>
      <c r="H1955" t="s">
        <v>229</v>
      </c>
      <c r="I1955" t="s">
        <v>59</v>
      </c>
      <c r="J1955">
        <v>3</v>
      </c>
      <c r="K1955" t="s">
        <v>103</v>
      </c>
      <c r="L1955" t="s">
        <v>120</v>
      </c>
      <c r="M1955">
        <f>orders[[#This Row],[Ship Date]]-orders[[#This Row],[Order Date]]</f>
        <v>3</v>
      </c>
      <c r="N1955">
        <f>WEEKNUM(orders[[#This Row],[Order Date]],1)</f>
        <v>11</v>
      </c>
      <c r="O1955" t="str">
        <f t="array" ref="O1955">_xlfn.IFS(orders[[#This Row],[Customer Gender]]="M","Male", orders[[#This Row],[Customer Gender]]="F","Female", orders[[#This Row],[Customer Gender]]="O","Other", TRUE(),"Unknown")</f>
        <v>Male</v>
      </c>
    </row>
    <row r="1956" spans="1:15" x14ac:dyDescent="0.25">
      <c r="A1956" t="s">
        <v>2184</v>
      </c>
      <c r="B1956" t="s">
        <v>89</v>
      </c>
      <c r="C1956">
        <v>4</v>
      </c>
      <c r="D1956">
        <v>77.3</v>
      </c>
      <c r="E1956">
        <v>309.2</v>
      </c>
      <c r="F1956" s="58">
        <v>45729</v>
      </c>
      <c r="G1956" s="58">
        <v>45731</v>
      </c>
      <c r="H1956" t="s">
        <v>231</v>
      </c>
      <c r="I1956" t="s">
        <v>61</v>
      </c>
      <c r="J1956">
        <v>5</v>
      </c>
      <c r="K1956" t="s">
        <v>103</v>
      </c>
      <c r="L1956" t="s">
        <v>124</v>
      </c>
      <c r="M1956">
        <f>orders[[#This Row],[Ship Date]]-orders[[#This Row],[Order Date]]</f>
        <v>2</v>
      </c>
      <c r="N1956">
        <f>WEEKNUM(orders[[#This Row],[Order Date]],1)</f>
        <v>11</v>
      </c>
      <c r="O1956" t="str">
        <f t="array" ref="O1956">_xlfn.IFS(orders[[#This Row],[Customer Gender]]="M","Male", orders[[#This Row],[Customer Gender]]="F","Female", orders[[#This Row],[Customer Gender]]="O","Other", TRUE(),"Unknown")</f>
        <v>Female</v>
      </c>
    </row>
    <row r="1957" spans="1:15" x14ac:dyDescent="0.25">
      <c r="A1957" t="s">
        <v>2185</v>
      </c>
      <c r="B1957" t="s">
        <v>87</v>
      </c>
      <c r="C1957">
        <v>2</v>
      </c>
      <c r="D1957">
        <v>76.900000000000006</v>
      </c>
      <c r="E1957">
        <v>153.80000000000001</v>
      </c>
      <c r="F1957" s="58">
        <v>45729</v>
      </c>
      <c r="G1957" s="58">
        <v>45733</v>
      </c>
      <c r="H1957" t="s">
        <v>231</v>
      </c>
      <c r="I1957" t="s">
        <v>59</v>
      </c>
      <c r="J1957">
        <v>3</v>
      </c>
      <c r="K1957" t="s">
        <v>103</v>
      </c>
      <c r="L1957" t="s">
        <v>124</v>
      </c>
      <c r="M1957">
        <f>orders[[#This Row],[Ship Date]]-orders[[#This Row],[Order Date]]</f>
        <v>4</v>
      </c>
      <c r="N1957">
        <f>WEEKNUM(orders[[#This Row],[Order Date]],1)</f>
        <v>11</v>
      </c>
      <c r="O1957" t="str">
        <f t="array" ref="O1957">_xlfn.IFS(orders[[#This Row],[Customer Gender]]="M","Male", orders[[#This Row],[Customer Gender]]="F","Female", orders[[#This Row],[Customer Gender]]="O","Other", TRUE(),"Unknown")</f>
        <v>Female</v>
      </c>
    </row>
    <row r="1958" spans="1:15" x14ac:dyDescent="0.25">
      <c r="A1958" t="s">
        <v>2186</v>
      </c>
      <c r="B1958" t="s">
        <v>91</v>
      </c>
      <c r="C1958">
        <v>1</v>
      </c>
      <c r="D1958">
        <v>48</v>
      </c>
      <c r="E1958">
        <v>48</v>
      </c>
      <c r="F1958" s="58">
        <v>45729</v>
      </c>
      <c r="G1958" s="58">
        <v>45731</v>
      </c>
      <c r="H1958" t="s">
        <v>231</v>
      </c>
      <c r="I1958" t="s">
        <v>63</v>
      </c>
      <c r="J1958">
        <v>5</v>
      </c>
      <c r="K1958" t="s">
        <v>103</v>
      </c>
      <c r="L1958" t="s">
        <v>124</v>
      </c>
      <c r="M1958">
        <f>orders[[#This Row],[Ship Date]]-orders[[#This Row],[Order Date]]</f>
        <v>2</v>
      </c>
      <c r="N1958">
        <f>WEEKNUM(orders[[#This Row],[Order Date]],1)</f>
        <v>11</v>
      </c>
      <c r="O1958" t="str">
        <f t="array" ref="O1958">_xlfn.IFS(orders[[#This Row],[Customer Gender]]="M","Male", orders[[#This Row],[Customer Gender]]="F","Female", orders[[#This Row],[Customer Gender]]="O","Other", TRUE(),"Unknown")</f>
        <v>Female</v>
      </c>
    </row>
    <row r="1959" spans="1:15" x14ac:dyDescent="0.25">
      <c r="A1959" t="s">
        <v>2187</v>
      </c>
      <c r="B1959" t="s">
        <v>87</v>
      </c>
      <c r="C1959">
        <v>1</v>
      </c>
      <c r="D1959">
        <v>94.5</v>
      </c>
      <c r="E1959">
        <v>94.5</v>
      </c>
      <c r="F1959" s="58">
        <v>45729</v>
      </c>
      <c r="G1959" s="58">
        <v>45732</v>
      </c>
      <c r="H1959" t="s">
        <v>229</v>
      </c>
      <c r="I1959" t="s">
        <v>63</v>
      </c>
      <c r="J1959">
        <v>3</v>
      </c>
      <c r="K1959" t="s">
        <v>103</v>
      </c>
      <c r="L1959" t="s">
        <v>124</v>
      </c>
      <c r="M1959">
        <f>orders[[#This Row],[Ship Date]]-orders[[#This Row],[Order Date]]</f>
        <v>3</v>
      </c>
      <c r="N1959">
        <f>WEEKNUM(orders[[#This Row],[Order Date]],1)</f>
        <v>11</v>
      </c>
      <c r="O1959" t="str">
        <f t="array" ref="O1959">_xlfn.IFS(orders[[#This Row],[Customer Gender]]="M","Male", orders[[#This Row],[Customer Gender]]="F","Female", orders[[#This Row],[Customer Gender]]="O","Other", TRUE(),"Unknown")</f>
        <v>Male</v>
      </c>
    </row>
    <row r="1960" spans="1:15" x14ac:dyDescent="0.25">
      <c r="A1960" t="s">
        <v>2188</v>
      </c>
      <c r="B1960" t="s">
        <v>75</v>
      </c>
      <c r="C1960">
        <v>3</v>
      </c>
      <c r="D1960">
        <v>58.4</v>
      </c>
      <c r="E1960">
        <v>175.2</v>
      </c>
      <c r="F1960" s="58">
        <v>45729</v>
      </c>
      <c r="G1960" s="58">
        <v>45731</v>
      </c>
      <c r="H1960" t="s">
        <v>231</v>
      </c>
      <c r="I1960" t="s">
        <v>63</v>
      </c>
      <c r="J1960">
        <v>5</v>
      </c>
      <c r="K1960" t="s">
        <v>103</v>
      </c>
      <c r="L1960" t="s">
        <v>124</v>
      </c>
      <c r="M1960">
        <f>orders[[#This Row],[Ship Date]]-orders[[#This Row],[Order Date]]</f>
        <v>2</v>
      </c>
      <c r="N1960">
        <f>WEEKNUM(orders[[#This Row],[Order Date]],1)</f>
        <v>11</v>
      </c>
      <c r="O1960" t="str">
        <f t="array" ref="O1960">_xlfn.IFS(orders[[#This Row],[Customer Gender]]="M","Male", orders[[#This Row],[Customer Gender]]="F","Female", orders[[#This Row],[Customer Gender]]="O","Other", TRUE(),"Unknown")</f>
        <v>Female</v>
      </c>
    </row>
    <row r="1961" spans="1:15" x14ac:dyDescent="0.25">
      <c r="A1961" t="s">
        <v>2189</v>
      </c>
      <c r="B1961" t="s">
        <v>79</v>
      </c>
      <c r="C1961">
        <v>13</v>
      </c>
      <c r="D1961">
        <v>42.2</v>
      </c>
      <c r="E1961">
        <v>548.6</v>
      </c>
      <c r="F1961" s="58">
        <v>45729</v>
      </c>
      <c r="G1961" s="58">
        <v>45729</v>
      </c>
      <c r="H1961" t="s">
        <v>229</v>
      </c>
      <c r="I1961" t="s">
        <v>59</v>
      </c>
      <c r="J1961">
        <v>4</v>
      </c>
      <c r="K1961" t="s">
        <v>103</v>
      </c>
      <c r="L1961" t="s">
        <v>135</v>
      </c>
      <c r="M1961">
        <f>orders[[#This Row],[Ship Date]]-orders[[#This Row],[Order Date]]</f>
        <v>0</v>
      </c>
      <c r="N1961">
        <f>WEEKNUM(orders[[#This Row],[Order Date]],1)</f>
        <v>11</v>
      </c>
      <c r="O1961" t="str">
        <f t="array" ref="O1961">_xlfn.IFS(orders[[#This Row],[Customer Gender]]="M","Male", orders[[#This Row],[Customer Gender]]="F","Female", orders[[#This Row],[Customer Gender]]="O","Other", TRUE(),"Unknown")</f>
        <v>Male</v>
      </c>
    </row>
    <row r="1962" spans="1:15" x14ac:dyDescent="0.25">
      <c r="A1962" t="s">
        <v>2190</v>
      </c>
      <c r="B1962" t="s">
        <v>80</v>
      </c>
      <c r="C1962">
        <v>2</v>
      </c>
      <c r="D1962">
        <v>152.19999999999999</v>
      </c>
      <c r="E1962">
        <v>304.39999999999998</v>
      </c>
      <c r="F1962" s="58">
        <v>45729</v>
      </c>
      <c r="G1962" s="58">
        <v>45730</v>
      </c>
      <c r="H1962" t="s">
        <v>229</v>
      </c>
      <c r="I1962" t="s">
        <v>61</v>
      </c>
      <c r="J1962">
        <v>3</v>
      </c>
      <c r="K1962" t="s">
        <v>103</v>
      </c>
      <c r="L1962" t="s">
        <v>135</v>
      </c>
      <c r="M1962">
        <f>orders[[#This Row],[Ship Date]]-orders[[#This Row],[Order Date]]</f>
        <v>1</v>
      </c>
      <c r="N1962">
        <f>WEEKNUM(orders[[#This Row],[Order Date]],1)</f>
        <v>11</v>
      </c>
      <c r="O1962" t="str">
        <f t="array" ref="O1962">_xlfn.IFS(orders[[#This Row],[Customer Gender]]="M","Male", orders[[#This Row],[Customer Gender]]="F","Female", orders[[#This Row],[Customer Gender]]="O","Other", TRUE(),"Unknown")</f>
        <v>Male</v>
      </c>
    </row>
    <row r="1963" spans="1:15" x14ac:dyDescent="0.25">
      <c r="A1963" t="s">
        <v>2191</v>
      </c>
      <c r="B1963" t="s">
        <v>80</v>
      </c>
      <c r="C1963">
        <v>24</v>
      </c>
      <c r="D1963">
        <v>72</v>
      </c>
      <c r="E1963">
        <v>1728</v>
      </c>
      <c r="F1963" s="58">
        <v>45729</v>
      </c>
      <c r="G1963" s="58">
        <v>45730</v>
      </c>
      <c r="H1963" t="s">
        <v>229</v>
      </c>
      <c r="I1963" t="s">
        <v>59</v>
      </c>
      <c r="J1963">
        <v>3</v>
      </c>
      <c r="K1963" t="s">
        <v>103</v>
      </c>
      <c r="L1963" t="s">
        <v>139</v>
      </c>
      <c r="M1963">
        <f>orders[[#This Row],[Ship Date]]-orders[[#This Row],[Order Date]]</f>
        <v>1</v>
      </c>
      <c r="N1963">
        <f>WEEKNUM(orders[[#This Row],[Order Date]],1)</f>
        <v>11</v>
      </c>
      <c r="O1963" t="str">
        <f t="array" ref="O1963">_xlfn.IFS(orders[[#This Row],[Customer Gender]]="M","Male", orders[[#This Row],[Customer Gender]]="F","Female", orders[[#This Row],[Customer Gender]]="O","Other", TRUE(),"Unknown")</f>
        <v>Male</v>
      </c>
    </row>
    <row r="1964" spans="1:15" x14ac:dyDescent="0.25">
      <c r="A1964" t="s">
        <v>2192</v>
      </c>
      <c r="B1964" t="s">
        <v>91</v>
      </c>
      <c r="C1964">
        <v>23</v>
      </c>
      <c r="D1964">
        <v>70.900000000000006</v>
      </c>
      <c r="E1964">
        <v>1630.7</v>
      </c>
      <c r="F1964" s="58">
        <v>45729</v>
      </c>
      <c r="G1964" s="58">
        <v>45730</v>
      </c>
      <c r="H1964" t="s">
        <v>231</v>
      </c>
      <c r="I1964" t="s">
        <v>62</v>
      </c>
      <c r="J1964">
        <v>4</v>
      </c>
      <c r="K1964" t="s">
        <v>103</v>
      </c>
      <c r="L1964" t="s">
        <v>142</v>
      </c>
      <c r="M1964">
        <f>orders[[#This Row],[Ship Date]]-orders[[#This Row],[Order Date]]</f>
        <v>1</v>
      </c>
      <c r="N1964">
        <f>WEEKNUM(orders[[#This Row],[Order Date]],1)</f>
        <v>11</v>
      </c>
      <c r="O1964" t="str">
        <f t="array" ref="O1964">_xlfn.IFS(orders[[#This Row],[Customer Gender]]="M","Male", orders[[#This Row],[Customer Gender]]="F","Female", orders[[#This Row],[Customer Gender]]="O","Other", TRUE(),"Unknown")</f>
        <v>Female</v>
      </c>
    </row>
    <row r="1965" spans="1:15" x14ac:dyDescent="0.25">
      <c r="A1965" t="s">
        <v>2193</v>
      </c>
      <c r="B1965" t="s">
        <v>87</v>
      </c>
      <c r="C1965">
        <v>2</v>
      </c>
      <c r="D1965">
        <v>53.7</v>
      </c>
      <c r="E1965">
        <v>107.4</v>
      </c>
      <c r="F1965" s="58">
        <v>45729</v>
      </c>
      <c r="G1965" s="58">
        <v>45730</v>
      </c>
      <c r="H1965" t="s">
        <v>229</v>
      </c>
      <c r="I1965" t="s">
        <v>62</v>
      </c>
      <c r="J1965">
        <v>5</v>
      </c>
      <c r="K1965" t="s">
        <v>103</v>
      </c>
      <c r="L1965" t="s">
        <v>142</v>
      </c>
      <c r="M1965">
        <f>orders[[#This Row],[Ship Date]]-orders[[#This Row],[Order Date]]</f>
        <v>1</v>
      </c>
      <c r="N1965">
        <f>WEEKNUM(orders[[#This Row],[Order Date]],1)</f>
        <v>11</v>
      </c>
      <c r="O1965" t="str">
        <f t="array" ref="O1965">_xlfn.IFS(orders[[#This Row],[Customer Gender]]="M","Male", orders[[#This Row],[Customer Gender]]="F","Female", orders[[#This Row],[Customer Gender]]="O","Other", TRUE(),"Unknown")</f>
        <v>Male</v>
      </c>
    </row>
    <row r="1966" spans="1:15" x14ac:dyDescent="0.25">
      <c r="A1966" t="s">
        <v>2194</v>
      </c>
      <c r="B1966" t="s">
        <v>88</v>
      </c>
      <c r="C1966">
        <v>4</v>
      </c>
      <c r="D1966">
        <v>42.9</v>
      </c>
      <c r="E1966">
        <v>171.6</v>
      </c>
      <c r="F1966" s="58">
        <v>45729</v>
      </c>
      <c r="G1966" s="58">
        <v>45730</v>
      </c>
      <c r="H1966" t="s">
        <v>231</v>
      </c>
      <c r="I1966" t="s">
        <v>62</v>
      </c>
      <c r="J1966">
        <v>2</v>
      </c>
      <c r="K1966" t="s">
        <v>103</v>
      </c>
      <c r="L1966" t="s">
        <v>146</v>
      </c>
      <c r="M1966">
        <f>orders[[#This Row],[Ship Date]]-orders[[#This Row],[Order Date]]</f>
        <v>1</v>
      </c>
      <c r="N1966">
        <f>WEEKNUM(orders[[#This Row],[Order Date]],1)</f>
        <v>11</v>
      </c>
      <c r="O1966" t="str">
        <f t="array" ref="O1966">_xlfn.IFS(orders[[#This Row],[Customer Gender]]="M","Male", orders[[#This Row],[Customer Gender]]="F","Female", orders[[#This Row],[Customer Gender]]="O","Other", TRUE(),"Unknown")</f>
        <v>Female</v>
      </c>
    </row>
    <row r="1967" spans="1:15" x14ac:dyDescent="0.25">
      <c r="A1967" t="s">
        <v>2195</v>
      </c>
      <c r="B1967" t="s">
        <v>87</v>
      </c>
      <c r="C1967">
        <v>7</v>
      </c>
      <c r="D1967">
        <v>107.5</v>
      </c>
      <c r="E1967">
        <v>752.5</v>
      </c>
      <c r="F1967" s="58">
        <v>45729</v>
      </c>
      <c r="G1967" s="58">
        <v>45730</v>
      </c>
      <c r="H1967" t="s">
        <v>229</v>
      </c>
      <c r="I1967" t="s">
        <v>63</v>
      </c>
      <c r="J1967">
        <v>4</v>
      </c>
      <c r="K1967" t="s">
        <v>103</v>
      </c>
      <c r="L1967" t="s">
        <v>148</v>
      </c>
      <c r="M1967">
        <f>orders[[#This Row],[Ship Date]]-orders[[#This Row],[Order Date]]</f>
        <v>1</v>
      </c>
      <c r="N1967">
        <f>WEEKNUM(orders[[#This Row],[Order Date]],1)</f>
        <v>11</v>
      </c>
      <c r="O1967" t="str">
        <f t="array" ref="O1967">_xlfn.IFS(orders[[#This Row],[Customer Gender]]="M","Male", orders[[#This Row],[Customer Gender]]="F","Female", orders[[#This Row],[Customer Gender]]="O","Other", TRUE(),"Unknown")</f>
        <v>Male</v>
      </c>
    </row>
    <row r="1968" spans="1:15" x14ac:dyDescent="0.25">
      <c r="A1968" t="s">
        <v>2196</v>
      </c>
      <c r="B1968" t="s">
        <v>84</v>
      </c>
      <c r="C1968">
        <v>16</v>
      </c>
      <c r="D1968">
        <v>21.5</v>
      </c>
      <c r="E1968">
        <v>344</v>
      </c>
      <c r="F1968" s="58">
        <v>45729</v>
      </c>
      <c r="G1968" s="58">
        <v>45730</v>
      </c>
      <c r="H1968" t="s">
        <v>229</v>
      </c>
      <c r="I1968" t="s">
        <v>63</v>
      </c>
      <c r="J1968">
        <v>3</v>
      </c>
      <c r="K1968" t="s">
        <v>103</v>
      </c>
      <c r="L1968" t="s">
        <v>149</v>
      </c>
      <c r="M1968">
        <f>orders[[#This Row],[Ship Date]]-orders[[#This Row],[Order Date]]</f>
        <v>1</v>
      </c>
      <c r="N1968">
        <f>WEEKNUM(orders[[#This Row],[Order Date]],1)</f>
        <v>11</v>
      </c>
      <c r="O1968" t="str">
        <f t="array" ref="O1968">_xlfn.IFS(orders[[#This Row],[Customer Gender]]="M","Male", orders[[#This Row],[Customer Gender]]="F","Female", orders[[#This Row],[Customer Gender]]="O","Other", TRUE(),"Unknown")</f>
        <v>Male</v>
      </c>
    </row>
    <row r="1969" spans="1:15" x14ac:dyDescent="0.25">
      <c r="A1969" t="s">
        <v>2197</v>
      </c>
      <c r="B1969" t="s">
        <v>93</v>
      </c>
      <c r="C1969">
        <v>5</v>
      </c>
      <c r="D1969">
        <v>85.3</v>
      </c>
      <c r="E1969">
        <v>426.5</v>
      </c>
      <c r="F1969" s="58">
        <v>45729</v>
      </c>
      <c r="G1969" s="58">
        <v>45731</v>
      </c>
      <c r="H1969" t="s">
        <v>231</v>
      </c>
      <c r="I1969" t="s">
        <v>60</v>
      </c>
      <c r="J1969">
        <v>4</v>
      </c>
      <c r="K1969" t="s">
        <v>103</v>
      </c>
      <c r="L1969" t="s">
        <v>154</v>
      </c>
      <c r="M1969">
        <f>orders[[#This Row],[Ship Date]]-orders[[#This Row],[Order Date]]</f>
        <v>2</v>
      </c>
      <c r="N1969">
        <f>WEEKNUM(orders[[#This Row],[Order Date]],1)</f>
        <v>11</v>
      </c>
      <c r="O1969" t="str">
        <f t="array" ref="O1969">_xlfn.IFS(orders[[#This Row],[Customer Gender]]="M","Male", orders[[#This Row],[Customer Gender]]="F","Female", orders[[#This Row],[Customer Gender]]="O","Other", TRUE(),"Unknown")</f>
        <v>Female</v>
      </c>
    </row>
    <row r="1970" spans="1:15" x14ac:dyDescent="0.25">
      <c r="A1970" t="s">
        <v>2198</v>
      </c>
      <c r="B1970" t="s">
        <v>79</v>
      </c>
      <c r="C1970">
        <v>5</v>
      </c>
      <c r="D1970">
        <v>80.8</v>
      </c>
      <c r="E1970">
        <v>404</v>
      </c>
      <c r="F1970" s="58">
        <v>45729</v>
      </c>
      <c r="G1970" s="58">
        <v>45737</v>
      </c>
      <c r="H1970" t="s">
        <v>263</v>
      </c>
      <c r="I1970" t="s">
        <v>63</v>
      </c>
      <c r="J1970">
        <v>3</v>
      </c>
      <c r="K1970" t="s">
        <v>103</v>
      </c>
      <c r="L1970" t="s">
        <v>155</v>
      </c>
      <c r="M1970">
        <f>orders[[#This Row],[Ship Date]]-orders[[#This Row],[Order Date]]</f>
        <v>8</v>
      </c>
      <c r="N1970">
        <f>WEEKNUM(orders[[#This Row],[Order Date]],1)</f>
        <v>11</v>
      </c>
      <c r="O1970" t="str">
        <f t="array" ref="O1970">_xlfn.IFS(orders[[#This Row],[Customer Gender]]="M","Male", orders[[#This Row],[Customer Gender]]="F","Female", orders[[#This Row],[Customer Gender]]="O","Other", TRUE(),"Unknown")</f>
        <v>Other</v>
      </c>
    </row>
    <row r="1971" spans="1:15" x14ac:dyDescent="0.25">
      <c r="A1971" t="s">
        <v>2199</v>
      </c>
      <c r="B1971" t="s">
        <v>87</v>
      </c>
      <c r="C1971">
        <v>3</v>
      </c>
      <c r="D1971">
        <v>123.1</v>
      </c>
      <c r="E1971">
        <v>369.3</v>
      </c>
      <c r="F1971" s="58">
        <v>45729</v>
      </c>
      <c r="G1971" s="58">
        <v>45731</v>
      </c>
      <c r="I1971" t="s">
        <v>62</v>
      </c>
      <c r="J1971">
        <v>4</v>
      </c>
      <c r="K1971" t="s">
        <v>103</v>
      </c>
      <c r="L1971" t="s">
        <v>106</v>
      </c>
      <c r="M1971">
        <f>orders[[#This Row],[Ship Date]]-orders[[#This Row],[Order Date]]</f>
        <v>2</v>
      </c>
      <c r="N1971">
        <f>WEEKNUM(orders[[#This Row],[Order Date]],1)</f>
        <v>11</v>
      </c>
      <c r="O1971" t="str">
        <f t="array" ref="O1971">_xlfn.IFS(orders[[#This Row],[Customer Gender]]="M","Male", orders[[#This Row],[Customer Gender]]="F","Female", orders[[#This Row],[Customer Gender]]="O","Other", TRUE(),"Unknown")</f>
        <v>Unknown</v>
      </c>
    </row>
    <row r="1972" spans="1:15" x14ac:dyDescent="0.25">
      <c r="A1972" t="s">
        <v>2200</v>
      </c>
      <c r="B1972" t="s">
        <v>90</v>
      </c>
      <c r="C1972">
        <v>2</v>
      </c>
      <c r="D1972">
        <v>36.9</v>
      </c>
      <c r="E1972">
        <v>73.8</v>
      </c>
      <c r="F1972" s="58">
        <v>45729</v>
      </c>
      <c r="G1972" s="58">
        <v>45731</v>
      </c>
      <c r="H1972" t="s">
        <v>231</v>
      </c>
      <c r="I1972" t="s">
        <v>62</v>
      </c>
      <c r="J1972">
        <v>2</v>
      </c>
      <c r="K1972" t="s">
        <v>103</v>
      </c>
      <c r="L1972" t="s">
        <v>109</v>
      </c>
      <c r="M1972">
        <f>orders[[#This Row],[Ship Date]]-orders[[#This Row],[Order Date]]</f>
        <v>2</v>
      </c>
      <c r="N1972">
        <f>WEEKNUM(orders[[#This Row],[Order Date]],1)</f>
        <v>11</v>
      </c>
      <c r="O1972" t="str">
        <f t="array" ref="O1972">_xlfn.IFS(orders[[#This Row],[Customer Gender]]="M","Male", orders[[#This Row],[Customer Gender]]="F","Female", orders[[#This Row],[Customer Gender]]="O","Other", TRUE(),"Unknown")</f>
        <v>Female</v>
      </c>
    </row>
    <row r="1973" spans="1:15" x14ac:dyDescent="0.25">
      <c r="A1973" t="s">
        <v>2201</v>
      </c>
      <c r="B1973" t="s">
        <v>83</v>
      </c>
      <c r="C1973">
        <v>5</v>
      </c>
      <c r="D1973">
        <v>40</v>
      </c>
      <c r="E1973">
        <v>200</v>
      </c>
      <c r="F1973" s="58">
        <v>45729</v>
      </c>
      <c r="G1973" s="58">
        <v>45730</v>
      </c>
      <c r="H1973" t="s">
        <v>229</v>
      </c>
      <c r="I1973" t="s">
        <v>59</v>
      </c>
      <c r="J1973">
        <v>4</v>
      </c>
      <c r="K1973" t="s">
        <v>103</v>
      </c>
      <c r="L1973" t="s">
        <v>112</v>
      </c>
      <c r="M1973">
        <f>orders[[#This Row],[Ship Date]]-orders[[#This Row],[Order Date]]</f>
        <v>1</v>
      </c>
      <c r="N1973">
        <f>WEEKNUM(orders[[#This Row],[Order Date]],1)</f>
        <v>11</v>
      </c>
      <c r="O1973" t="str">
        <f t="array" ref="O1973">_xlfn.IFS(orders[[#This Row],[Customer Gender]]="M","Male", orders[[#This Row],[Customer Gender]]="F","Female", orders[[#This Row],[Customer Gender]]="O","Other", TRUE(),"Unknown")</f>
        <v>Male</v>
      </c>
    </row>
    <row r="1974" spans="1:15" x14ac:dyDescent="0.25">
      <c r="A1974" t="s">
        <v>2202</v>
      </c>
      <c r="B1974" t="s">
        <v>80</v>
      </c>
      <c r="C1974">
        <v>3</v>
      </c>
      <c r="D1974">
        <v>55.5</v>
      </c>
      <c r="E1974">
        <v>166.5</v>
      </c>
      <c r="F1974" s="58">
        <v>45729</v>
      </c>
      <c r="G1974" s="58">
        <v>45730</v>
      </c>
      <c r="H1974" t="s">
        <v>229</v>
      </c>
      <c r="I1974" t="s">
        <v>61</v>
      </c>
      <c r="J1974">
        <v>5</v>
      </c>
      <c r="K1974" t="s">
        <v>103</v>
      </c>
      <c r="L1974" t="s">
        <v>112</v>
      </c>
      <c r="M1974">
        <f>orders[[#This Row],[Ship Date]]-orders[[#This Row],[Order Date]]</f>
        <v>1</v>
      </c>
      <c r="N1974">
        <f>WEEKNUM(orders[[#This Row],[Order Date]],1)</f>
        <v>11</v>
      </c>
      <c r="O1974" t="str">
        <f t="array" ref="O1974">_xlfn.IFS(orders[[#This Row],[Customer Gender]]="M","Male", orders[[#This Row],[Customer Gender]]="F","Female", orders[[#This Row],[Customer Gender]]="O","Other", TRUE(),"Unknown")</f>
        <v>Male</v>
      </c>
    </row>
    <row r="1975" spans="1:15" x14ac:dyDescent="0.25">
      <c r="A1975" t="s">
        <v>2203</v>
      </c>
      <c r="B1975" t="s">
        <v>86</v>
      </c>
      <c r="C1975">
        <v>4</v>
      </c>
      <c r="D1975">
        <v>20.5</v>
      </c>
      <c r="E1975">
        <v>82</v>
      </c>
      <c r="F1975" s="58">
        <v>45729</v>
      </c>
      <c r="G1975" s="58">
        <v>45733</v>
      </c>
      <c r="H1975" t="s">
        <v>231</v>
      </c>
      <c r="I1975" t="s">
        <v>61</v>
      </c>
      <c r="J1975">
        <v>4</v>
      </c>
      <c r="K1975" t="s">
        <v>103</v>
      </c>
      <c r="L1975" t="s">
        <v>112</v>
      </c>
      <c r="M1975">
        <f>orders[[#This Row],[Ship Date]]-orders[[#This Row],[Order Date]]</f>
        <v>4</v>
      </c>
      <c r="N1975">
        <f>WEEKNUM(orders[[#This Row],[Order Date]],1)</f>
        <v>11</v>
      </c>
      <c r="O1975" t="str">
        <f t="array" ref="O1975">_xlfn.IFS(orders[[#This Row],[Customer Gender]]="M","Male", orders[[#This Row],[Customer Gender]]="F","Female", orders[[#This Row],[Customer Gender]]="O","Other", TRUE(),"Unknown")</f>
        <v>Female</v>
      </c>
    </row>
    <row r="1976" spans="1:15" x14ac:dyDescent="0.25">
      <c r="A1976" t="s">
        <v>2204</v>
      </c>
      <c r="B1976" t="s">
        <v>82</v>
      </c>
      <c r="C1976">
        <v>4</v>
      </c>
      <c r="D1976">
        <v>50.1</v>
      </c>
      <c r="E1976">
        <v>200.4</v>
      </c>
      <c r="F1976" s="58">
        <v>45729</v>
      </c>
      <c r="G1976" s="58">
        <v>45730</v>
      </c>
      <c r="H1976" t="s">
        <v>231</v>
      </c>
      <c r="I1976" t="s">
        <v>61</v>
      </c>
      <c r="J1976">
        <v>4</v>
      </c>
      <c r="K1976" t="s">
        <v>103</v>
      </c>
      <c r="L1976" t="s">
        <v>112</v>
      </c>
      <c r="M1976">
        <f>orders[[#This Row],[Ship Date]]-orders[[#This Row],[Order Date]]</f>
        <v>1</v>
      </c>
      <c r="N1976">
        <f>WEEKNUM(orders[[#This Row],[Order Date]],1)</f>
        <v>11</v>
      </c>
      <c r="O1976" t="str">
        <f t="array" ref="O1976">_xlfn.IFS(orders[[#This Row],[Customer Gender]]="M","Male", orders[[#This Row],[Customer Gender]]="F","Female", orders[[#This Row],[Customer Gender]]="O","Other", TRUE(),"Unknown")</f>
        <v>Female</v>
      </c>
    </row>
    <row r="1977" spans="1:15" x14ac:dyDescent="0.25">
      <c r="A1977" t="s">
        <v>2205</v>
      </c>
      <c r="B1977" t="s">
        <v>88</v>
      </c>
      <c r="C1977">
        <v>1</v>
      </c>
      <c r="D1977">
        <v>35.9</v>
      </c>
      <c r="E1977">
        <v>35.9</v>
      </c>
      <c r="F1977" s="58">
        <v>45729</v>
      </c>
      <c r="G1977" s="58">
        <v>45731</v>
      </c>
      <c r="H1977" t="s">
        <v>229</v>
      </c>
      <c r="I1977" t="s">
        <v>63</v>
      </c>
      <c r="J1977">
        <v>5</v>
      </c>
      <c r="K1977" t="s">
        <v>103</v>
      </c>
      <c r="L1977" t="s">
        <v>112</v>
      </c>
      <c r="M1977">
        <f>orders[[#This Row],[Ship Date]]-orders[[#This Row],[Order Date]]</f>
        <v>2</v>
      </c>
      <c r="N1977">
        <f>WEEKNUM(orders[[#This Row],[Order Date]],1)</f>
        <v>11</v>
      </c>
      <c r="O1977" t="str">
        <f t="array" ref="O1977">_xlfn.IFS(orders[[#This Row],[Customer Gender]]="M","Male", orders[[#This Row],[Customer Gender]]="F","Female", orders[[#This Row],[Customer Gender]]="O","Other", TRUE(),"Unknown")</f>
        <v>Male</v>
      </c>
    </row>
    <row r="1978" spans="1:15" x14ac:dyDescent="0.25">
      <c r="A1978" t="s">
        <v>2206</v>
      </c>
      <c r="B1978" t="s">
        <v>92</v>
      </c>
      <c r="C1978">
        <v>4</v>
      </c>
      <c r="D1978">
        <v>29.4</v>
      </c>
      <c r="E1978">
        <v>117.6</v>
      </c>
      <c r="F1978" s="58">
        <v>45730</v>
      </c>
      <c r="G1978" s="58">
        <v>45731</v>
      </c>
      <c r="H1978" t="s">
        <v>229</v>
      </c>
      <c r="I1978" t="s">
        <v>62</v>
      </c>
      <c r="J1978">
        <v>5</v>
      </c>
      <c r="K1978" t="s">
        <v>103</v>
      </c>
      <c r="L1978" t="s">
        <v>118</v>
      </c>
      <c r="M1978">
        <f>orders[[#This Row],[Ship Date]]-orders[[#This Row],[Order Date]]</f>
        <v>1</v>
      </c>
      <c r="N1978">
        <f>WEEKNUM(orders[[#This Row],[Order Date]],1)</f>
        <v>11</v>
      </c>
      <c r="O1978" t="str">
        <f t="array" ref="O1978">_xlfn.IFS(orders[[#This Row],[Customer Gender]]="M","Male", orders[[#This Row],[Customer Gender]]="F","Female", orders[[#This Row],[Customer Gender]]="O","Other", TRUE(),"Unknown")</f>
        <v>Male</v>
      </c>
    </row>
    <row r="1979" spans="1:15" x14ac:dyDescent="0.25">
      <c r="A1979" t="s">
        <v>2207</v>
      </c>
      <c r="B1979" t="s">
        <v>90</v>
      </c>
      <c r="C1979">
        <v>5</v>
      </c>
      <c r="D1979">
        <v>29.1</v>
      </c>
      <c r="E1979">
        <v>145.5</v>
      </c>
      <c r="F1979" s="58">
        <v>45730</v>
      </c>
      <c r="G1979" s="58">
        <v>45738</v>
      </c>
      <c r="H1979" t="s">
        <v>263</v>
      </c>
      <c r="I1979" t="s">
        <v>62</v>
      </c>
      <c r="J1979">
        <v>3</v>
      </c>
      <c r="K1979" t="s">
        <v>103</v>
      </c>
      <c r="L1979" t="s">
        <v>118</v>
      </c>
      <c r="M1979">
        <f>orders[[#This Row],[Ship Date]]-orders[[#This Row],[Order Date]]</f>
        <v>8</v>
      </c>
      <c r="N1979">
        <f>WEEKNUM(orders[[#This Row],[Order Date]],1)</f>
        <v>11</v>
      </c>
      <c r="O1979" t="str">
        <f t="array" ref="O1979">_xlfn.IFS(orders[[#This Row],[Customer Gender]]="M","Male", orders[[#This Row],[Customer Gender]]="F","Female", orders[[#This Row],[Customer Gender]]="O","Other", TRUE(),"Unknown")</f>
        <v>Other</v>
      </c>
    </row>
    <row r="1980" spans="1:15" x14ac:dyDescent="0.25">
      <c r="A1980" t="s">
        <v>2208</v>
      </c>
      <c r="B1980" t="s">
        <v>90</v>
      </c>
      <c r="C1980">
        <v>3</v>
      </c>
      <c r="D1980">
        <v>33.5</v>
      </c>
      <c r="E1980">
        <v>100.5</v>
      </c>
      <c r="F1980" s="58">
        <v>45730</v>
      </c>
      <c r="G1980" s="58">
        <v>45742</v>
      </c>
      <c r="H1980" t="s">
        <v>229</v>
      </c>
      <c r="I1980" t="s">
        <v>59</v>
      </c>
      <c r="J1980">
        <v>5</v>
      </c>
      <c r="K1980" t="s">
        <v>103</v>
      </c>
      <c r="L1980" t="s">
        <v>120</v>
      </c>
      <c r="M1980">
        <f>orders[[#This Row],[Ship Date]]-orders[[#This Row],[Order Date]]</f>
        <v>12</v>
      </c>
      <c r="N1980">
        <f>WEEKNUM(orders[[#This Row],[Order Date]],1)</f>
        <v>11</v>
      </c>
      <c r="O1980" t="str">
        <f t="array" ref="O1980">_xlfn.IFS(orders[[#This Row],[Customer Gender]]="M","Male", orders[[#This Row],[Customer Gender]]="F","Female", orders[[#This Row],[Customer Gender]]="O","Other", TRUE(),"Unknown")</f>
        <v>Male</v>
      </c>
    </row>
    <row r="1981" spans="1:15" x14ac:dyDescent="0.25">
      <c r="A1981" t="s">
        <v>2209</v>
      </c>
      <c r="B1981" t="s">
        <v>78</v>
      </c>
      <c r="C1981">
        <v>10</v>
      </c>
      <c r="D1981">
        <v>36</v>
      </c>
      <c r="E1981">
        <v>360</v>
      </c>
      <c r="F1981" s="58">
        <v>45730</v>
      </c>
      <c r="G1981" s="58">
        <v>45730</v>
      </c>
      <c r="H1981" t="s">
        <v>229</v>
      </c>
      <c r="I1981" t="s">
        <v>60</v>
      </c>
      <c r="J1981">
        <v>5</v>
      </c>
      <c r="K1981" t="s">
        <v>103</v>
      </c>
      <c r="L1981" t="s">
        <v>124</v>
      </c>
      <c r="M1981">
        <f>orders[[#This Row],[Ship Date]]-orders[[#This Row],[Order Date]]</f>
        <v>0</v>
      </c>
      <c r="N1981">
        <f>WEEKNUM(orders[[#This Row],[Order Date]],1)</f>
        <v>11</v>
      </c>
      <c r="O1981" t="str">
        <f t="array" ref="O1981">_xlfn.IFS(orders[[#This Row],[Customer Gender]]="M","Male", orders[[#This Row],[Customer Gender]]="F","Female", orders[[#This Row],[Customer Gender]]="O","Other", TRUE(),"Unknown")</f>
        <v>Male</v>
      </c>
    </row>
    <row r="1982" spans="1:15" x14ac:dyDescent="0.25">
      <c r="A1982" t="s">
        <v>2210</v>
      </c>
      <c r="B1982" t="s">
        <v>89</v>
      </c>
      <c r="C1982">
        <v>3</v>
      </c>
      <c r="D1982">
        <v>57.3</v>
      </c>
      <c r="E1982">
        <v>171.9</v>
      </c>
      <c r="F1982" s="58">
        <v>45730</v>
      </c>
      <c r="G1982" s="58">
        <v>45734</v>
      </c>
      <c r="H1982" t="s">
        <v>231</v>
      </c>
      <c r="I1982" t="s">
        <v>59</v>
      </c>
      <c r="J1982">
        <v>5</v>
      </c>
      <c r="K1982" t="s">
        <v>103</v>
      </c>
      <c r="L1982" t="s">
        <v>124</v>
      </c>
      <c r="M1982">
        <f>orders[[#This Row],[Ship Date]]-orders[[#This Row],[Order Date]]</f>
        <v>4</v>
      </c>
      <c r="N1982">
        <f>WEEKNUM(orders[[#This Row],[Order Date]],1)</f>
        <v>11</v>
      </c>
      <c r="O1982" t="str">
        <f t="array" ref="O1982">_xlfn.IFS(orders[[#This Row],[Customer Gender]]="M","Male", orders[[#This Row],[Customer Gender]]="F","Female", orders[[#This Row],[Customer Gender]]="O","Other", TRUE(),"Unknown")</f>
        <v>Female</v>
      </c>
    </row>
    <row r="1983" spans="1:15" x14ac:dyDescent="0.25">
      <c r="A1983" t="s">
        <v>2211</v>
      </c>
      <c r="B1983" t="s">
        <v>91</v>
      </c>
      <c r="C1983">
        <v>1</v>
      </c>
      <c r="D1983">
        <v>81.400000000000006</v>
      </c>
      <c r="E1983">
        <v>81.400000000000006</v>
      </c>
      <c r="F1983" s="58">
        <v>45730</v>
      </c>
      <c r="G1983" s="58">
        <v>45731</v>
      </c>
      <c r="H1983" t="s">
        <v>231</v>
      </c>
      <c r="I1983" t="s">
        <v>62</v>
      </c>
      <c r="J1983">
        <v>5</v>
      </c>
      <c r="K1983" t="s">
        <v>103</v>
      </c>
      <c r="L1983" t="s">
        <v>124</v>
      </c>
      <c r="M1983">
        <f>orders[[#This Row],[Ship Date]]-orders[[#This Row],[Order Date]]</f>
        <v>1</v>
      </c>
      <c r="N1983">
        <f>WEEKNUM(orders[[#This Row],[Order Date]],1)</f>
        <v>11</v>
      </c>
      <c r="O1983" t="str">
        <f t="array" ref="O1983">_xlfn.IFS(orders[[#This Row],[Customer Gender]]="M","Male", orders[[#This Row],[Customer Gender]]="F","Female", orders[[#This Row],[Customer Gender]]="O","Other", TRUE(),"Unknown")</f>
        <v>Female</v>
      </c>
    </row>
    <row r="1984" spans="1:15" x14ac:dyDescent="0.25">
      <c r="A1984" t="s">
        <v>2212</v>
      </c>
      <c r="B1984" t="s">
        <v>75</v>
      </c>
      <c r="C1984">
        <v>2</v>
      </c>
      <c r="D1984">
        <v>35.299999999999997</v>
      </c>
      <c r="E1984">
        <v>70.599999999999994</v>
      </c>
      <c r="F1984" s="58">
        <v>45730</v>
      </c>
      <c r="G1984" s="58">
        <v>45734</v>
      </c>
      <c r="H1984" t="s">
        <v>229</v>
      </c>
      <c r="I1984" t="s">
        <v>59</v>
      </c>
      <c r="J1984">
        <v>5</v>
      </c>
      <c r="K1984" t="s">
        <v>103</v>
      </c>
      <c r="L1984" t="s">
        <v>124</v>
      </c>
      <c r="M1984">
        <f>orders[[#This Row],[Ship Date]]-orders[[#This Row],[Order Date]]</f>
        <v>4</v>
      </c>
      <c r="N1984">
        <f>WEEKNUM(orders[[#This Row],[Order Date]],1)</f>
        <v>11</v>
      </c>
      <c r="O1984" t="str">
        <f t="array" ref="O1984">_xlfn.IFS(orders[[#This Row],[Customer Gender]]="M","Male", orders[[#This Row],[Customer Gender]]="F","Female", orders[[#This Row],[Customer Gender]]="O","Other", TRUE(),"Unknown")</f>
        <v>Male</v>
      </c>
    </row>
    <row r="1985" spans="1:15" x14ac:dyDescent="0.25">
      <c r="A1985" t="s">
        <v>2213</v>
      </c>
      <c r="B1985" t="s">
        <v>93</v>
      </c>
      <c r="C1985">
        <v>1</v>
      </c>
      <c r="D1985">
        <v>36.1</v>
      </c>
      <c r="E1985">
        <v>36.1</v>
      </c>
      <c r="F1985" s="58">
        <v>45730</v>
      </c>
      <c r="G1985" s="58">
        <v>45731</v>
      </c>
      <c r="H1985" t="s">
        <v>231</v>
      </c>
      <c r="I1985" t="s">
        <v>61</v>
      </c>
      <c r="J1985">
        <v>4</v>
      </c>
      <c r="K1985" t="s">
        <v>103</v>
      </c>
      <c r="L1985" t="s">
        <v>124</v>
      </c>
      <c r="M1985">
        <f>orders[[#This Row],[Ship Date]]-orders[[#This Row],[Order Date]]</f>
        <v>1</v>
      </c>
      <c r="N1985">
        <f>WEEKNUM(orders[[#This Row],[Order Date]],1)</f>
        <v>11</v>
      </c>
      <c r="O1985" t="str">
        <f t="array" ref="O1985">_xlfn.IFS(orders[[#This Row],[Customer Gender]]="M","Male", orders[[#This Row],[Customer Gender]]="F","Female", orders[[#This Row],[Customer Gender]]="O","Other", TRUE(),"Unknown")</f>
        <v>Female</v>
      </c>
    </row>
    <row r="1986" spans="1:15" x14ac:dyDescent="0.25">
      <c r="A1986" t="s">
        <v>2214</v>
      </c>
      <c r="B1986" t="s">
        <v>91</v>
      </c>
      <c r="C1986">
        <v>2</v>
      </c>
      <c r="D1986">
        <v>36.700000000000003</v>
      </c>
      <c r="E1986">
        <v>73.400000000000006</v>
      </c>
      <c r="F1986" s="58">
        <v>45730</v>
      </c>
      <c r="G1986" s="58">
        <v>45732</v>
      </c>
      <c r="H1986" t="s">
        <v>231</v>
      </c>
      <c r="I1986" t="s">
        <v>59</v>
      </c>
      <c r="J1986">
        <v>5</v>
      </c>
      <c r="K1986" t="s">
        <v>103</v>
      </c>
      <c r="L1986" t="s">
        <v>124</v>
      </c>
      <c r="M1986">
        <f>orders[[#This Row],[Ship Date]]-orders[[#This Row],[Order Date]]</f>
        <v>2</v>
      </c>
      <c r="N1986">
        <f>WEEKNUM(orders[[#This Row],[Order Date]],1)</f>
        <v>11</v>
      </c>
      <c r="O1986" t="str">
        <f t="array" ref="O1986">_xlfn.IFS(orders[[#This Row],[Customer Gender]]="M","Male", orders[[#This Row],[Customer Gender]]="F","Female", orders[[#This Row],[Customer Gender]]="O","Other", TRUE(),"Unknown")</f>
        <v>Female</v>
      </c>
    </row>
    <row r="1987" spans="1:15" x14ac:dyDescent="0.25">
      <c r="A1987" t="s">
        <v>2215</v>
      </c>
      <c r="B1987" t="s">
        <v>75</v>
      </c>
      <c r="C1987">
        <v>1</v>
      </c>
      <c r="D1987">
        <v>20.9</v>
      </c>
      <c r="E1987">
        <v>20.9</v>
      </c>
      <c r="F1987" s="58">
        <v>45730</v>
      </c>
      <c r="G1987" s="58">
        <v>45732</v>
      </c>
      <c r="H1987" t="s">
        <v>231</v>
      </c>
      <c r="I1987" t="s">
        <v>59</v>
      </c>
      <c r="J1987">
        <v>2</v>
      </c>
      <c r="K1987" t="s">
        <v>103</v>
      </c>
      <c r="L1987" t="s">
        <v>124</v>
      </c>
      <c r="M1987">
        <f>orders[[#This Row],[Ship Date]]-orders[[#This Row],[Order Date]]</f>
        <v>2</v>
      </c>
      <c r="N1987">
        <f>WEEKNUM(orders[[#This Row],[Order Date]],1)</f>
        <v>11</v>
      </c>
      <c r="O1987" t="str">
        <f t="array" ref="O1987">_xlfn.IFS(orders[[#This Row],[Customer Gender]]="M","Male", orders[[#This Row],[Customer Gender]]="F","Female", orders[[#This Row],[Customer Gender]]="O","Other", TRUE(),"Unknown")</f>
        <v>Female</v>
      </c>
    </row>
    <row r="1988" spans="1:15" x14ac:dyDescent="0.25">
      <c r="A1988" t="s">
        <v>2216</v>
      </c>
      <c r="B1988" t="s">
        <v>76</v>
      </c>
      <c r="C1988">
        <v>3</v>
      </c>
      <c r="D1988">
        <v>58.8</v>
      </c>
      <c r="E1988">
        <v>176.4</v>
      </c>
      <c r="F1988" s="58">
        <v>45730</v>
      </c>
      <c r="G1988" s="58">
        <v>45734</v>
      </c>
      <c r="H1988" t="s">
        <v>229</v>
      </c>
      <c r="I1988" t="s">
        <v>59</v>
      </c>
      <c r="J1988">
        <v>5</v>
      </c>
      <c r="K1988" t="s">
        <v>103</v>
      </c>
      <c r="L1988" t="s">
        <v>135</v>
      </c>
      <c r="M1988">
        <f>orders[[#This Row],[Ship Date]]-orders[[#This Row],[Order Date]]</f>
        <v>4</v>
      </c>
      <c r="N1988">
        <f>WEEKNUM(orders[[#This Row],[Order Date]],1)</f>
        <v>11</v>
      </c>
      <c r="O1988" t="str">
        <f t="array" ref="O1988">_xlfn.IFS(orders[[#This Row],[Customer Gender]]="M","Male", orders[[#This Row],[Customer Gender]]="F","Female", orders[[#This Row],[Customer Gender]]="O","Other", TRUE(),"Unknown")</f>
        <v>Male</v>
      </c>
    </row>
    <row r="1989" spans="1:15" x14ac:dyDescent="0.25">
      <c r="A1989" t="s">
        <v>2217</v>
      </c>
      <c r="B1989" t="s">
        <v>87</v>
      </c>
      <c r="C1989">
        <v>3</v>
      </c>
      <c r="D1989">
        <v>97.6</v>
      </c>
      <c r="E1989">
        <v>292.8</v>
      </c>
      <c r="F1989" s="58">
        <v>45731</v>
      </c>
      <c r="G1989" s="58">
        <v>45733</v>
      </c>
      <c r="I1989" t="s">
        <v>59</v>
      </c>
      <c r="J1989">
        <v>4</v>
      </c>
      <c r="K1989" t="s">
        <v>103</v>
      </c>
      <c r="L1989" t="s">
        <v>139</v>
      </c>
      <c r="M1989">
        <f>orders[[#This Row],[Ship Date]]-orders[[#This Row],[Order Date]]</f>
        <v>2</v>
      </c>
      <c r="N1989">
        <f>WEEKNUM(orders[[#This Row],[Order Date]],1)</f>
        <v>11</v>
      </c>
      <c r="O1989" t="str">
        <f t="array" ref="O1989">_xlfn.IFS(orders[[#This Row],[Customer Gender]]="M","Male", orders[[#This Row],[Customer Gender]]="F","Female", orders[[#This Row],[Customer Gender]]="O","Other", TRUE(),"Unknown")</f>
        <v>Unknown</v>
      </c>
    </row>
    <row r="1990" spans="1:15" x14ac:dyDescent="0.25">
      <c r="A1990" t="s">
        <v>2218</v>
      </c>
      <c r="B1990" t="s">
        <v>91</v>
      </c>
      <c r="C1990">
        <v>2</v>
      </c>
      <c r="D1990">
        <v>58.7</v>
      </c>
      <c r="E1990">
        <v>117.4</v>
      </c>
      <c r="F1990" s="58">
        <v>45731</v>
      </c>
      <c r="G1990" s="58">
        <v>45734</v>
      </c>
      <c r="H1990" t="s">
        <v>231</v>
      </c>
      <c r="I1990" t="s">
        <v>59</v>
      </c>
      <c r="J1990">
        <v>3</v>
      </c>
      <c r="K1990" t="s">
        <v>103</v>
      </c>
      <c r="L1990" t="s">
        <v>139</v>
      </c>
      <c r="M1990">
        <f>orders[[#This Row],[Ship Date]]-orders[[#This Row],[Order Date]]</f>
        <v>3</v>
      </c>
      <c r="N1990">
        <f>WEEKNUM(orders[[#This Row],[Order Date]],1)</f>
        <v>11</v>
      </c>
      <c r="O1990" t="str">
        <f t="array" ref="O1990">_xlfn.IFS(orders[[#This Row],[Customer Gender]]="M","Male", orders[[#This Row],[Customer Gender]]="F","Female", orders[[#This Row],[Customer Gender]]="O","Other", TRUE(),"Unknown")</f>
        <v>Female</v>
      </c>
    </row>
    <row r="1991" spans="1:15" x14ac:dyDescent="0.25">
      <c r="A1991" t="s">
        <v>2219</v>
      </c>
      <c r="B1991" t="s">
        <v>80</v>
      </c>
      <c r="C1991">
        <v>5</v>
      </c>
      <c r="D1991">
        <v>71.900000000000006</v>
      </c>
      <c r="E1991">
        <v>359.5</v>
      </c>
      <c r="F1991" s="58">
        <v>45731</v>
      </c>
      <c r="G1991" s="58">
        <v>45732</v>
      </c>
      <c r="I1991" t="s">
        <v>59</v>
      </c>
      <c r="J1991">
        <v>3</v>
      </c>
      <c r="K1991" t="s">
        <v>103</v>
      </c>
      <c r="L1991" t="s">
        <v>139</v>
      </c>
      <c r="M1991">
        <f>orders[[#This Row],[Ship Date]]-orders[[#This Row],[Order Date]]</f>
        <v>1</v>
      </c>
      <c r="N1991">
        <f>WEEKNUM(orders[[#This Row],[Order Date]],1)</f>
        <v>11</v>
      </c>
      <c r="O1991" t="str">
        <f t="array" ref="O1991">_xlfn.IFS(orders[[#This Row],[Customer Gender]]="M","Male", orders[[#This Row],[Customer Gender]]="F","Female", orders[[#This Row],[Customer Gender]]="O","Other", TRUE(),"Unknown")</f>
        <v>Unknown</v>
      </c>
    </row>
    <row r="1992" spans="1:15" x14ac:dyDescent="0.25">
      <c r="A1992" t="s">
        <v>2220</v>
      </c>
      <c r="B1992" t="s">
        <v>91</v>
      </c>
      <c r="C1992">
        <v>2</v>
      </c>
      <c r="D1992">
        <v>62.4</v>
      </c>
      <c r="E1992">
        <v>124.8</v>
      </c>
      <c r="F1992" s="58">
        <v>45731</v>
      </c>
      <c r="G1992" s="58">
        <v>45733</v>
      </c>
      <c r="I1992" t="s">
        <v>59</v>
      </c>
      <c r="J1992">
        <v>3</v>
      </c>
      <c r="K1992" t="s">
        <v>103</v>
      </c>
      <c r="L1992" t="s">
        <v>142</v>
      </c>
      <c r="M1992">
        <f>orders[[#This Row],[Ship Date]]-orders[[#This Row],[Order Date]]</f>
        <v>2</v>
      </c>
      <c r="N1992">
        <f>WEEKNUM(orders[[#This Row],[Order Date]],1)</f>
        <v>11</v>
      </c>
      <c r="O1992" t="str">
        <f t="array" ref="O1992">_xlfn.IFS(orders[[#This Row],[Customer Gender]]="M","Male", orders[[#This Row],[Customer Gender]]="F","Female", orders[[#This Row],[Customer Gender]]="O","Other", TRUE(),"Unknown")</f>
        <v>Unknown</v>
      </c>
    </row>
    <row r="1993" spans="1:15" x14ac:dyDescent="0.25">
      <c r="A1993" t="s">
        <v>2221</v>
      </c>
      <c r="B1993" t="s">
        <v>80</v>
      </c>
      <c r="C1993">
        <v>16</v>
      </c>
      <c r="D1993">
        <v>53.8</v>
      </c>
      <c r="E1993">
        <v>860.8</v>
      </c>
      <c r="F1993" s="58">
        <v>45731</v>
      </c>
      <c r="G1993" s="58">
        <v>45732</v>
      </c>
      <c r="H1993" t="s">
        <v>231</v>
      </c>
      <c r="I1993" t="s">
        <v>63</v>
      </c>
      <c r="J1993">
        <v>4</v>
      </c>
      <c r="K1993" t="s">
        <v>103</v>
      </c>
      <c r="L1993" t="s">
        <v>142</v>
      </c>
      <c r="M1993">
        <f>orders[[#This Row],[Ship Date]]-orders[[#This Row],[Order Date]]</f>
        <v>1</v>
      </c>
      <c r="N1993">
        <f>WEEKNUM(orders[[#This Row],[Order Date]],1)</f>
        <v>11</v>
      </c>
      <c r="O1993" t="str">
        <f t="array" ref="O1993">_xlfn.IFS(orders[[#This Row],[Customer Gender]]="M","Male", orders[[#This Row],[Customer Gender]]="F","Female", orders[[#This Row],[Customer Gender]]="O","Other", TRUE(),"Unknown")</f>
        <v>Female</v>
      </c>
    </row>
    <row r="1994" spans="1:15" x14ac:dyDescent="0.25">
      <c r="A1994" t="s">
        <v>2222</v>
      </c>
      <c r="B1994" t="s">
        <v>88</v>
      </c>
      <c r="C1994">
        <v>1</v>
      </c>
      <c r="D1994">
        <v>43.8</v>
      </c>
      <c r="E1994">
        <v>43.8</v>
      </c>
      <c r="F1994" s="58">
        <v>45731</v>
      </c>
      <c r="G1994" s="58">
        <v>45738</v>
      </c>
      <c r="H1994" t="s">
        <v>231</v>
      </c>
      <c r="I1994" t="s">
        <v>59</v>
      </c>
      <c r="J1994">
        <v>5</v>
      </c>
      <c r="K1994" t="s">
        <v>103</v>
      </c>
      <c r="L1994" t="s">
        <v>142</v>
      </c>
      <c r="M1994">
        <f>orders[[#This Row],[Ship Date]]-orders[[#This Row],[Order Date]]</f>
        <v>7</v>
      </c>
      <c r="N1994">
        <f>WEEKNUM(orders[[#This Row],[Order Date]],1)</f>
        <v>11</v>
      </c>
      <c r="O1994" t="str">
        <f t="array" ref="O1994">_xlfn.IFS(orders[[#This Row],[Customer Gender]]="M","Male", orders[[#This Row],[Customer Gender]]="F","Female", orders[[#This Row],[Customer Gender]]="O","Other", TRUE(),"Unknown")</f>
        <v>Female</v>
      </c>
    </row>
    <row r="1995" spans="1:15" x14ac:dyDescent="0.25">
      <c r="A1995" t="s">
        <v>2223</v>
      </c>
      <c r="B1995" t="s">
        <v>85</v>
      </c>
      <c r="C1995">
        <v>3</v>
      </c>
      <c r="D1995">
        <v>53.6</v>
      </c>
      <c r="E1995">
        <v>160.80000000000001</v>
      </c>
      <c r="F1995" s="58">
        <v>45731</v>
      </c>
      <c r="G1995" s="58">
        <v>45732</v>
      </c>
      <c r="H1995" t="s">
        <v>229</v>
      </c>
      <c r="I1995" t="s">
        <v>60</v>
      </c>
      <c r="J1995">
        <v>4</v>
      </c>
      <c r="K1995" t="s">
        <v>103</v>
      </c>
      <c r="L1995" t="s">
        <v>142</v>
      </c>
      <c r="M1995">
        <f>orders[[#This Row],[Ship Date]]-orders[[#This Row],[Order Date]]</f>
        <v>1</v>
      </c>
      <c r="N1995">
        <f>WEEKNUM(orders[[#This Row],[Order Date]],1)</f>
        <v>11</v>
      </c>
      <c r="O1995" t="str">
        <f t="array" ref="O1995">_xlfn.IFS(orders[[#This Row],[Customer Gender]]="M","Male", orders[[#This Row],[Customer Gender]]="F","Female", orders[[#This Row],[Customer Gender]]="O","Other", TRUE(),"Unknown")</f>
        <v>Male</v>
      </c>
    </row>
    <row r="1996" spans="1:15" x14ac:dyDescent="0.25">
      <c r="A1996" t="s">
        <v>2224</v>
      </c>
      <c r="B1996" t="s">
        <v>76</v>
      </c>
      <c r="C1996">
        <v>2</v>
      </c>
      <c r="D1996">
        <v>84.3</v>
      </c>
      <c r="E1996">
        <v>168.6</v>
      </c>
      <c r="F1996" s="58">
        <v>45731</v>
      </c>
      <c r="G1996" s="58">
        <v>45734</v>
      </c>
      <c r="H1996" t="s">
        <v>229</v>
      </c>
      <c r="I1996" t="s">
        <v>61</v>
      </c>
      <c r="J1996">
        <v>3</v>
      </c>
      <c r="K1996" t="s">
        <v>103</v>
      </c>
      <c r="L1996" t="s">
        <v>142</v>
      </c>
      <c r="M1996">
        <f>orders[[#This Row],[Ship Date]]-orders[[#This Row],[Order Date]]</f>
        <v>3</v>
      </c>
      <c r="N1996">
        <f>WEEKNUM(orders[[#This Row],[Order Date]],1)</f>
        <v>11</v>
      </c>
      <c r="O1996" t="str">
        <f t="array" ref="O1996">_xlfn.IFS(orders[[#This Row],[Customer Gender]]="M","Male", orders[[#This Row],[Customer Gender]]="F","Female", orders[[#This Row],[Customer Gender]]="O","Other", TRUE(),"Unknown")</f>
        <v>Male</v>
      </c>
    </row>
    <row r="1997" spans="1:15" x14ac:dyDescent="0.25">
      <c r="A1997" t="s">
        <v>2225</v>
      </c>
      <c r="B1997" t="s">
        <v>80</v>
      </c>
      <c r="C1997">
        <v>9</v>
      </c>
      <c r="D1997">
        <v>117.9</v>
      </c>
      <c r="E1997">
        <v>1061.0999999999999</v>
      </c>
      <c r="F1997" s="58">
        <v>45731</v>
      </c>
      <c r="G1997" s="58">
        <v>45732</v>
      </c>
      <c r="H1997" t="s">
        <v>231</v>
      </c>
      <c r="I1997" t="s">
        <v>63</v>
      </c>
      <c r="J1997">
        <v>5</v>
      </c>
      <c r="K1997" t="s">
        <v>103</v>
      </c>
      <c r="L1997" t="s">
        <v>142</v>
      </c>
      <c r="M1997">
        <f>orders[[#This Row],[Ship Date]]-orders[[#This Row],[Order Date]]</f>
        <v>1</v>
      </c>
      <c r="N1997">
        <f>WEEKNUM(orders[[#This Row],[Order Date]],1)</f>
        <v>11</v>
      </c>
      <c r="O1997" t="str">
        <f t="array" ref="O1997">_xlfn.IFS(orders[[#This Row],[Customer Gender]]="M","Male", orders[[#This Row],[Customer Gender]]="F","Female", orders[[#This Row],[Customer Gender]]="O","Other", TRUE(),"Unknown")</f>
        <v>Female</v>
      </c>
    </row>
    <row r="1998" spans="1:15" x14ac:dyDescent="0.25">
      <c r="A1998" t="s">
        <v>2226</v>
      </c>
      <c r="B1998" t="s">
        <v>78</v>
      </c>
      <c r="C1998">
        <v>8</v>
      </c>
      <c r="D1998">
        <v>30</v>
      </c>
      <c r="E1998">
        <v>240</v>
      </c>
      <c r="F1998" s="58">
        <v>45731</v>
      </c>
      <c r="G1998" s="58">
        <v>45732</v>
      </c>
      <c r="H1998" t="s">
        <v>231</v>
      </c>
      <c r="I1998" t="s">
        <v>63</v>
      </c>
      <c r="J1998">
        <v>4</v>
      </c>
      <c r="K1998" t="s">
        <v>103</v>
      </c>
      <c r="L1998" t="s">
        <v>144</v>
      </c>
      <c r="M1998">
        <f>orders[[#This Row],[Ship Date]]-orders[[#This Row],[Order Date]]</f>
        <v>1</v>
      </c>
      <c r="N1998">
        <f>WEEKNUM(orders[[#This Row],[Order Date]],1)</f>
        <v>11</v>
      </c>
      <c r="O1998" t="str">
        <f t="array" ref="O1998">_xlfn.IFS(orders[[#This Row],[Customer Gender]]="M","Male", orders[[#This Row],[Customer Gender]]="F","Female", orders[[#This Row],[Customer Gender]]="O","Other", TRUE(),"Unknown")</f>
        <v>Female</v>
      </c>
    </row>
    <row r="1999" spans="1:15" x14ac:dyDescent="0.25">
      <c r="A1999" t="s">
        <v>2227</v>
      </c>
      <c r="B1999" t="s">
        <v>74</v>
      </c>
      <c r="C1999">
        <v>3</v>
      </c>
      <c r="D1999">
        <v>37.299999999999997</v>
      </c>
      <c r="E1999">
        <v>111.9</v>
      </c>
      <c r="F1999" s="58">
        <v>45731</v>
      </c>
      <c r="G1999" s="58">
        <v>45732</v>
      </c>
      <c r="H1999" t="s">
        <v>229</v>
      </c>
      <c r="I1999" t="s">
        <v>62</v>
      </c>
      <c r="J1999">
        <v>4</v>
      </c>
      <c r="K1999" t="s">
        <v>103</v>
      </c>
      <c r="L1999" t="s">
        <v>146</v>
      </c>
      <c r="M1999">
        <f>orders[[#This Row],[Ship Date]]-orders[[#This Row],[Order Date]]</f>
        <v>1</v>
      </c>
      <c r="N1999">
        <f>WEEKNUM(orders[[#This Row],[Order Date]],1)</f>
        <v>11</v>
      </c>
      <c r="O1999" t="str">
        <f t="array" ref="O1999">_xlfn.IFS(orders[[#This Row],[Customer Gender]]="M","Male", orders[[#This Row],[Customer Gender]]="F","Female", orders[[#This Row],[Customer Gender]]="O","Other", TRUE(),"Unknown")</f>
        <v>Male</v>
      </c>
    </row>
    <row r="2000" spans="1:15" x14ac:dyDescent="0.25">
      <c r="A2000" t="s">
        <v>2228</v>
      </c>
      <c r="B2000" t="s">
        <v>78</v>
      </c>
      <c r="C2000">
        <v>9</v>
      </c>
      <c r="D2000">
        <v>25.1</v>
      </c>
      <c r="E2000">
        <v>225.9</v>
      </c>
      <c r="F2000" s="58">
        <v>45731</v>
      </c>
      <c r="G2000" s="58">
        <v>45733</v>
      </c>
      <c r="H2000" t="s">
        <v>229</v>
      </c>
      <c r="I2000" t="s">
        <v>63</v>
      </c>
      <c r="J2000">
        <v>5</v>
      </c>
      <c r="K2000" t="s">
        <v>103</v>
      </c>
      <c r="L2000" t="s">
        <v>148</v>
      </c>
      <c r="M2000">
        <f>orders[[#This Row],[Ship Date]]-orders[[#This Row],[Order Date]]</f>
        <v>2</v>
      </c>
      <c r="N2000">
        <f>WEEKNUM(orders[[#This Row],[Order Date]],1)</f>
        <v>11</v>
      </c>
      <c r="O2000" t="str">
        <f t="array" ref="O2000">_xlfn.IFS(orders[[#This Row],[Customer Gender]]="M","Male", orders[[#This Row],[Customer Gender]]="F","Female", orders[[#This Row],[Customer Gender]]="O","Other", TRUE(),"Unknown")</f>
        <v>Male</v>
      </c>
    </row>
    <row r="2001" spans="1:15" x14ac:dyDescent="0.25">
      <c r="A2001" t="s">
        <v>2229</v>
      </c>
      <c r="B2001" t="s">
        <v>90</v>
      </c>
      <c r="C2001">
        <v>11</v>
      </c>
      <c r="D2001">
        <v>36</v>
      </c>
      <c r="E2001">
        <v>396</v>
      </c>
      <c r="F2001" s="58">
        <v>45731</v>
      </c>
      <c r="G2001" s="58">
        <v>45741</v>
      </c>
      <c r="H2001" t="s">
        <v>229</v>
      </c>
      <c r="I2001" t="s">
        <v>63</v>
      </c>
      <c r="J2001">
        <v>4</v>
      </c>
      <c r="K2001" t="s">
        <v>103</v>
      </c>
      <c r="L2001" t="s">
        <v>154</v>
      </c>
      <c r="M2001">
        <f>orders[[#This Row],[Ship Date]]-orders[[#This Row],[Order Date]]</f>
        <v>10</v>
      </c>
      <c r="N2001">
        <f>WEEKNUM(orders[[#This Row],[Order Date]],1)</f>
        <v>11</v>
      </c>
      <c r="O2001" t="str">
        <f t="array" ref="O2001">_xlfn.IFS(orders[[#This Row],[Customer Gender]]="M","Male", orders[[#This Row],[Customer Gender]]="F","Female", orders[[#This Row],[Customer Gender]]="O","Other", TRUE(),"Unknown")</f>
        <v>Male</v>
      </c>
    </row>
    <row r="2002" spans="1:15" x14ac:dyDescent="0.25">
      <c r="A2002" t="s">
        <v>2230</v>
      </c>
      <c r="B2002" t="s">
        <v>89</v>
      </c>
      <c r="C2002">
        <v>3</v>
      </c>
      <c r="D2002">
        <v>48.5</v>
      </c>
      <c r="E2002">
        <v>145.5</v>
      </c>
      <c r="F2002" s="58">
        <v>45731</v>
      </c>
      <c r="G2002" s="58">
        <v>45735</v>
      </c>
      <c r="H2002" t="s">
        <v>231</v>
      </c>
      <c r="I2002" t="s">
        <v>63</v>
      </c>
      <c r="J2002">
        <v>4</v>
      </c>
      <c r="K2002" t="s">
        <v>103</v>
      </c>
      <c r="L2002" t="s">
        <v>155</v>
      </c>
      <c r="M2002">
        <f>orders[[#This Row],[Ship Date]]-orders[[#This Row],[Order Date]]</f>
        <v>4</v>
      </c>
      <c r="N2002">
        <f>WEEKNUM(orders[[#This Row],[Order Date]],1)</f>
        <v>11</v>
      </c>
      <c r="O2002" t="str">
        <f t="array" ref="O2002">_xlfn.IFS(orders[[#This Row],[Customer Gender]]="M","Male", orders[[#This Row],[Customer Gender]]="F","Female", orders[[#This Row],[Customer Gender]]="O","Other", TRUE(),"Unknown")</f>
        <v>Female</v>
      </c>
    </row>
    <row r="2003" spans="1:15" x14ac:dyDescent="0.25">
      <c r="A2003" t="s">
        <v>2231</v>
      </c>
      <c r="B2003" t="s">
        <v>84</v>
      </c>
      <c r="C2003">
        <v>6</v>
      </c>
      <c r="D2003">
        <v>21.1</v>
      </c>
      <c r="E2003">
        <v>126.6</v>
      </c>
      <c r="F2003" s="58">
        <v>45731</v>
      </c>
      <c r="G2003" s="58">
        <v>45732</v>
      </c>
      <c r="H2003" t="s">
        <v>229</v>
      </c>
      <c r="I2003" t="s">
        <v>63</v>
      </c>
      <c r="J2003">
        <v>5</v>
      </c>
      <c r="K2003" t="s">
        <v>103</v>
      </c>
      <c r="L2003" t="s">
        <v>106</v>
      </c>
      <c r="M2003">
        <f>orders[[#This Row],[Ship Date]]-orders[[#This Row],[Order Date]]</f>
        <v>1</v>
      </c>
      <c r="N2003">
        <f>WEEKNUM(orders[[#This Row],[Order Date]],1)</f>
        <v>11</v>
      </c>
      <c r="O2003" t="str">
        <f t="array" ref="O2003">_xlfn.IFS(orders[[#This Row],[Customer Gender]]="M","Male", orders[[#This Row],[Customer Gender]]="F","Female", orders[[#This Row],[Customer Gender]]="O","Other", TRUE(),"Unknown")</f>
        <v>Male</v>
      </c>
    </row>
    <row r="2004" spans="1:15" x14ac:dyDescent="0.25">
      <c r="A2004" t="s">
        <v>2232</v>
      </c>
      <c r="B2004" t="s">
        <v>77</v>
      </c>
      <c r="C2004">
        <v>14</v>
      </c>
      <c r="D2004">
        <v>43.2</v>
      </c>
      <c r="E2004">
        <v>604.79999999999995</v>
      </c>
      <c r="F2004" s="58">
        <v>45731</v>
      </c>
      <c r="G2004" s="58">
        <v>45732</v>
      </c>
      <c r="H2004" t="s">
        <v>263</v>
      </c>
      <c r="I2004" t="s">
        <v>59</v>
      </c>
      <c r="J2004">
        <v>3</v>
      </c>
      <c r="K2004" t="s">
        <v>103</v>
      </c>
      <c r="L2004" t="s">
        <v>106</v>
      </c>
      <c r="M2004">
        <f>orders[[#This Row],[Ship Date]]-orders[[#This Row],[Order Date]]</f>
        <v>1</v>
      </c>
      <c r="N2004">
        <f>WEEKNUM(orders[[#This Row],[Order Date]],1)</f>
        <v>11</v>
      </c>
      <c r="O2004" t="str">
        <f t="array" ref="O2004">_xlfn.IFS(orders[[#This Row],[Customer Gender]]="M","Male", orders[[#This Row],[Customer Gender]]="F","Female", orders[[#This Row],[Customer Gender]]="O","Other", TRUE(),"Unknown")</f>
        <v>Other</v>
      </c>
    </row>
    <row r="2005" spans="1:15" x14ac:dyDescent="0.25">
      <c r="A2005" t="s">
        <v>2233</v>
      </c>
      <c r="B2005" t="s">
        <v>88</v>
      </c>
      <c r="C2005">
        <v>2</v>
      </c>
      <c r="D2005">
        <v>21.1</v>
      </c>
      <c r="E2005">
        <v>42.2</v>
      </c>
      <c r="F2005" s="58">
        <v>45731</v>
      </c>
      <c r="G2005" s="58">
        <v>45732</v>
      </c>
      <c r="I2005" t="s">
        <v>60</v>
      </c>
      <c r="J2005">
        <v>3</v>
      </c>
      <c r="K2005" t="s">
        <v>103</v>
      </c>
      <c r="L2005" t="s">
        <v>106</v>
      </c>
      <c r="M2005">
        <f>orders[[#This Row],[Ship Date]]-orders[[#This Row],[Order Date]]</f>
        <v>1</v>
      </c>
      <c r="N2005">
        <f>WEEKNUM(orders[[#This Row],[Order Date]],1)</f>
        <v>11</v>
      </c>
      <c r="O2005" t="str">
        <f t="array" ref="O2005">_xlfn.IFS(orders[[#This Row],[Customer Gender]]="M","Male", orders[[#This Row],[Customer Gender]]="F","Female", orders[[#This Row],[Customer Gender]]="O","Other", TRUE(),"Unknown")</f>
        <v>Unknown</v>
      </c>
    </row>
    <row r="2006" spans="1:15" x14ac:dyDescent="0.25">
      <c r="A2006" t="s">
        <v>2234</v>
      </c>
      <c r="B2006" t="s">
        <v>80</v>
      </c>
      <c r="C2006">
        <v>4</v>
      </c>
      <c r="D2006">
        <v>41.3</v>
      </c>
      <c r="E2006">
        <v>165.2</v>
      </c>
      <c r="F2006" s="58">
        <v>45731</v>
      </c>
      <c r="G2006" s="58">
        <v>45733</v>
      </c>
      <c r="H2006" t="s">
        <v>231</v>
      </c>
      <c r="I2006" t="s">
        <v>60</v>
      </c>
      <c r="J2006">
        <v>5</v>
      </c>
      <c r="K2006" t="s">
        <v>103</v>
      </c>
      <c r="L2006" t="s">
        <v>112</v>
      </c>
      <c r="M2006">
        <f>orders[[#This Row],[Ship Date]]-orders[[#This Row],[Order Date]]</f>
        <v>2</v>
      </c>
      <c r="N2006">
        <f>WEEKNUM(orders[[#This Row],[Order Date]],1)</f>
        <v>11</v>
      </c>
      <c r="O2006" t="str">
        <f t="array" ref="O2006">_xlfn.IFS(orders[[#This Row],[Customer Gender]]="M","Male", orders[[#This Row],[Customer Gender]]="F","Female", orders[[#This Row],[Customer Gender]]="O","Other", TRUE(),"Unknown")</f>
        <v>Female</v>
      </c>
    </row>
    <row r="2007" spans="1:15" x14ac:dyDescent="0.25">
      <c r="A2007" t="s">
        <v>2235</v>
      </c>
      <c r="B2007" t="s">
        <v>90</v>
      </c>
      <c r="C2007">
        <v>2</v>
      </c>
      <c r="D2007">
        <v>15.3</v>
      </c>
      <c r="E2007">
        <v>30.6</v>
      </c>
      <c r="F2007" s="58">
        <v>45731</v>
      </c>
      <c r="G2007" s="58">
        <v>45734</v>
      </c>
      <c r="I2007" t="s">
        <v>62</v>
      </c>
      <c r="J2007">
        <v>5</v>
      </c>
      <c r="K2007" t="s">
        <v>103</v>
      </c>
      <c r="L2007" t="s">
        <v>112</v>
      </c>
      <c r="M2007">
        <f>orders[[#This Row],[Ship Date]]-orders[[#This Row],[Order Date]]</f>
        <v>3</v>
      </c>
      <c r="N2007">
        <f>WEEKNUM(orders[[#This Row],[Order Date]],1)</f>
        <v>11</v>
      </c>
      <c r="O2007" t="str">
        <f t="array" ref="O2007">_xlfn.IFS(orders[[#This Row],[Customer Gender]]="M","Male", orders[[#This Row],[Customer Gender]]="F","Female", orders[[#This Row],[Customer Gender]]="O","Other", TRUE(),"Unknown")</f>
        <v>Unknown</v>
      </c>
    </row>
    <row r="2008" spans="1:15" x14ac:dyDescent="0.25">
      <c r="A2008" t="s">
        <v>2236</v>
      </c>
      <c r="B2008" t="s">
        <v>91</v>
      </c>
      <c r="C2008">
        <v>1</v>
      </c>
      <c r="D2008">
        <v>54.6</v>
      </c>
      <c r="E2008">
        <v>54.6</v>
      </c>
      <c r="F2008" s="58">
        <v>45731</v>
      </c>
      <c r="G2008" s="58">
        <v>45733</v>
      </c>
      <c r="H2008" t="s">
        <v>229</v>
      </c>
      <c r="I2008" t="s">
        <v>63</v>
      </c>
      <c r="J2008">
        <v>3</v>
      </c>
      <c r="K2008" t="s">
        <v>103</v>
      </c>
      <c r="L2008" t="s">
        <v>115</v>
      </c>
      <c r="M2008">
        <f>orders[[#This Row],[Ship Date]]-orders[[#This Row],[Order Date]]</f>
        <v>2</v>
      </c>
      <c r="N2008">
        <f>WEEKNUM(orders[[#This Row],[Order Date]],1)</f>
        <v>11</v>
      </c>
      <c r="O2008" t="str">
        <f t="array" ref="O2008">_xlfn.IFS(orders[[#This Row],[Customer Gender]]="M","Male", orders[[#This Row],[Customer Gender]]="F","Female", orders[[#This Row],[Customer Gender]]="O","Other", TRUE(),"Unknown")</f>
        <v>Male</v>
      </c>
    </row>
    <row r="2009" spans="1:15" x14ac:dyDescent="0.25">
      <c r="A2009" t="s">
        <v>2237</v>
      </c>
      <c r="B2009" t="s">
        <v>90</v>
      </c>
      <c r="C2009">
        <v>1</v>
      </c>
      <c r="D2009">
        <v>15.9</v>
      </c>
      <c r="E2009">
        <v>15.9</v>
      </c>
      <c r="F2009" s="58">
        <v>45731</v>
      </c>
      <c r="G2009" s="58">
        <v>45732</v>
      </c>
      <c r="H2009" t="s">
        <v>229</v>
      </c>
      <c r="I2009" t="s">
        <v>59</v>
      </c>
      <c r="J2009">
        <v>3</v>
      </c>
      <c r="K2009" t="s">
        <v>103</v>
      </c>
      <c r="L2009" t="s">
        <v>120</v>
      </c>
      <c r="M2009">
        <f>orders[[#This Row],[Ship Date]]-orders[[#This Row],[Order Date]]</f>
        <v>1</v>
      </c>
      <c r="N2009">
        <f>WEEKNUM(orders[[#This Row],[Order Date]],1)</f>
        <v>11</v>
      </c>
      <c r="O2009" t="str">
        <f t="array" ref="O2009">_xlfn.IFS(orders[[#This Row],[Customer Gender]]="M","Male", orders[[#This Row],[Customer Gender]]="F","Female", orders[[#This Row],[Customer Gender]]="O","Other", TRUE(),"Unknown")</f>
        <v>Male</v>
      </c>
    </row>
    <row r="2010" spans="1:15" x14ac:dyDescent="0.25">
      <c r="A2010" t="s">
        <v>2238</v>
      </c>
      <c r="B2010" t="s">
        <v>88</v>
      </c>
      <c r="C2010">
        <v>1</v>
      </c>
      <c r="D2010">
        <v>50.2</v>
      </c>
      <c r="E2010">
        <v>50.2</v>
      </c>
      <c r="F2010" s="58">
        <v>45731</v>
      </c>
      <c r="G2010" s="58">
        <v>45733</v>
      </c>
      <c r="H2010" t="s">
        <v>231</v>
      </c>
      <c r="I2010" t="s">
        <v>60</v>
      </c>
      <c r="J2010">
        <v>5</v>
      </c>
      <c r="K2010" t="s">
        <v>103</v>
      </c>
      <c r="L2010" t="s">
        <v>121</v>
      </c>
      <c r="M2010">
        <f>orders[[#This Row],[Ship Date]]-orders[[#This Row],[Order Date]]</f>
        <v>2</v>
      </c>
      <c r="N2010">
        <f>WEEKNUM(orders[[#This Row],[Order Date]],1)</f>
        <v>11</v>
      </c>
      <c r="O2010" t="str">
        <f t="array" ref="O2010">_xlfn.IFS(orders[[#This Row],[Customer Gender]]="M","Male", orders[[#This Row],[Customer Gender]]="F","Female", orders[[#This Row],[Customer Gender]]="O","Other", TRUE(),"Unknown")</f>
        <v>Female</v>
      </c>
    </row>
    <row r="2011" spans="1:15" x14ac:dyDescent="0.25">
      <c r="A2011" t="s">
        <v>2239</v>
      </c>
      <c r="B2011" t="s">
        <v>83</v>
      </c>
      <c r="C2011">
        <v>4</v>
      </c>
      <c r="D2011">
        <v>85.1</v>
      </c>
      <c r="E2011">
        <v>340.4</v>
      </c>
      <c r="F2011" s="58">
        <v>45731</v>
      </c>
      <c r="G2011" s="58">
        <v>45732</v>
      </c>
      <c r="H2011" t="s">
        <v>231</v>
      </c>
      <c r="I2011" t="s">
        <v>60</v>
      </c>
      <c r="J2011">
        <v>2</v>
      </c>
      <c r="K2011" t="s">
        <v>103</v>
      </c>
      <c r="L2011" t="s">
        <v>121</v>
      </c>
      <c r="M2011">
        <f>orders[[#This Row],[Ship Date]]-orders[[#This Row],[Order Date]]</f>
        <v>1</v>
      </c>
      <c r="N2011">
        <f>WEEKNUM(orders[[#This Row],[Order Date]],1)</f>
        <v>11</v>
      </c>
      <c r="O2011" t="str">
        <f t="array" ref="O2011">_xlfn.IFS(orders[[#This Row],[Customer Gender]]="M","Male", orders[[#This Row],[Customer Gender]]="F","Female", orders[[#This Row],[Customer Gender]]="O","Other", TRUE(),"Unknown")</f>
        <v>Female</v>
      </c>
    </row>
    <row r="2012" spans="1:15" x14ac:dyDescent="0.25">
      <c r="A2012" t="s">
        <v>2240</v>
      </c>
      <c r="B2012" t="s">
        <v>83</v>
      </c>
      <c r="C2012">
        <v>2</v>
      </c>
      <c r="D2012">
        <v>41.4</v>
      </c>
      <c r="E2012">
        <v>82.8</v>
      </c>
      <c r="F2012" s="58">
        <v>45731</v>
      </c>
      <c r="G2012" s="58">
        <v>45732</v>
      </c>
      <c r="H2012" t="s">
        <v>231</v>
      </c>
      <c r="I2012" t="s">
        <v>59</v>
      </c>
      <c r="J2012">
        <v>5</v>
      </c>
      <c r="K2012" t="s">
        <v>103</v>
      </c>
      <c r="L2012" t="s">
        <v>124</v>
      </c>
      <c r="M2012">
        <f>orders[[#This Row],[Ship Date]]-orders[[#This Row],[Order Date]]</f>
        <v>1</v>
      </c>
      <c r="N2012">
        <f>WEEKNUM(orders[[#This Row],[Order Date]],1)</f>
        <v>11</v>
      </c>
      <c r="O2012" t="str">
        <f t="array" ref="O2012">_xlfn.IFS(orders[[#This Row],[Customer Gender]]="M","Male", orders[[#This Row],[Customer Gender]]="F","Female", orders[[#This Row],[Customer Gender]]="O","Other", TRUE(),"Unknown")</f>
        <v>Female</v>
      </c>
    </row>
    <row r="2013" spans="1:15" x14ac:dyDescent="0.25">
      <c r="A2013" t="s">
        <v>2241</v>
      </c>
      <c r="B2013" t="s">
        <v>78</v>
      </c>
      <c r="C2013">
        <v>7</v>
      </c>
      <c r="D2013">
        <v>32.700000000000003</v>
      </c>
      <c r="E2013">
        <v>228.9</v>
      </c>
      <c r="F2013" s="58">
        <v>45731</v>
      </c>
      <c r="G2013" s="58">
        <v>45732</v>
      </c>
      <c r="H2013" t="s">
        <v>231</v>
      </c>
      <c r="I2013" t="s">
        <v>62</v>
      </c>
      <c r="J2013">
        <v>3</v>
      </c>
      <c r="K2013" t="s">
        <v>103</v>
      </c>
      <c r="L2013" t="s">
        <v>124</v>
      </c>
      <c r="M2013">
        <f>orders[[#This Row],[Ship Date]]-orders[[#This Row],[Order Date]]</f>
        <v>1</v>
      </c>
      <c r="N2013">
        <f>WEEKNUM(orders[[#This Row],[Order Date]],1)</f>
        <v>11</v>
      </c>
      <c r="O2013" t="str">
        <f t="array" ref="O2013">_xlfn.IFS(orders[[#This Row],[Customer Gender]]="M","Male", orders[[#This Row],[Customer Gender]]="F","Female", orders[[#This Row],[Customer Gender]]="O","Other", TRUE(),"Unknown")</f>
        <v>Female</v>
      </c>
    </row>
    <row r="2014" spans="1:15" x14ac:dyDescent="0.25">
      <c r="A2014" t="s">
        <v>2242</v>
      </c>
      <c r="B2014" t="s">
        <v>78</v>
      </c>
      <c r="C2014">
        <v>2</v>
      </c>
      <c r="D2014">
        <v>41.6</v>
      </c>
      <c r="E2014">
        <v>83.2</v>
      </c>
      <c r="F2014" s="58">
        <v>45731</v>
      </c>
      <c r="G2014" s="58">
        <v>45733</v>
      </c>
      <c r="H2014" t="s">
        <v>229</v>
      </c>
      <c r="I2014" t="s">
        <v>61</v>
      </c>
      <c r="J2014">
        <v>3</v>
      </c>
      <c r="K2014" t="s">
        <v>103</v>
      </c>
      <c r="L2014" t="s">
        <v>124</v>
      </c>
      <c r="M2014">
        <f>orders[[#This Row],[Ship Date]]-orders[[#This Row],[Order Date]]</f>
        <v>2</v>
      </c>
      <c r="N2014">
        <f>WEEKNUM(orders[[#This Row],[Order Date]],1)</f>
        <v>11</v>
      </c>
      <c r="O2014" t="str">
        <f t="array" ref="O2014">_xlfn.IFS(orders[[#This Row],[Customer Gender]]="M","Male", orders[[#This Row],[Customer Gender]]="F","Female", orders[[#This Row],[Customer Gender]]="O","Other", TRUE(),"Unknown")</f>
        <v>Male</v>
      </c>
    </row>
    <row r="2015" spans="1:15" x14ac:dyDescent="0.25">
      <c r="A2015" t="s">
        <v>2243</v>
      </c>
      <c r="B2015" t="s">
        <v>85</v>
      </c>
      <c r="C2015">
        <v>4</v>
      </c>
      <c r="D2015">
        <v>64.8</v>
      </c>
      <c r="E2015">
        <v>259.2</v>
      </c>
      <c r="F2015" s="58">
        <v>45731</v>
      </c>
      <c r="G2015" s="58">
        <v>45732</v>
      </c>
      <c r="I2015" t="s">
        <v>62</v>
      </c>
      <c r="J2015">
        <v>4</v>
      </c>
      <c r="K2015" t="s">
        <v>103</v>
      </c>
      <c r="L2015" t="s">
        <v>124</v>
      </c>
      <c r="M2015">
        <f>orders[[#This Row],[Ship Date]]-orders[[#This Row],[Order Date]]</f>
        <v>1</v>
      </c>
      <c r="N2015">
        <f>WEEKNUM(orders[[#This Row],[Order Date]],1)</f>
        <v>11</v>
      </c>
      <c r="O2015" t="str">
        <f t="array" ref="O2015">_xlfn.IFS(orders[[#This Row],[Customer Gender]]="M","Male", orders[[#This Row],[Customer Gender]]="F","Female", orders[[#This Row],[Customer Gender]]="O","Other", TRUE(),"Unknown")</f>
        <v>Unknown</v>
      </c>
    </row>
    <row r="2016" spans="1:15" x14ac:dyDescent="0.25">
      <c r="A2016" t="s">
        <v>2244</v>
      </c>
      <c r="B2016" t="s">
        <v>77</v>
      </c>
      <c r="C2016">
        <v>2</v>
      </c>
      <c r="D2016">
        <v>33.6</v>
      </c>
      <c r="E2016">
        <v>67.2</v>
      </c>
      <c r="F2016" s="58">
        <v>45731</v>
      </c>
      <c r="G2016" s="58">
        <v>45732</v>
      </c>
      <c r="H2016" t="s">
        <v>229</v>
      </c>
      <c r="I2016" t="s">
        <v>59</v>
      </c>
      <c r="J2016">
        <v>5</v>
      </c>
      <c r="K2016" t="s">
        <v>103</v>
      </c>
      <c r="L2016" t="s">
        <v>124</v>
      </c>
      <c r="M2016">
        <f>orders[[#This Row],[Ship Date]]-orders[[#This Row],[Order Date]]</f>
        <v>1</v>
      </c>
      <c r="N2016">
        <f>WEEKNUM(orders[[#This Row],[Order Date]],1)</f>
        <v>11</v>
      </c>
      <c r="O2016" t="str">
        <f t="array" ref="O2016">_xlfn.IFS(orders[[#This Row],[Customer Gender]]="M","Male", orders[[#This Row],[Customer Gender]]="F","Female", orders[[#This Row],[Customer Gender]]="O","Other", TRUE(),"Unknown")</f>
        <v>Male</v>
      </c>
    </row>
    <row r="2017" spans="1:15" x14ac:dyDescent="0.25">
      <c r="A2017" t="s">
        <v>2245</v>
      </c>
      <c r="B2017" t="s">
        <v>80</v>
      </c>
      <c r="C2017">
        <v>3</v>
      </c>
      <c r="D2017">
        <v>100.7</v>
      </c>
      <c r="E2017">
        <v>302.10000000000002</v>
      </c>
      <c r="F2017" s="58">
        <v>45731</v>
      </c>
      <c r="G2017" s="58">
        <v>45732</v>
      </c>
      <c r="I2017" t="s">
        <v>63</v>
      </c>
      <c r="J2017">
        <v>4</v>
      </c>
      <c r="K2017" t="s">
        <v>103</v>
      </c>
      <c r="L2017" t="s">
        <v>124</v>
      </c>
      <c r="M2017">
        <f>orders[[#This Row],[Ship Date]]-orders[[#This Row],[Order Date]]</f>
        <v>1</v>
      </c>
      <c r="N2017">
        <f>WEEKNUM(orders[[#This Row],[Order Date]],1)</f>
        <v>11</v>
      </c>
      <c r="O2017" t="str">
        <f t="array" ref="O2017">_xlfn.IFS(orders[[#This Row],[Customer Gender]]="M","Male", orders[[#This Row],[Customer Gender]]="F","Female", orders[[#This Row],[Customer Gender]]="O","Other", TRUE(),"Unknown")</f>
        <v>Unknown</v>
      </c>
    </row>
    <row r="2018" spans="1:15" x14ac:dyDescent="0.25">
      <c r="A2018" t="s">
        <v>2246</v>
      </c>
      <c r="B2018" t="s">
        <v>78</v>
      </c>
      <c r="C2018">
        <v>2</v>
      </c>
      <c r="D2018">
        <v>49.3</v>
      </c>
      <c r="E2018">
        <v>98.6</v>
      </c>
      <c r="F2018" s="58">
        <v>45732</v>
      </c>
      <c r="G2018" s="58">
        <v>45734</v>
      </c>
      <c r="H2018" t="s">
        <v>231</v>
      </c>
      <c r="I2018" t="s">
        <v>61</v>
      </c>
      <c r="J2018">
        <v>5</v>
      </c>
      <c r="K2018" t="s">
        <v>103</v>
      </c>
      <c r="L2018" t="s">
        <v>124</v>
      </c>
      <c r="M2018">
        <f>orders[[#This Row],[Ship Date]]-orders[[#This Row],[Order Date]]</f>
        <v>2</v>
      </c>
      <c r="N2018">
        <f>WEEKNUM(orders[[#This Row],[Order Date]],1)</f>
        <v>12</v>
      </c>
      <c r="O2018" t="str">
        <f t="array" ref="O2018">_xlfn.IFS(orders[[#This Row],[Customer Gender]]="M","Male", orders[[#This Row],[Customer Gender]]="F","Female", orders[[#This Row],[Customer Gender]]="O","Other", TRUE(),"Unknown")</f>
        <v>Female</v>
      </c>
    </row>
    <row r="2019" spans="1:15" x14ac:dyDescent="0.25">
      <c r="A2019" t="s">
        <v>2247</v>
      </c>
      <c r="B2019" t="s">
        <v>87</v>
      </c>
      <c r="C2019">
        <v>6</v>
      </c>
      <c r="D2019">
        <v>97</v>
      </c>
      <c r="E2019">
        <v>582</v>
      </c>
      <c r="F2019" s="58">
        <v>45732</v>
      </c>
      <c r="G2019" s="58">
        <v>45735</v>
      </c>
      <c r="H2019" t="s">
        <v>229</v>
      </c>
      <c r="I2019" t="s">
        <v>62</v>
      </c>
      <c r="J2019">
        <v>5</v>
      </c>
      <c r="K2019" t="s">
        <v>103</v>
      </c>
      <c r="L2019" t="s">
        <v>124</v>
      </c>
      <c r="M2019">
        <f>orders[[#This Row],[Ship Date]]-orders[[#This Row],[Order Date]]</f>
        <v>3</v>
      </c>
      <c r="N2019">
        <f>WEEKNUM(orders[[#This Row],[Order Date]],1)</f>
        <v>12</v>
      </c>
      <c r="O2019" t="str">
        <f t="array" ref="O2019">_xlfn.IFS(orders[[#This Row],[Customer Gender]]="M","Male", orders[[#This Row],[Customer Gender]]="F","Female", orders[[#This Row],[Customer Gender]]="O","Other", TRUE(),"Unknown")</f>
        <v>Male</v>
      </c>
    </row>
    <row r="2020" spans="1:15" x14ac:dyDescent="0.25">
      <c r="A2020" t="s">
        <v>2248</v>
      </c>
      <c r="B2020" t="s">
        <v>86</v>
      </c>
      <c r="C2020">
        <v>6</v>
      </c>
      <c r="D2020">
        <v>25.2</v>
      </c>
      <c r="E2020">
        <v>151.19999999999999</v>
      </c>
      <c r="F2020" s="58">
        <v>45732</v>
      </c>
      <c r="G2020" s="58">
        <v>45735</v>
      </c>
      <c r="H2020" t="s">
        <v>231</v>
      </c>
      <c r="I2020" t="s">
        <v>61</v>
      </c>
      <c r="J2020">
        <v>5</v>
      </c>
      <c r="K2020" t="s">
        <v>103</v>
      </c>
      <c r="L2020" t="s">
        <v>124</v>
      </c>
      <c r="M2020">
        <f>orders[[#This Row],[Ship Date]]-orders[[#This Row],[Order Date]]</f>
        <v>3</v>
      </c>
      <c r="N2020">
        <f>WEEKNUM(orders[[#This Row],[Order Date]],1)</f>
        <v>12</v>
      </c>
      <c r="O2020" t="str">
        <f t="array" ref="O2020">_xlfn.IFS(orders[[#This Row],[Customer Gender]]="M","Male", orders[[#This Row],[Customer Gender]]="F","Female", orders[[#This Row],[Customer Gender]]="O","Other", TRUE(),"Unknown")</f>
        <v>Female</v>
      </c>
    </row>
    <row r="2021" spans="1:15" x14ac:dyDescent="0.25">
      <c r="A2021" t="s">
        <v>2249</v>
      </c>
      <c r="B2021" t="s">
        <v>86</v>
      </c>
      <c r="C2021">
        <v>11</v>
      </c>
      <c r="D2021">
        <v>12.2</v>
      </c>
      <c r="E2021">
        <v>134.19999999999999</v>
      </c>
      <c r="F2021" s="58">
        <v>45732</v>
      </c>
      <c r="G2021" s="58">
        <v>45733</v>
      </c>
      <c r="I2021" t="s">
        <v>59</v>
      </c>
      <c r="J2021">
        <v>3</v>
      </c>
      <c r="K2021" t="s">
        <v>103</v>
      </c>
      <c r="L2021" t="s">
        <v>124</v>
      </c>
      <c r="M2021">
        <f>orders[[#This Row],[Ship Date]]-orders[[#This Row],[Order Date]]</f>
        <v>1</v>
      </c>
      <c r="N2021">
        <f>WEEKNUM(orders[[#This Row],[Order Date]],1)</f>
        <v>12</v>
      </c>
      <c r="O2021" t="str">
        <f t="array" ref="O2021">_xlfn.IFS(orders[[#This Row],[Customer Gender]]="M","Male", orders[[#This Row],[Customer Gender]]="F","Female", orders[[#This Row],[Customer Gender]]="O","Other", TRUE(),"Unknown")</f>
        <v>Unknown</v>
      </c>
    </row>
    <row r="2022" spans="1:15" x14ac:dyDescent="0.25">
      <c r="A2022" t="s">
        <v>2250</v>
      </c>
      <c r="B2022" t="s">
        <v>90</v>
      </c>
      <c r="C2022">
        <v>7</v>
      </c>
      <c r="D2022">
        <v>38.799999999999997</v>
      </c>
      <c r="E2022">
        <v>271.60000000000002</v>
      </c>
      <c r="F2022" s="58">
        <v>45732</v>
      </c>
      <c r="G2022" s="58">
        <v>45734</v>
      </c>
      <c r="H2022" t="s">
        <v>231</v>
      </c>
      <c r="I2022" t="s">
        <v>63</v>
      </c>
      <c r="J2022">
        <v>3</v>
      </c>
      <c r="K2022" t="s">
        <v>103</v>
      </c>
      <c r="L2022" t="s">
        <v>138</v>
      </c>
      <c r="M2022">
        <f>orders[[#This Row],[Ship Date]]-orders[[#This Row],[Order Date]]</f>
        <v>2</v>
      </c>
      <c r="N2022">
        <f>WEEKNUM(orders[[#This Row],[Order Date]],1)</f>
        <v>12</v>
      </c>
      <c r="O2022" t="str">
        <f t="array" ref="O2022">_xlfn.IFS(orders[[#This Row],[Customer Gender]]="M","Male", orders[[#This Row],[Customer Gender]]="F","Female", orders[[#This Row],[Customer Gender]]="O","Other", TRUE(),"Unknown")</f>
        <v>Female</v>
      </c>
    </row>
    <row r="2023" spans="1:15" x14ac:dyDescent="0.25">
      <c r="A2023" t="s">
        <v>2251</v>
      </c>
      <c r="B2023" t="s">
        <v>87</v>
      </c>
      <c r="C2023">
        <v>4</v>
      </c>
      <c r="D2023">
        <v>53.2</v>
      </c>
      <c r="E2023">
        <v>212.8</v>
      </c>
      <c r="F2023" s="58">
        <v>45732</v>
      </c>
      <c r="G2023" s="58">
        <v>45733</v>
      </c>
      <c r="H2023" t="s">
        <v>229</v>
      </c>
      <c r="I2023" t="s">
        <v>59</v>
      </c>
      <c r="J2023">
        <v>5</v>
      </c>
      <c r="K2023" t="s">
        <v>103</v>
      </c>
      <c r="L2023" t="s">
        <v>142</v>
      </c>
      <c r="M2023">
        <f>orders[[#This Row],[Ship Date]]-orders[[#This Row],[Order Date]]</f>
        <v>1</v>
      </c>
      <c r="N2023">
        <f>WEEKNUM(orders[[#This Row],[Order Date]],1)</f>
        <v>12</v>
      </c>
      <c r="O2023" t="str">
        <f t="array" ref="O2023">_xlfn.IFS(orders[[#This Row],[Customer Gender]]="M","Male", orders[[#This Row],[Customer Gender]]="F","Female", orders[[#This Row],[Customer Gender]]="O","Other", TRUE(),"Unknown")</f>
        <v>Male</v>
      </c>
    </row>
    <row r="2024" spans="1:15" x14ac:dyDescent="0.25">
      <c r="A2024" t="s">
        <v>2252</v>
      </c>
      <c r="B2024" t="s">
        <v>80</v>
      </c>
      <c r="C2024">
        <v>7</v>
      </c>
      <c r="D2024">
        <v>151</v>
      </c>
      <c r="E2024">
        <v>1057</v>
      </c>
      <c r="F2024" s="58">
        <v>45732</v>
      </c>
      <c r="G2024" s="58">
        <v>45733</v>
      </c>
      <c r="H2024" t="s">
        <v>263</v>
      </c>
      <c r="I2024" t="s">
        <v>63</v>
      </c>
      <c r="J2024">
        <v>3</v>
      </c>
      <c r="K2024" t="s">
        <v>103</v>
      </c>
      <c r="L2024" t="s">
        <v>142</v>
      </c>
      <c r="M2024">
        <f>orders[[#This Row],[Ship Date]]-orders[[#This Row],[Order Date]]</f>
        <v>1</v>
      </c>
      <c r="N2024">
        <f>WEEKNUM(orders[[#This Row],[Order Date]],1)</f>
        <v>12</v>
      </c>
      <c r="O2024" t="str">
        <f t="array" ref="O2024">_xlfn.IFS(orders[[#This Row],[Customer Gender]]="M","Male", orders[[#This Row],[Customer Gender]]="F","Female", orders[[#This Row],[Customer Gender]]="O","Other", TRUE(),"Unknown")</f>
        <v>Other</v>
      </c>
    </row>
    <row r="2025" spans="1:15" x14ac:dyDescent="0.25">
      <c r="A2025" t="s">
        <v>2253</v>
      </c>
      <c r="B2025" t="s">
        <v>91</v>
      </c>
      <c r="C2025">
        <v>2</v>
      </c>
      <c r="D2025">
        <v>37.1</v>
      </c>
      <c r="E2025">
        <v>74.2</v>
      </c>
      <c r="F2025" s="58">
        <v>45732</v>
      </c>
      <c r="G2025" s="58">
        <v>45733</v>
      </c>
      <c r="H2025" t="s">
        <v>231</v>
      </c>
      <c r="I2025" t="s">
        <v>61</v>
      </c>
      <c r="J2025">
        <v>4</v>
      </c>
      <c r="K2025" t="s">
        <v>103</v>
      </c>
      <c r="L2025" t="s">
        <v>142</v>
      </c>
      <c r="M2025">
        <f>orders[[#This Row],[Ship Date]]-orders[[#This Row],[Order Date]]</f>
        <v>1</v>
      </c>
      <c r="N2025">
        <f>WEEKNUM(orders[[#This Row],[Order Date]],1)</f>
        <v>12</v>
      </c>
      <c r="O2025" t="str">
        <f t="array" ref="O2025">_xlfn.IFS(orders[[#This Row],[Customer Gender]]="M","Male", orders[[#This Row],[Customer Gender]]="F","Female", orders[[#This Row],[Customer Gender]]="O","Other", TRUE(),"Unknown")</f>
        <v>Female</v>
      </c>
    </row>
    <row r="2026" spans="1:15" x14ac:dyDescent="0.25">
      <c r="A2026" t="s">
        <v>2254</v>
      </c>
      <c r="B2026" t="s">
        <v>85</v>
      </c>
      <c r="C2026">
        <v>2</v>
      </c>
      <c r="D2026">
        <v>38.9</v>
      </c>
      <c r="E2026">
        <v>77.8</v>
      </c>
      <c r="F2026" s="58">
        <v>45732</v>
      </c>
      <c r="G2026" s="58">
        <v>45733</v>
      </c>
      <c r="H2026" t="s">
        <v>229</v>
      </c>
      <c r="I2026" t="s">
        <v>61</v>
      </c>
      <c r="J2026">
        <v>4</v>
      </c>
      <c r="K2026" t="s">
        <v>103</v>
      </c>
      <c r="L2026" t="s">
        <v>142</v>
      </c>
      <c r="M2026">
        <f>orders[[#This Row],[Ship Date]]-orders[[#This Row],[Order Date]]</f>
        <v>1</v>
      </c>
      <c r="N2026">
        <f>WEEKNUM(orders[[#This Row],[Order Date]],1)</f>
        <v>12</v>
      </c>
      <c r="O2026" t="str">
        <f t="array" ref="O2026">_xlfn.IFS(orders[[#This Row],[Customer Gender]]="M","Male", orders[[#This Row],[Customer Gender]]="F","Female", orders[[#This Row],[Customer Gender]]="O","Other", TRUE(),"Unknown")</f>
        <v>Male</v>
      </c>
    </row>
    <row r="2027" spans="1:15" x14ac:dyDescent="0.25">
      <c r="A2027" t="s">
        <v>2255</v>
      </c>
      <c r="B2027" t="s">
        <v>75</v>
      </c>
      <c r="C2027">
        <v>2</v>
      </c>
      <c r="D2027">
        <v>35.200000000000003</v>
      </c>
      <c r="E2027">
        <v>70.400000000000006</v>
      </c>
      <c r="F2027" s="58">
        <v>45732</v>
      </c>
      <c r="G2027" s="58">
        <v>45733</v>
      </c>
      <c r="H2027" t="s">
        <v>229</v>
      </c>
      <c r="I2027" t="s">
        <v>59</v>
      </c>
      <c r="J2027">
        <v>5</v>
      </c>
      <c r="K2027" t="s">
        <v>103</v>
      </c>
      <c r="L2027" t="s">
        <v>143</v>
      </c>
      <c r="M2027">
        <f>orders[[#This Row],[Ship Date]]-orders[[#This Row],[Order Date]]</f>
        <v>1</v>
      </c>
      <c r="N2027">
        <f>WEEKNUM(orders[[#This Row],[Order Date]],1)</f>
        <v>12</v>
      </c>
      <c r="O2027" t="str">
        <f t="array" ref="O2027">_xlfn.IFS(orders[[#This Row],[Customer Gender]]="M","Male", orders[[#This Row],[Customer Gender]]="F","Female", orders[[#This Row],[Customer Gender]]="O","Other", TRUE(),"Unknown")</f>
        <v>Male</v>
      </c>
    </row>
    <row r="2028" spans="1:15" x14ac:dyDescent="0.25">
      <c r="A2028" t="s">
        <v>2256</v>
      </c>
      <c r="B2028" t="s">
        <v>86</v>
      </c>
      <c r="C2028">
        <v>2</v>
      </c>
      <c r="D2028">
        <v>22.3</v>
      </c>
      <c r="E2028">
        <v>44.6</v>
      </c>
      <c r="F2028" s="58">
        <v>45732</v>
      </c>
      <c r="G2028" s="58">
        <v>45734</v>
      </c>
      <c r="H2028" t="s">
        <v>231</v>
      </c>
      <c r="I2028" t="s">
        <v>63</v>
      </c>
      <c r="J2028">
        <v>4</v>
      </c>
      <c r="K2028" t="s">
        <v>103</v>
      </c>
      <c r="L2028" t="s">
        <v>146</v>
      </c>
      <c r="M2028">
        <f>orders[[#This Row],[Ship Date]]-orders[[#This Row],[Order Date]]</f>
        <v>2</v>
      </c>
      <c r="N2028">
        <f>WEEKNUM(orders[[#This Row],[Order Date]],1)</f>
        <v>12</v>
      </c>
      <c r="O2028" t="str">
        <f t="array" ref="O2028">_xlfn.IFS(orders[[#This Row],[Customer Gender]]="M","Male", orders[[#This Row],[Customer Gender]]="F","Female", orders[[#This Row],[Customer Gender]]="O","Other", TRUE(),"Unknown")</f>
        <v>Female</v>
      </c>
    </row>
    <row r="2029" spans="1:15" x14ac:dyDescent="0.25">
      <c r="A2029" t="s">
        <v>2257</v>
      </c>
      <c r="B2029" t="s">
        <v>88</v>
      </c>
      <c r="C2029">
        <v>1</v>
      </c>
      <c r="D2029">
        <v>43.3</v>
      </c>
      <c r="E2029">
        <v>43.3</v>
      </c>
      <c r="F2029" s="58">
        <v>45732</v>
      </c>
      <c r="G2029" s="58">
        <v>45735</v>
      </c>
      <c r="H2029" t="s">
        <v>231</v>
      </c>
      <c r="I2029" t="s">
        <v>59</v>
      </c>
      <c r="J2029">
        <v>5</v>
      </c>
      <c r="K2029" t="s">
        <v>103</v>
      </c>
      <c r="L2029" t="s">
        <v>148</v>
      </c>
      <c r="M2029">
        <f>orders[[#This Row],[Ship Date]]-orders[[#This Row],[Order Date]]</f>
        <v>3</v>
      </c>
      <c r="N2029">
        <f>WEEKNUM(orders[[#This Row],[Order Date]],1)</f>
        <v>12</v>
      </c>
      <c r="O2029" t="str">
        <f t="array" ref="O2029">_xlfn.IFS(orders[[#This Row],[Customer Gender]]="M","Male", orders[[#This Row],[Customer Gender]]="F","Female", orders[[#This Row],[Customer Gender]]="O","Other", TRUE(),"Unknown")</f>
        <v>Female</v>
      </c>
    </row>
    <row r="2030" spans="1:15" x14ac:dyDescent="0.25">
      <c r="A2030" t="s">
        <v>2258</v>
      </c>
      <c r="B2030" t="s">
        <v>80</v>
      </c>
      <c r="C2030">
        <v>6</v>
      </c>
      <c r="D2030">
        <v>75.900000000000006</v>
      </c>
      <c r="E2030">
        <v>455.4</v>
      </c>
      <c r="F2030" s="58">
        <v>45732</v>
      </c>
      <c r="G2030" s="58">
        <v>45738</v>
      </c>
      <c r="H2030" t="s">
        <v>229</v>
      </c>
      <c r="I2030" t="s">
        <v>59</v>
      </c>
      <c r="J2030">
        <v>4</v>
      </c>
      <c r="K2030" t="s">
        <v>103</v>
      </c>
      <c r="L2030" t="s">
        <v>148</v>
      </c>
      <c r="M2030">
        <f>orders[[#This Row],[Ship Date]]-orders[[#This Row],[Order Date]]</f>
        <v>6</v>
      </c>
      <c r="N2030">
        <f>WEEKNUM(orders[[#This Row],[Order Date]],1)</f>
        <v>12</v>
      </c>
      <c r="O2030" t="str">
        <f t="array" ref="O2030">_xlfn.IFS(orders[[#This Row],[Customer Gender]]="M","Male", orders[[#This Row],[Customer Gender]]="F","Female", orders[[#This Row],[Customer Gender]]="O","Other", TRUE(),"Unknown")</f>
        <v>Male</v>
      </c>
    </row>
    <row r="2031" spans="1:15" x14ac:dyDescent="0.25">
      <c r="A2031" t="s">
        <v>2259</v>
      </c>
      <c r="B2031" t="s">
        <v>80</v>
      </c>
      <c r="C2031">
        <v>3</v>
      </c>
      <c r="D2031">
        <v>78.7</v>
      </c>
      <c r="E2031">
        <v>236.1</v>
      </c>
      <c r="F2031" s="58">
        <v>45732</v>
      </c>
      <c r="G2031" s="58">
        <v>45736</v>
      </c>
      <c r="H2031" t="s">
        <v>231</v>
      </c>
      <c r="I2031" t="s">
        <v>62</v>
      </c>
      <c r="J2031">
        <v>3</v>
      </c>
      <c r="K2031" t="s">
        <v>103</v>
      </c>
      <c r="L2031" t="s">
        <v>148</v>
      </c>
      <c r="M2031">
        <f>orders[[#This Row],[Ship Date]]-orders[[#This Row],[Order Date]]</f>
        <v>4</v>
      </c>
      <c r="N2031">
        <f>WEEKNUM(orders[[#This Row],[Order Date]],1)</f>
        <v>12</v>
      </c>
      <c r="O2031" t="str">
        <f t="array" ref="O2031">_xlfn.IFS(orders[[#This Row],[Customer Gender]]="M","Male", orders[[#This Row],[Customer Gender]]="F","Female", orders[[#This Row],[Customer Gender]]="O","Other", TRUE(),"Unknown")</f>
        <v>Female</v>
      </c>
    </row>
    <row r="2032" spans="1:15" x14ac:dyDescent="0.25">
      <c r="A2032" t="s">
        <v>2260</v>
      </c>
      <c r="B2032" t="s">
        <v>91</v>
      </c>
      <c r="C2032">
        <v>1</v>
      </c>
      <c r="D2032">
        <v>66.3</v>
      </c>
      <c r="E2032">
        <v>66.3</v>
      </c>
      <c r="F2032" s="58">
        <v>45732</v>
      </c>
      <c r="G2032" s="58">
        <v>45736</v>
      </c>
      <c r="H2032" t="s">
        <v>231</v>
      </c>
      <c r="I2032" t="s">
        <v>59</v>
      </c>
      <c r="J2032">
        <v>5</v>
      </c>
      <c r="K2032" t="s">
        <v>103</v>
      </c>
      <c r="L2032" t="s">
        <v>155</v>
      </c>
      <c r="M2032">
        <f>orders[[#This Row],[Ship Date]]-orders[[#This Row],[Order Date]]</f>
        <v>4</v>
      </c>
      <c r="N2032">
        <f>WEEKNUM(orders[[#This Row],[Order Date]],1)</f>
        <v>12</v>
      </c>
      <c r="O2032" t="str">
        <f t="array" ref="O2032">_xlfn.IFS(orders[[#This Row],[Customer Gender]]="M","Male", orders[[#This Row],[Customer Gender]]="F","Female", orders[[#This Row],[Customer Gender]]="O","Other", TRUE(),"Unknown")</f>
        <v>Female</v>
      </c>
    </row>
    <row r="2033" spans="1:15" x14ac:dyDescent="0.25">
      <c r="A2033" t="s">
        <v>2261</v>
      </c>
      <c r="B2033" t="s">
        <v>90</v>
      </c>
      <c r="C2033">
        <v>2</v>
      </c>
      <c r="D2033">
        <v>33.6</v>
      </c>
      <c r="E2033">
        <v>67.2</v>
      </c>
      <c r="F2033" s="58">
        <v>45732</v>
      </c>
      <c r="G2033" s="58">
        <v>45732</v>
      </c>
      <c r="H2033" t="s">
        <v>229</v>
      </c>
      <c r="I2033" t="s">
        <v>59</v>
      </c>
      <c r="J2033">
        <v>3</v>
      </c>
      <c r="K2033" t="s">
        <v>103</v>
      </c>
      <c r="L2033" t="s">
        <v>155</v>
      </c>
      <c r="M2033">
        <f>orders[[#This Row],[Ship Date]]-orders[[#This Row],[Order Date]]</f>
        <v>0</v>
      </c>
      <c r="N2033">
        <f>WEEKNUM(orders[[#This Row],[Order Date]],1)</f>
        <v>12</v>
      </c>
      <c r="O2033" t="str">
        <f t="array" ref="O2033">_xlfn.IFS(orders[[#This Row],[Customer Gender]]="M","Male", orders[[#This Row],[Customer Gender]]="F","Female", orders[[#This Row],[Customer Gender]]="O","Other", TRUE(),"Unknown")</f>
        <v>Male</v>
      </c>
    </row>
    <row r="2034" spans="1:15" x14ac:dyDescent="0.25">
      <c r="A2034" t="s">
        <v>2262</v>
      </c>
      <c r="B2034" t="s">
        <v>87</v>
      </c>
      <c r="C2034">
        <v>7</v>
      </c>
      <c r="D2034">
        <v>61.4</v>
      </c>
      <c r="E2034">
        <v>429.8</v>
      </c>
      <c r="F2034" s="58">
        <v>45732</v>
      </c>
      <c r="G2034" s="58">
        <v>45733</v>
      </c>
      <c r="H2034" t="s">
        <v>229</v>
      </c>
      <c r="I2034" t="s">
        <v>61</v>
      </c>
      <c r="J2034">
        <v>4</v>
      </c>
      <c r="K2034" t="s">
        <v>103</v>
      </c>
      <c r="L2034" t="s">
        <v>155</v>
      </c>
      <c r="M2034">
        <f>orders[[#This Row],[Ship Date]]-orders[[#This Row],[Order Date]]</f>
        <v>1</v>
      </c>
      <c r="N2034">
        <f>WEEKNUM(orders[[#This Row],[Order Date]],1)</f>
        <v>12</v>
      </c>
      <c r="O2034" t="str">
        <f t="array" ref="O2034">_xlfn.IFS(orders[[#This Row],[Customer Gender]]="M","Male", orders[[#This Row],[Customer Gender]]="F","Female", orders[[#This Row],[Customer Gender]]="O","Other", TRUE(),"Unknown")</f>
        <v>Male</v>
      </c>
    </row>
    <row r="2035" spans="1:15" x14ac:dyDescent="0.25">
      <c r="A2035" t="s">
        <v>2263</v>
      </c>
      <c r="B2035" t="s">
        <v>90</v>
      </c>
      <c r="C2035">
        <v>2</v>
      </c>
      <c r="D2035">
        <v>17.5</v>
      </c>
      <c r="E2035">
        <v>35</v>
      </c>
      <c r="F2035" s="58">
        <v>45732</v>
      </c>
      <c r="G2035" s="58">
        <v>45735</v>
      </c>
      <c r="H2035" t="s">
        <v>231</v>
      </c>
      <c r="I2035" t="s">
        <v>59</v>
      </c>
      <c r="J2035">
        <v>4</v>
      </c>
      <c r="K2035" t="s">
        <v>103</v>
      </c>
      <c r="L2035" t="s">
        <v>106</v>
      </c>
      <c r="M2035">
        <f>orders[[#This Row],[Ship Date]]-orders[[#This Row],[Order Date]]</f>
        <v>3</v>
      </c>
      <c r="N2035">
        <f>WEEKNUM(orders[[#This Row],[Order Date]],1)</f>
        <v>12</v>
      </c>
      <c r="O2035" t="str">
        <f t="array" ref="O2035">_xlfn.IFS(orders[[#This Row],[Customer Gender]]="M","Male", orders[[#This Row],[Customer Gender]]="F","Female", orders[[#This Row],[Customer Gender]]="O","Other", TRUE(),"Unknown")</f>
        <v>Female</v>
      </c>
    </row>
    <row r="2036" spans="1:15" x14ac:dyDescent="0.25">
      <c r="A2036" t="s">
        <v>2264</v>
      </c>
      <c r="B2036" t="s">
        <v>90</v>
      </c>
      <c r="C2036">
        <v>2</v>
      </c>
      <c r="D2036">
        <v>32.5</v>
      </c>
      <c r="E2036">
        <v>65</v>
      </c>
      <c r="F2036" s="58">
        <v>45732</v>
      </c>
      <c r="G2036" s="58">
        <v>45735</v>
      </c>
      <c r="H2036" t="s">
        <v>231</v>
      </c>
      <c r="I2036" t="s">
        <v>63</v>
      </c>
      <c r="J2036">
        <v>4</v>
      </c>
      <c r="K2036" t="s">
        <v>103</v>
      </c>
      <c r="L2036" t="s">
        <v>106</v>
      </c>
      <c r="M2036">
        <f>orders[[#This Row],[Ship Date]]-orders[[#This Row],[Order Date]]</f>
        <v>3</v>
      </c>
      <c r="N2036">
        <f>WEEKNUM(orders[[#This Row],[Order Date]],1)</f>
        <v>12</v>
      </c>
      <c r="O2036" t="str">
        <f t="array" ref="O2036">_xlfn.IFS(orders[[#This Row],[Customer Gender]]="M","Male", orders[[#This Row],[Customer Gender]]="F","Female", orders[[#This Row],[Customer Gender]]="O","Other", TRUE(),"Unknown")</f>
        <v>Female</v>
      </c>
    </row>
    <row r="2037" spans="1:15" x14ac:dyDescent="0.25">
      <c r="A2037" t="s">
        <v>2265</v>
      </c>
      <c r="B2037" t="s">
        <v>78</v>
      </c>
      <c r="C2037">
        <v>1</v>
      </c>
      <c r="D2037">
        <v>34.6</v>
      </c>
      <c r="E2037">
        <v>34.6</v>
      </c>
      <c r="F2037" s="58">
        <v>45732</v>
      </c>
      <c r="G2037" s="58">
        <v>45733</v>
      </c>
      <c r="H2037" t="s">
        <v>231</v>
      </c>
      <c r="I2037" t="s">
        <v>61</v>
      </c>
      <c r="J2037">
        <v>4</v>
      </c>
      <c r="K2037" t="s">
        <v>103</v>
      </c>
      <c r="L2037" t="s">
        <v>106</v>
      </c>
      <c r="M2037">
        <f>orders[[#This Row],[Ship Date]]-orders[[#This Row],[Order Date]]</f>
        <v>1</v>
      </c>
      <c r="N2037">
        <f>WEEKNUM(orders[[#This Row],[Order Date]],1)</f>
        <v>12</v>
      </c>
      <c r="O2037" t="str">
        <f t="array" ref="O2037">_xlfn.IFS(orders[[#This Row],[Customer Gender]]="M","Male", orders[[#This Row],[Customer Gender]]="F","Female", orders[[#This Row],[Customer Gender]]="O","Other", TRUE(),"Unknown")</f>
        <v>Female</v>
      </c>
    </row>
    <row r="2038" spans="1:15" x14ac:dyDescent="0.25">
      <c r="A2038" t="s">
        <v>2266</v>
      </c>
      <c r="B2038" t="s">
        <v>87</v>
      </c>
      <c r="C2038">
        <v>1</v>
      </c>
      <c r="D2038">
        <v>75.900000000000006</v>
      </c>
      <c r="E2038">
        <v>75.900000000000006</v>
      </c>
      <c r="F2038" s="58">
        <v>45732</v>
      </c>
      <c r="G2038" s="58">
        <v>45732</v>
      </c>
      <c r="H2038" t="s">
        <v>229</v>
      </c>
      <c r="I2038" t="s">
        <v>63</v>
      </c>
      <c r="J2038">
        <v>5</v>
      </c>
      <c r="K2038" t="s">
        <v>103</v>
      </c>
      <c r="L2038" t="s">
        <v>106</v>
      </c>
      <c r="M2038">
        <f>orders[[#This Row],[Ship Date]]-orders[[#This Row],[Order Date]]</f>
        <v>0</v>
      </c>
      <c r="N2038">
        <f>WEEKNUM(orders[[#This Row],[Order Date]],1)</f>
        <v>12</v>
      </c>
      <c r="O2038" t="str">
        <f t="array" ref="O2038">_xlfn.IFS(orders[[#This Row],[Customer Gender]]="M","Male", orders[[#This Row],[Customer Gender]]="F","Female", orders[[#This Row],[Customer Gender]]="O","Other", TRUE(),"Unknown")</f>
        <v>Male</v>
      </c>
    </row>
    <row r="2039" spans="1:15" x14ac:dyDescent="0.25">
      <c r="A2039" t="s">
        <v>2267</v>
      </c>
      <c r="B2039" t="s">
        <v>91</v>
      </c>
      <c r="C2039">
        <v>3</v>
      </c>
      <c r="D2039">
        <v>42.1</v>
      </c>
      <c r="E2039">
        <v>126.3</v>
      </c>
      <c r="F2039" s="58">
        <v>45732</v>
      </c>
      <c r="G2039" s="58">
        <v>45735</v>
      </c>
      <c r="H2039" t="s">
        <v>229</v>
      </c>
      <c r="I2039" t="s">
        <v>63</v>
      </c>
      <c r="J2039">
        <v>3</v>
      </c>
      <c r="K2039" t="s">
        <v>103</v>
      </c>
      <c r="L2039" t="s">
        <v>106</v>
      </c>
      <c r="M2039">
        <f>orders[[#This Row],[Ship Date]]-orders[[#This Row],[Order Date]]</f>
        <v>3</v>
      </c>
      <c r="N2039">
        <f>WEEKNUM(orders[[#This Row],[Order Date]],1)</f>
        <v>12</v>
      </c>
      <c r="O2039" t="str">
        <f t="array" ref="O2039">_xlfn.IFS(orders[[#This Row],[Customer Gender]]="M","Male", orders[[#This Row],[Customer Gender]]="F","Female", orders[[#This Row],[Customer Gender]]="O","Other", TRUE(),"Unknown")</f>
        <v>Male</v>
      </c>
    </row>
    <row r="2040" spans="1:15" x14ac:dyDescent="0.25">
      <c r="A2040" t="s">
        <v>2268</v>
      </c>
      <c r="B2040" t="s">
        <v>79</v>
      </c>
      <c r="C2040">
        <v>3</v>
      </c>
      <c r="D2040">
        <v>65.3</v>
      </c>
      <c r="E2040">
        <v>195.9</v>
      </c>
      <c r="F2040" s="58">
        <v>45732</v>
      </c>
      <c r="G2040" s="58">
        <v>45739</v>
      </c>
      <c r="H2040" t="s">
        <v>229</v>
      </c>
      <c r="I2040" t="s">
        <v>59</v>
      </c>
      <c r="J2040">
        <v>4</v>
      </c>
      <c r="K2040" t="s">
        <v>103</v>
      </c>
      <c r="L2040" t="s">
        <v>112</v>
      </c>
      <c r="M2040">
        <f>orders[[#This Row],[Ship Date]]-orders[[#This Row],[Order Date]]</f>
        <v>7</v>
      </c>
      <c r="N2040">
        <f>WEEKNUM(orders[[#This Row],[Order Date]],1)</f>
        <v>12</v>
      </c>
      <c r="O2040" t="str">
        <f t="array" ref="O2040">_xlfn.IFS(orders[[#This Row],[Customer Gender]]="M","Male", orders[[#This Row],[Customer Gender]]="F","Female", orders[[#This Row],[Customer Gender]]="O","Other", TRUE(),"Unknown")</f>
        <v>Male</v>
      </c>
    </row>
    <row r="2041" spans="1:15" x14ac:dyDescent="0.25">
      <c r="A2041" t="s">
        <v>2269</v>
      </c>
      <c r="B2041" t="s">
        <v>77</v>
      </c>
      <c r="C2041">
        <v>1</v>
      </c>
      <c r="D2041">
        <v>20.6</v>
      </c>
      <c r="E2041">
        <v>20.6</v>
      </c>
      <c r="F2041" s="58">
        <v>45732</v>
      </c>
      <c r="G2041" s="58">
        <v>45735</v>
      </c>
      <c r="H2041" t="s">
        <v>229</v>
      </c>
      <c r="I2041" t="s">
        <v>60</v>
      </c>
      <c r="J2041">
        <v>4</v>
      </c>
      <c r="K2041" t="s">
        <v>103</v>
      </c>
      <c r="L2041" t="s">
        <v>114</v>
      </c>
      <c r="M2041">
        <f>orders[[#This Row],[Ship Date]]-orders[[#This Row],[Order Date]]</f>
        <v>3</v>
      </c>
      <c r="N2041">
        <f>WEEKNUM(orders[[#This Row],[Order Date]],1)</f>
        <v>12</v>
      </c>
      <c r="O2041" t="str">
        <f t="array" ref="O2041">_xlfn.IFS(orders[[#This Row],[Customer Gender]]="M","Male", orders[[#This Row],[Customer Gender]]="F","Female", orders[[#This Row],[Customer Gender]]="O","Other", TRUE(),"Unknown")</f>
        <v>Male</v>
      </c>
    </row>
    <row r="2042" spans="1:15" x14ac:dyDescent="0.25">
      <c r="A2042" t="s">
        <v>2270</v>
      </c>
      <c r="B2042" t="s">
        <v>90</v>
      </c>
      <c r="C2042">
        <v>7</v>
      </c>
      <c r="D2042">
        <v>16.5</v>
      </c>
      <c r="E2042">
        <v>115.5</v>
      </c>
      <c r="F2042" s="58">
        <v>45732</v>
      </c>
      <c r="G2042" s="58">
        <v>45733</v>
      </c>
      <c r="H2042" t="s">
        <v>229</v>
      </c>
      <c r="I2042" t="s">
        <v>63</v>
      </c>
      <c r="J2042">
        <v>3</v>
      </c>
      <c r="K2042" t="s">
        <v>103</v>
      </c>
      <c r="L2042" t="s">
        <v>115</v>
      </c>
      <c r="M2042">
        <f>orders[[#This Row],[Ship Date]]-orders[[#This Row],[Order Date]]</f>
        <v>1</v>
      </c>
      <c r="N2042">
        <f>WEEKNUM(orders[[#This Row],[Order Date]],1)</f>
        <v>12</v>
      </c>
      <c r="O2042" t="str">
        <f t="array" ref="O2042">_xlfn.IFS(orders[[#This Row],[Customer Gender]]="M","Male", orders[[#This Row],[Customer Gender]]="F","Female", orders[[#This Row],[Customer Gender]]="O","Other", TRUE(),"Unknown")</f>
        <v>Male</v>
      </c>
    </row>
    <row r="2043" spans="1:15" x14ac:dyDescent="0.25">
      <c r="A2043" t="s">
        <v>2271</v>
      </c>
      <c r="B2043" t="s">
        <v>89</v>
      </c>
      <c r="C2043">
        <v>10</v>
      </c>
      <c r="D2043">
        <v>36.200000000000003</v>
      </c>
      <c r="E2043">
        <v>362</v>
      </c>
      <c r="F2043" s="58">
        <v>45732</v>
      </c>
      <c r="G2043" s="58">
        <v>45734</v>
      </c>
      <c r="H2043" t="s">
        <v>229</v>
      </c>
      <c r="I2043" t="s">
        <v>59</v>
      </c>
      <c r="J2043">
        <v>5</v>
      </c>
      <c r="K2043" t="s">
        <v>103</v>
      </c>
      <c r="L2043" t="s">
        <v>115</v>
      </c>
      <c r="M2043">
        <f>orders[[#This Row],[Ship Date]]-orders[[#This Row],[Order Date]]</f>
        <v>2</v>
      </c>
      <c r="N2043">
        <f>WEEKNUM(orders[[#This Row],[Order Date]],1)</f>
        <v>12</v>
      </c>
      <c r="O2043" t="str">
        <f t="array" ref="O2043">_xlfn.IFS(orders[[#This Row],[Customer Gender]]="M","Male", orders[[#This Row],[Customer Gender]]="F","Female", orders[[#This Row],[Customer Gender]]="O","Other", TRUE(),"Unknown")</f>
        <v>Male</v>
      </c>
    </row>
    <row r="2044" spans="1:15" x14ac:dyDescent="0.25">
      <c r="A2044" t="s">
        <v>2272</v>
      </c>
      <c r="B2044" t="s">
        <v>80</v>
      </c>
      <c r="C2044">
        <v>1</v>
      </c>
      <c r="D2044">
        <v>53.2</v>
      </c>
      <c r="E2044">
        <v>53.2</v>
      </c>
      <c r="F2044" s="58">
        <v>45732</v>
      </c>
      <c r="G2044" s="58">
        <v>45733</v>
      </c>
      <c r="H2044" t="s">
        <v>231</v>
      </c>
      <c r="I2044" t="s">
        <v>59</v>
      </c>
      <c r="J2044">
        <v>3</v>
      </c>
      <c r="K2044" t="s">
        <v>103</v>
      </c>
      <c r="L2044" t="s">
        <v>120</v>
      </c>
      <c r="M2044">
        <f>orders[[#This Row],[Ship Date]]-orders[[#This Row],[Order Date]]</f>
        <v>1</v>
      </c>
      <c r="N2044">
        <f>WEEKNUM(orders[[#This Row],[Order Date]],1)</f>
        <v>12</v>
      </c>
      <c r="O2044" t="str">
        <f t="array" ref="O2044">_xlfn.IFS(orders[[#This Row],[Customer Gender]]="M","Male", orders[[#This Row],[Customer Gender]]="F","Female", orders[[#This Row],[Customer Gender]]="O","Other", TRUE(),"Unknown")</f>
        <v>Female</v>
      </c>
    </row>
    <row r="2045" spans="1:15" x14ac:dyDescent="0.25">
      <c r="A2045" t="s">
        <v>2273</v>
      </c>
      <c r="B2045" t="s">
        <v>87</v>
      </c>
      <c r="C2045">
        <v>14</v>
      </c>
      <c r="D2045">
        <v>176</v>
      </c>
      <c r="E2045">
        <v>2464</v>
      </c>
      <c r="F2045" s="58">
        <v>45732</v>
      </c>
      <c r="G2045" s="58">
        <v>45733</v>
      </c>
      <c r="H2045" t="s">
        <v>231</v>
      </c>
      <c r="I2045" t="s">
        <v>59</v>
      </c>
      <c r="J2045">
        <v>3</v>
      </c>
      <c r="K2045" t="s">
        <v>103</v>
      </c>
      <c r="L2045" t="s">
        <v>124</v>
      </c>
      <c r="M2045">
        <f>orders[[#This Row],[Ship Date]]-orders[[#This Row],[Order Date]]</f>
        <v>1</v>
      </c>
      <c r="N2045">
        <f>WEEKNUM(orders[[#This Row],[Order Date]],1)</f>
        <v>12</v>
      </c>
      <c r="O2045" t="str">
        <f t="array" ref="O2045">_xlfn.IFS(orders[[#This Row],[Customer Gender]]="M","Male", orders[[#This Row],[Customer Gender]]="F","Female", orders[[#This Row],[Customer Gender]]="O","Other", TRUE(),"Unknown")</f>
        <v>Female</v>
      </c>
    </row>
    <row r="2046" spans="1:15" x14ac:dyDescent="0.25">
      <c r="A2046" t="s">
        <v>2274</v>
      </c>
      <c r="B2046" t="s">
        <v>91</v>
      </c>
      <c r="C2046">
        <v>1</v>
      </c>
      <c r="D2046">
        <v>52.4</v>
      </c>
      <c r="E2046">
        <v>52.4</v>
      </c>
      <c r="F2046" s="58">
        <v>45732</v>
      </c>
      <c r="G2046" s="58">
        <v>45733</v>
      </c>
      <c r="H2046" t="s">
        <v>229</v>
      </c>
      <c r="I2046" t="s">
        <v>63</v>
      </c>
      <c r="J2046">
        <v>4</v>
      </c>
      <c r="K2046" t="s">
        <v>103</v>
      </c>
      <c r="L2046" t="s">
        <v>124</v>
      </c>
      <c r="M2046">
        <f>orders[[#This Row],[Ship Date]]-orders[[#This Row],[Order Date]]</f>
        <v>1</v>
      </c>
      <c r="N2046">
        <f>WEEKNUM(orders[[#This Row],[Order Date]],1)</f>
        <v>12</v>
      </c>
      <c r="O2046" t="str">
        <f t="array" ref="O2046">_xlfn.IFS(orders[[#This Row],[Customer Gender]]="M","Male", orders[[#This Row],[Customer Gender]]="F","Female", orders[[#This Row],[Customer Gender]]="O","Other", TRUE(),"Unknown")</f>
        <v>Male</v>
      </c>
    </row>
    <row r="2047" spans="1:15" x14ac:dyDescent="0.25">
      <c r="A2047" t="s">
        <v>2275</v>
      </c>
      <c r="B2047" t="s">
        <v>75</v>
      </c>
      <c r="C2047">
        <v>3</v>
      </c>
      <c r="D2047">
        <v>48.2</v>
      </c>
      <c r="E2047">
        <v>144.6</v>
      </c>
      <c r="F2047" s="58">
        <v>45732</v>
      </c>
      <c r="G2047" s="58">
        <v>45733</v>
      </c>
      <c r="H2047" t="s">
        <v>231</v>
      </c>
      <c r="I2047" t="s">
        <v>63</v>
      </c>
      <c r="J2047">
        <v>5</v>
      </c>
      <c r="K2047" t="s">
        <v>103</v>
      </c>
      <c r="L2047" t="s">
        <v>124</v>
      </c>
      <c r="M2047">
        <f>orders[[#This Row],[Ship Date]]-orders[[#This Row],[Order Date]]</f>
        <v>1</v>
      </c>
      <c r="N2047">
        <f>WEEKNUM(orders[[#This Row],[Order Date]],1)</f>
        <v>12</v>
      </c>
      <c r="O2047" t="str">
        <f t="array" ref="O2047">_xlfn.IFS(orders[[#This Row],[Customer Gender]]="M","Male", orders[[#This Row],[Customer Gender]]="F","Female", orders[[#This Row],[Customer Gender]]="O","Other", TRUE(),"Unknown")</f>
        <v>Female</v>
      </c>
    </row>
    <row r="2048" spans="1:15" x14ac:dyDescent="0.25">
      <c r="A2048" t="s">
        <v>2276</v>
      </c>
      <c r="B2048" t="s">
        <v>77</v>
      </c>
      <c r="C2048">
        <v>1</v>
      </c>
      <c r="D2048">
        <v>51.6</v>
      </c>
      <c r="E2048">
        <v>51.6</v>
      </c>
      <c r="F2048" s="58">
        <v>45732</v>
      </c>
      <c r="G2048" s="58">
        <v>45736</v>
      </c>
      <c r="H2048" t="s">
        <v>231</v>
      </c>
      <c r="I2048" t="s">
        <v>62</v>
      </c>
      <c r="J2048">
        <v>3</v>
      </c>
      <c r="K2048" t="s">
        <v>103</v>
      </c>
      <c r="L2048" t="s">
        <v>124</v>
      </c>
      <c r="M2048">
        <f>orders[[#This Row],[Ship Date]]-orders[[#This Row],[Order Date]]</f>
        <v>4</v>
      </c>
      <c r="N2048">
        <f>WEEKNUM(orders[[#This Row],[Order Date]],1)</f>
        <v>12</v>
      </c>
      <c r="O2048" t="str">
        <f t="array" ref="O2048">_xlfn.IFS(orders[[#This Row],[Customer Gender]]="M","Male", orders[[#This Row],[Customer Gender]]="F","Female", orders[[#This Row],[Customer Gender]]="O","Other", TRUE(),"Unknown")</f>
        <v>Female</v>
      </c>
    </row>
    <row r="2049" spans="1:15" x14ac:dyDescent="0.25">
      <c r="A2049" t="s">
        <v>2277</v>
      </c>
      <c r="B2049" t="s">
        <v>86</v>
      </c>
      <c r="C2049">
        <v>4</v>
      </c>
      <c r="D2049">
        <v>33.700000000000003</v>
      </c>
      <c r="E2049">
        <v>134.80000000000001</v>
      </c>
      <c r="F2049" s="58">
        <v>45733</v>
      </c>
      <c r="G2049" s="58">
        <v>45734</v>
      </c>
      <c r="H2049" t="s">
        <v>229</v>
      </c>
      <c r="I2049" t="s">
        <v>59</v>
      </c>
      <c r="J2049">
        <v>4</v>
      </c>
      <c r="K2049" t="s">
        <v>103</v>
      </c>
      <c r="L2049" t="s">
        <v>124</v>
      </c>
      <c r="M2049">
        <f>orders[[#This Row],[Ship Date]]-orders[[#This Row],[Order Date]]</f>
        <v>1</v>
      </c>
      <c r="N2049">
        <f>WEEKNUM(orders[[#This Row],[Order Date]],1)</f>
        <v>12</v>
      </c>
      <c r="O2049" t="str">
        <f t="array" ref="O2049">_xlfn.IFS(orders[[#This Row],[Customer Gender]]="M","Male", orders[[#This Row],[Customer Gender]]="F","Female", orders[[#This Row],[Customer Gender]]="O","Other", TRUE(),"Unknown")</f>
        <v>Male</v>
      </c>
    </row>
    <row r="2050" spans="1:15" x14ac:dyDescent="0.25">
      <c r="A2050" t="s">
        <v>2278</v>
      </c>
      <c r="B2050" t="s">
        <v>78</v>
      </c>
      <c r="C2050">
        <v>10</v>
      </c>
      <c r="D2050">
        <v>36.299999999999997</v>
      </c>
      <c r="E2050">
        <v>363</v>
      </c>
      <c r="F2050" s="58">
        <v>45733</v>
      </c>
      <c r="G2050" s="58">
        <v>45735</v>
      </c>
      <c r="H2050" t="s">
        <v>231</v>
      </c>
      <c r="I2050" t="s">
        <v>61</v>
      </c>
      <c r="J2050">
        <v>3</v>
      </c>
      <c r="K2050" t="s">
        <v>103</v>
      </c>
      <c r="L2050" t="s">
        <v>124</v>
      </c>
      <c r="M2050">
        <f>orders[[#This Row],[Ship Date]]-orders[[#This Row],[Order Date]]</f>
        <v>2</v>
      </c>
      <c r="N2050">
        <f>WEEKNUM(orders[[#This Row],[Order Date]],1)</f>
        <v>12</v>
      </c>
      <c r="O2050" t="str">
        <f t="array" ref="O2050">_xlfn.IFS(orders[[#This Row],[Customer Gender]]="M","Male", orders[[#This Row],[Customer Gender]]="F","Female", orders[[#This Row],[Customer Gender]]="O","Other", TRUE(),"Unknown")</f>
        <v>Female</v>
      </c>
    </row>
    <row r="2051" spans="1:15" x14ac:dyDescent="0.25">
      <c r="A2051" t="s">
        <v>2279</v>
      </c>
      <c r="B2051" t="s">
        <v>90</v>
      </c>
      <c r="C2051">
        <v>1</v>
      </c>
      <c r="D2051">
        <v>23.4</v>
      </c>
      <c r="E2051">
        <v>23.4</v>
      </c>
      <c r="F2051" s="58">
        <v>45733</v>
      </c>
      <c r="G2051" s="58">
        <v>45738</v>
      </c>
      <c r="H2051" t="s">
        <v>231</v>
      </c>
      <c r="I2051" t="s">
        <v>63</v>
      </c>
      <c r="J2051">
        <v>5</v>
      </c>
      <c r="K2051" t="s">
        <v>103</v>
      </c>
      <c r="L2051" t="s">
        <v>124</v>
      </c>
      <c r="M2051">
        <f>orders[[#This Row],[Ship Date]]-orders[[#This Row],[Order Date]]</f>
        <v>5</v>
      </c>
      <c r="N2051">
        <f>WEEKNUM(orders[[#This Row],[Order Date]],1)</f>
        <v>12</v>
      </c>
      <c r="O2051" t="str">
        <f t="array" ref="O2051">_xlfn.IFS(orders[[#This Row],[Customer Gender]]="M","Male", orders[[#This Row],[Customer Gender]]="F","Female", orders[[#This Row],[Customer Gender]]="O","Other", TRUE(),"Unknown")</f>
        <v>Female</v>
      </c>
    </row>
    <row r="2052" spans="1:15" x14ac:dyDescent="0.25">
      <c r="A2052" t="s">
        <v>2280</v>
      </c>
      <c r="B2052" t="s">
        <v>77</v>
      </c>
      <c r="C2052">
        <v>8</v>
      </c>
      <c r="D2052">
        <v>56.6</v>
      </c>
      <c r="E2052">
        <v>452.8</v>
      </c>
      <c r="F2052" s="58">
        <v>45733</v>
      </c>
      <c r="G2052" s="58">
        <v>45735</v>
      </c>
      <c r="H2052" t="s">
        <v>231</v>
      </c>
      <c r="I2052" t="s">
        <v>63</v>
      </c>
      <c r="J2052">
        <v>4</v>
      </c>
      <c r="K2052" t="s">
        <v>103</v>
      </c>
      <c r="L2052" t="s">
        <v>124</v>
      </c>
      <c r="M2052">
        <f>orders[[#This Row],[Ship Date]]-orders[[#This Row],[Order Date]]</f>
        <v>2</v>
      </c>
      <c r="N2052">
        <f>WEEKNUM(orders[[#This Row],[Order Date]],1)</f>
        <v>12</v>
      </c>
      <c r="O2052" t="str">
        <f t="array" ref="O2052">_xlfn.IFS(orders[[#This Row],[Customer Gender]]="M","Male", orders[[#This Row],[Customer Gender]]="F","Female", orders[[#This Row],[Customer Gender]]="O","Other", TRUE(),"Unknown")</f>
        <v>Female</v>
      </c>
    </row>
    <row r="2053" spans="1:15" x14ac:dyDescent="0.25">
      <c r="A2053" t="s">
        <v>2281</v>
      </c>
      <c r="B2053" t="s">
        <v>77</v>
      </c>
      <c r="C2053">
        <v>2</v>
      </c>
      <c r="D2053">
        <v>26.8</v>
      </c>
      <c r="E2053">
        <v>53.6</v>
      </c>
      <c r="F2053" s="58">
        <v>45733</v>
      </c>
      <c r="G2053" s="58">
        <v>45734</v>
      </c>
      <c r="H2053" t="s">
        <v>229</v>
      </c>
      <c r="I2053" t="s">
        <v>59</v>
      </c>
      <c r="J2053">
        <v>4</v>
      </c>
      <c r="K2053" t="s">
        <v>103</v>
      </c>
      <c r="L2053" t="s">
        <v>134</v>
      </c>
      <c r="M2053">
        <f>orders[[#This Row],[Ship Date]]-orders[[#This Row],[Order Date]]</f>
        <v>1</v>
      </c>
      <c r="N2053">
        <f>WEEKNUM(orders[[#This Row],[Order Date]],1)</f>
        <v>12</v>
      </c>
      <c r="O2053" t="str">
        <f t="array" ref="O2053">_xlfn.IFS(orders[[#This Row],[Customer Gender]]="M","Male", orders[[#This Row],[Customer Gender]]="F","Female", orders[[#This Row],[Customer Gender]]="O","Other", TRUE(),"Unknown")</f>
        <v>Male</v>
      </c>
    </row>
    <row r="2054" spans="1:15" x14ac:dyDescent="0.25">
      <c r="A2054" t="s">
        <v>2282</v>
      </c>
      <c r="B2054" t="s">
        <v>86</v>
      </c>
      <c r="C2054">
        <v>3</v>
      </c>
      <c r="D2054">
        <v>11.3</v>
      </c>
      <c r="E2054">
        <v>33.9</v>
      </c>
      <c r="F2054" s="58">
        <v>45733</v>
      </c>
      <c r="G2054" s="58">
        <v>45735</v>
      </c>
      <c r="H2054" t="s">
        <v>229</v>
      </c>
      <c r="I2054" t="s">
        <v>62</v>
      </c>
      <c r="J2054">
        <v>4</v>
      </c>
      <c r="K2054" t="s">
        <v>103</v>
      </c>
      <c r="L2054" t="s">
        <v>135</v>
      </c>
      <c r="M2054">
        <f>orders[[#This Row],[Ship Date]]-orders[[#This Row],[Order Date]]</f>
        <v>2</v>
      </c>
      <c r="N2054">
        <f>WEEKNUM(orders[[#This Row],[Order Date]],1)</f>
        <v>12</v>
      </c>
      <c r="O2054" t="str">
        <f t="array" ref="O2054">_xlfn.IFS(orders[[#This Row],[Customer Gender]]="M","Male", orders[[#This Row],[Customer Gender]]="F","Female", orders[[#This Row],[Customer Gender]]="O","Other", TRUE(),"Unknown")</f>
        <v>Male</v>
      </c>
    </row>
    <row r="2055" spans="1:15" x14ac:dyDescent="0.25">
      <c r="A2055" t="s">
        <v>2283</v>
      </c>
      <c r="B2055" t="s">
        <v>80</v>
      </c>
      <c r="C2055">
        <v>3</v>
      </c>
      <c r="D2055">
        <v>60.1</v>
      </c>
      <c r="E2055">
        <v>180.3</v>
      </c>
      <c r="F2055" s="58">
        <v>45733</v>
      </c>
      <c r="G2055" s="58">
        <v>45736</v>
      </c>
      <c r="H2055" t="s">
        <v>231</v>
      </c>
      <c r="I2055" t="s">
        <v>59</v>
      </c>
      <c r="J2055">
        <v>4</v>
      </c>
      <c r="K2055" t="s">
        <v>103</v>
      </c>
      <c r="L2055" t="s">
        <v>141</v>
      </c>
      <c r="M2055">
        <f>orders[[#This Row],[Ship Date]]-orders[[#This Row],[Order Date]]</f>
        <v>3</v>
      </c>
      <c r="N2055">
        <f>WEEKNUM(orders[[#This Row],[Order Date]],1)</f>
        <v>12</v>
      </c>
      <c r="O2055" t="str">
        <f t="array" ref="O2055">_xlfn.IFS(orders[[#This Row],[Customer Gender]]="M","Male", orders[[#This Row],[Customer Gender]]="F","Female", orders[[#This Row],[Customer Gender]]="O","Other", TRUE(),"Unknown")</f>
        <v>Female</v>
      </c>
    </row>
    <row r="2056" spans="1:15" x14ac:dyDescent="0.25">
      <c r="A2056" t="s">
        <v>2284</v>
      </c>
      <c r="B2056" t="s">
        <v>86</v>
      </c>
      <c r="C2056">
        <v>11</v>
      </c>
      <c r="D2056">
        <v>27.7</v>
      </c>
      <c r="E2056">
        <v>304.7</v>
      </c>
      <c r="F2056" s="58">
        <v>45733</v>
      </c>
      <c r="G2056" s="58">
        <v>45738</v>
      </c>
      <c r="H2056" t="s">
        <v>231</v>
      </c>
      <c r="I2056" t="s">
        <v>59</v>
      </c>
      <c r="J2056">
        <v>4</v>
      </c>
      <c r="K2056" t="s">
        <v>103</v>
      </c>
      <c r="L2056" t="s">
        <v>142</v>
      </c>
      <c r="M2056">
        <f>orders[[#This Row],[Ship Date]]-orders[[#This Row],[Order Date]]</f>
        <v>5</v>
      </c>
      <c r="N2056">
        <f>WEEKNUM(orders[[#This Row],[Order Date]],1)</f>
        <v>12</v>
      </c>
      <c r="O2056" t="str">
        <f t="array" ref="O2056">_xlfn.IFS(orders[[#This Row],[Customer Gender]]="M","Male", orders[[#This Row],[Customer Gender]]="F","Female", orders[[#This Row],[Customer Gender]]="O","Other", TRUE(),"Unknown")</f>
        <v>Female</v>
      </c>
    </row>
    <row r="2057" spans="1:15" x14ac:dyDescent="0.25">
      <c r="A2057" t="s">
        <v>2285</v>
      </c>
      <c r="B2057" t="s">
        <v>77</v>
      </c>
      <c r="C2057">
        <v>1</v>
      </c>
      <c r="D2057">
        <v>71.400000000000006</v>
      </c>
      <c r="E2057">
        <v>71.400000000000006</v>
      </c>
      <c r="F2057" s="58">
        <v>45733</v>
      </c>
      <c r="G2057" s="58">
        <v>45736</v>
      </c>
      <c r="H2057" t="s">
        <v>229</v>
      </c>
      <c r="I2057" t="s">
        <v>59</v>
      </c>
      <c r="J2057">
        <v>5</v>
      </c>
      <c r="K2057" t="s">
        <v>103</v>
      </c>
      <c r="L2057" t="s">
        <v>142</v>
      </c>
      <c r="M2057">
        <f>orders[[#This Row],[Ship Date]]-orders[[#This Row],[Order Date]]</f>
        <v>3</v>
      </c>
      <c r="N2057">
        <f>WEEKNUM(orders[[#This Row],[Order Date]],1)</f>
        <v>12</v>
      </c>
      <c r="O2057" t="str">
        <f t="array" ref="O2057">_xlfn.IFS(orders[[#This Row],[Customer Gender]]="M","Male", orders[[#This Row],[Customer Gender]]="F","Female", orders[[#This Row],[Customer Gender]]="O","Other", TRUE(),"Unknown")</f>
        <v>Male</v>
      </c>
    </row>
    <row r="2058" spans="1:15" x14ac:dyDescent="0.25">
      <c r="A2058" t="s">
        <v>2286</v>
      </c>
      <c r="B2058" t="s">
        <v>87</v>
      </c>
      <c r="C2058">
        <v>2</v>
      </c>
      <c r="D2058">
        <v>66.7</v>
      </c>
      <c r="E2058">
        <v>133.4</v>
      </c>
      <c r="F2058" s="58">
        <v>45733</v>
      </c>
      <c r="G2058" s="58">
        <v>45734</v>
      </c>
      <c r="H2058" t="s">
        <v>231</v>
      </c>
      <c r="I2058" t="s">
        <v>59</v>
      </c>
      <c r="J2058">
        <v>5</v>
      </c>
      <c r="K2058" t="s">
        <v>103</v>
      </c>
      <c r="L2058" t="s">
        <v>142</v>
      </c>
      <c r="M2058">
        <f>orders[[#This Row],[Ship Date]]-orders[[#This Row],[Order Date]]</f>
        <v>1</v>
      </c>
      <c r="N2058">
        <f>WEEKNUM(orders[[#This Row],[Order Date]],1)</f>
        <v>12</v>
      </c>
      <c r="O2058" t="str">
        <f t="array" ref="O2058">_xlfn.IFS(orders[[#This Row],[Customer Gender]]="M","Male", orders[[#This Row],[Customer Gender]]="F","Female", orders[[#This Row],[Customer Gender]]="O","Other", TRUE(),"Unknown")</f>
        <v>Female</v>
      </c>
    </row>
    <row r="2059" spans="1:15" x14ac:dyDescent="0.25">
      <c r="A2059" t="s">
        <v>2287</v>
      </c>
      <c r="B2059" t="s">
        <v>92</v>
      </c>
      <c r="C2059">
        <v>5</v>
      </c>
      <c r="D2059">
        <v>39.1</v>
      </c>
      <c r="E2059">
        <v>195.5</v>
      </c>
      <c r="F2059" s="58">
        <v>45733</v>
      </c>
      <c r="G2059" s="58">
        <v>45734</v>
      </c>
      <c r="H2059" t="s">
        <v>231</v>
      </c>
      <c r="I2059" t="s">
        <v>59</v>
      </c>
      <c r="J2059">
        <v>4</v>
      </c>
      <c r="K2059" t="s">
        <v>103</v>
      </c>
      <c r="L2059" t="s">
        <v>142</v>
      </c>
      <c r="M2059">
        <f>orders[[#This Row],[Ship Date]]-orders[[#This Row],[Order Date]]</f>
        <v>1</v>
      </c>
      <c r="N2059">
        <f>WEEKNUM(orders[[#This Row],[Order Date]],1)</f>
        <v>12</v>
      </c>
      <c r="O2059" t="str">
        <f t="array" ref="O2059">_xlfn.IFS(orders[[#This Row],[Customer Gender]]="M","Male", orders[[#This Row],[Customer Gender]]="F","Female", orders[[#This Row],[Customer Gender]]="O","Other", TRUE(),"Unknown")</f>
        <v>Female</v>
      </c>
    </row>
    <row r="2060" spans="1:15" x14ac:dyDescent="0.25">
      <c r="A2060" t="s">
        <v>2288</v>
      </c>
      <c r="B2060" t="s">
        <v>90</v>
      </c>
      <c r="C2060">
        <v>4</v>
      </c>
      <c r="D2060">
        <v>24.9</v>
      </c>
      <c r="E2060">
        <v>99.6</v>
      </c>
      <c r="F2060" s="58">
        <v>45733</v>
      </c>
      <c r="G2060" s="58">
        <v>45738</v>
      </c>
      <c r="H2060" t="s">
        <v>229</v>
      </c>
      <c r="I2060" t="s">
        <v>63</v>
      </c>
      <c r="J2060">
        <v>5</v>
      </c>
      <c r="K2060" t="s">
        <v>103</v>
      </c>
      <c r="L2060" t="s">
        <v>142</v>
      </c>
      <c r="M2060">
        <f>orders[[#This Row],[Ship Date]]-orders[[#This Row],[Order Date]]</f>
        <v>5</v>
      </c>
      <c r="N2060">
        <f>WEEKNUM(orders[[#This Row],[Order Date]],1)</f>
        <v>12</v>
      </c>
      <c r="O2060" t="str">
        <f t="array" ref="O2060">_xlfn.IFS(orders[[#This Row],[Customer Gender]]="M","Male", orders[[#This Row],[Customer Gender]]="F","Female", orders[[#This Row],[Customer Gender]]="O","Other", TRUE(),"Unknown")</f>
        <v>Male</v>
      </c>
    </row>
    <row r="2061" spans="1:15" x14ac:dyDescent="0.25">
      <c r="A2061" t="s">
        <v>2289</v>
      </c>
      <c r="B2061" t="s">
        <v>85</v>
      </c>
      <c r="C2061">
        <v>5</v>
      </c>
      <c r="D2061">
        <v>29.2</v>
      </c>
      <c r="E2061">
        <v>146</v>
      </c>
      <c r="F2061" s="58">
        <v>45733</v>
      </c>
      <c r="G2061" s="58">
        <v>45734</v>
      </c>
      <c r="H2061" t="s">
        <v>229</v>
      </c>
      <c r="I2061" t="s">
        <v>59</v>
      </c>
      <c r="J2061">
        <v>5</v>
      </c>
      <c r="K2061" t="s">
        <v>103</v>
      </c>
      <c r="L2061" t="s">
        <v>143</v>
      </c>
      <c r="M2061">
        <f>orders[[#This Row],[Ship Date]]-orders[[#This Row],[Order Date]]</f>
        <v>1</v>
      </c>
      <c r="N2061">
        <f>WEEKNUM(orders[[#This Row],[Order Date]],1)</f>
        <v>12</v>
      </c>
      <c r="O2061" t="str">
        <f t="array" ref="O2061">_xlfn.IFS(orders[[#This Row],[Customer Gender]]="M","Male", orders[[#This Row],[Customer Gender]]="F","Female", orders[[#This Row],[Customer Gender]]="O","Other", TRUE(),"Unknown")</f>
        <v>Male</v>
      </c>
    </row>
    <row r="2062" spans="1:15" x14ac:dyDescent="0.25">
      <c r="A2062" t="s">
        <v>2290</v>
      </c>
      <c r="B2062" t="s">
        <v>92</v>
      </c>
      <c r="C2062">
        <v>14</v>
      </c>
      <c r="D2062">
        <v>28.3</v>
      </c>
      <c r="E2062">
        <v>396.2</v>
      </c>
      <c r="F2062" s="58">
        <v>45733</v>
      </c>
      <c r="G2062" s="58">
        <v>45735</v>
      </c>
      <c r="H2062" t="s">
        <v>231</v>
      </c>
      <c r="I2062" t="s">
        <v>63</v>
      </c>
      <c r="J2062">
        <v>4</v>
      </c>
      <c r="K2062" t="s">
        <v>103</v>
      </c>
      <c r="L2062" t="s">
        <v>148</v>
      </c>
      <c r="M2062">
        <f>orders[[#This Row],[Ship Date]]-orders[[#This Row],[Order Date]]</f>
        <v>2</v>
      </c>
      <c r="N2062">
        <f>WEEKNUM(orders[[#This Row],[Order Date]],1)</f>
        <v>12</v>
      </c>
      <c r="O2062" t="str">
        <f t="array" ref="O2062">_xlfn.IFS(orders[[#This Row],[Customer Gender]]="M","Male", orders[[#This Row],[Customer Gender]]="F","Female", orders[[#This Row],[Customer Gender]]="O","Other", TRUE(),"Unknown")</f>
        <v>Female</v>
      </c>
    </row>
    <row r="2063" spans="1:15" x14ac:dyDescent="0.25">
      <c r="A2063" t="s">
        <v>2291</v>
      </c>
      <c r="B2063" t="s">
        <v>88</v>
      </c>
      <c r="C2063">
        <v>3</v>
      </c>
      <c r="D2063">
        <v>37.799999999999997</v>
      </c>
      <c r="E2063">
        <v>113.4</v>
      </c>
      <c r="F2063" s="58">
        <v>45733</v>
      </c>
      <c r="G2063" s="58">
        <v>45734</v>
      </c>
      <c r="H2063" t="s">
        <v>231</v>
      </c>
      <c r="I2063" t="s">
        <v>59</v>
      </c>
      <c r="J2063">
        <v>3</v>
      </c>
      <c r="K2063" t="s">
        <v>103</v>
      </c>
      <c r="L2063" t="s">
        <v>148</v>
      </c>
      <c r="M2063">
        <f>orders[[#This Row],[Ship Date]]-orders[[#This Row],[Order Date]]</f>
        <v>1</v>
      </c>
      <c r="N2063">
        <f>WEEKNUM(orders[[#This Row],[Order Date]],1)</f>
        <v>12</v>
      </c>
      <c r="O2063" t="str">
        <f t="array" ref="O2063">_xlfn.IFS(orders[[#This Row],[Customer Gender]]="M","Male", orders[[#This Row],[Customer Gender]]="F","Female", orders[[#This Row],[Customer Gender]]="O","Other", TRUE(),"Unknown")</f>
        <v>Female</v>
      </c>
    </row>
    <row r="2064" spans="1:15" x14ac:dyDescent="0.25">
      <c r="A2064" t="s">
        <v>2292</v>
      </c>
      <c r="B2064" t="s">
        <v>74</v>
      </c>
      <c r="C2064">
        <v>7</v>
      </c>
      <c r="D2064">
        <v>28.1</v>
      </c>
      <c r="E2064">
        <v>196.7</v>
      </c>
      <c r="F2064" s="58">
        <v>45733</v>
      </c>
      <c r="G2064" s="58">
        <v>45739</v>
      </c>
      <c r="H2064" t="s">
        <v>231</v>
      </c>
      <c r="I2064" t="s">
        <v>62</v>
      </c>
      <c r="J2064">
        <v>4</v>
      </c>
      <c r="K2064" t="s">
        <v>103</v>
      </c>
      <c r="L2064" t="s">
        <v>148</v>
      </c>
      <c r="M2064">
        <f>orders[[#This Row],[Ship Date]]-orders[[#This Row],[Order Date]]</f>
        <v>6</v>
      </c>
      <c r="N2064">
        <f>WEEKNUM(orders[[#This Row],[Order Date]],1)</f>
        <v>12</v>
      </c>
      <c r="O2064" t="str">
        <f t="array" ref="O2064">_xlfn.IFS(orders[[#This Row],[Customer Gender]]="M","Male", orders[[#This Row],[Customer Gender]]="F","Female", orders[[#This Row],[Customer Gender]]="O","Other", TRUE(),"Unknown")</f>
        <v>Female</v>
      </c>
    </row>
    <row r="2065" spans="1:15" x14ac:dyDescent="0.25">
      <c r="A2065" t="s">
        <v>2293</v>
      </c>
      <c r="B2065" t="s">
        <v>91</v>
      </c>
      <c r="C2065">
        <v>3</v>
      </c>
      <c r="D2065">
        <v>59.7</v>
      </c>
      <c r="E2065">
        <v>179.1</v>
      </c>
      <c r="F2065" s="58">
        <v>45733</v>
      </c>
      <c r="G2065" s="58">
        <v>45735</v>
      </c>
      <c r="H2065" t="s">
        <v>231</v>
      </c>
      <c r="I2065" t="s">
        <v>62</v>
      </c>
      <c r="J2065">
        <v>4</v>
      </c>
      <c r="K2065" t="s">
        <v>103</v>
      </c>
      <c r="L2065" t="s">
        <v>148</v>
      </c>
      <c r="M2065">
        <f>orders[[#This Row],[Ship Date]]-orders[[#This Row],[Order Date]]</f>
        <v>2</v>
      </c>
      <c r="N2065">
        <f>WEEKNUM(orders[[#This Row],[Order Date]],1)</f>
        <v>12</v>
      </c>
      <c r="O2065" t="str">
        <f t="array" ref="O2065">_xlfn.IFS(orders[[#This Row],[Customer Gender]]="M","Male", orders[[#This Row],[Customer Gender]]="F","Female", orders[[#This Row],[Customer Gender]]="O","Other", TRUE(),"Unknown")</f>
        <v>Female</v>
      </c>
    </row>
    <row r="2066" spans="1:15" x14ac:dyDescent="0.25">
      <c r="A2066" t="s">
        <v>2294</v>
      </c>
      <c r="B2066" t="s">
        <v>89</v>
      </c>
      <c r="C2066">
        <v>1</v>
      </c>
      <c r="D2066">
        <v>71.900000000000006</v>
      </c>
      <c r="E2066">
        <v>71.900000000000006</v>
      </c>
      <c r="F2066" s="58">
        <v>45733</v>
      </c>
      <c r="G2066" s="58">
        <v>45734</v>
      </c>
      <c r="H2066" t="s">
        <v>229</v>
      </c>
      <c r="I2066" t="s">
        <v>63</v>
      </c>
      <c r="J2066">
        <v>3</v>
      </c>
      <c r="K2066" t="s">
        <v>103</v>
      </c>
      <c r="L2066" t="s">
        <v>148</v>
      </c>
      <c r="M2066">
        <f>orders[[#This Row],[Ship Date]]-orders[[#This Row],[Order Date]]</f>
        <v>1</v>
      </c>
      <c r="N2066">
        <f>WEEKNUM(orders[[#This Row],[Order Date]],1)</f>
        <v>12</v>
      </c>
      <c r="O2066" t="str">
        <f t="array" ref="O2066">_xlfn.IFS(orders[[#This Row],[Customer Gender]]="M","Male", orders[[#This Row],[Customer Gender]]="F","Female", orders[[#This Row],[Customer Gender]]="O","Other", TRUE(),"Unknown")</f>
        <v>Male</v>
      </c>
    </row>
    <row r="2067" spans="1:15" x14ac:dyDescent="0.25">
      <c r="A2067" t="s">
        <v>2295</v>
      </c>
      <c r="B2067" t="s">
        <v>91</v>
      </c>
      <c r="C2067">
        <v>2</v>
      </c>
      <c r="D2067">
        <v>56.9</v>
      </c>
      <c r="E2067">
        <v>113.8</v>
      </c>
      <c r="F2067" s="58">
        <v>45733</v>
      </c>
      <c r="G2067" s="58">
        <v>45734</v>
      </c>
      <c r="H2067" t="s">
        <v>229</v>
      </c>
      <c r="I2067" t="s">
        <v>62</v>
      </c>
      <c r="J2067">
        <v>4</v>
      </c>
      <c r="K2067" t="s">
        <v>103</v>
      </c>
      <c r="L2067" t="s">
        <v>161</v>
      </c>
      <c r="M2067">
        <f>orders[[#This Row],[Ship Date]]-orders[[#This Row],[Order Date]]</f>
        <v>1</v>
      </c>
      <c r="N2067">
        <f>WEEKNUM(orders[[#This Row],[Order Date]],1)</f>
        <v>12</v>
      </c>
      <c r="O2067" t="str">
        <f t="array" ref="O2067">_xlfn.IFS(orders[[#This Row],[Customer Gender]]="M","Male", orders[[#This Row],[Customer Gender]]="F","Female", orders[[#This Row],[Customer Gender]]="O","Other", TRUE(),"Unknown")</f>
        <v>Male</v>
      </c>
    </row>
    <row r="2068" spans="1:15" x14ac:dyDescent="0.25">
      <c r="A2068" t="s">
        <v>2296</v>
      </c>
      <c r="B2068" t="s">
        <v>90</v>
      </c>
      <c r="C2068">
        <v>2</v>
      </c>
      <c r="D2068">
        <v>15.8</v>
      </c>
      <c r="E2068">
        <v>31.6</v>
      </c>
      <c r="F2068" s="58">
        <v>45733</v>
      </c>
      <c r="G2068" s="58">
        <v>45736</v>
      </c>
      <c r="H2068" t="s">
        <v>231</v>
      </c>
      <c r="I2068" t="s">
        <v>62</v>
      </c>
      <c r="J2068">
        <v>3</v>
      </c>
      <c r="K2068" t="s">
        <v>103</v>
      </c>
      <c r="L2068" t="s">
        <v>112</v>
      </c>
      <c r="M2068">
        <f>orders[[#This Row],[Ship Date]]-orders[[#This Row],[Order Date]]</f>
        <v>3</v>
      </c>
      <c r="N2068">
        <f>WEEKNUM(orders[[#This Row],[Order Date]],1)</f>
        <v>12</v>
      </c>
      <c r="O2068" t="str">
        <f t="array" ref="O2068">_xlfn.IFS(orders[[#This Row],[Customer Gender]]="M","Male", orders[[#This Row],[Customer Gender]]="F","Female", orders[[#This Row],[Customer Gender]]="O","Other", TRUE(),"Unknown")</f>
        <v>Female</v>
      </c>
    </row>
    <row r="2069" spans="1:15" x14ac:dyDescent="0.25">
      <c r="A2069" t="s">
        <v>2297</v>
      </c>
      <c r="B2069" t="s">
        <v>83</v>
      </c>
      <c r="C2069">
        <v>4</v>
      </c>
      <c r="D2069">
        <v>61.7</v>
      </c>
      <c r="E2069">
        <v>246.8</v>
      </c>
      <c r="F2069" s="58">
        <v>45733</v>
      </c>
      <c r="G2069" s="58">
        <v>45735</v>
      </c>
      <c r="H2069" t="s">
        <v>231</v>
      </c>
      <c r="I2069" t="s">
        <v>62</v>
      </c>
      <c r="J2069">
        <v>4</v>
      </c>
      <c r="K2069" t="s">
        <v>103</v>
      </c>
      <c r="L2069" t="s">
        <v>120</v>
      </c>
      <c r="M2069">
        <f>orders[[#This Row],[Ship Date]]-orders[[#This Row],[Order Date]]</f>
        <v>2</v>
      </c>
      <c r="N2069">
        <f>WEEKNUM(orders[[#This Row],[Order Date]],1)</f>
        <v>12</v>
      </c>
      <c r="O2069" t="str">
        <f t="array" ref="O2069">_xlfn.IFS(orders[[#This Row],[Customer Gender]]="M","Male", orders[[#This Row],[Customer Gender]]="F","Female", orders[[#This Row],[Customer Gender]]="O","Other", TRUE(),"Unknown")</f>
        <v>Female</v>
      </c>
    </row>
    <row r="2070" spans="1:15" x14ac:dyDescent="0.25">
      <c r="A2070" t="s">
        <v>2298</v>
      </c>
      <c r="B2070" t="s">
        <v>87</v>
      </c>
      <c r="C2070">
        <v>10</v>
      </c>
      <c r="D2070">
        <v>105.2</v>
      </c>
      <c r="E2070">
        <v>1052</v>
      </c>
      <c r="F2070" s="58">
        <v>45733</v>
      </c>
      <c r="G2070" s="58">
        <v>45735</v>
      </c>
      <c r="H2070" t="s">
        <v>229</v>
      </c>
      <c r="I2070" t="s">
        <v>63</v>
      </c>
      <c r="J2070">
        <v>2</v>
      </c>
      <c r="K2070" t="s">
        <v>103</v>
      </c>
      <c r="L2070" t="s">
        <v>124</v>
      </c>
      <c r="M2070">
        <f>orders[[#This Row],[Ship Date]]-orders[[#This Row],[Order Date]]</f>
        <v>2</v>
      </c>
      <c r="N2070">
        <f>WEEKNUM(orders[[#This Row],[Order Date]],1)</f>
        <v>12</v>
      </c>
      <c r="O2070" t="str">
        <f t="array" ref="O2070">_xlfn.IFS(orders[[#This Row],[Customer Gender]]="M","Male", orders[[#This Row],[Customer Gender]]="F","Female", orders[[#This Row],[Customer Gender]]="O","Other", TRUE(),"Unknown")</f>
        <v>Male</v>
      </c>
    </row>
    <row r="2071" spans="1:15" x14ac:dyDescent="0.25">
      <c r="A2071" t="s">
        <v>2299</v>
      </c>
      <c r="B2071" t="s">
        <v>86</v>
      </c>
      <c r="C2071">
        <v>2</v>
      </c>
      <c r="D2071">
        <v>17</v>
      </c>
      <c r="E2071">
        <v>34</v>
      </c>
      <c r="F2071" s="58">
        <v>45733</v>
      </c>
      <c r="G2071" s="58">
        <v>45735</v>
      </c>
      <c r="H2071" t="s">
        <v>231</v>
      </c>
      <c r="I2071" t="s">
        <v>62</v>
      </c>
      <c r="J2071">
        <v>4</v>
      </c>
      <c r="K2071" t="s">
        <v>103</v>
      </c>
      <c r="L2071" t="s">
        <v>124</v>
      </c>
      <c r="M2071">
        <f>orders[[#This Row],[Ship Date]]-orders[[#This Row],[Order Date]]</f>
        <v>2</v>
      </c>
      <c r="N2071">
        <f>WEEKNUM(orders[[#This Row],[Order Date]],1)</f>
        <v>12</v>
      </c>
      <c r="O2071" t="str">
        <f t="array" ref="O2071">_xlfn.IFS(orders[[#This Row],[Customer Gender]]="M","Male", orders[[#This Row],[Customer Gender]]="F","Female", orders[[#This Row],[Customer Gender]]="O","Other", TRUE(),"Unknown")</f>
        <v>Female</v>
      </c>
    </row>
    <row r="2072" spans="1:15" x14ac:dyDescent="0.25">
      <c r="A2072" t="s">
        <v>2300</v>
      </c>
      <c r="B2072" t="s">
        <v>80</v>
      </c>
      <c r="C2072">
        <v>3</v>
      </c>
      <c r="D2072">
        <v>84.1</v>
      </c>
      <c r="E2072">
        <v>252.3</v>
      </c>
      <c r="F2072" s="58">
        <v>45733</v>
      </c>
      <c r="G2072" s="58">
        <v>45734</v>
      </c>
      <c r="H2072" t="s">
        <v>229</v>
      </c>
      <c r="I2072" t="s">
        <v>62</v>
      </c>
      <c r="J2072">
        <v>4</v>
      </c>
      <c r="K2072" t="s">
        <v>103</v>
      </c>
      <c r="L2072" t="s">
        <v>124</v>
      </c>
      <c r="M2072">
        <f>orders[[#This Row],[Ship Date]]-orders[[#This Row],[Order Date]]</f>
        <v>1</v>
      </c>
      <c r="N2072">
        <f>WEEKNUM(orders[[#This Row],[Order Date]],1)</f>
        <v>12</v>
      </c>
      <c r="O2072" t="str">
        <f t="array" ref="O2072">_xlfn.IFS(orders[[#This Row],[Customer Gender]]="M","Male", orders[[#This Row],[Customer Gender]]="F","Female", orders[[#This Row],[Customer Gender]]="O","Other", TRUE(),"Unknown")</f>
        <v>Male</v>
      </c>
    </row>
    <row r="2073" spans="1:15" x14ac:dyDescent="0.25">
      <c r="A2073" t="s">
        <v>2301</v>
      </c>
      <c r="B2073" t="s">
        <v>93</v>
      </c>
      <c r="C2073">
        <v>4</v>
      </c>
      <c r="D2073">
        <v>59.5</v>
      </c>
      <c r="E2073">
        <v>238</v>
      </c>
      <c r="F2073" s="58">
        <v>45733</v>
      </c>
      <c r="G2073" s="58">
        <v>45738</v>
      </c>
      <c r="H2073" t="s">
        <v>229</v>
      </c>
      <c r="I2073" t="s">
        <v>59</v>
      </c>
      <c r="J2073">
        <v>5</v>
      </c>
      <c r="K2073" t="s">
        <v>103</v>
      </c>
      <c r="L2073" t="s">
        <v>124</v>
      </c>
      <c r="M2073">
        <f>orders[[#This Row],[Ship Date]]-orders[[#This Row],[Order Date]]</f>
        <v>5</v>
      </c>
      <c r="N2073">
        <f>WEEKNUM(orders[[#This Row],[Order Date]],1)</f>
        <v>12</v>
      </c>
      <c r="O2073" t="str">
        <f t="array" ref="O2073">_xlfn.IFS(orders[[#This Row],[Customer Gender]]="M","Male", orders[[#This Row],[Customer Gender]]="F","Female", orders[[#This Row],[Customer Gender]]="O","Other", TRUE(),"Unknown")</f>
        <v>Male</v>
      </c>
    </row>
    <row r="2074" spans="1:15" x14ac:dyDescent="0.25">
      <c r="A2074" t="s">
        <v>2302</v>
      </c>
      <c r="B2074" t="s">
        <v>90</v>
      </c>
      <c r="C2074">
        <v>2</v>
      </c>
      <c r="D2074">
        <v>57.5</v>
      </c>
      <c r="E2074">
        <v>115</v>
      </c>
      <c r="F2074" s="58">
        <v>45733</v>
      </c>
      <c r="G2074" s="58">
        <v>45735</v>
      </c>
      <c r="H2074" t="s">
        <v>229</v>
      </c>
      <c r="I2074" t="s">
        <v>63</v>
      </c>
      <c r="J2074">
        <v>5</v>
      </c>
      <c r="K2074" t="s">
        <v>103</v>
      </c>
      <c r="L2074" t="s">
        <v>124</v>
      </c>
      <c r="M2074">
        <f>orders[[#This Row],[Ship Date]]-orders[[#This Row],[Order Date]]</f>
        <v>2</v>
      </c>
      <c r="N2074">
        <f>WEEKNUM(orders[[#This Row],[Order Date]],1)</f>
        <v>12</v>
      </c>
      <c r="O2074" t="str">
        <f t="array" ref="O2074">_xlfn.IFS(orders[[#This Row],[Customer Gender]]="M","Male", orders[[#This Row],[Customer Gender]]="F","Female", orders[[#This Row],[Customer Gender]]="O","Other", TRUE(),"Unknown")</f>
        <v>Male</v>
      </c>
    </row>
    <row r="2075" spans="1:15" x14ac:dyDescent="0.25">
      <c r="A2075" t="s">
        <v>2303</v>
      </c>
      <c r="B2075" t="s">
        <v>90</v>
      </c>
      <c r="C2075">
        <v>1</v>
      </c>
      <c r="D2075">
        <v>34.299999999999997</v>
      </c>
      <c r="E2075">
        <v>34.299999999999997</v>
      </c>
      <c r="F2075" s="58">
        <v>45733</v>
      </c>
      <c r="G2075" s="58">
        <v>45734</v>
      </c>
      <c r="H2075" t="s">
        <v>231</v>
      </c>
      <c r="I2075" t="s">
        <v>61</v>
      </c>
      <c r="J2075">
        <v>5</v>
      </c>
      <c r="K2075" t="s">
        <v>103</v>
      </c>
      <c r="L2075" t="s">
        <v>124</v>
      </c>
      <c r="M2075">
        <f>orders[[#This Row],[Ship Date]]-orders[[#This Row],[Order Date]]</f>
        <v>1</v>
      </c>
      <c r="N2075">
        <f>WEEKNUM(orders[[#This Row],[Order Date]],1)</f>
        <v>12</v>
      </c>
      <c r="O2075" t="str">
        <f t="array" ref="O2075">_xlfn.IFS(orders[[#This Row],[Customer Gender]]="M","Male", orders[[#This Row],[Customer Gender]]="F","Female", orders[[#This Row],[Customer Gender]]="O","Other", TRUE(),"Unknown")</f>
        <v>Female</v>
      </c>
    </row>
    <row r="2076" spans="1:15" x14ac:dyDescent="0.25">
      <c r="A2076" t="s">
        <v>2304</v>
      </c>
      <c r="B2076" t="s">
        <v>85</v>
      </c>
      <c r="C2076">
        <v>2</v>
      </c>
      <c r="D2076">
        <v>27.8</v>
      </c>
      <c r="E2076">
        <v>55.6</v>
      </c>
      <c r="F2076" s="58">
        <v>45734</v>
      </c>
      <c r="G2076" s="58">
        <v>45736</v>
      </c>
      <c r="H2076" t="s">
        <v>231</v>
      </c>
      <c r="I2076" t="s">
        <v>59</v>
      </c>
      <c r="J2076">
        <v>4</v>
      </c>
      <c r="K2076" t="s">
        <v>103</v>
      </c>
      <c r="L2076" t="s">
        <v>124</v>
      </c>
      <c r="M2076">
        <f>orders[[#This Row],[Ship Date]]-orders[[#This Row],[Order Date]]</f>
        <v>2</v>
      </c>
      <c r="N2076">
        <f>WEEKNUM(orders[[#This Row],[Order Date]],1)</f>
        <v>12</v>
      </c>
      <c r="O2076" t="str">
        <f t="array" ref="O2076">_xlfn.IFS(orders[[#This Row],[Customer Gender]]="M","Male", orders[[#This Row],[Customer Gender]]="F","Female", orders[[#This Row],[Customer Gender]]="O","Other", TRUE(),"Unknown")</f>
        <v>Female</v>
      </c>
    </row>
    <row r="2077" spans="1:15" x14ac:dyDescent="0.25">
      <c r="A2077" t="s">
        <v>2305</v>
      </c>
      <c r="B2077" t="s">
        <v>76</v>
      </c>
      <c r="C2077">
        <v>2</v>
      </c>
      <c r="D2077">
        <v>85</v>
      </c>
      <c r="E2077">
        <v>170</v>
      </c>
      <c r="F2077" s="58">
        <v>45734</v>
      </c>
      <c r="G2077" s="58">
        <v>45734</v>
      </c>
      <c r="H2077" t="s">
        <v>229</v>
      </c>
      <c r="I2077" t="s">
        <v>62</v>
      </c>
      <c r="J2077">
        <v>5</v>
      </c>
      <c r="K2077" t="s">
        <v>103</v>
      </c>
      <c r="L2077" t="s">
        <v>124</v>
      </c>
      <c r="M2077">
        <f>orders[[#This Row],[Ship Date]]-orders[[#This Row],[Order Date]]</f>
        <v>0</v>
      </c>
      <c r="N2077">
        <f>WEEKNUM(orders[[#This Row],[Order Date]],1)</f>
        <v>12</v>
      </c>
      <c r="O2077" t="str">
        <f t="array" ref="O2077">_xlfn.IFS(orders[[#This Row],[Customer Gender]]="M","Male", orders[[#This Row],[Customer Gender]]="F","Female", orders[[#This Row],[Customer Gender]]="O","Other", TRUE(),"Unknown")</f>
        <v>Male</v>
      </c>
    </row>
    <row r="2078" spans="1:15" x14ac:dyDescent="0.25">
      <c r="A2078" t="s">
        <v>2306</v>
      </c>
      <c r="B2078" t="s">
        <v>80</v>
      </c>
      <c r="C2078">
        <v>2</v>
      </c>
      <c r="D2078">
        <v>95</v>
      </c>
      <c r="E2078">
        <v>190</v>
      </c>
      <c r="F2078" s="58">
        <v>45734</v>
      </c>
      <c r="G2078" s="58">
        <v>45736</v>
      </c>
      <c r="H2078" t="s">
        <v>231</v>
      </c>
      <c r="I2078" t="s">
        <v>59</v>
      </c>
      <c r="J2078">
        <v>4</v>
      </c>
      <c r="K2078" t="s">
        <v>103</v>
      </c>
      <c r="L2078" t="s">
        <v>124</v>
      </c>
      <c r="M2078">
        <f>orders[[#This Row],[Ship Date]]-orders[[#This Row],[Order Date]]</f>
        <v>2</v>
      </c>
      <c r="N2078">
        <f>WEEKNUM(orders[[#This Row],[Order Date]],1)</f>
        <v>12</v>
      </c>
      <c r="O2078" t="str">
        <f t="array" ref="O2078">_xlfn.IFS(orders[[#This Row],[Customer Gender]]="M","Male", orders[[#This Row],[Customer Gender]]="F","Female", orders[[#This Row],[Customer Gender]]="O","Other", TRUE(),"Unknown")</f>
        <v>Female</v>
      </c>
    </row>
    <row r="2079" spans="1:15" x14ac:dyDescent="0.25">
      <c r="A2079" t="s">
        <v>2307</v>
      </c>
      <c r="B2079" t="s">
        <v>89</v>
      </c>
      <c r="C2079">
        <v>2</v>
      </c>
      <c r="D2079">
        <v>32</v>
      </c>
      <c r="E2079">
        <v>64</v>
      </c>
      <c r="F2079" s="58">
        <v>45734</v>
      </c>
      <c r="G2079" s="58">
        <v>45736</v>
      </c>
      <c r="H2079" t="s">
        <v>229</v>
      </c>
      <c r="I2079" t="s">
        <v>59</v>
      </c>
      <c r="J2079">
        <v>3</v>
      </c>
      <c r="K2079" t="s">
        <v>103</v>
      </c>
      <c r="L2079" t="s">
        <v>124</v>
      </c>
      <c r="M2079">
        <f>orders[[#This Row],[Ship Date]]-orders[[#This Row],[Order Date]]</f>
        <v>2</v>
      </c>
      <c r="N2079">
        <f>WEEKNUM(orders[[#This Row],[Order Date]],1)</f>
        <v>12</v>
      </c>
      <c r="O2079" t="str">
        <f t="array" ref="O2079">_xlfn.IFS(orders[[#This Row],[Customer Gender]]="M","Male", orders[[#This Row],[Customer Gender]]="F","Female", orders[[#This Row],[Customer Gender]]="O","Other", TRUE(),"Unknown")</f>
        <v>Male</v>
      </c>
    </row>
    <row r="2080" spans="1:15" x14ac:dyDescent="0.25">
      <c r="A2080" t="s">
        <v>2308</v>
      </c>
      <c r="B2080" t="s">
        <v>87</v>
      </c>
      <c r="C2080">
        <v>2</v>
      </c>
      <c r="D2080">
        <v>65.2</v>
      </c>
      <c r="E2080">
        <v>130.4</v>
      </c>
      <c r="F2080" s="58">
        <v>45734</v>
      </c>
      <c r="G2080" s="58">
        <v>45735</v>
      </c>
      <c r="H2080" t="s">
        <v>231</v>
      </c>
      <c r="I2080" t="s">
        <v>63</v>
      </c>
      <c r="J2080">
        <v>4</v>
      </c>
      <c r="K2080" t="s">
        <v>103</v>
      </c>
      <c r="L2080" t="s">
        <v>124</v>
      </c>
      <c r="M2080">
        <f>orders[[#This Row],[Ship Date]]-orders[[#This Row],[Order Date]]</f>
        <v>1</v>
      </c>
      <c r="N2080">
        <f>WEEKNUM(orders[[#This Row],[Order Date]],1)</f>
        <v>12</v>
      </c>
      <c r="O2080" t="str">
        <f t="array" ref="O2080">_xlfn.IFS(orders[[#This Row],[Customer Gender]]="M","Male", orders[[#This Row],[Customer Gender]]="F","Female", orders[[#This Row],[Customer Gender]]="O","Other", TRUE(),"Unknown")</f>
        <v>Female</v>
      </c>
    </row>
    <row r="2081" spans="1:15" x14ac:dyDescent="0.25">
      <c r="A2081" t="s">
        <v>2309</v>
      </c>
      <c r="B2081" t="s">
        <v>84</v>
      </c>
      <c r="C2081">
        <v>4</v>
      </c>
      <c r="D2081">
        <v>22</v>
      </c>
      <c r="E2081">
        <v>88</v>
      </c>
      <c r="F2081" s="58">
        <v>45734</v>
      </c>
      <c r="G2081" s="58">
        <v>45735</v>
      </c>
      <c r="H2081" t="s">
        <v>229</v>
      </c>
      <c r="I2081" t="s">
        <v>63</v>
      </c>
      <c r="J2081">
        <v>5</v>
      </c>
      <c r="K2081" t="s">
        <v>103</v>
      </c>
      <c r="L2081" t="s">
        <v>124</v>
      </c>
      <c r="M2081">
        <f>orders[[#This Row],[Ship Date]]-orders[[#This Row],[Order Date]]</f>
        <v>1</v>
      </c>
      <c r="N2081">
        <f>WEEKNUM(orders[[#This Row],[Order Date]],1)</f>
        <v>12</v>
      </c>
      <c r="O2081" t="str">
        <f t="array" ref="O2081">_xlfn.IFS(orders[[#This Row],[Customer Gender]]="M","Male", orders[[#This Row],[Customer Gender]]="F","Female", orders[[#This Row],[Customer Gender]]="O","Other", TRUE(),"Unknown")</f>
        <v>Male</v>
      </c>
    </row>
    <row r="2082" spans="1:15" x14ac:dyDescent="0.25">
      <c r="A2082" t="s">
        <v>2310</v>
      </c>
      <c r="B2082" t="s">
        <v>77</v>
      </c>
      <c r="C2082">
        <v>3</v>
      </c>
      <c r="D2082">
        <v>69.400000000000006</v>
      </c>
      <c r="E2082">
        <v>208.2</v>
      </c>
      <c r="F2082" s="58">
        <v>45734</v>
      </c>
      <c r="G2082" s="58">
        <v>45737</v>
      </c>
      <c r="H2082" t="s">
        <v>229</v>
      </c>
      <c r="I2082" t="s">
        <v>63</v>
      </c>
      <c r="J2082">
        <v>5</v>
      </c>
      <c r="K2082" t="s">
        <v>103</v>
      </c>
      <c r="L2082" t="s">
        <v>124</v>
      </c>
      <c r="M2082">
        <f>orders[[#This Row],[Ship Date]]-orders[[#This Row],[Order Date]]</f>
        <v>3</v>
      </c>
      <c r="N2082">
        <f>WEEKNUM(orders[[#This Row],[Order Date]],1)</f>
        <v>12</v>
      </c>
      <c r="O2082" t="str">
        <f t="array" ref="O2082">_xlfn.IFS(orders[[#This Row],[Customer Gender]]="M","Male", orders[[#This Row],[Customer Gender]]="F","Female", orders[[#This Row],[Customer Gender]]="O","Other", TRUE(),"Unknown")</f>
        <v>Male</v>
      </c>
    </row>
    <row r="2083" spans="1:15" x14ac:dyDescent="0.25">
      <c r="A2083" t="s">
        <v>2311</v>
      </c>
      <c r="B2083" t="s">
        <v>75</v>
      </c>
      <c r="C2083">
        <v>6</v>
      </c>
      <c r="D2083">
        <v>31.5</v>
      </c>
      <c r="E2083">
        <v>189</v>
      </c>
      <c r="F2083" s="58">
        <v>45734</v>
      </c>
      <c r="G2083" s="58">
        <v>45736</v>
      </c>
      <c r="H2083" t="s">
        <v>231</v>
      </c>
      <c r="I2083" t="s">
        <v>59</v>
      </c>
      <c r="J2083">
        <v>5</v>
      </c>
      <c r="K2083" t="s">
        <v>103</v>
      </c>
      <c r="L2083" t="s">
        <v>124</v>
      </c>
      <c r="M2083">
        <f>orders[[#This Row],[Ship Date]]-orders[[#This Row],[Order Date]]</f>
        <v>2</v>
      </c>
      <c r="N2083">
        <f>WEEKNUM(orders[[#This Row],[Order Date]],1)</f>
        <v>12</v>
      </c>
      <c r="O2083" t="str">
        <f t="array" ref="O2083">_xlfn.IFS(orders[[#This Row],[Customer Gender]]="M","Male", orders[[#This Row],[Customer Gender]]="F","Female", orders[[#This Row],[Customer Gender]]="O","Other", TRUE(),"Unknown")</f>
        <v>Female</v>
      </c>
    </row>
    <row r="2084" spans="1:15" x14ac:dyDescent="0.25">
      <c r="A2084" t="s">
        <v>2312</v>
      </c>
      <c r="B2084" t="s">
        <v>80</v>
      </c>
      <c r="C2084">
        <v>1</v>
      </c>
      <c r="D2084">
        <v>45.8</v>
      </c>
      <c r="E2084">
        <v>45.8</v>
      </c>
      <c r="F2084" s="58">
        <v>45734</v>
      </c>
      <c r="G2084" s="58">
        <v>45738</v>
      </c>
      <c r="H2084" t="s">
        <v>263</v>
      </c>
      <c r="I2084" t="s">
        <v>59</v>
      </c>
      <c r="J2084">
        <v>4</v>
      </c>
      <c r="K2084" t="s">
        <v>103</v>
      </c>
      <c r="L2084" t="s">
        <v>124</v>
      </c>
      <c r="M2084">
        <f>orders[[#This Row],[Ship Date]]-orders[[#This Row],[Order Date]]</f>
        <v>4</v>
      </c>
      <c r="N2084">
        <f>WEEKNUM(orders[[#This Row],[Order Date]],1)</f>
        <v>12</v>
      </c>
      <c r="O2084" t="str">
        <f t="array" ref="O2084">_xlfn.IFS(orders[[#This Row],[Customer Gender]]="M","Male", orders[[#This Row],[Customer Gender]]="F","Female", orders[[#This Row],[Customer Gender]]="O","Other", TRUE(),"Unknown")</f>
        <v>Other</v>
      </c>
    </row>
    <row r="2085" spans="1:15" x14ac:dyDescent="0.25">
      <c r="A2085" t="s">
        <v>2313</v>
      </c>
      <c r="B2085" t="s">
        <v>81</v>
      </c>
      <c r="C2085">
        <v>4</v>
      </c>
      <c r="D2085">
        <v>12.8</v>
      </c>
      <c r="E2085">
        <v>51.2</v>
      </c>
      <c r="F2085" s="58">
        <v>45734</v>
      </c>
      <c r="G2085" s="58">
        <v>45741</v>
      </c>
      <c r="H2085" t="s">
        <v>231</v>
      </c>
      <c r="I2085" t="s">
        <v>63</v>
      </c>
      <c r="J2085">
        <v>3</v>
      </c>
      <c r="K2085" t="s">
        <v>103</v>
      </c>
      <c r="L2085" t="s">
        <v>136</v>
      </c>
      <c r="M2085">
        <f>orders[[#This Row],[Ship Date]]-orders[[#This Row],[Order Date]]</f>
        <v>7</v>
      </c>
      <c r="N2085">
        <f>WEEKNUM(orders[[#This Row],[Order Date]],1)</f>
        <v>12</v>
      </c>
      <c r="O2085" t="str">
        <f t="array" ref="O2085">_xlfn.IFS(orders[[#This Row],[Customer Gender]]="M","Male", orders[[#This Row],[Customer Gender]]="F","Female", orders[[#This Row],[Customer Gender]]="O","Other", TRUE(),"Unknown")</f>
        <v>Female</v>
      </c>
    </row>
    <row r="2086" spans="1:15" x14ac:dyDescent="0.25">
      <c r="A2086" t="s">
        <v>2314</v>
      </c>
      <c r="B2086" t="s">
        <v>85</v>
      </c>
      <c r="C2086">
        <v>3</v>
      </c>
      <c r="D2086">
        <v>115.3</v>
      </c>
      <c r="E2086">
        <v>345.9</v>
      </c>
      <c r="F2086" s="58">
        <v>45734</v>
      </c>
      <c r="G2086" s="58">
        <v>45735</v>
      </c>
      <c r="H2086" t="s">
        <v>231</v>
      </c>
      <c r="I2086" t="s">
        <v>62</v>
      </c>
      <c r="J2086">
        <v>5</v>
      </c>
      <c r="K2086" t="s">
        <v>103</v>
      </c>
      <c r="L2086" t="s">
        <v>139</v>
      </c>
      <c r="M2086">
        <f>orders[[#This Row],[Ship Date]]-orders[[#This Row],[Order Date]]</f>
        <v>1</v>
      </c>
      <c r="N2086">
        <f>WEEKNUM(orders[[#This Row],[Order Date]],1)</f>
        <v>12</v>
      </c>
      <c r="O2086" t="str">
        <f t="array" ref="O2086">_xlfn.IFS(orders[[#This Row],[Customer Gender]]="M","Male", orders[[#This Row],[Customer Gender]]="F","Female", orders[[#This Row],[Customer Gender]]="O","Other", TRUE(),"Unknown")</f>
        <v>Female</v>
      </c>
    </row>
    <row r="2087" spans="1:15" x14ac:dyDescent="0.25">
      <c r="A2087" t="s">
        <v>2315</v>
      </c>
      <c r="B2087" t="s">
        <v>85</v>
      </c>
      <c r="C2087">
        <v>2</v>
      </c>
      <c r="D2087">
        <v>85</v>
      </c>
      <c r="E2087">
        <v>170</v>
      </c>
      <c r="F2087" s="58">
        <v>45734</v>
      </c>
      <c r="G2087" s="58">
        <v>45736</v>
      </c>
      <c r="H2087" t="s">
        <v>231</v>
      </c>
      <c r="I2087" t="s">
        <v>63</v>
      </c>
      <c r="J2087">
        <v>4</v>
      </c>
      <c r="K2087" t="s">
        <v>103</v>
      </c>
      <c r="L2087" t="s">
        <v>141</v>
      </c>
      <c r="M2087">
        <f>orders[[#This Row],[Ship Date]]-orders[[#This Row],[Order Date]]</f>
        <v>2</v>
      </c>
      <c r="N2087">
        <f>WEEKNUM(orders[[#This Row],[Order Date]],1)</f>
        <v>12</v>
      </c>
      <c r="O2087" t="str">
        <f t="array" ref="O2087">_xlfn.IFS(orders[[#This Row],[Customer Gender]]="M","Male", orders[[#This Row],[Customer Gender]]="F","Female", orders[[#This Row],[Customer Gender]]="O","Other", TRUE(),"Unknown")</f>
        <v>Female</v>
      </c>
    </row>
    <row r="2088" spans="1:15" x14ac:dyDescent="0.25">
      <c r="A2088" t="s">
        <v>2316</v>
      </c>
      <c r="B2088" t="s">
        <v>90</v>
      </c>
      <c r="C2088">
        <v>3</v>
      </c>
      <c r="D2088">
        <v>56.6</v>
      </c>
      <c r="E2088">
        <v>169.8</v>
      </c>
      <c r="F2088" s="58">
        <v>45734</v>
      </c>
      <c r="G2088" s="58">
        <v>45735</v>
      </c>
      <c r="H2088" t="s">
        <v>231</v>
      </c>
      <c r="I2088" t="s">
        <v>63</v>
      </c>
      <c r="J2088">
        <v>5</v>
      </c>
      <c r="K2088" t="s">
        <v>103</v>
      </c>
      <c r="L2088" t="s">
        <v>141</v>
      </c>
      <c r="M2088">
        <f>orders[[#This Row],[Ship Date]]-orders[[#This Row],[Order Date]]</f>
        <v>1</v>
      </c>
      <c r="N2088">
        <f>WEEKNUM(orders[[#This Row],[Order Date]],1)</f>
        <v>12</v>
      </c>
      <c r="O2088" t="str">
        <f t="array" ref="O2088">_xlfn.IFS(orders[[#This Row],[Customer Gender]]="M","Male", orders[[#This Row],[Customer Gender]]="F","Female", orders[[#This Row],[Customer Gender]]="O","Other", TRUE(),"Unknown")</f>
        <v>Female</v>
      </c>
    </row>
    <row r="2089" spans="1:15" x14ac:dyDescent="0.25">
      <c r="A2089" t="s">
        <v>2317</v>
      </c>
      <c r="B2089" t="s">
        <v>77</v>
      </c>
      <c r="C2089">
        <v>27</v>
      </c>
      <c r="D2089">
        <v>46.3</v>
      </c>
      <c r="E2089">
        <v>1250.0999999999999</v>
      </c>
      <c r="F2089" s="58">
        <v>45734</v>
      </c>
      <c r="G2089" s="58">
        <v>45737</v>
      </c>
      <c r="H2089" t="s">
        <v>229</v>
      </c>
      <c r="I2089" t="s">
        <v>59</v>
      </c>
      <c r="J2089">
        <v>4</v>
      </c>
      <c r="K2089" t="s">
        <v>103</v>
      </c>
      <c r="L2089" t="s">
        <v>141</v>
      </c>
      <c r="M2089">
        <f>orders[[#This Row],[Ship Date]]-orders[[#This Row],[Order Date]]</f>
        <v>3</v>
      </c>
      <c r="N2089">
        <f>WEEKNUM(orders[[#This Row],[Order Date]],1)</f>
        <v>12</v>
      </c>
      <c r="O2089" t="str">
        <f t="array" ref="O2089">_xlfn.IFS(orders[[#This Row],[Customer Gender]]="M","Male", orders[[#This Row],[Customer Gender]]="F","Female", orders[[#This Row],[Customer Gender]]="O","Other", TRUE(),"Unknown")</f>
        <v>Male</v>
      </c>
    </row>
    <row r="2090" spans="1:15" x14ac:dyDescent="0.25">
      <c r="A2090" t="s">
        <v>2318</v>
      </c>
      <c r="B2090" t="s">
        <v>74</v>
      </c>
      <c r="C2090">
        <v>4</v>
      </c>
      <c r="D2090">
        <v>23</v>
      </c>
      <c r="E2090">
        <v>92</v>
      </c>
      <c r="F2090" s="58">
        <v>45734</v>
      </c>
      <c r="G2090" s="58">
        <v>45738</v>
      </c>
      <c r="H2090" t="s">
        <v>229</v>
      </c>
      <c r="I2090" t="s">
        <v>60</v>
      </c>
      <c r="J2090">
        <v>5</v>
      </c>
      <c r="K2090" t="s">
        <v>103</v>
      </c>
      <c r="L2090" t="s">
        <v>141</v>
      </c>
      <c r="M2090">
        <f>orders[[#This Row],[Ship Date]]-orders[[#This Row],[Order Date]]</f>
        <v>4</v>
      </c>
      <c r="N2090">
        <f>WEEKNUM(orders[[#This Row],[Order Date]],1)</f>
        <v>12</v>
      </c>
      <c r="O2090" t="str">
        <f t="array" ref="O2090">_xlfn.IFS(orders[[#This Row],[Customer Gender]]="M","Male", orders[[#This Row],[Customer Gender]]="F","Female", orders[[#This Row],[Customer Gender]]="O","Other", TRUE(),"Unknown")</f>
        <v>Male</v>
      </c>
    </row>
    <row r="2091" spans="1:15" x14ac:dyDescent="0.25">
      <c r="A2091" t="s">
        <v>2319</v>
      </c>
      <c r="B2091" t="s">
        <v>90</v>
      </c>
      <c r="C2091">
        <v>6</v>
      </c>
      <c r="D2091">
        <v>42.1</v>
      </c>
      <c r="E2091">
        <v>252.6</v>
      </c>
      <c r="F2091" s="58">
        <v>45734</v>
      </c>
      <c r="G2091" s="58">
        <v>45736</v>
      </c>
      <c r="H2091" t="s">
        <v>229</v>
      </c>
      <c r="I2091" t="s">
        <v>61</v>
      </c>
      <c r="J2091">
        <v>4</v>
      </c>
      <c r="K2091" t="s">
        <v>103</v>
      </c>
      <c r="L2091" t="s">
        <v>142</v>
      </c>
      <c r="M2091">
        <f>orders[[#This Row],[Ship Date]]-orders[[#This Row],[Order Date]]</f>
        <v>2</v>
      </c>
      <c r="N2091">
        <f>WEEKNUM(orders[[#This Row],[Order Date]],1)</f>
        <v>12</v>
      </c>
      <c r="O2091" t="str">
        <f t="array" ref="O2091">_xlfn.IFS(orders[[#This Row],[Customer Gender]]="M","Male", orders[[#This Row],[Customer Gender]]="F","Female", orders[[#This Row],[Customer Gender]]="O","Other", TRUE(),"Unknown")</f>
        <v>Male</v>
      </c>
    </row>
    <row r="2092" spans="1:15" x14ac:dyDescent="0.25">
      <c r="A2092" t="s">
        <v>2320</v>
      </c>
      <c r="B2092" t="s">
        <v>85</v>
      </c>
      <c r="C2092">
        <v>7</v>
      </c>
      <c r="D2092">
        <v>57.4</v>
      </c>
      <c r="E2092">
        <v>401.8</v>
      </c>
      <c r="F2092" s="58">
        <v>45734</v>
      </c>
      <c r="G2092" s="58">
        <v>45738</v>
      </c>
      <c r="H2092" t="s">
        <v>231</v>
      </c>
      <c r="I2092" t="s">
        <v>63</v>
      </c>
      <c r="J2092">
        <v>2</v>
      </c>
      <c r="K2092" t="s">
        <v>103</v>
      </c>
      <c r="L2092" t="s">
        <v>142</v>
      </c>
      <c r="M2092">
        <f>orders[[#This Row],[Ship Date]]-orders[[#This Row],[Order Date]]</f>
        <v>4</v>
      </c>
      <c r="N2092">
        <f>WEEKNUM(orders[[#This Row],[Order Date]],1)</f>
        <v>12</v>
      </c>
      <c r="O2092" t="str">
        <f t="array" ref="O2092">_xlfn.IFS(orders[[#This Row],[Customer Gender]]="M","Male", orders[[#This Row],[Customer Gender]]="F","Female", orders[[#This Row],[Customer Gender]]="O","Other", TRUE(),"Unknown")</f>
        <v>Female</v>
      </c>
    </row>
    <row r="2093" spans="1:15" x14ac:dyDescent="0.25">
      <c r="A2093" t="s">
        <v>2321</v>
      </c>
      <c r="B2093" t="s">
        <v>86</v>
      </c>
      <c r="C2093">
        <v>6</v>
      </c>
      <c r="D2093">
        <v>13.2</v>
      </c>
      <c r="E2093">
        <v>79.2</v>
      </c>
      <c r="F2093" s="58">
        <v>45734</v>
      </c>
      <c r="G2093" s="58">
        <v>45738</v>
      </c>
      <c r="H2093" t="s">
        <v>229</v>
      </c>
      <c r="I2093" t="s">
        <v>62</v>
      </c>
      <c r="J2093">
        <v>4</v>
      </c>
      <c r="K2093" t="s">
        <v>103</v>
      </c>
      <c r="L2093" t="s">
        <v>142</v>
      </c>
      <c r="M2093">
        <f>orders[[#This Row],[Ship Date]]-orders[[#This Row],[Order Date]]</f>
        <v>4</v>
      </c>
      <c r="N2093">
        <f>WEEKNUM(orders[[#This Row],[Order Date]],1)</f>
        <v>12</v>
      </c>
      <c r="O2093" t="str">
        <f t="array" ref="O2093">_xlfn.IFS(orders[[#This Row],[Customer Gender]]="M","Male", orders[[#This Row],[Customer Gender]]="F","Female", orders[[#This Row],[Customer Gender]]="O","Other", TRUE(),"Unknown")</f>
        <v>Male</v>
      </c>
    </row>
    <row r="2094" spans="1:15" x14ac:dyDescent="0.25">
      <c r="A2094" t="s">
        <v>2322</v>
      </c>
      <c r="B2094" t="s">
        <v>80</v>
      </c>
      <c r="C2094">
        <v>3</v>
      </c>
      <c r="D2094">
        <v>52.3</v>
      </c>
      <c r="E2094">
        <v>156.9</v>
      </c>
      <c r="F2094" s="58">
        <v>45734</v>
      </c>
      <c r="G2094" s="58">
        <v>45735</v>
      </c>
      <c r="H2094" t="s">
        <v>229</v>
      </c>
      <c r="I2094" t="s">
        <v>63</v>
      </c>
      <c r="J2094">
        <v>4</v>
      </c>
      <c r="K2094" t="s">
        <v>103</v>
      </c>
      <c r="L2094" t="s">
        <v>142</v>
      </c>
      <c r="M2094">
        <f>orders[[#This Row],[Ship Date]]-orders[[#This Row],[Order Date]]</f>
        <v>1</v>
      </c>
      <c r="N2094">
        <f>WEEKNUM(orders[[#This Row],[Order Date]],1)</f>
        <v>12</v>
      </c>
      <c r="O2094" t="str">
        <f t="array" ref="O2094">_xlfn.IFS(orders[[#This Row],[Customer Gender]]="M","Male", orders[[#This Row],[Customer Gender]]="F","Female", orders[[#This Row],[Customer Gender]]="O","Other", TRUE(),"Unknown")</f>
        <v>Male</v>
      </c>
    </row>
    <row r="2095" spans="1:15" x14ac:dyDescent="0.25">
      <c r="A2095" t="s">
        <v>2323</v>
      </c>
      <c r="B2095" t="s">
        <v>90</v>
      </c>
      <c r="C2095">
        <v>2</v>
      </c>
      <c r="D2095">
        <v>15.7</v>
      </c>
      <c r="E2095">
        <v>31.4</v>
      </c>
      <c r="F2095" s="58">
        <v>45734</v>
      </c>
      <c r="G2095" s="58">
        <v>45737</v>
      </c>
      <c r="H2095" t="s">
        <v>229</v>
      </c>
      <c r="I2095" t="s">
        <v>63</v>
      </c>
      <c r="J2095">
        <v>5</v>
      </c>
      <c r="K2095" t="s">
        <v>103</v>
      </c>
      <c r="L2095" t="s">
        <v>142</v>
      </c>
      <c r="M2095">
        <f>orders[[#This Row],[Ship Date]]-orders[[#This Row],[Order Date]]</f>
        <v>3</v>
      </c>
      <c r="N2095">
        <f>WEEKNUM(orders[[#This Row],[Order Date]],1)</f>
        <v>12</v>
      </c>
      <c r="O2095" t="str">
        <f t="array" ref="O2095">_xlfn.IFS(orders[[#This Row],[Customer Gender]]="M","Male", orders[[#This Row],[Customer Gender]]="F","Female", orders[[#This Row],[Customer Gender]]="O","Other", TRUE(),"Unknown")</f>
        <v>Male</v>
      </c>
    </row>
    <row r="2096" spans="1:15" x14ac:dyDescent="0.25">
      <c r="A2096" t="s">
        <v>2324</v>
      </c>
      <c r="B2096" t="s">
        <v>79</v>
      </c>
      <c r="C2096">
        <v>3</v>
      </c>
      <c r="D2096">
        <v>35</v>
      </c>
      <c r="E2096">
        <v>105</v>
      </c>
      <c r="F2096" s="58">
        <v>45734</v>
      </c>
      <c r="G2096" s="58">
        <v>45737</v>
      </c>
      <c r="H2096" t="s">
        <v>231</v>
      </c>
      <c r="I2096" t="s">
        <v>63</v>
      </c>
      <c r="J2096">
        <v>5</v>
      </c>
      <c r="K2096" t="s">
        <v>103</v>
      </c>
      <c r="L2096" t="s">
        <v>146</v>
      </c>
      <c r="M2096">
        <f>orders[[#This Row],[Ship Date]]-orders[[#This Row],[Order Date]]</f>
        <v>3</v>
      </c>
      <c r="N2096">
        <f>WEEKNUM(orders[[#This Row],[Order Date]],1)</f>
        <v>12</v>
      </c>
      <c r="O2096" t="str">
        <f t="array" ref="O2096">_xlfn.IFS(orders[[#This Row],[Customer Gender]]="M","Male", orders[[#This Row],[Customer Gender]]="F","Female", orders[[#This Row],[Customer Gender]]="O","Other", TRUE(),"Unknown")</f>
        <v>Female</v>
      </c>
    </row>
    <row r="2097" spans="1:15" x14ac:dyDescent="0.25">
      <c r="A2097" t="s">
        <v>2325</v>
      </c>
      <c r="B2097" t="s">
        <v>78</v>
      </c>
      <c r="C2097">
        <v>3</v>
      </c>
      <c r="D2097">
        <v>26.6</v>
      </c>
      <c r="E2097">
        <v>79.8</v>
      </c>
      <c r="F2097" s="58">
        <v>45734</v>
      </c>
      <c r="G2097" s="58">
        <v>45734</v>
      </c>
      <c r="H2097" t="s">
        <v>229</v>
      </c>
      <c r="I2097" t="s">
        <v>63</v>
      </c>
      <c r="J2097">
        <v>5</v>
      </c>
      <c r="K2097" t="s">
        <v>103</v>
      </c>
      <c r="L2097" t="s">
        <v>148</v>
      </c>
      <c r="M2097">
        <f>orders[[#This Row],[Ship Date]]-orders[[#This Row],[Order Date]]</f>
        <v>0</v>
      </c>
      <c r="N2097">
        <f>WEEKNUM(orders[[#This Row],[Order Date]],1)</f>
        <v>12</v>
      </c>
      <c r="O2097" t="str">
        <f t="array" ref="O2097">_xlfn.IFS(orders[[#This Row],[Customer Gender]]="M","Male", orders[[#This Row],[Customer Gender]]="F","Female", orders[[#This Row],[Customer Gender]]="O","Other", TRUE(),"Unknown")</f>
        <v>Male</v>
      </c>
    </row>
    <row r="2098" spans="1:15" x14ac:dyDescent="0.25">
      <c r="A2098" t="s">
        <v>2326</v>
      </c>
      <c r="B2098" t="s">
        <v>78</v>
      </c>
      <c r="C2098">
        <v>8</v>
      </c>
      <c r="D2098">
        <v>47.9</v>
      </c>
      <c r="E2098">
        <v>383.2</v>
      </c>
      <c r="F2098" s="58">
        <v>45735</v>
      </c>
      <c r="G2098" s="58">
        <v>45736</v>
      </c>
      <c r="H2098" t="s">
        <v>231</v>
      </c>
      <c r="I2098" t="s">
        <v>60</v>
      </c>
      <c r="J2098">
        <v>5</v>
      </c>
      <c r="K2098" t="s">
        <v>103</v>
      </c>
      <c r="L2098" t="s">
        <v>159</v>
      </c>
      <c r="M2098">
        <f>orders[[#This Row],[Ship Date]]-orders[[#This Row],[Order Date]]</f>
        <v>1</v>
      </c>
      <c r="N2098">
        <f>WEEKNUM(orders[[#This Row],[Order Date]],1)</f>
        <v>12</v>
      </c>
      <c r="O2098" t="str">
        <f t="array" ref="O2098">_xlfn.IFS(orders[[#This Row],[Customer Gender]]="M","Male", orders[[#This Row],[Customer Gender]]="F","Female", orders[[#This Row],[Customer Gender]]="O","Other", TRUE(),"Unknown")</f>
        <v>Female</v>
      </c>
    </row>
    <row r="2099" spans="1:15" x14ac:dyDescent="0.25">
      <c r="A2099" t="s">
        <v>2327</v>
      </c>
      <c r="B2099" t="s">
        <v>85</v>
      </c>
      <c r="C2099">
        <v>1</v>
      </c>
      <c r="D2099">
        <v>80.099999999999994</v>
      </c>
      <c r="E2099">
        <v>80.099999999999994</v>
      </c>
      <c r="F2099" s="58">
        <v>45735</v>
      </c>
      <c r="G2099" s="58">
        <v>45736</v>
      </c>
      <c r="H2099" t="s">
        <v>229</v>
      </c>
      <c r="I2099" t="s">
        <v>62</v>
      </c>
      <c r="J2099">
        <v>4</v>
      </c>
      <c r="K2099" t="s">
        <v>103</v>
      </c>
      <c r="L2099" t="s">
        <v>106</v>
      </c>
      <c r="M2099">
        <f>orders[[#This Row],[Ship Date]]-orders[[#This Row],[Order Date]]</f>
        <v>1</v>
      </c>
      <c r="N2099">
        <f>WEEKNUM(orders[[#This Row],[Order Date]],1)</f>
        <v>12</v>
      </c>
      <c r="O2099" t="str">
        <f t="array" ref="O2099">_xlfn.IFS(orders[[#This Row],[Customer Gender]]="M","Male", orders[[#This Row],[Customer Gender]]="F","Female", orders[[#This Row],[Customer Gender]]="O","Other", TRUE(),"Unknown")</f>
        <v>Male</v>
      </c>
    </row>
    <row r="2100" spans="1:15" x14ac:dyDescent="0.25">
      <c r="A2100" t="s">
        <v>2328</v>
      </c>
      <c r="B2100" t="s">
        <v>80</v>
      </c>
      <c r="C2100">
        <v>5</v>
      </c>
      <c r="D2100">
        <v>50.4</v>
      </c>
      <c r="E2100">
        <v>252</v>
      </c>
      <c r="F2100" s="58">
        <v>45735</v>
      </c>
      <c r="G2100" s="58">
        <v>45736</v>
      </c>
      <c r="H2100" t="s">
        <v>229</v>
      </c>
      <c r="I2100" t="s">
        <v>63</v>
      </c>
      <c r="J2100">
        <v>5</v>
      </c>
      <c r="K2100" t="s">
        <v>103</v>
      </c>
      <c r="L2100" t="s">
        <v>106</v>
      </c>
      <c r="M2100">
        <f>orders[[#This Row],[Ship Date]]-orders[[#This Row],[Order Date]]</f>
        <v>1</v>
      </c>
      <c r="N2100">
        <f>WEEKNUM(orders[[#This Row],[Order Date]],1)</f>
        <v>12</v>
      </c>
      <c r="O2100" t="str">
        <f t="array" ref="O2100">_xlfn.IFS(orders[[#This Row],[Customer Gender]]="M","Male", orders[[#This Row],[Customer Gender]]="F","Female", orders[[#This Row],[Customer Gender]]="O","Other", TRUE(),"Unknown")</f>
        <v>Male</v>
      </c>
    </row>
    <row r="2101" spans="1:15" x14ac:dyDescent="0.25">
      <c r="A2101" t="s">
        <v>2329</v>
      </c>
      <c r="B2101" t="s">
        <v>75</v>
      </c>
      <c r="C2101">
        <v>7</v>
      </c>
      <c r="D2101">
        <v>43.3</v>
      </c>
      <c r="E2101">
        <v>303.10000000000002</v>
      </c>
      <c r="F2101" s="58">
        <v>45735</v>
      </c>
      <c r="G2101" s="58">
        <v>45736</v>
      </c>
      <c r="H2101" t="s">
        <v>229</v>
      </c>
      <c r="I2101" t="s">
        <v>62</v>
      </c>
      <c r="J2101">
        <v>4</v>
      </c>
      <c r="K2101" t="s">
        <v>103</v>
      </c>
      <c r="L2101" t="s">
        <v>106</v>
      </c>
      <c r="M2101">
        <f>orders[[#This Row],[Ship Date]]-orders[[#This Row],[Order Date]]</f>
        <v>1</v>
      </c>
      <c r="N2101">
        <f>WEEKNUM(orders[[#This Row],[Order Date]],1)</f>
        <v>12</v>
      </c>
      <c r="O2101" t="str">
        <f t="array" ref="O2101">_xlfn.IFS(orders[[#This Row],[Customer Gender]]="M","Male", orders[[#This Row],[Customer Gender]]="F","Female", orders[[#This Row],[Customer Gender]]="O","Other", TRUE(),"Unknown")</f>
        <v>Male</v>
      </c>
    </row>
    <row r="2102" spans="1:15" x14ac:dyDescent="0.25">
      <c r="A2102" t="s">
        <v>2330</v>
      </c>
      <c r="B2102" t="s">
        <v>75</v>
      </c>
      <c r="C2102">
        <v>4</v>
      </c>
      <c r="D2102">
        <v>57.5</v>
      </c>
      <c r="E2102">
        <v>230</v>
      </c>
      <c r="F2102" s="58">
        <v>45735</v>
      </c>
      <c r="G2102" s="58">
        <v>45736</v>
      </c>
      <c r="H2102" t="s">
        <v>231</v>
      </c>
      <c r="I2102" t="s">
        <v>63</v>
      </c>
      <c r="J2102">
        <v>5</v>
      </c>
      <c r="K2102" t="s">
        <v>103</v>
      </c>
      <c r="L2102" t="s">
        <v>112</v>
      </c>
      <c r="M2102">
        <f>orders[[#This Row],[Ship Date]]-orders[[#This Row],[Order Date]]</f>
        <v>1</v>
      </c>
      <c r="N2102">
        <f>WEEKNUM(orders[[#This Row],[Order Date]],1)</f>
        <v>12</v>
      </c>
      <c r="O2102" t="str">
        <f t="array" ref="O2102">_xlfn.IFS(orders[[#This Row],[Customer Gender]]="M","Male", orders[[#This Row],[Customer Gender]]="F","Female", orders[[#This Row],[Customer Gender]]="O","Other", TRUE(),"Unknown")</f>
        <v>Female</v>
      </c>
    </row>
    <row r="2103" spans="1:15" x14ac:dyDescent="0.25">
      <c r="A2103" t="s">
        <v>2331</v>
      </c>
      <c r="B2103" t="s">
        <v>88</v>
      </c>
      <c r="C2103">
        <v>13</v>
      </c>
      <c r="D2103">
        <v>24.8</v>
      </c>
      <c r="E2103">
        <v>322.39999999999998</v>
      </c>
      <c r="F2103" s="58">
        <v>45735</v>
      </c>
      <c r="G2103" s="58">
        <v>45736</v>
      </c>
      <c r="H2103" t="s">
        <v>229</v>
      </c>
      <c r="I2103" t="s">
        <v>59</v>
      </c>
      <c r="J2103">
        <v>4</v>
      </c>
      <c r="K2103" t="s">
        <v>103</v>
      </c>
      <c r="L2103" t="s">
        <v>113</v>
      </c>
      <c r="M2103">
        <f>orders[[#This Row],[Ship Date]]-orders[[#This Row],[Order Date]]</f>
        <v>1</v>
      </c>
      <c r="N2103">
        <f>WEEKNUM(orders[[#This Row],[Order Date]],1)</f>
        <v>12</v>
      </c>
      <c r="O2103" t="str">
        <f t="array" ref="O2103">_xlfn.IFS(orders[[#This Row],[Customer Gender]]="M","Male", orders[[#This Row],[Customer Gender]]="F","Female", orders[[#This Row],[Customer Gender]]="O","Other", TRUE(),"Unknown")</f>
        <v>Male</v>
      </c>
    </row>
    <row r="2104" spans="1:15" x14ac:dyDescent="0.25">
      <c r="A2104" t="s">
        <v>2332</v>
      </c>
      <c r="B2104" t="s">
        <v>87</v>
      </c>
      <c r="C2104">
        <v>9</v>
      </c>
      <c r="D2104">
        <v>85.7</v>
      </c>
      <c r="E2104">
        <v>771.3</v>
      </c>
      <c r="F2104" s="58">
        <v>45735</v>
      </c>
      <c r="G2104" s="58">
        <v>45736</v>
      </c>
      <c r="H2104" t="s">
        <v>231</v>
      </c>
      <c r="I2104" t="s">
        <v>59</v>
      </c>
      <c r="J2104">
        <v>4</v>
      </c>
      <c r="K2104" t="s">
        <v>103</v>
      </c>
      <c r="L2104" t="s">
        <v>114</v>
      </c>
      <c r="M2104">
        <f>orders[[#This Row],[Ship Date]]-orders[[#This Row],[Order Date]]</f>
        <v>1</v>
      </c>
      <c r="N2104">
        <f>WEEKNUM(orders[[#This Row],[Order Date]],1)</f>
        <v>12</v>
      </c>
      <c r="O2104" t="str">
        <f t="array" ref="O2104">_xlfn.IFS(orders[[#This Row],[Customer Gender]]="M","Male", orders[[#This Row],[Customer Gender]]="F","Female", orders[[#This Row],[Customer Gender]]="O","Other", TRUE(),"Unknown")</f>
        <v>Female</v>
      </c>
    </row>
    <row r="2105" spans="1:15" x14ac:dyDescent="0.25">
      <c r="A2105" t="s">
        <v>2333</v>
      </c>
      <c r="B2105" t="s">
        <v>79</v>
      </c>
      <c r="C2105">
        <v>1</v>
      </c>
      <c r="D2105">
        <v>47.1</v>
      </c>
      <c r="E2105">
        <v>47.1</v>
      </c>
      <c r="F2105" s="58">
        <v>45735</v>
      </c>
      <c r="G2105" s="58">
        <v>45737</v>
      </c>
      <c r="H2105" t="s">
        <v>231</v>
      </c>
      <c r="I2105" t="s">
        <v>59</v>
      </c>
      <c r="J2105">
        <v>4</v>
      </c>
      <c r="K2105" t="s">
        <v>103</v>
      </c>
      <c r="L2105" t="s">
        <v>115</v>
      </c>
      <c r="M2105">
        <f>orders[[#This Row],[Ship Date]]-orders[[#This Row],[Order Date]]</f>
        <v>2</v>
      </c>
      <c r="N2105">
        <f>WEEKNUM(orders[[#This Row],[Order Date]],1)</f>
        <v>12</v>
      </c>
      <c r="O2105" t="str">
        <f t="array" ref="O2105">_xlfn.IFS(orders[[#This Row],[Customer Gender]]="M","Male", orders[[#This Row],[Customer Gender]]="F","Female", orders[[#This Row],[Customer Gender]]="O","Other", TRUE(),"Unknown")</f>
        <v>Female</v>
      </c>
    </row>
    <row r="2106" spans="1:15" x14ac:dyDescent="0.25">
      <c r="A2106" t="s">
        <v>2334</v>
      </c>
      <c r="B2106" t="s">
        <v>85</v>
      </c>
      <c r="C2106">
        <v>10</v>
      </c>
      <c r="D2106">
        <v>83.2</v>
      </c>
      <c r="E2106">
        <v>832</v>
      </c>
      <c r="F2106" s="58">
        <v>45735</v>
      </c>
      <c r="G2106" s="58">
        <v>45739</v>
      </c>
      <c r="H2106" t="s">
        <v>231</v>
      </c>
      <c r="I2106" t="s">
        <v>59</v>
      </c>
      <c r="J2106">
        <v>4</v>
      </c>
      <c r="K2106" t="s">
        <v>103</v>
      </c>
      <c r="L2106" t="s">
        <v>118</v>
      </c>
      <c r="M2106">
        <f>orders[[#This Row],[Ship Date]]-orders[[#This Row],[Order Date]]</f>
        <v>4</v>
      </c>
      <c r="N2106">
        <f>WEEKNUM(orders[[#This Row],[Order Date]],1)</f>
        <v>12</v>
      </c>
      <c r="O2106" t="str">
        <f t="array" ref="O2106">_xlfn.IFS(orders[[#This Row],[Customer Gender]]="M","Male", orders[[#This Row],[Customer Gender]]="F","Female", orders[[#This Row],[Customer Gender]]="O","Other", TRUE(),"Unknown")</f>
        <v>Female</v>
      </c>
    </row>
    <row r="2107" spans="1:15" x14ac:dyDescent="0.25">
      <c r="A2107" t="s">
        <v>2335</v>
      </c>
      <c r="B2107" t="s">
        <v>87</v>
      </c>
      <c r="C2107">
        <v>3</v>
      </c>
      <c r="D2107">
        <v>157</v>
      </c>
      <c r="E2107">
        <v>471</v>
      </c>
      <c r="F2107" s="58">
        <v>45735</v>
      </c>
      <c r="G2107" s="58">
        <v>45737</v>
      </c>
      <c r="H2107" t="s">
        <v>231</v>
      </c>
      <c r="I2107" t="s">
        <v>59</v>
      </c>
      <c r="J2107">
        <v>5</v>
      </c>
      <c r="K2107" t="s">
        <v>103</v>
      </c>
      <c r="L2107" t="s">
        <v>120</v>
      </c>
      <c r="M2107">
        <f>orders[[#This Row],[Ship Date]]-orders[[#This Row],[Order Date]]</f>
        <v>2</v>
      </c>
      <c r="N2107">
        <f>WEEKNUM(orders[[#This Row],[Order Date]],1)</f>
        <v>12</v>
      </c>
      <c r="O2107" t="str">
        <f t="array" ref="O2107">_xlfn.IFS(orders[[#This Row],[Customer Gender]]="M","Male", orders[[#This Row],[Customer Gender]]="F","Female", orders[[#This Row],[Customer Gender]]="O","Other", TRUE(),"Unknown")</f>
        <v>Female</v>
      </c>
    </row>
    <row r="2108" spans="1:15" x14ac:dyDescent="0.25">
      <c r="A2108" t="s">
        <v>2336</v>
      </c>
      <c r="B2108" t="s">
        <v>89</v>
      </c>
      <c r="C2108">
        <v>4</v>
      </c>
      <c r="D2108">
        <v>33.700000000000003</v>
      </c>
      <c r="E2108">
        <v>134.80000000000001</v>
      </c>
      <c r="F2108" s="58">
        <v>45735</v>
      </c>
      <c r="G2108" s="58">
        <v>45736</v>
      </c>
      <c r="H2108" t="s">
        <v>229</v>
      </c>
      <c r="I2108" t="s">
        <v>62</v>
      </c>
      <c r="J2108">
        <v>5</v>
      </c>
      <c r="K2108" t="s">
        <v>103</v>
      </c>
      <c r="L2108" t="s">
        <v>120</v>
      </c>
      <c r="M2108">
        <f>orders[[#This Row],[Ship Date]]-orders[[#This Row],[Order Date]]</f>
        <v>1</v>
      </c>
      <c r="N2108">
        <f>WEEKNUM(orders[[#This Row],[Order Date]],1)</f>
        <v>12</v>
      </c>
      <c r="O2108" t="str">
        <f t="array" ref="O2108">_xlfn.IFS(orders[[#This Row],[Customer Gender]]="M","Male", orders[[#This Row],[Customer Gender]]="F","Female", orders[[#This Row],[Customer Gender]]="O","Other", TRUE(),"Unknown")</f>
        <v>Male</v>
      </c>
    </row>
    <row r="2109" spans="1:15" x14ac:dyDescent="0.25">
      <c r="A2109" t="s">
        <v>2337</v>
      </c>
      <c r="B2109" t="s">
        <v>87</v>
      </c>
      <c r="C2109">
        <v>3</v>
      </c>
      <c r="D2109">
        <v>60.8</v>
      </c>
      <c r="E2109">
        <v>182.4</v>
      </c>
      <c r="F2109" s="58">
        <v>45735</v>
      </c>
      <c r="G2109" s="58">
        <v>45739</v>
      </c>
      <c r="H2109" t="s">
        <v>231</v>
      </c>
      <c r="I2109" t="s">
        <v>63</v>
      </c>
      <c r="J2109">
        <v>3</v>
      </c>
      <c r="K2109" t="s">
        <v>103</v>
      </c>
      <c r="L2109" t="s">
        <v>124</v>
      </c>
      <c r="M2109">
        <f>orders[[#This Row],[Ship Date]]-orders[[#This Row],[Order Date]]</f>
        <v>4</v>
      </c>
      <c r="N2109">
        <f>WEEKNUM(orders[[#This Row],[Order Date]],1)</f>
        <v>12</v>
      </c>
      <c r="O2109" t="str">
        <f t="array" ref="O2109">_xlfn.IFS(orders[[#This Row],[Customer Gender]]="M","Male", orders[[#This Row],[Customer Gender]]="F","Female", orders[[#This Row],[Customer Gender]]="O","Other", TRUE(),"Unknown")</f>
        <v>Female</v>
      </c>
    </row>
    <row r="2110" spans="1:15" x14ac:dyDescent="0.25">
      <c r="A2110" t="s">
        <v>2338</v>
      </c>
      <c r="B2110" t="s">
        <v>79</v>
      </c>
      <c r="C2110">
        <v>1</v>
      </c>
      <c r="D2110">
        <v>57.6</v>
      </c>
      <c r="E2110">
        <v>57.6</v>
      </c>
      <c r="F2110" s="58">
        <v>45735</v>
      </c>
      <c r="G2110" s="58">
        <v>45736</v>
      </c>
      <c r="H2110" t="s">
        <v>229</v>
      </c>
      <c r="I2110" t="s">
        <v>63</v>
      </c>
      <c r="J2110">
        <v>2</v>
      </c>
      <c r="K2110" t="s">
        <v>103</v>
      </c>
      <c r="L2110" t="s">
        <v>124</v>
      </c>
      <c r="M2110">
        <f>orders[[#This Row],[Ship Date]]-orders[[#This Row],[Order Date]]</f>
        <v>1</v>
      </c>
      <c r="N2110">
        <f>WEEKNUM(orders[[#This Row],[Order Date]],1)</f>
        <v>12</v>
      </c>
      <c r="O2110" t="str">
        <f t="array" ref="O2110">_xlfn.IFS(orders[[#This Row],[Customer Gender]]="M","Male", orders[[#This Row],[Customer Gender]]="F","Female", orders[[#This Row],[Customer Gender]]="O","Other", TRUE(),"Unknown")</f>
        <v>Male</v>
      </c>
    </row>
    <row r="2111" spans="1:15" x14ac:dyDescent="0.25">
      <c r="A2111" t="s">
        <v>2339</v>
      </c>
      <c r="B2111" t="s">
        <v>75</v>
      </c>
      <c r="C2111">
        <v>1</v>
      </c>
      <c r="D2111">
        <v>32</v>
      </c>
      <c r="E2111">
        <v>32</v>
      </c>
      <c r="F2111" s="58">
        <v>45735</v>
      </c>
      <c r="G2111" s="58">
        <v>45737</v>
      </c>
      <c r="H2111" t="s">
        <v>229</v>
      </c>
      <c r="I2111" t="s">
        <v>59</v>
      </c>
      <c r="J2111">
        <v>4</v>
      </c>
      <c r="K2111" t="s">
        <v>103</v>
      </c>
      <c r="L2111" t="s">
        <v>124</v>
      </c>
      <c r="M2111">
        <f>orders[[#This Row],[Ship Date]]-orders[[#This Row],[Order Date]]</f>
        <v>2</v>
      </c>
      <c r="N2111">
        <f>WEEKNUM(orders[[#This Row],[Order Date]],1)</f>
        <v>12</v>
      </c>
      <c r="O2111" t="str">
        <f t="array" ref="O2111">_xlfn.IFS(orders[[#This Row],[Customer Gender]]="M","Male", orders[[#This Row],[Customer Gender]]="F","Female", orders[[#This Row],[Customer Gender]]="O","Other", TRUE(),"Unknown")</f>
        <v>Male</v>
      </c>
    </row>
    <row r="2112" spans="1:15" x14ac:dyDescent="0.25">
      <c r="A2112" t="s">
        <v>2340</v>
      </c>
      <c r="B2112" t="s">
        <v>75</v>
      </c>
      <c r="C2112">
        <v>4</v>
      </c>
      <c r="D2112">
        <v>23.5</v>
      </c>
      <c r="E2112">
        <v>94</v>
      </c>
      <c r="F2112" s="58">
        <v>45735</v>
      </c>
      <c r="G2112" s="58">
        <v>45736</v>
      </c>
      <c r="H2112" t="s">
        <v>231</v>
      </c>
      <c r="I2112" t="s">
        <v>59</v>
      </c>
      <c r="J2112">
        <v>5</v>
      </c>
      <c r="K2112" t="s">
        <v>103</v>
      </c>
      <c r="L2112" t="s">
        <v>124</v>
      </c>
      <c r="M2112">
        <f>orders[[#This Row],[Ship Date]]-orders[[#This Row],[Order Date]]</f>
        <v>1</v>
      </c>
      <c r="N2112">
        <f>WEEKNUM(orders[[#This Row],[Order Date]],1)</f>
        <v>12</v>
      </c>
      <c r="O2112" t="str">
        <f t="array" ref="O2112">_xlfn.IFS(orders[[#This Row],[Customer Gender]]="M","Male", orders[[#This Row],[Customer Gender]]="F","Female", orders[[#This Row],[Customer Gender]]="O","Other", TRUE(),"Unknown")</f>
        <v>Female</v>
      </c>
    </row>
    <row r="2113" spans="1:15" x14ac:dyDescent="0.25">
      <c r="A2113" t="s">
        <v>2341</v>
      </c>
      <c r="B2113" t="s">
        <v>76</v>
      </c>
      <c r="C2113">
        <v>3</v>
      </c>
      <c r="D2113">
        <v>44.8</v>
      </c>
      <c r="E2113">
        <v>134.4</v>
      </c>
      <c r="F2113" s="58">
        <v>45735</v>
      </c>
      <c r="G2113" s="58">
        <v>45736</v>
      </c>
      <c r="H2113" t="s">
        <v>263</v>
      </c>
      <c r="I2113" t="s">
        <v>61</v>
      </c>
      <c r="J2113">
        <v>4</v>
      </c>
      <c r="K2113" t="s">
        <v>103</v>
      </c>
      <c r="L2113" t="s">
        <v>124</v>
      </c>
      <c r="M2113">
        <f>orders[[#This Row],[Ship Date]]-orders[[#This Row],[Order Date]]</f>
        <v>1</v>
      </c>
      <c r="N2113">
        <f>WEEKNUM(orders[[#This Row],[Order Date]],1)</f>
        <v>12</v>
      </c>
      <c r="O2113" t="str">
        <f t="array" ref="O2113">_xlfn.IFS(orders[[#This Row],[Customer Gender]]="M","Male", orders[[#This Row],[Customer Gender]]="F","Female", orders[[#This Row],[Customer Gender]]="O","Other", TRUE(),"Unknown")</f>
        <v>Other</v>
      </c>
    </row>
    <row r="2114" spans="1:15" x14ac:dyDescent="0.25">
      <c r="A2114" t="s">
        <v>2342</v>
      </c>
      <c r="B2114" t="s">
        <v>86</v>
      </c>
      <c r="C2114">
        <v>8</v>
      </c>
      <c r="D2114">
        <v>11.7</v>
      </c>
      <c r="E2114">
        <v>93.6</v>
      </c>
      <c r="F2114" s="58">
        <v>45735</v>
      </c>
      <c r="G2114" s="58">
        <v>45736</v>
      </c>
      <c r="H2114" t="s">
        <v>229</v>
      </c>
      <c r="I2114" t="s">
        <v>62</v>
      </c>
      <c r="J2114">
        <v>5</v>
      </c>
      <c r="K2114" t="s">
        <v>103</v>
      </c>
      <c r="L2114" t="s">
        <v>124</v>
      </c>
      <c r="M2114">
        <f>orders[[#This Row],[Ship Date]]-orders[[#This Row],[Order Date]]</f>
        <v>1</v>
      </c>
      <c r="N2114">
        <f>WEEKNUM(orders[[#This Row],[Order Date]],1)</f>
        <v>12</v>
      </c>
      <c r="O2114" t="str">
        <f t="array" ref="O2114">_xlfn.IFS(orders[[#This Row],[Customer Gender]]="M","Male", orders[[#This Row],[Customer Gender]]="F","Female", orders[[#This Row],[Customer Gender]]="O","Other", TRUE(),"Unknown")</f>
        <v>Male</v>
      </c>
    </row>
    <row r="2115" spans="1:15" x14ac:dyDescent="0.25">
      <c r="A2115" t="s">
        <v>2343</v>
      </c>
      <c r="B2115" t="s">
        <v>79</v>
      </c>
      <c r="C2115">
        <v>2</v>
      </c>
      <c r="D2115">
        <v>38.799999999999997</v>
      </c>
      <c r="E2115">
        <v>77.599999999999994</v>
      </c>
      <c r="F2115" s="58">
        <v>45735</v>
      </c>
      <c r="G2115" s="58">
        <v>45738</v>
      </c>
      <c r="H2115" t="s">
        <v>231</v>
      </c>
      <c r="I2115" t="s">
        <v>62</v>
      </c>
      <c r="J2115">
        <v>4</v>
      </c>
      <c r="K2115" t="s">
        <v>103</v>
      </c>
      <c r="L2115" t="s">
        <v>124</v>
      </c>
      <c r="M2115">
        <f>orders[[#This Row],[Ship Date]]-orders[[#This Row],[Order Date]]</f>
        <v>3</v>
      </c>
      <c r="N2115">
        <f>WEEKNUM(orders[[#This Row],[Order Date]],1)</f>
        <v>12</v>
      </c>
      <c r="O2115" t="str">
        <f t="array" ref="O2115">_xlfn.IFS(orders[[#This Row],[Customer Gender]]="M","Male", orders[[#This Row],[Customer Gender]]="F","Female", orders[[#This Row],[Customer Gender]]="O","Other", TRUE(),"Unknown")</f>
        <v>Female</v>
      </c>
    </row>
    <row r="2116" spans="1:15" x14ac:dyDescent="0.25">
      <c r="A2116" t="s">
        <v>2344</v>
      </c>
      <c r="B2116" t="s">
        <v>85</v>
      </c>
      <c r="C2116">
        <v>14</v>
      </c>
      <c r="D2116">
        <v>86.9</v>
      </c>
      <c r="E2116">
        <v>1216.5999999999999</v>
      </c>
      <c r="F2116" s="58">
        <v>45735</v>
      </c>
      <c r="G2116" s="58">
        <v>45740</v>
      </c>
      <c r="H2116" t="s">
        <v>231</v>
      </c>
      <c r="I2116" t="s">
        <v>63</v>
      </c>
      <c r="J2116">
        <v>4</v>
      </c>
      <c r="K2116" t="s">
        <v>103</v>
      </c>
      <c r="L2116" t="s">
        <v>124</v>
      </c>
      <c r="M2116">
        <f>orders[[#This Row],[Ship Date]]-orders[[#This Row],[Order Date]]</f>
        <v>5</v>
      </c>
      <c r="N2116">
        <f>WEEKNUM(orders[[#This Row],[Order Date]],1)</f>
        <v>12</v>
      </c>
      <c r="O2116" t="str">
        <f t="array" ref="O2116">_xlfn.IFS(orders[[#This Row],[Customer Gender]]="M","Male", orders[[#This Row],[Customer Gender]]="F","Female", orders[[#This Row],[Customer Gender]]="O","Other", TRUE(),"Unknown")</f>
        <v>Female</v>
      </c>
    </row>
    <row r="2117" spans="1:15" x14ac:dyDescent="0.25">
      <c r="A2117" t="s">
        <v>2345</v>
      </c>
      <c r="B2117" t="s">
        <v>90</v>
      </c>
      <c r="C2117">
        <v>1</v>
      </c>
      <c r="D2117">
        <v>18.3</v>
      </c>
      <c r="E2117">
        <v>18.3</v>
      </c>
      <c r="F2117" s="58">
        <v>45735</v>
      </c>
      <c r="G2117" s="58">
        <v>45736</v>
      </c>
      <c r="H2117" t="s">
        <v>231</v>
      </c>
      <c r="I2117" t="s">
        <v>59</v>
      </c>
      <c r="J2117">
        <v>4</v>
      </c>
      <c r="K2117" t="s">
        <v>103</v>
      </c>
      <c r="L2117" t="s">
        <v>124</v>
      </c>
      <c r="M2117">
        <f>orders[[#This Row],[Ship Date]]-orders[[#This Row],[Order Date]]</f>
        <v>1</v>
      </c>
      <c r="N2117">
        <f>WEEKNUM(orders[[#This Row],[Order Date]],1)</f>
        <v>12</v>
      </c>
      <c r="O2117" t="str">
        <f t="array" ref="O2117">_xlfn.IFS(orders[[#This Row],[Customer Gender]]="M","Male", orders[[#This Row],[Customer Gender]]="F","Female", orders[[#This Row],[Customer Gender]]="O","Other", TRUE(),"Unknown")</f>
        <v>Female</v>
      </c>
    </row>
    <row r="2118" spans="1:15" x14ac:dyDescent="0.25">
      <c r="A2118" t="s">
        <v>2346</v>
      </c>
      <c r="B2118" t="s">
        <v>85</v>
      </c>
      <c r="C2118">
        <v>1</v>
      </c>
      <c r="D2118">
        <v>47.5</v>
      </c>
      <c r="E2118">
        <v>47.5</v>
      </c>
      <c r="F2118" s="58">
        <v>45735</v>
      </c>
      <c r="G2118" s="58">
        <v>45739</v>
      </c>
      <c r="H2118" t="s">
        <v>229</v>
      </c>
      <c r="I2118" t="s">
        <v>61</v>
      </c>
      <c r="J2118">
        <v>5</v>
      </c>
      <c r="K2118" t="s">
        <v>103</v>
      </c>
      <c r="L2118" t="s">
        <v>124</v>
      </c>
      <c r="M2118">
        <f>orders[[#This Row],[Ship Date]]-orders[[#This Row],[Order Date]]</f>
        <v>4</v>
      </c>
      <c r="N2118">
        <f>WEEKNUM(orders[[#This Row],[Order Date]],1)</f>
        <v>12</v>
      </c>
      <c r="O2118" t="str">
        <f t="array" ref="O2118">_xlfn.IFS(orders[[#This Row],[Customer Gender]]="M","Male", orders[[#This Row],[Customer Gender]]="F","Female", orders[[#This Row],[Customer Gender]]="O","Other", TRUE(),"Unknown")</f>
        <v>Male</v>
      </c>
    </row>
    <row r="2119" spans="1:15" x14ac:dyDescent="0.25">
      <c r="A2119" t="s">
        <v>2347</v>
      </c>
      <c r="B2119" t="s">
        <v>91</v>
      </c>
      <c r="C2119">
        <v>2</v>
      </c>
      <c r="D2119">
        <v>78.599999999999994</v>
      </c>
      <c r="E2119">
        <v>157.19999999999999</v>
      </c>
      <c r="F2119" s="58">
        <v>45735</v>
      </c>
      <c r="G2119" s="58">
        <v>45736</v>
      </c>
      <c r="H2119" t="s">
        <v>229</v>
      </c>
      <c r="I2119" t="s">
        <v>62</v>
      </c>
      <c r="J2119">
        <v>5</v>
      </c>
      <c r="K2119" t="s">
        <v>103</v>
      </c>
      <c r="L2119" t="s">
        <v>124</v>
      </c>
      <c r="M2119">
        <f>orders[[#This Row],[Ship Date]]-orders[[#This Row],[Order Date]]</f>
        <v>1</v>
      </c>
      <c r="N2119">
        <f>WEEKNUM(orders[[#This Row],[Order Date]],1)</f>
        <v>12</v>
      </c>
      <c r="O2119" t="str">
        <f t="array" ref="O2119">_xlfn.IFS(orders[[#This Row],[Customer Gender]]="M","Male", orders[[#This Row],[Customer Gender]]="F","Female", orders[[#This Row],[Customer Gender]]="O","Other", TRUE(),"Unknown")</f>
        <v>Male</v>
      </c>
    </row>
    <row r="2120" spans="1:15" x14ac:dyDescent="0.25">
      <c r="A2120" t="s">
        <v>2348</v>
      </c>
      <c r="B2120" t="s">
        <v>80</v>
      </c>
      <c r="C2120">
        <v>4</v>
      </c>
      <c r="D2120">
        <v>87.3</v>
      </c>
      <c r="E2120">
        <v>349.2</v>
      </c>
      <c r="F2120" s="58">
        <v>45735</v>
      </c>
      <c r="G2120" s="58">
        <v>45736</v>
      </c>
      <c r="H2120" t="s">
        <v>229</v>
      </c>
      <c r="I2120" t="s">
        <v>59</v>
      </c>
      <c r="J2120">
        <v>4</v>
      </c>
      <c r="K2120" t="s">
        <v>103</v>
      </c>
      <c r="L2120" t="s">
        <v>124</v>
      </c>
      <c r="M2120">
        <f>orders[[#This Row],[Ship Date]]-orders[[#This Row],[Order Date]]</f>
        <v>1</v>
      </c>
      <c r="N2120">
        <f>WEEKNUM(orders[[#This Row],[Order Date]],1)</f>
        <v>12</v>
      </c>
      <c r="O2120" t="str">
        <f t="array" ref="O2120">_xlfn.IFS(orders[[#This Row],[Customer Gender]]="M","Male", orders[[#This Row],[Customer Gender]]="F","Female", orders[[#This Row],[Customer Gender]]="O","Other", TRUE(),"Unknown")</f>
        <v>Male</v>
      </c>
    </row>
    <row r="2121" spans="1:15" x14ac:dyDescent="0.25">
      <c r="A2121" t="s">
        <v>2349</v>
      </c>
      <c r="B2121" t="s">
        <v>88</v>
      </c>
      <c r="C2121">
        <v>2</v>
      </c>
      <c r="D2121">
        <v>63.2</v>
      </c>
      <c r="E2121">
        <v>126.4</v>
      </c>
      <c r="F2121" s="58">
        <v>45735</v>
      </c>
      <c r="G2121" s="58">
        <v>45735</v>
      </c>
      <c r="H2121" t="s">
        <v>229</v>
      </c>
      <c r="I2121" t="s">
        <v>61</v>
      </c>
      <c r="J2121">
        <v>3</v>
      </c>
      <c r="K2121" t="s">
        <v>103</v>
      </c>
      <c r="L2121" t="s">
        <v>124</v>
      </c>
      <c r="M2121">
        <f>orders[[#This Row],[Ship Date]]-orders[[#This Row],[Order Date]]</f>
        <v>0</v>
      </c>
      <c r="N2121">
        <f>WEEKNUM(orders[[#This Row],[Order Date]],1)</f>
        <v>12</v>
      </c>
      <c r="O2121" t="str">
        <f t="array" ref="O2121">_xlfn.IFS(orders[[#This Row],[Customer Gender]]="M","Male", orders[[#This Row],[Customer Gender]]="F","Female", orders[[#This Row],[Customer Gender]]="O","Other", TRUE(),"Unknown")</f>
        <v>Male</v>
      </c>
    </row>
    <row r="2122" spans="1:15" x14ac:dyDescent="0.25">
      <c r="A2122" t="s">
        <v>2350</v>
      </c>
      <c r="B2122" t="s">
        <v>85</v>
      </c>
      <c r="C2122">
        <v>5</v>
      </c>
      <c r="D2122">
        <v>33.700000000000003</v>
      </c>
      <c r="E2122">
        <v>168.5</v>
      </c>
      <c r="F2122" s="58">
        <v>45735</v>
      </c>
      <c r="G2122" s="58">
        <v>45736</v>
      </c>
      <c r="H2122" t="s">
        <v>231</v>
      </c>
      <c r="I2122" t="s">
        <v>59</v>
      </c>
      <c r="J2122">
        <v>4</v>
      </c>
      <c r="K2122" t="s">
        <v>103</v>
      </c>
      <c r="L2122" t="s">
        <v>124</v>
      </c>
      <c r="M2122">
        <f>orders[[#This Row],[Ship Date]]-orders[[#This Row],[Order Date]]</f>
        <v>1</v>
      </c>
      <c r="N2122">
        <f>WEEKNUM(orders[[#This Row],[Order Date]],1)</f>
        <v>12</v>
      </c>
      <c r="O2122" t="str">
        <f t="array" ref="O2122">_xlfn.IFS(orders[[#This Row],[Customer Gender]]="M","Male", orders[[#This Row],[Customer Gender]]="F","Female", orders[[#This Row],[Customer Gender]]="O","Other", TRUE(),"Unknown")</f>
        <v>Female</v>
      </c>
    </row>
    <row r="2123" spans="1:15" x14ac:dyDescent="0.25">
      <c r="A2123" t="s">
        <v>2351</v>
      </c>
      <c r="B2123" t="s">
        <v>87</v>
      </c>
      <c r="C2123">
        <v>3</v>
      </c>
      <c r="D2123">
        <v>107.4</v>
      </c>
      <c r="E2123">
        <v>322.2</v>
      </c>
      <c r="F2123" s="58">
        <v>45735</v>
      </c>
      <c r="G2123" s="58">
        <v>45748</v>
      </c>
      <c r="H2123" t="s">
        <v>231</v>
      </c>
      <c r="I2123" t="s">
        <v>63</v>
      </c>
      <c r="J2123">
        <v>5</v>
      </c>
      <c r="K2123" t="s">
        <v>103</v>
      </c>
      <c r="L2123" t="s">
        <v>124</v>
      </c>
      <c r="M2123">
        <f>orders[[#This Row],[Ship Date]]-orders[[#This Row],[Order Date]]</f>
        <v>13</v>
      </c>
      <c r="N2123">
        <f>WEEKNUM(orders[[#This Row],[Order Date]],1)</f>
        <v>12</v>
      </c>
      <c r="O2123" t="str">
        <f t="array" ref="O2123">_xlfn.IFS(orders[[#This Row],[Customer Gender]]="M","Male", orders[[#This Row],[Customer Gender]]="F","Female", orders[[#This Row],[Customer Gender]]="O","Other", TRUE(),"Unknown")</f>
        <v>Female</v>
      </c>
    </row>
    <row r="2124" spans="1:15" x14ac:dyDescent="0.25">
      <c r="A2124" t="s">
        <v>2352</v>
      </c>
      <c r="B2124" t="s">
        <v>78</v>
      </c>
      <c r="C2124">
        <v>4</v>
      </c>
      <c r="D2124">
        <v>22.2</v>
      </c>
      <c r="E2124">
        <v>88.8</v>
      </c>
      <c r="F2124" s="58">
        <v>45735</v>
      </c>
      <c r="G2124" s="58">
        <v>45736</v>
      </c>
      <c r="I2124" t="s">
        <v>63</v>
      </c>
      <c r="J2124">
        <v>5</v>
      </c>
      <c r="K2124" t="s">
        <v>103</v>
      </c>
      <c r="L2124" t="s">
        <v>129</v>
      </c>
      <c r="M2124">
        <f>orders[[#This Row],[Ship Date]]-orders[[#This Row],[Order Date]]</f>
        <v>1</v>
      </c>
      <c r="N2124">
        <f>WEEKNUM(orders[[#This Row],[Order Date]],1)</f>
        <v>12</v>
      </c>
      <c r="O2124" t="str">
        <f t="array" ref="O2124">_xlfn.IFS(orders[[#This Row],[Customer Gender]]="M","Male", orders[[#This Row],[Customer Gender]]="F","Female", orders[[#This Row],[Customer Gender]]="O","Other", TRUE(),"Unknown")</f>
        <v>Unknown</v>
      </c>
    </row>
    <row r="2125" spans="1:15" x14ac:dyDescent="0.25">
      <c r="A2125" t="s">
        <v>2353</v>
      </c>
      <c r="B2125" t="s">
        <v>82</v>
      </c>
      <c r="C2125">
        <v>3</v>
      </c>
      <c r="D2125">
        <v>52.8</v>
      </c>
      <c r="E2125">
        <v>158.4</v>
      </c>
      <c r="F2125" s="58">
        <v>45735</v>
      </c>
      <c r="G2125" s="58">
        <v>45736</v>
      </c>
      <c r="H2125" t="s">
        <v>229</v>
      </c>
      <c r="I2125" t="s">
        <v>60</v>
      </c>
      <c r="J2125">
        <v>5</v>
      </c>
      <c r="K2125" t="s">
        <v>103</v>
      </c>
      <c r="L2125" t="s">
        <v>129</v>
      </c>
      <c r="M2125">
        <f>orders[[#This Row],[Ship Date]]-orders[[#This Row],[Order Date]]</f>
        <v>1</v>
      </c>
      <c r="N2125">
        <f>WEEKNUM(orders[[#This Row],[Order Date]],1)</f>
        <v>12</v>
      </c>
      <c r="O2125" t="str">
        <f t="array" ref="O2125">_xlfn.IFS(orders[[#This Row],[Customer Gender]]="M","Male", orders[[#This Row],[Customer Gender]]="F","Female", orders[[#This Row],[Customer Gender]]="O","Other", TRUE(),"Unknown")</f>
        <v>Male</v>
      </c>
    </row>
    <row r="2126" spans="1:15" x14ac:dyDescent="0.25">
      <c r="A2126" t="s">
        <v>2354</v>
      </c>
      <c r="B2126" t="s">
        <v>90</v>
      </c>
      <c r="C2126">
        <v>3</v>
      </c>
      <c r="D2126">
        <v>41.5</v>
      </c>
      <c r="E2126">
        <v>124.5</v>
      </c>
      <c r="F2126" s="58">
        <v>45735</v>
      </c>
      <c r="G2126" s="58">
        <v>45738</v>
      </c>
      <c r="H2126" t="s">
        <v>231</v>
      </c>
      <c r="I2126" t="s">
        <v>59</v>
      </c>
      <c r="J2126">
        <v>4</v>
      </c>
      <c r="K2126" t="s">
        <v>103</v>
      </c>
      <c r="L2126" t="s">
        <v>135</v>
      </c>
      <c r="M2126">
        <f>orders[[#This Row],[Ship Date]]-orders[[#This Row],[Order Date]]</f>
        <v>3</v>
      </c>
      <c r="N2126">
        <f>WEEKNUM(orders[[#This Row],[Order Date]],1)</f>
        <v>12</v>
      </c>
      <c r="O2126" t="str">
        <f t="array" ref="O2126">_xlfn.IFS(orders[[#This Row],[Customer Gender]]="M","Male", orders[[#This Row],[Customer Gender]]="F","Female", orders[[#This Row],[Customer Gender]]="O","Other", TRUE(),"Unknown")</f>
        <v>Female</v>
      </c>
    </row>
    <row r="2127" spans="1:15" x14ac:dyDescent="0.25">
      <c r="A2127" t="s">
        <v>2355</v>
      </c>
      <c r="B2127" t="s">
        <v>76</v>
      </c>
      <c r="C2127">
        <v>8</v>
      </c>
      <c r="D2127">
        <v>103.5</v>
      </c>
      <c r="E2127">
        <v>828</v>
      </c>
      <c r="F2127" s="58">
        <v>45735</v>
      </c>
      <c r="G2127" s="58">
        <v>45738</v>
      </c>
      <c r="H2127" t="s">
        <v>231</v>
      </c>
      <c r="I2127" t="s">
        <v>59</v>
      </c>
      <c r="J2127">
        <v>5</v>
      </c>
      <c r="K2127" t="s">
        <v>103</v>
      </c>
      <c r="L2127" t="s">
        <v>138</v>
      </c>
      <c r="M2127">
        <f>orders[[#This Row],[Ship Date]]-orders[[#This Row],[Order Date]]</f>
        <v>3</v>
      </c>
      <c r="N2127">
        <f>WEEKNUM(orders[[#This Row],[Order Date]],1)</f>
        <v>12</v>
      </c>
      <c r="O2127" t="str">
        <f t="array" ref="O2127">_xlfn.IFS(orders[[#This Row],[Customer Gender]]="M","Male", orders[[#This Row],[Customer Gender]]="F","Female", orders[[#This Row],[Customer Gender]]="O","Other", TRUE(),"Unknown")</f>
        <v>Female</v>
      </c>
    </row>
    <row r="2128" spans="1:15" x14ac:dyDescent="0.25">
      <c r="A2128" t="s">
        <v>2356</v>
      </c>
      <c r="B2128" t="s">
        <v>78</v>
      </c>
      <c r="C2128">
        <v>14</v>
      </c>
      <c r="D2128">
        <v>37.5</v>
      </c>
      <c r="E2128">
        <v>525</v>
      </c>
      <c r="F2128" s="58">
        <v>45735</v>
      </c>
      <c r="G2128" s="58">
        <v>45735</v>
      </c>
      <c r="H2128" t="s">
        <v>231</v>
      </c>
      <c r="I2128" t="s">
        <v>63</v>
      </c>
      <c r="J2128">
        <v>5</v>
      </c>
      <c r="K2128" t="s">
        <v>103</v>
      </c>
      <c r="L2128" t="s">
        <v>139</v>
      </c>
      <c r="M2128">
        <f>orders[[#This Row],[Ship Date]]-orders[[#This Row],[Order Date]]</f>
        <v>0</v>
      </c>
      <c r="N2128">
        <f>WEEKNUM(orders[[#This Row],[Order Date]],1)</f>
        <v>12</v>
      </c>
      <c r="O2128" t="str">
        <f t="array" ref="O2128">_xlfn.IFS(orders[[#This Row],[Customer Gender]]="M","Male", orders[[#This Row],[Customer Gender]]="F","Female", orders[[#This Row],[Customer Gender]]="O","Other", TRUE(),"Unknown")</f>
        <v>Female</v>
      </c>
    </row>
    <row r="2129" spans="1:15" x14ac:dyDescent="0.25">
      <c r="A2129" t="s">
        <v>2357</v>
      </c>
      <c r="B2129" t="s">
        <v>77</v>
      </c>
      <c r="C2129">
        <v>8</v>
      </c>
      <c r="D2129">
        <v>44.4</v>
      </c>
      <c r="E2129">
        <v>355.2</v>
      </c>
      <c r="F2129" s="58">
        <v>45735</v>
      </c>
      <c r="G2129" s="58">
        <v>45741</v>
      </c>
      <c r="H2129" t="s">
        <v>231</v>
      </c>
      <c r="I2129" t="s">
        <v>60</v>
      </c>
      <c r="J2129">
        <v>5</v>
      </c>
      <c r="K2129" t="s">
        <v>103</v>
      </c>
      <c r="L2129" t="s">
        <v>141</v>
      </c>
      <c r="M2129">
        <f>orders[[#This Row],[Ship Date]]-orders[[#This Row],[Order Date]]</f>
        <v>6</v>
      </c>
      <c r="N2129">
        <f>WEEKNUM(orders[[#This Row],[Order Date]],1)</f>
        <v>12</v>
      </c>
      <c r="O2129" t="str">
        <f t="array" ref="O2129">_xlfn.IFS(orders[[#This Row],[Customer Gender]]="M","Male", orders[[#This Row],[Customer Gender]]="F","Female", orders[[#This Row],[Customer Gender]]="O","Other", TRUE(),"Unknown")</f>
        <v>Female</v>
      </c>
    </row>
    <row r="2130" spans="1:15" x14ac:dyDescent="0.25">
      <c r="A2130" t="s">
        <v>2358</v>
      </c>
      <c r="B2130" t="s">
        <v>90</v>
      </c>
      <c r="C2130">
        <v>3</v>
      </c>
      <c r="D2130">
        <v>26.2</v>
      </c>
      <c r="E2130">
        <v>78.599999999999994</v>
      </c>
      <c r="F2130" s="58">
        <v>45735</v>
      </c>
      <c r="G2130" s="58">
        <v>45736</v>
      </c>
      <c r="H2130" t="s">
        <v>229</v>
      </c>
      <c r="I2130" t="s">
        <v>59</v>
      </c>
      <c r="J2130">
        <v>4</v>
      </c>
      <c r="K2130" t="s">
        <v>103</v>
      </c>
      <c r="L2130" t="s">
        <v>142</v>
      </c>
      <c r="M2130">
        <f>orders[[#This Row],[Ship Date]]-orders[[#This Row],[Order Date]]</f>
        <v>1</v>
      </c>
      <c r="N2130">
        <f>WEEKNUM(orders[[#This Row],[Order Date]],1)</f>
        <v>12</v>
      </c>
      <c r="O2130" t="str">
        <f t="array" ref="O2130">_xlfn.IFS(orders[[#This Row],[Customer Gender]]="M","Male", orders[[#This Row],[Customer Gender]]="F","Female", orders[[#This Row],[Customer Gender]]="O","Other", TRUE(),"Unknown")</f>
        <v>Male</v>
      </c>
    </row>
    <row r="2131" spans="1:15" x14ac:dyDescent="0.25">
      <c r="A2131" t="s">
        <v>2359</v>
      </c>
      <c r="B2131" t="s">
        <v>91</v>
      </c>
      <c r="C2131">
        <v>7</v>
      </c>
      <c r="D2131">
        <v>32.200000000000003</v>
      </c>
      <c r="E2131">
        <v>225.4</v>
      </c>
      <c r="F2131" s="58">
        <v>45735</v>
      </c>
      <c r="G2131" s="58">
        <v>45736</v>
      </c>
      <c r="H2131" t="s">
        <v>231</v>
      </c>
      <c r="I2131" t="s">
        <v>63</v>
      </c>
      <c r="J2131">
        <v>5</v>
      </c>
      <c r="K2131" t="s">
        <v>103</v>
      </c>
      <c r="L2131" t="s">
        <v>142</v>
      </c>
      <c r="M2131">
        <f>orders[[#This Row],[Ship Date]]-orders[[#This Row],[Order Date]]</f>
        <v>1</v>
      </c>
      <c r="N2131">
        <f>WEEKNUM(orders[[#This Row],[Order Date]],1)</f>
        <v>12</v>
      </c>
      <c r="O2131" t="str">
        <f t="array" ref="O2131">_xlfn.IFS(orders[[#This Row],[Customer Gender]]="M","Male", orders[[#This Row],[Customer Gender]]="F","Female", orders[[#This Row],[Customer Gender]]="O","Other", TRUE(),"Unknown")</f>
        <v>Female</v>
      </c>
    </row>
    <row r="2132" spans="1:15" x14ac:dyDescent="0.25">
      <c r="A2132" t="s">
        <v>2360</v>
      </c>
      <c r="B2132" t="s">
        <v>90</v>
      </c>
      <c r="C2132">
        <v>1</v>
      </c>
      <c r="D2132">
        <v>17.399999999999999</v>
      </c>
      <c r="E2132">
        <v>17.399999999999999</v>
      </c>
      <c r="F2132" s="58">
        <v>45735</v>
      </c>
      <c r="G2132" s="58">
        <v>45739</v>
      </c>
      <c r="I2132" t="s">
        <v>62</v>
      </c>
      <c r="J2132">
        <v>3</v>
      </c>
      <c r="K2132" t="s">
        <v>103</v>
      </c>
      <c r="L2132" t="s">
        <v>142</v>
      </c>
      <c r="M2132">
        <f>orders[[#This Row],[Ship Date]]-orders[[#This Row],[Order Date]]</f>
        <v>4</v>
      </c>
      <c r="N2132">
        <f>WEEKNUM(orders[[#This Row],[Order Date]],1)</f>
        <v>12</v>
      </c>
      <c r="O2132" t="str">
        <f t="array" ref="O2132">_xlfn.IFS(orders[[#This Row],[Customer Gender]]="M","Male", orders[[#This Row],[Customer Gender]]="F","Female", orders[[#This Row],[Customer Gender]]="O","Other", TRUE(),"Unknown")</f>
        <v>Unknown</v>
      </c>
    </row>
    <row r="2133" spans="1:15" x14ac:dyDescent="0.25">
      <c r="A2133" t="s">
        <v>2361</v>
      </c>
      <c r="B2133" t="s">
        <v>90</v>
      </c>
      <c r="C2133">
        <v>6</v>
      </c>
      <c r="D2133">
        <v>72.3</v>
      </c>
      <c r="E2133">
        <v>433.8</v>
      </c>
      <c r="F2133" s="58">
        <v>45735</v>
      </c>
      <c r="G2133" s="58">
        <v>45738</v>
      </c>
      <c r="H2133" t="s">
        <v>231</v>
      </c>
      <c r="I2133" t="s">
        <v>59</v>
      </c>
      <c r="J2133">
        <v>4</v>
      </c>
      <c r="K2133" t="s">
        <v>103</v>
      </c>
      <c r="L2133" t="s">
        <v>142</v>
      </c>
      <c r="M2133">
        <f>orders[[#This Row],[Ship Date]]-orders[[#This Row],[Order Date]]</f>
        <v>3</v>
      </c>
      <c r="N2133">
        <f>WEEKNUM(orders[[#This Row],[Order Date]],1)</f>
        <v>12</v>
      </c>
      <c r="O2133" t="str">
        <f t="array" ref="O2133">_xlfn.IFS(orders[[#This Row],[Customer Gender]]="M","Male", orders[[#This Row],[Customer Gender]]="F","Female", orders[[#This Row],[Customer Gender]]="O","Other", TRUE(),"Unknown")</f>
        <v>Female</v>
      </c>
    </row>
    <row r="2134" spans="1:15" x14ac:dyDescent="0.25">
      <c r="A2134" t="s">
        <v>2362</v>
      </c>
      <c r="B2134" t="s">
        <v>90</v>
      </c>
      <c r="C2134">
        <v>11</v>
      </c>
      <c r="D2134">
        <v>24.3</v>
      </c>
      <c r="E2134">
        <v>267.3</v>
      </c>
      <c r="F2134" s="58">
        <v>45735</v>
      </c>
      <c r="G2134" s="58">
        <v>45736</v>
      </c>
      <c r="H2134" t="s">
        <v>229</v>
      </c>
      <c r="I2134" t="s">
        <v>59</v>
      </c>
      <c r="J2134">
        <v>4</v>
      </c>
      <c r="K2134" t="s">
        <v>103</v>
      </c>
      <c r="L2134" t="s">
        <v>142</v>
      </c>
      <c r="M2134">
        <f>orders[[#This Row],[Ship Date]]-orders[[#This Row],[Order Date]]</f>
        <v>1</v>
      </c>
      <c r="N2134">
        <f>WEEKNUM(orders[[#This Row],[Order Date]],1)</f>
        <v>12</v>
      </c>
      <c r="O2134" t="str">
        <f t="array" ref="O2134">_xlfn.IFS(orders[[#This Row],[Customer Gender]]="M","Male", orders[[#This Row],[Customer Gender]]="F","Female", orders[[#This Row],[Customer Gender]]="O","Other", TRUE(),"Unknown")</f>
        <v>Male</v>
      </c>
    </row>
    <row r="2135" spans="1:15" x14ac:dyDescent="0.25">
      <c r="A2135" t="s">
        <v>2363</v>
      </c>
      <c r="B2135" t="s">
        <v>92</v>
      </c>
      <c r="C2135">
        <v>3</v>
      </c>
      <c r="D2135">
        <v>49.1</v>
      </c>
      <c r="E2135">
        <v>147.30000000000001</v>
      </c>
      <c r="F2135" s="58">
        <v>45735</v>
      </c>
      <c r="G2135" s="58">
        <v>45741</v>
      </c>
      <c r="H2135" t="s">
        <v>229</v>
      </c>
      <c r="I2135" t="s">
        <v>62</v>
      </c>
      <c r="J2135">
        <v>2</v>
      </c>
      <c r="K2135" t="s">
        <v>103</v>
      </c>
      <c r="L2135" t="s">
        <v>142</v>
      </c>
      <c r="M2135">
        <f>orders[[#This Row],[Ship Date]]-orders[[#This Row],[Order Date]]</f>
        <v>6</v>
      </c>
      <c r="N2135">
        <f>WEEKNUM(orders[[#This Row],[Order Date]],1)</f>
        <v>12</v>
      </c>
      <c r="O2135" t="str">
        <f t="array" ref="O2135">_xlfn.IFS(orders[[#This Row],[Customer Gender]]="M","Male", orders[[#This Row],[Customer Gender]]="F","Female", orders[[#This Row],[Customer Gender]]="O","Other", TRUE(),"Unknown")</f>
        <v>Male</v>
      </c>
    </row>
    <row r="2136" spans="1:15" x14ac:dyDescent="0.25">
      <c r="A2136" t="s">
        <v>2364</v>
      </c>
      <c r="B2136" t="s">
        <v>87</v>
      </c>
      <c r="C2136">
        <v>10</v>
      </c>
      <c r="D2136">
        <v>234.7</v>
      </c>
      <c r="E2136">
        <v>2347</v>
      </c>
      <c r="F2136" s="58">
        <v>45735</v>
      </c>
      <c r="G2136" s="58">
        <v>45736</v>
      </c>
      <c r="H2136" t="s">
        <v>229</v>
      </c>
      <c r="I2136" t="s">
        <v>60</v>
      </c>
      <c r="J2136">
        <v>3</v>
      </c>
      <c r="K2136" t="s">
        <v>103</v>
      </c>
      <c r="L2136" t="s">
        <v>142</v>
      </c>
      <c r="M2136">
        <f>orders[[#This Row],[Ship Date]]-orders[[#This Row],[Order Date]]</f>
        <v>1</v>
      </c>
      <c r="N2136">
        <f>WEEKNUM(orders[[#This Row],[Order Date]],1)</f>
        <v>12</v>
      </c>
      <c r="O2136" t="str">
        <f t="array" ref="O2136">_xlfn.IFS(orders[[#This Row],[Customer Gender]]="M","Male", orders[[#This Row],[Customer Gender]]="F","Female", orders[[#This Row],[Customer Gender]]="O","Other", TRUE(),"Unknown")</f>
        <v>Male</v>
      </c>
    </row>
    <row r="2137" spans="1:15" x14ac:dyDescent="0.25">
      <c r="A2137" t="s">
        <v>2365</v>
      </c>
      <c r="B2137" t="s">
        <v>93</v>
      </c>
      <c r="C2137">
        <v>5</v>
      </c>
      <c r="D2137">
        <v>76.099999999999994</v>
      </c>
      <c r="E2137">
        <v>380.5</v>
      </c>
      <c r="F2137" s="58">
        <v>45735</v>
      </c>
      <c r="G2137" s="58">
        <v>45737</v>
      </c>
      <c r="H2137" t="s">
        <v>229</v>
      </c>
      <c r="I2137" t="s">
        <v>63</v>
      </c>
      <c r="J2137">
        <v>3</v>
      </c>
      <c r="K2137" t="s">
        <v>103</v>
      </c>
      <c r="L2137" t="s">
        <v>143</v>
      </c>
      <c r="M2137">
        <f>orders[[#This Row],[Ship Date]]-orders[[#This Row],[Order Date]]</f>
        <v>2</v>
      </c>
      <c r="N2137">
        <f>WEEKNUM(orders[[#This Row],[Order Date]],1)</f>
        <v>12</v>
      </c>
      <c r="O2137" t="str">
        <f t="array" ref="O2137">_xlfn.IFS(orders[[#This Row],[Customer Gender]]="M","Male", orders[[#This Row],[Customer Gender]]="F","Female", orders[[#This Row],[Customer Gender]]="O","Other", TRUE(),"Unknown")</f>
        <v>Male</v>
      </c>
    </row>
    <row r="2138" spans="1:15" x14ac:dyDescent="0.25">
      <c r="A2138" t="s">
        <v>2366</v>
      </c>
      <c r="B2138" t="s">
        <v>91</v>
      </c>
      <c r="C2138">
        <v>3</v>
      </c>
      <c r="D2138">
        <v>93.9</v>
      </c>
      <c r="E2138">
        <v>281.7</v>
      </c>
      <c r="F2138" s="58">
        <v>45735</v>
      </c>
      <c r="G2138" s="58">
        <v>45736</v>
      </c>
      <c r="H2138" t="s">
        <v>229</v>
      </c>
      <c r="I2138" t="s">
        <v>63</v>
      </c>
      <c r="J2138">
        <v>2</v>
      </c>
      <c r="K2138" t="s">
        <v>103</v>
      </c>
      <c r="L2138" t="s">
        <v>148</v>
      </c>
      <c r="M2138">
        <f>orders[[#This Row],[Ship Date]]-orders[[#This Row],[Order Date]]</f>
        <v>1</v>
      </c>
      <c r="N2138">
        <f>WEEKNUM(orders[[#This Row],[Order Date]],1)</f>
        <v>12</v>
      </c>
      <c r="O2138" t="str">
        <f t="array" ref="O2138">_xlfn.IFS(orders[[#This Row],[Customer Gender]]="M","Male", orders[[#This Row],[Customer Gender]]="F","Female", orders[[#This Row],[Customer Gender]]="O","Other", TRUE(),"Unknown")</f>
        <v>Male</v>
      </c>
    </row>
    <row r="2139" spans="1:15" x14ac:dyDescent="0.25">
      <c r="A2139" t="s">
        <v>2367</v>
      </c>
      <c r="B2139" t="s">
        <v>87</v>
      </c>
      <c r="C2139">
        <v>4</v>
      </c>
      <c r="D2139">
        <v>187</v>
      </c>
      <c r="E2139">
        <v>748</v>
      </c>
      <c r="F2139" s="58">
        <v>45736</v>
      </c>
      <c r="G2139" s="58">
        <v>45739</v>
      </c>
      <c r="H2139" t="s">
        <v>229</v>
      </c>
      <c r="I2139" t="s">
        <v>59</v>
      </c>
      <c r="J2139">
        <v>4</v>
      </c>
      <c r="K2139" t="s">
        <v>103</v>
      </c>
      <c r="L2139" t="s">
        <v>148</v>
      </c>
      <c r="M2139">
        <f>orders[[#This Row],[Ship Date]]-orders[[#This Row],[Order Date]]</f>
        <v>3</v>
      </c>
      <c r="N2139">
        <f>WEEKNUM(orders[[#This Row],[Order Date]],1)</f>
        <v>12</v>
      </c>
      <c r="O2139" t="str">
        <f t="array" ref="O2139">_xlfn.IFS(orders[[#This Row],[Customer Gender]]="M","Male", orders[[#This Row],[Customer Gender]]="F","Female", orders[[#This Row],[Customer Gender]]="O","Other", TRUE(),"Unknown")</f>
        <v>Male</v>
      </c>
    </row>
    <row r="2140" spans="1:15" x14ac:dyDescent="0.25">
      <c r="A2140" t="s">
        <v>2368</v>
      </c>
      <c r="B2140" t="s">
        <v>90</v>
      </c>
      <c r="C2140">
        <v>2</v>
      </c>
      <c r="D2140">
        <v>18</v>
      </c>
      <c r="E2140">
        <v>36</v>
      </c>
      <c r="F2140" s="58">
        <v>45736</v>
      </c>
      <c r="G2140" s="58">
        <v>45737</v>
      </c>
      <c r="H2140" t="s">
        <v>231</v>
      </c>
      <c r="I2140" t="s">
        <v>63</v>
      </c>
      <c r="J2140">
        <v>5</v>
      </c>
      <c r="K2140" t="s">
        <v>103</v>
      </c>
      <c r="L2140" t="s">
        <v>150</v>
      </c>
      <c r="M2140">
        <f>orders[[#This Row],[Ship Date]]-orders[[#This Row],[Order Date]]</f>
        <v>1</v>
      </c>
      <c r="N2140">
        <f>WEEKNUM(orders[[#This Row],[Order Date]],1)</f>
        <v>12</v>
      </c>
      <c r="O2140" t="str">
        <f t="array" ref="O2140">_xlfn.IFS(orders[[#This Row],[Customer Gender]]="M","Male", orders[[#This Row],[Customer Gender]]="F","Female", orders[[#This Row],[Customer Gender]]="O","Other", TRUE(),"Unknown")</f>
        <v>Female</v>
      </c>
    </row>
    <row r="2141" spans="1:15" x14ac:dyDescent="0.25">
      <c r="A2141" t="s">
        <v>2369</v>
      </c>
      <c r="B2141" t="s">
        <v>78</v>
      </c>
      <c r="C2141">
        <v>1</v>
      </c>
      <c r="D2141">
        <v>24.4</v>
      </c>
      <c r="E2141">
        <v>24.4</v>
      </c>
      <c r="F2141" s="58">
        <v>45736</v>
      </c>
      <c r="G2141" s="58">
        <v>45737</v>
      </c>
      <c r="H2141" t="s">
        <v>231</v>
      </c>
      <c r="I2141" t="s">
        <v>61</v>
      </c>
      <c r="J2141">
        <v>5</v>
      </c>
      <c r="K2141" t="s">
        <v>103</v>
      </c>
      <c r="L2141" t="s">
        <v>106</v>
      </c>
      <c r="M2141">
        <f>orders[[#This Row],[Ship Date]]-orders[[#This Row],[Order Date]]</f>
        <v>1</v>
      </c>
      <c r="N2141">
        <f>WEEKNUM(orders[[#This Row],[Order Date]],1)</f>
        <v>12</v>
      </c>
      <c r="O2141" t="str">
        <f t="array" ref="O2141">_xlfn.IFS(orders[[#This Row],[Customer Gender]]="M","Male", orders[[#This Row],[Customer Gender]]="F","Female", orders[[#This Row],[Customer Gender]]="O","Other", TRUE(),"Unknown")</f>
        <v>Female</v>
      </c>
    </row>
    <row r="2142" spans="1:15" x14ac:dyDescent="0.25">
      <c r="A2142" t="s">
        <v>2370</v>
      </c>
      <c r="B2142" t="s">
        <v>75</v>
      </c>
      <c r="C2142">
        <v>2</v>
      </c>
      <c r="D2142">
        <v>38.799999999999997</v>
      </c>
      <c r="E2142">
        <v>77.599999999999994</v>
      </c>
      <c r="F2142" s="58">
        <v>45736</v>
      </c>
      <c r="G2142" s="58">
        <v>45737</v>
      </c>
      <c r="H2142" t="s">
        <v>229</v>
      </c>
      <c r="I2142" t="s">
        <v>61</v>
      </c>
      <c r="J2142">
        <v>3</v>
      </c>
      <c r="K2142" t="s">
        <v>103</v>
      </c>
      <c r="L2142" t="s">
        <v>124</v>
      </c>
      <c r="M2142">
        <f>orders[[#This Row],[Ship Date]]-orders[[#This Row],[Order Date]]</f>
        <v>1</v>
      </c>
      <c r="N2142">
        <f>WEEKNUM(orders[[#This Row],[Order Date]],1)</f>
        <v>12</v>
      </c>
      <c r="O2142" t="str">
        <f t="array" ref="O2142">_xlfn.IFS(orders[[#This Row],[Customer Gender]]="M","Male", orders[[#This Row],[Customer Gender]]="F","Female", orders[[#This Row],[Customer Gender]]="O","Other", TRUE(),"Unknown")</f>
        <v>Male</v>
      </c>
    </row>
    <row r="2143" spans="1:15" x14ac:dyDescent="0.25">
      <c r="A2143" t="s">
        <v>2371</v>
      </c>
      <c r="B2143" t="s">
        <v>93</v>
      </c>
      <c r="C2143">
        <v>1</v>
      </c>
      <c r="D2143">
        <v>59.7</v>
      </c>
      <c r="E2143">
        <v>59.7</v>
      </c>
      <c r="F2143" s="58">
        <v>45736</v>
      </c>
      <c r="G2143" s="58">
        <v>45739</v>
      </c>
      <c r="H2143" t="s">
        <v>229</v>
      </c>
      <c r="I2143" t="s">
        <v>60</v>
      </c>
      <c r="J2143">
        <v>4</v>
      </c>
      <c r="K2143" t="s">
        <v>103</v>
      </c>
      <c r="L2143" t="s">
        <v>124</v>
      </c>
      <c r="M2143">
        <f>orders[[#This Row],[Ship Date]]-orders[[#This Row],[Order Date]]</f>
        <v>3</v>
      </c>
      <c r="N2143">
        <f>WEEKNUM(orders[[#This Row],[Order Date]],1)</f>
        <v>12</v>
      </c>
      <c r="O2143" t="str">
        <f t="array" ref="O2143">_xlfn.IFS(orders[[#This Row],[Customer Gender]]="M","Male", orders[[#This Row],[Customer Gender]]="F","Female", orders[[#This Row],[Customer Gender]]="O","Other", TRUE(),"Unknown")</f>
        <v>Male</v>
      </c>
    </row>
    <row r="2144" spans="1:15" x14ac:dyDescent="0.25">
      <c r="A2144" t="s">
        <v>2372</v>
      </c>
      <c r="B2144" t="s">
        <v>79</v>
      </c>
      <c r="C2144">
        <v>1</v>
      </c>
      <c r="D2144">
        <v>31.2</v>
      </c>
      <c r="E2144">
        <v>31.2</v>
      </c>
      <c r="F2144" s="58">
        <v>45736</v>
      </c>
      <c r="G2144" s="58">
        <v>45737</v>
      </c>
      <c r="H2144" t="s">
        <v>229</v>
      </c>
      <c r="I2144" t="s">
        <v>63</v>
      </c>
      <c r="J2144">
        <v>5</v>
      </c>
      <c r="K2144" t="s">
        <v>103</v>
      </c>
      <c r="L2144" t="s">
        <v>124</v>
      </c>
      <c r="M2144">
        <f>orders[[#This Row],[Ship Date]]-orders[[#This Row],[Order Date]]</f>
        <v>1</v>
      </c>
      <c r="N2144">
        <f>WEEKNUM(orders[[#This Row],[Order Date]],1)</f>
        <v>12</v>
      </c>
      <c r="O2144" t="str">
        <f t="array" ref="O2144">_xlfn.IFS(orders[[#This Row],[Customer Gender]]="M","Male", orders[[#This Row],[Customer Gender]]="F","Female", orders[[#This Row],[Customer Gender]]="O","Other", TRUE(),"Unknown")</f>
        <v>Male</v>
      </c>
    </row>
    <row r="2145" spans="1:15" x14ac:dyDescent="0.25">
      <c r="A2145" t="s">
        <v>2373</v>
      </c>
      <c r="B2145" t="s">
        <v>86</v>
      </c>
      <c r="C2145">
        <v>1</v>
      </c>
      <c r="D2145">
        <v>16.8</v>
      </c>
      <c r="E2145">
        <v>16.8</v>
      </c>
      <c r="F2145" s="58">
        <v>45736</v>
      </c>
      <c r="G2145" s="58">
        <v>45737</v>
      </c>
      <c r="H2145" t="s">
        <v>231</v>
      </c>
      <c r="I2145" t="s">
        <v>62</v>
      </c>
      <c r="J2145">
        <v>3</v>
      </c>
      <c r="K2145" t="s">
        <v>103</v>
      </c>
      <c r="L2145" t="s">
        <v>124</v>
      </c>
      <c r="M2145">
        <f>orders[[#This Row],[Ship Date]]-orders[[#This Row],[Order Date]]</f>
        <v>1</v>
      </c>
      <c r="N2145">
        <f>WEEKNUM(orders[[#This Row],[Order Date]],1)</f>
        <v>12</v>
      </c>
      <c r="O2145" t="str">
        <f t="array" ref="O2145">_xlfn.IFS(orders[[#This Row],[Customer Gender]]="M","Male", orders[[#This Row],[Customer Gender]]="F","Female", orders[[#This Row],[Customer Gender]]="O","Other", TRUE(),"Unknown")</f>
        <v>Female</v>
      </c>
    </row>
    <row r="2146" spans="1:15" x14ac:dyDescent="0.25">
      <c r="A2146" t="s">
        <v>2374</v>
      </c>
      <c r="B2146" t="s">
        <v>90</v>
      </c>
      <c r="C2146">
        <v>1</v>
      </c>
      <c r="D2146">
        <v>46</v>
      </c>
      <c r="E2146">
        <v>46</v>
      </c>
      <c r="F2146" s="58">
        <v>45736</v>
      </c>
      <c r="G2146" s="58">
        <v>45737</v>
      </c>
      <c r="H2146" t="s">
        <v>229</v>
      </c>
      <c r="I2146" t="s">
        <v>59</v>
      </c>
      <c r="J2146">
        <v>4</v>
      </c>
      <c r="K2146" t="s">
        <v>103</v>
      </c>
      <c r="L2146" t="s">
        <v>124</v>
      </c>
      <c r="M2146">
        <f>orders[[#This Row],[Ship Date]]-orders[[#This Row],[Order Date]]</f>
        <v>1</v>
      </c>
      <c r="N2146">
        <f>WEEKNUM(orders[[#This Row],[Order Date]],1)</f>
        <v>12</v>
      </c>
      <c r="O2146" t="str">
        <f t="array" ref="O2146">_xlfn.IFS(orders[[#This Row],[Customer Gender]]="M","Male", orders[[#This Row],[Customer Gender]]="F","Female", orders[[#This Row],[Customer Gender]]="O","Other", TRUE(),"Unknown")</f>
        <v>Male</v>
      </c>
    </row>
    <row r="2147" spans="1:15" x14ac:dyDescent="0.25">
      <c r="A2147" t="s">
        <v>2375</v>
      </c>
      <c r="B2147" t="s">
        <v>88</v>
      </c>
      <c r="C2147">
        <v>8</v>
      </c>
      <c r="D2147">
        <v>42.2</v>
      </c>
      <c r="E2147">
        <v>337.6</v>
      </c>
      <c r="F2147" s="58">
        <v>45736</v>
      </c>
      <c r="G2147" s="58">
        <v>45739</v>
      </c>
      <c r="H2147" t="s">
        <v>231</v>
      </c>
      <c r="I2147" t="s">
        <v>60</v>
      </c>
      <c r="J2147">
        <v>5</v>
      </c>
      <c r="K2147" t="s">
        <v>103</v>
      </c>
      <c r="L2147" t="s">
        <v>124</v>
      </c>
      <c r="M2147">
        <f>orders[[#This Row],[Ship Date]]-orders[[#This Row],[Order Date]]</f>
        <v>3</v>
      </c>
      <c r="N2147">
        <f>WEEKNUM(orders[[#This Row],[Order Date]],1)</f>
        <v>12</v>
      </c>
      <c r="O2147" t="str">
        <f t="array" ref="O2147">_xlfn.IFS(orders[[#This Row],[Customer Gender]]="M","Male", orders[[#This Row],[Customer Gender]]="F","Female", orders[[#This Row],[Customer Gender]]="O","Other", TRUE(),"Unknown")</f>
        <v>Female</v>
      </c>
    </row>
    <row r="2148" spans="1:15" x14ac:dyDescent="0.25">
      <c r="A2148" t="s">
        <v>2376</v>
      </c>
      <c r="B2148" t="s">
        <v>91</v>
      </c>
      <c r="C2148">
        <v>3</v>
      </c>
      <c r="D2148">
        <v>71.5</v>
      </c>
      <c r="E2148">
        <v>214.5</v>
      </c>
      <c r="F2148" s="58">
        <v>45736</v>
      </c>
      <c r="G2148" s="58">
        <v>45750</v>
      </c>
      <c r="H2148" t="s">
        <v>231</v>
      </c>
      <c r="I2148" t="s">
        <v>59</v>
      </c>
      <c r="J2148">
        <v>4</v>
      </c>
      <c r="K2148" t="s">
        <v>103</v>
      </c>
      <c r="L2148" t="s">
        <v>124</v>
      </c>
      <c r="M2148">
        <f>orders[[#This Row],[Ship Date]]-orders[[#This Row],[Order Date]]</f>
        <v>14</v>
      </c>
      <c r="N2148">
        <f>WEEKNUM(orders[[#This Row],[Order Date]],1)</f>
        <v>12</v>
      </c>
      <c r="O2148" t="str">
        <f t="array" ref="O2148">_xlfn.IFS(orders[[#This Row],[Customer Gender]]="M","Male", orders[[#This Row],[Customer Gender]]="F","Female", orders[[#This Row],[Customer Gender]]="O","Other", TRUE(),"Unknown")</f>
        <v>Female</v>
      </c>
    </row>
    <row r="2149" spans="1:15" x14ac:dyDescent="0.25">
      <c r="A2149" t="s">
        <v>2377</v>
      </c>
      <c r="B2149" t="s">
        <v>91</v>
      </c>
      <c r="C2149">
        <v>2</v>
      </c>
      <c r="D2149">
        <v>76.599999999999994</v>
      </c>
      <c r="E2149">
        <v>153.19999999999999</v>
      </c>
      <c r="F2149" s="58">
        <v>45736</v>
      </c>
      <c r="G2149" s="58">
        <v>45736</v>
      </c>
      <c r="H2149" t="s">
        <v>229</v>
      </c>
      <c r="I2149" t="s">
        <v>59</v>
      </c>
      <c r="J2149">
        <v>5</v>
      </c>
      <c r="K2149" t="s">
        <v>103</v>
      </c>
      <c r="L2149" t="s">
        <v>124</v>
      </c>
      <c r="M2149">
        <f>orders[[#This Row],[Ship Date]]-orders[[#This Row],[Order Date]]</f>
        <v>0</v>
      </c>
      <c r="N2149">
        <f>WEEKNUM(orders[[#This Row],[Order Date]],1)</f>
        <v>12</v>
      </c>
      <c r="O2149" t="str">
        <f t="array" ref="O2149">_xlfn.IFS(orders[[#This Row],[Customer Gender]]="M","Male", orders[[#This Row],[Customer Gender]]="F","Female", orders[[#This Row],[Customer Gender]]="O","Other", TRUE(),"Unknown")</f>
        <v>Male</v>
      </c>
    </row>
    <row r="2150" spans="1:15" x14ac:dyDescent="0.25">
      <c r="A2150" t="s">
        <v>2378</v>
      </c>
      <c r="B2150" t="s">
        <v>76</v>
      </c>
      <c r="C2150">
        <v>2</v>
      </c>
      <c r="D2150">
        <v>87.3</v>
      </c>
      <c r="E2150">
        <v>174.6</v>
      </c>
      <c r="F2150" s="58">
        <v>45736</v>
      </c>
      <c r="G2150" s="58">
        <v>45744</v>
      </c>
      <c r="H2150" t="s">
        <v>231</v>
      </c>
      <c r="I2150" t="s">
        <v>60</v>
      </c>
      <c r="J2150">
        <v>5</v>
      </c>
      <c r="K2150" t="s">
        <v>103</v>
      </c>
      <c r="L2150" t="s">
        <v>124</v>
      </c>
      <c r="M2150">
        <f>orders[[#This Row],[Ship Date]]-orders[[#This Row],[Order Date]]</f>
        <v>8</v>
      </c>
      <c r="N2150">
        <f>WEEKNUM(orders[[#This Row],[Order Date]],1)</f>
        <v>12</v>
      </c>
      <c r="O2150" t="str">
        <f t="array" ref="O2150">_xlfn.IFS(orders[[#This Row],[Customer Gender]]="M","Male", orders[[#This Row],[Customer Gender]]="F","Female", orders[[#This Row],[Customer Gender]]="O","Other", TRUE(),"Unknown")</f>
        <v>Female</v>
      </c>
    </row>
    <row r="2151" spans="1:15" x14ac:dyDescent="0.25">
      <c r="A2151" t="s">
        <v>2379</v>
      </c>
      <c r="B2151" t="s">
        <v>91</v>
      </c>
      <c r="C2151">
        <v>1</v>
      </c>
      <c r="D2151">
        <v>63</v>
      </c>
      <c r="E2151">
        <v>63</v>
      </c>
      <c r="F2151" s="58">
        <v>45736</v>
      </c>
      <c r="G2151" s="58">
        <v>45739</v>
      </c>
      <c r="H2151" t="s">
        <v>229</v>
      </c>
      <c r="I2151" t="s">
        <v>60</v>
      </c>
      <c r="J2151">
        <v>4</v>
      </c>
      <c r="K2151" t="s">
        <v>103</v>
      </c>
      <c r="L2151" t="s">
        <v>124</v>
      </c>
      <c r="M2151">
        <f>orders[[#This Row],[Ship Date]]-orders[[#This Row],[Order Date]]</f>
        <v>3</v>
      </c>
      <c r="N2151">
        <f>WEEKNUM(orders[[#This Row],[Order Date]],1)</f>
        <v>12</v>
      </c>
      <c r="O2151" t="str">
        <f t="array" ref="O2151">_xlfn.IFS(orders[[#This Row],[Customer Gender]]="M","Male", orders[[#This Row],[Customer Gender]]="F","Female", orders[[#This Row],[Customer Gender]]="O","Other", TRUE(),"Unknown")</f>
        <v>Male</v>
      </c>
    </row>
    <row r="2152" spans="1:15" x14ac:dyDescent="0.25">
      <c r="A2152" t="s">
        <v>2380</v>
      </c>
      <c r="B2152" t="s">
        <v>90</v>
      </c>
      <c r="C2152">
        <v>2</v>
      </c>
      <c r="D2152">
        <v>41.7</v>
      </c>
      <c r="E2152">
        <v>83.4</v>
      </c>
      <c r="F2152" s="58">
        <v>45736</v>
      </c>
      <c r="G2152" s="58">
        <v>45737</v>
      </c>
      <c r="H2152" t="s">
        <v>231</v>
      </c>
      <c r="I2152" t="s">
        <v>61</v>
      </c>
      <c r="J2152">
        <v>3</v>
      </c>
      <c r="K2152" t="s">
        <v>103</v>
      </c>
      <c r="L2152" t="s">
        <v>126</v>
      </c>
      <c r="M2152">
        <f>orders[[#This Row],[Ship Date]]-orders[[#This Row],[Order Date]]</f>
        <v>1</v>
      </c>
      <c r="N2152">
        <f>WEEKNUM(orders[[#This Row],[Order Date]],1)</f>
        <v>12</v>
      </c>
      <c r="O2152" t="str">
        <f t="array" ref="O2152">_xlfn.IFS(orders[[#This Row],[Customer Gender]]="M","Male", orders[[#This Row],[Customer Gender]]="F","Female", orders[[#This Row],[Customer Gender]]="O","Other", TRUE(),"Unknown")</f>
        <v>Female</v>
      </c>
    </row>
    <row r="2153" spans="1:15" x14ac:dyDescent="0.25">
      <c r="A2153" t="s">
        <v>2381</v>
      </c>
      <c r="B2153" t="s">
        <v>80</v>
      </c>
      <c r="C2153">
        <v>2</v>
      </c>
      <c r="D2153">
        <v>76.099999999999994</v>
      </c>
      <c r="E2153">
        <v>152.19999999999999</v>
      </c>
      <c r="F2153" s="58">
        <v>45736</v>
      </c>
      <c r="G2153" s="58">
        <v>45736</v>
      </c>
      <c r="H2153" t="s">
        <v>231</v>
      </c>
      <c r="I2153" t="s">
        <v>61</v>
      </c>
      <c r="J2153">
        <v>5</v>
      </c>
      <c r="K2153" t="s">
        <v>103</v>
      </c>
      <c r="L2153" t="s">
        <v>133</v>
      </c>
      <c r="M2153">
        <f>orders[[#This Row],[Ship Date]]-orders[[#This Row],[Order Date]]</f>
        <v>0</v>
      </c>
      <c r="N2153">
        <f>WEEKNUM(orders[[#This Row],[Order Date]],1)</f>
        <v>12</v>
      </c>
      <c r="O2153" t="str">
        <f t="array" ref="O2153">_xlfn.IFS(orders[[#This Row],[Customer Gender]]="M","Male", orders[[#This Row],[Customer Gender]]="F","Female", orders[[#This Row],[Customer Gender]]="O","Other", TRUE(),"Unknown")</f>
        <v>Female</v>
      </c>
    </row>
    <row r="2154" spans="1:15" x14ac:dyDescent="0.25">
      <c r="A2154" t="s">
        <v>2382</v>
      </c>
      <c r="B2154" t="s">
        <v>92</v>
      </c>
      <c r="C2154">
        <v>2</v>
      </c>
      <c r="D2154">
        <v>28.5</v>
      </c>
      <c r="E2154">
        <v>57</v>
      </c>
      <c r="F2154" s="58">
        <v>45736</v>
      </c>
      <c r="G2154" s="58">
        <v>45737</v>
      </c>
      <c r="H2154" t="s">
        <v>231</v>
      </c>
      <c r="I2154" t="s">
        <v>59</v>
      </c>
      <c r="J2154">
        <v>5</v>
      </c>
      <c r="K2154" t="s">
        <v>103</v>
      </c>
      <c r="L2154" t="s">
        <v>134</v>
      </c>
      <c r="M2154">
        <f>orders[[#This Row],[Ship Date]]-orders[[#This Row],[Order Date]]</f>
        <v>1</v>
      </c>
      <c r="N2154">
        <f>WEEKNUM(orders[[#This Row],[Order Date]],1)</f>
        <v>12</v>
      </c>
      <c r="O2154" t="str">
        <f t="array" ref="O2154">_xlfn.IFS(orders[[#This Row],[Customer Gender]]="M","Male", orders[[#This Row],[Customer Gender]]="F","Female", orders[[#This Row],[Customer Gender]]="O","Other", TRUE(),"Unknown")</f>
        <v>Female</v>
      </c>
    </row>
    <row r="2155" spans="1:15" x14ac:dyDescent="0.25">
      <c r="A2155" t="s">
        <v>2383</v>
      </c>
      <c r="B2155" t="s">
        <v>86</v>
      </c>
      <c r="C2155">
        <v>4</v>
      </c>
      <c r="D2155">
        <v>32.1</v>
      </c>
      <c r="E2155">
        <v>128.4</v>
      </c>
      <c r="F2155" s="58">
        <v>45736</v>
      </c>
      <c r="G2155" s="58">
        <v>45737</v>
      </c>
      <c r="H2155" t="s">
        <v>231</v>
      </c>
      <c r="I2155" t="s">
        <v>63</v>
      </c>
      <c r="J2155">
        <v>5</v>
      </c>
      <c r="K2155" t="s">
        <v>103</v>
      </c>
      <c r="L2155" t="s">
        <v>135</v>
      </c>
      <c r="M2155">
        <f>orders[[#This Row],[Ship Date]]-orders[[#This Row],[Order Date]]</f>
        <v>1</v>
      </c>
      <c r="N2155">
        <f>WEEKNUM(orders[[#This Row],[Order Date]],1)</f>
        <v>12</v>
      </c>
      <c r="O2155" t="str">
        <f t="array" ref="O2155">_xlfn.IFS(orders[[#This Row],[Customer Gender]]="M","Male", orders[[#This Row],[Customer Gender]]="F","Female", orders[[#This Row],[Customer Gender]]="O","Other", TRUE(),"Unknown")</f>
        <v>Female</v>
      </c>
    </row>
    <row r="2156" spans="1:15" x14ac:dyDescent="0.25">
      <c r="A2156" t="s">
        <v>2384</v>
      </c>
      <c r="B2156" t="s">
        <v>78</v>
      </c>
      <c r="C2156">
        <v>3</v>
      </c>
      <c r="D2156">
        <v>39</v>
      </c>
      <c r="E2156">
        <v>117</v>
      </c>
      <c r="F2156" s="58">
        <v>45736</v>
      </c>
      <c r="G2156" s="58">
        <v>45739</v>
      </c>
      <c r="H2156" t="s">
        <v>229</v>
      </c>
      <c r="I2156" t="s">
        <v>63</v>
      </c>
      <c r="J2156">
        <v>5</v>
      </c>
      <c r="K2156" t="s">
        <v>103</v>
      </c>
      <c r="L2156" t="s">
        <v>135</v>
      </c>
      <c r="M2156">
        <f>orders[[#This Row],[Ship Date]]-orders[[#This Row],[Order Date]]</f>
        <v>3</v>
      </c>
      <c r="N2156">
        <f>WEEKNUM(orders[[#This Row],[Order Date]],1)</f>
        <v>12</v>
      </c>
      <c r="O2156" t="str">
        <f t="array" ref="O2156">_xlfn.IFS(orders[[#This Row],[Customer Gender]]="M","Male", orders[[#This Row],[Customer Gender]]="F","Female", orders[[#This Row],[Customer Gender]]="O","Other", TRUE(),"Unknown")</f>
        <v>Male</v>
      </c>
    </row>
    <row r="2157" spans="1:15" x14ac:dyDescent="0.25">
      <c r="A2157" t="s">
        <v>2385</v>
      </c>
      <c r="B2157" t="s">
        <v>80</v>
      </c>
      <c r="C2157">
        <v>1</v>
      </c>
      <c r="D2157">
        <v>78.5</v>
      </c>
      <c r="E2157">
        <v>78.5</v>
      </c>
      <c r="F2157" s="58">
        <v>45736</v>
      </c>
      <c r="G2157" s="58">
        <v>45737</v>
      </c>
      <c r="H2157" t="s">
        <v>229</v>
      </c>
      <c r="I2157" t="s">
        <v>63</v>
      </c>
      <c r="J2157">
        <v>4</v>
      </c>
      <c r="K2157" t="s">
        <v>103</v>
      </c>
      <c r="L2157" t="s">
        <v>139</v>
      </c>
      <c r="M2157">
        <f>orders[[#This Row],[Ship Date]]-orders[[#This Row],[Order Date]]</f>
        <v>1</v>
      </c>
      <c r="N2157">
        <f>WEEKNUM(orders[[#This Row],[Order Date]],1)</f>
        <v>12</v>
      </c>
      <c r="O2157" t="str">
        <f t="array" ref="O2157">_xlfn.IFS(orders[[#This Row],[Customer Gender]]="M","Male", orders[[#This Row],[Customer Gender]]="F","Female", orders[[#This Row],[Customer Gender]]="O","Other", TRUE(),"Unknown")</f>
        <v>Male</v>
      </c>
    </row>
    <row r="2158" spans="1:15" x14ac:dyDescent="0.25">
      <c r="A2158" t="s">
        <v>2386</v>
      </c>
      <c r="B2158" t="s">
        <v>78</v>
      </c>
      <c r="C2158">
        <v>5</v>
      </c>
      <c r="D2158">
        <v>49.7</v>
      </c>
      <c r="E2158">
        <v>248.5</v>
      </c>
      <c r="F2158" s="58">
        <v>45736</v>
      </c>
      <c r="G2158" s="58">
        <v>45738</v>
      </c>
      <c r="H2158" t="s">
        <v>231</v>
      </c>
      <c r="I2158" t="s">
        <v>59</v>
      </c>
      <c r="J2158">
        <v>4</v>
      </c>
      <c r="K2158" t="s">
        <v>103</v>
      </c>
      <c r="L2158" t="s">
        <v>139</v>
      </c>
      <c r="M2158">
        <f>orders[[#This Row],[Ship Date]]-orders[[#This Row],[Order Date]]</f>
        <v>2</v>
      </c>
      <c r="N2158">
        <f>WEEKNUM(orders[[#This Row],[Order Date]],1)</f>
        <v>12</v>
      </c>
      <c r="O2158" t="str">
        <f t="array" ref="O2158">_xlfn.IFS(orders[[#This Row],[Customer Gender]]="M","Male", orders[[#This Row],[Customer Gender]]="F","Female", orders[[#This Row],[Customer Gender]]="O","Other", TRUE(),"Unknown")</f>
        <v>Female</v>
      </c>
    </row>
    <row r="2159" spans="1:15" x14ac:dyDescent="0.25">
      <c r="A2159" t="s">
        <v>2387</v>
      </c>
      <c r="B2159" t="s">
        <v>91</v>
      </c>
      <c r="C2159">
        <v>4</v>
      </c>
      <c r="D2159">
        <v>68.400000000000006</v>
      </c>
      <c r="E2159">
        <v>273.60000000000002</v>
      </c>
      <c r="F2159" s="58">
        <v>45736</v>
      </c>
      <c r="G2159" s="58">
        <v>45737</v>
      </c>
      <c r="H2159" t="s">
        <v>231</v>
      </c>
      <c r="I2159" t="s">
        <v>62</v>
      </c>
      <c r="J2159">
        <v>5</v>
      </c>
      <c r="K2159" t="s">
        <v>103</v>
      </c>
      <c r="L2159" t="s">
        <v>141</v>
      </c>
      <c r="M2159">
        <f>orders[[#This Row],[Ship Date]]-orders[[#This Row],[Order Date]]</f>
        <v>1</v>
      </c>
      <c r="N2159">
        <f>WEEKNUM(orders[[#This Row],[Order Date]],1)</f>
        <v>12</v>
      </c>
      <c r="O2159" t="str">
        <f t="array" ref="O2159">_xlfn.IFS(orders[[#This Row],[Customer Gender]]="M","Male", orders[[#This Row],[Customer Gender]]="F","Female", orders[[#This Row],[Customer Gender]]="O","Other", TRUE(),"Unknown")</f>
        <v>Female</v>
      </c>
    </row>
    <row r="2160" spans="1:15" x14ac:dyDescent="0.25">
      <c r="A2160" t="s">
        <v>2388</v>
      </c>
      <c r="B2160" t="s">
        <v>93</v>
      </c>
      <c r="C2160">
        <v>2</v>
      </c>
      <c r="D2160">
        <v>72.900000000000006</v>
      </c>
      <c r="E2160">
        <v>145.80000000000001</v>
      </c>
      <c r="F2160" s="58">
        <v>45736</v>
      </c>
      <c r="G2160" s="58">
        <v>45739</v>
      </c>
      <c r="I2160" t="s">
        <v>59</v>
      </c>
      <c r="J2160">
        <v>5</v>
      </c>
      <c r="K2160" t="s">
        <v>103</v>
      </c>
      <c r="L2160" t="s">
        <v>141</v>
      </c>
      <c r="M2160">
        <f>orders[[#This Row],[Ship Date]]-orders[[#This Row],[Order Date]]</f>
        <v>3</v>
      </c>
      <c r="N2160">
        <f>WEEKNUM(orders[[#This Row],[Order Date]],1)</f>
        <v>12</v>
      </c>
      <c r="O2160" t="str">
        <f t="array" ref="O2160">_xlfn.IFS(orders[[#This Row],[Customer Gender]]="M","Male", orders[[#This Row],[Customer Gender]]="F","Female", orders[[#This Row],[Customer Gender]]="O","Other", TRUE(),"Unknown")</f>
        <v>Unknown</v>
      </c>
    </row>
    <row r="2161" spans="1:15" x14ac:dyDescent="0.25">
      <c r="A2161" t="s">
        <v>2389</v>
      </c>
      <c r="B2161" t="s">
        <v>85</v>
      </c>
      <c r="C2161">
        <v>13</v>
      </c>
      <c r="D2161">
        <v>30.3</v>
      </c>
      <c r="E2161">
        <v>393.9</v>
      </c>
      <c r="F2161" s="58">
        <v>45736</v>
      </c>
      <c r="G2161" s="58">
        <v>45737</v>
      </c>
      <c r="H2161" t="s">
        <v>229</v>
      </c>
      <c r="I2161" t="s">
        <v>61</v>
      </c>
      <c r="J2161">
        <v>4</v>
      </c>
      <c r="K2161" t="s">
        <v>103</v>
      </c>
      <c r="L2161" t="s">
        <v>141</v>
      </c>
      <c r="M2161">
        <f>orders[[#This Row],[Ship Date]]-orders[[#This Row],[Order Date]]</f>
        <v>1</v>
      </c>
      <c r="N2161">
        <f>WEEKNUM(orders[[#This Row],[Order Date]],1)</f>
        <v>12</v>
      </c>
      <c r="O2161" t="str">
        <f t="array" ref="O2161">_xlfn.IFS(orders[[#This Row],[Customer Gender]]="M","Male", orders[[#This Row],[Customer Gender]]="F","Female", orders[[#This Row],[Customer Gender]]="O","Other", TRUE(),"Unknown")</f>
        <v>Male</v>
      </c>
    </row>
    <row r="2162" spans="1:15" x14ac:dyDescent="0.25">
      <c r="A2162" t="s">
        <v>2390</v>
      </c>
      <c r="B2162" t="s">
        <v>80</v>
      </c>
      <c r="C2162">
        <v>11</v>
      </c>
      <c r="D2162">
        <v>57.9</v>
      </c>
      <c r="E2162">
        <v>636.9</v>
      </c>
      <c r="F2162" s="58">
        <v>45736</v>
      </c>
      <c r="G2162" s="58">
        <v>45737</v>
      </c>
      <c r="H2162" t="s">
        <v>231</v>
      </c>
      <c r="I2162" t="s">
        <v>59</v>
      </c>
      <c r="J2162">
        <v>4</v>
      </c>
      <c r="K2162" t="s">
        <v>103</v>
      </c>
      <c r="L2162" t="s">
        <v>142</v>
      </c>
      <c r="M2162">
        <f>orders[[#This Row],[Ship Date]]-orders[[#This Row],[Order Date]]</f>
        <v>1</v>
      </c>
      <c r="N2162">
        <f>WEEKNUM(orders[[#This Row],[Order Date]],1)</f>
        <v>12</v>
      </c>
      <c r="O2162" t="str">
        <f t="array" ref="O2162">_xlfn.IFS(orders[[#This Row],[Customer Gender]]="M","Male", orders[[#This Row],[Customer Gender]]="F","Female", orders[[#This Row],[Customer Gender]]="O","Other", TRUE(),"Unknown")</f>
        <v>Female</v>
      </c>
    </row>
    <row r="2163" spans="1:15" x14ac:dyDescent="0.25">
      <c r="A2163" t="s">
        <v>2391</v>
      </c>
      <c r="B2163" t="s">
        <v>91</v>
      </c>
      <c r="C2163">
        <v>1</v>
      </c>
      <c r="D2163">
        <v>96.7</v>
      </c>
      <c r="E2163">
        <v>96.7</v>
      </c>
      <c r="F2163" s="58">
        <v>45736</v>
      </c>
      <c r="G2163" s="58">
        <v>45737</v>
      </c>
      <c r="H2163" t="s">
        <v>229</v>
      </c>
      <c r="I2163" t="s">
        <v>59</v>
      </c>
      <c r="J2163">
        <v>4</v>
      </c>
      <c r="K2163" t="s">
        <v>103</v>
      </c>
      <c r="L2163" t="s">
        <v>142</v>
      </c>
      <c r="M2163">
        <f>orders[[#This Row],[Ship Date]]-orders[[#This Row],[Order Date]]</f>
        <v>1</v>
      </c>
      <c r="N2163">
        <f>WEEKNUM(orders[[#This Row],[Order Date]],1)</f>
        <v>12</v>
      </c>
      <c r="O2163" t="str">
        <f t="array" ref="O2163">_xlfn.IFS(orders[[#This Row],[Customer Gender]]="M","Male", orders[[#This Row],[Customer Gender]]="F","Female", orders[[#This Row],[Customer Gender]]="O","Other", TRUE(),"Unknown")</f>
        <v>Male</v>
      </c>
    </row>
    <row r="2164" spans="1:15" x14ac:dyDescent="0.25">
      <c r="A2164" t="s">
        <v>2392</v>
      </c>
      <c r="B2164" t="s">
        <v>90</v>
      </c>
      <c r="C2164">
        <v>12</v>
      </c>
      <c r="D2164">
        <v>27.6</v>
      </c>
      <c r="E2164">
        <v>331.2</v>
      </c>
      <c r="F2164" s="58">
        <v>45736</v>
      </c>
      <c r="G2164" s="58">
        <v>45738</v>
      </c>
      <c r="H2164" t="s">
        <v>229</v>
      </c>
      <c r="I2164" t="s">
        <v>62</v>
      </c>
      <c r="J2164">
        <v>5</v>
      </c>
      <c r="K2164" t="s">
        <v>103</v>
      </c>
      <c r="L2164" t="s">
        <v>142</v>
      </c>
      <c r="M2164">
        <f>orders[[#This Row],[Ship Date]]-orders[[#This Row],[Order Date]]</f>
        <v>2</v>
      </c>
      <c r="N2164">
        <f>WEEKNUM(orders[[#This Row],[Order Date]],1)</f>
        <v>12</v>
      </c>
      <c r="O2164" t="str">
        <f t="array" ref="O2164">_xlfn.IFS(orders[[#This Row],[Customer Gender]]="M","Male", orders[[#This Row],[Customer Gender]]="F","Female", orders[[#This Row],[Customer Gender]]="O","Other", TRUE(),"Unknown")</f>
        <v>Male</v>
      </c>
    </row>
    <row r="2165" spans="1:15" x14ac:dyDescent="0.25">
      <c r="A2165" t="s">
        <v>2393</v>
      </c>
      <c r="B2165" t="s">
        <v>80</v>
      </c>
      <c r="C2165">
        <v>4</v>
      </c>
      <c r="D2165">
        <v>64.7</v>
      </c>
      <c r="E2165">
        <v>258.8</v>
      </c>
      <c r="F2165" s="58">
        <v>45736</v>
      </c>
      <c r="G2165" s="58">
        <v>45736</v>
      </c>
      <c r="H2165" t="s">
        <v>229</v>
      </c>
      <c r="I2165" t="s">
        <v>60</v>
      </c>
      <c r="J2165">
        <v>5</v>
      </c>
      <c r="K2165" t="s">
        <v>103</v>
      </c>
      <c r="L2165" t="s">
        <v>142</v>
      </c>
      <c r="M2165">
        <f>orders[[#This Row],[Ship Date]]-orders[[#This Row],[Order Date]]</f>
        <v>0</v>
      </c>
      <c r="N2165">
        <f>WEEKNUM(orders[[#This Row],[Order Date]],1)</f>
        <v>12</v>
      </c>
      <c r="O2165" t="str">
        <f t="array" ref="O2165">_xlfn.IFS(orders[[#This Row],[Customer Gender]]="M","Male", orders[[#This Row],[Customer Gender]]="F","Female", orders[[#This Row],[Customer Gender]]="O","Other", TRUE(),"Unknown")</f>
        <v>Male</v>
      </c>
    </row>
    <row r="2166" spans="1:15" x14ac:dyDescent="0.25">
      <c r="A2166" t="s">
        <v>2394</v>
      </c>
      <c r="B2166" t="s">
        <v>75</v>
      </c>
      <c r="C2166">
        <v>6</v>
      </c>
      <c r="D2166">
        <v>30.5</v>
      </c>
      <c r="E2166">
        <v>183</v>
      </c>
      <c r="F2166" s="58">
        <v>45736</v>
      </c>
      <c r="G2166" s="58">
        <v>45737</v>
      </c>
      <c r="H2166" t="s">
        <v>229</v>
      </c>
      <c r="I2166" t="s">
        <v>61</v>
      </c>
      <c r="J2166">
        <v>4</v>
      </c>
      <c r="K2166" t="s">
        <v>103</v>
      </c>
      <c r="L2166" t="s">
        <v>142</v>
      </c>
      <c r="M2166">
        <f>orders[[#This Row],[Ship Date]]-orders[[#This Row],[Order Date]]</f>
        <v>1</v>
      </c>
      <c r="N2166">
        <f>WEEKNUM(orders[[#This Row],[Order Date]],1)</f>
        <v>12</v>
      </c>
      <c r="O2166" t="str">
        <f t="array" ref="O2166">_xlfn.IFS(orders[[#This Row],[Customer Gender]]="M","Male", orders[[#This Row],[Customer Gender]]="F","Female", orders[[#This Row],[Customer Gender]]="O","Other", TRUE(),"Unknown")</f>
        <v>Male</v>
      </c>
    </row>
    <row r="2167" spans="1:15" x14ac:dyDescent="0.25">
      <c r="A2167" t="s">
        <v>2395</v>
      </c>
      <c r="B2167" t="s">
        <v>80</v>
      </c>
      <c r="C2167">
        <v>70</v>
      </c>
      <c r="D2167">
        <v>106</v>
      </c>
      <c r="E2167">
        <v>7420</v>
      </c>
      <c r="F2167" s="58">
        <v>45737</v>
      </c>
      <c r="G2167" s="58">
        <v>45739</v>
      </c>
      <c r="H2167" t="s">
        <v>229</v>
      </c>
      <c r="I2167" t="s">
        <v>61</v>
      </c>
      <c r="J2167">
        <v>5</v>
      </c>
      <c r="K2167" t="s">
        <v>103</v>
      </c>
      <c r="L2167" t="s">
        <v>142</v>
      </c>
      <c r="M2167">
        <f>orders[[#This Row],[Ship Date]]-orders[[#This Row],[Order Date]]</f>
        <v>2</v>
      </c>
      <c r="N2167">
        <f>WEEKNUM(orders[[#This Row],[Order Date]],1)</f>
        <v>12</v>
      </c>
      <c r="O2167" t="str">
        <f t="array" ref="O2167">_xlfn.IFS(orders[[#This Row],[Customer Gender]]="M","Male", orders[[#This Row],[Customer Gender]]="F","Female", orders[[#This Row],[Customer Gender]]="O","Other", TRUE(),"Unknown")</f>
        <v>Male</v>
      </c>
    </row>
    <row r="2168" spans="1:15" x14ac:dyDescent="0.25">
      <c r="A2168" t="s">
        <v>2396</v>
      </c>
      <c r="B2168" t="s">
        <v>76</v>
      </c>
      <c r="C2168">
        <v>5</v>
      </c>
      <c r="D2168">
        <v>76.8</v>
      </c>
      <c r="E2168">
        <v>384</v>
      </c>
      <c r="F2168" s="58">
        <v>45737</v>
      </c>
      <c r="G2168" s="58">
        <v>45743</v>
      </c>
      <c r="I2168" t="s">
        <v>63</v>
      </c>
      <c r="J2168">
        <v>3</v>
      </c>
      <c r="K2168" t="s">
        <v>103</v>
      </c>
      <c r="L2168" t="s">
        <v>154</v>
      </c>
      <c r="M2168">
        <f>orders[[#This Row],[Ship Date]]-orders[[#This Row],[Order Date]]</f>
        <v>6</v>
      </c>
      <c r="N2168">
        <f>WEEKNUM(orders[[#This Row],[Order Date]],1)</f>
        <v>12</v>
      </c>
      <c r="O2168" t="str">
        <f t="array" ref="O2168">_xlfn.IFS(orders[[#This Row],[Customer Gender]]="M","Male", orders[[#This Row],[Customer Gender]]="F","Female", orders[[#This Row],[Customer Gender]]="O","Other", TRUE(),"Unknown")</f>
        <v>Unknown</v>
      </c>
    </row>
    <row r="2169" spans="1:15" x14ac:dyDescent="0.25">
      <c r="A2169" t="s">
        <v>2397</v>
      </c>
      <c r="B2169" t="s">
        <v>80</v>
      </c>
      <c r="C2169">
        <v>2</v>
      </c>
      <c r="D2169">
        <v>80.400000000000006</v>
      </c>
      <c r="E2169">
        <v>160.80000000000001</v>
      </c>
      <c r="F2169" s="58">
        <v>45737</v>
      </c>
      <c r="G2169" s="58">
        <v>45738</v>
      </c>
      <c r="H2169" t="s">
        <v>231</v>
      </c>
      <c r="I2169" t="s">
        <v>62</v>
      </c>
      <c r="J2169">
        <v>4</v>
      </c>
      <c r="K2169" t="s">
        <v>103</v>
      </c>
      <c r="L2169" t="s">
        <v>161</v>
      </c>
      <c r="M2169">
        <f>orders[[#This Row],[Ship Date]]-orders[[#This Row],[Order Date]]</f>
        <v>1</v>
      </c>
      <c r="N2169">
        <f>WEEKNUM(orders[[#This Row],[Order Date]],1)</f>
        <v>12</v>
      </c>
      <c r="O2169" t="str">
        <f t="array" ref="O2169">_xlfn.IFS(orders[[#This Row],[Customer Gender]]="M","Male", orders[[#This Row],[Customer Gender]]="F","Female", orders[[#This Row],[Customer Gender]]="O","Other", TRUE(),"Unknown")</f>
        <v>Female</v>
      </c>
    </row>
    <row r="2170" spans="1:15" x14ac:dyDescent="0.25">
      <c r="A2170" t="s">
        <v>2398</v>
      </c>
      <c r="B2170" t="s">
        <v>80</v>
      </c>
      <c r="C2170">
        <v>4</v>
      </c>
      <c r="D2170">
        <v>69.099999999999994</v>
      </c>
      <c r="E2170">
        <v>276.39999999999998</v>
      </c>
      <c r="F2170" s="58">
        <v>45737</v>
      </c>
      <c r="G2170" s="58">
        <v>45738</v>
      </c>
      <c r="H2170" t="s">
        <v>229</v>
      </c>
      <c r="I2170" t="s">
        <v>63</v>
      </c>
      <c r="J2170">
        <v>5</v>
      </c>
      <c r="K2170" t="s">
        <v>103</v>
      </c>
      <c r="L2170" t="s">
        <v>106</v>
      </c>
      <c r="M2170">
        <f>orders[[#This Row],[Ship Date]]-orders[[#This Row],[Order Date]]</f>
        <v>1</v>
      </c>
      <c r="N2170">
        <f>WEEKNUM(orders[[#This Row],[Order Date]],1)</f>
        <v>12</v>
      </c>
      <c r="O2170" t="str">
        <f t="array" ref="O2170">_xlfn.IFS(orders[[#This Row],[Customer Gender]]="M","Male", orders[[#This Row],[Customer Gender]]="F","Female", orders[[#This Row],[Customer Gender]]="O","Other", TRUE(),"Unknown")</f>
        <v>Male</v>
      </c>
    </row>
    <row r="2171" spans="1:15" x14ac:dyDescent="0.25">
      <c r="A2171" t="s">
        <v>2399</v>
      </c>
      <c r="B2171" t="s">
        <v>82</v>
      </c>
      <c r="C2171">
        <v>2</v>
      </c>
      <c r="D2171">
        <v>76.400000000000006</v>
      </c>
      <c r="E2171">
        <v>152.80000000000001</v>
      </c>
      <c r="F2171" s="58">
        <v>45737</v>
      </c>
      <c r="G2171" s="58">
        <v>45737</v>
      </c>
      <c r="H2171" t="s">
        <v>229</v>
      </c>
      <c r="I2171" t="s">
        <v>60</v>
      </c>
      <c r="J2171">
        <v>4</v>
      </c>
      <c r="K2171" t="s">
        <v>103</v>
      </c>
      <c r="L2171" t="s">
        <v>106</v>
      </c>
      <c r="M2171">
        <f>orders[[#This Row],[Ship Date]]-orders[[#This Row],[Order Date]]</f>
        <v>0</v>
      </c>
      <c r="N2171">
        <f>WEEKNUM(orders[[#This Row],[Order Date]],1)</f>
        <v>12</v>
      </c>
      <c r="O2171" t="str">
        <f t="array" ref="O2171">_xlfn.IFS(orders[[#This Row],[Customer Gender]]="M","Male", orders[[#This Row],[Customer Gender]]="F","Female", orders[[#This Row],[Customer Gender]]="O","Other", TRUE(),"Unknown")</f>
        <v>Male</v>
      </c>
    </row>
    <row r="2172" spans="1:15" x14ac:dyDescent="0.25">
      <c r="A2172" t="s">
        <v>2400</v>
      </c>
      <c r="B2172" t="s">
        <v>87</v>
      </c>
      <c r="C2172">
        <v>2</v>
      </c>
      <c r="D2172">
        <v>61.3</v>
      </c>
      <c r="E2172">
        <v>122.6</v>
      </c>
      <c r="F2172" s="58">
        <v>45737</v>
      </c>
      <c r="G2172" s="58">
        <v>45738</v>
      </c>
      <c r="H2172" t="s">
        <v>231</v>
      </c>
      <c r="I2172" t="s">
        <v>63</v>
      </c>
      <c r="J2172">
        <v>3</v>
      </c>
      <c r="K2172" t="s">
        <v>103</v>
      </c>
      <c r="L2172" t="s">
        <v>106</v>
      </c>
      <c r="M2172">
        <f>orders[[#This Row],[Ship Date]]-orders[[#This Row],[Order Date]]</f>
        <v>1</v>
      </c>
      <c r="N2172">
        <f>WEEKNUM(orders[[#This Row],[Order Date]],1)</f>
        <v>12</v>
      </c>
      <c r="O2172" t="str">
        <f t="array" ref="O2172">_xlfn.IFS(orders[[#This Row],[Customer Gender]]="M","Male", orders[[#This Row],[Customer Gender]]="F","Female", orders[[#This Row],[Customer Gender]]="O","Other", TRUE(),"Unknown")</f>
        <v>Female</v>
      </c>
    </row>
    <row r="2173" spans="1:15" x14ac:dyDescent="0.25">
      <c r="A2173" t="s">
        <v>2401</v>
      </c>
      <c r="B2173" t="s">
        <v>79</v>
      </c>
      <c r="C2173">
        <v>1</v>
      </c>
      <c r="D2173">
        <v>58</v>
      </c>
      <c r="E2173">
        <v>58</v>
      </c>
      <c r="F2173" s="58">
        <v>45737</v>
      </c>
      <c r="G2173" s="58">
        <v>45738</v>
      </c>
      <c r="H2173" t="s">
        <v>229</v>
      </c>
      <c r="I2173" t="s">
        <v>60</v>
      </c>
      <c r="J2173">
        <v>3</v>
      </c>
      <c r="K2173" t="s">
        <v>103</v>
      </c>
      <c r="L2173" t="s">
        <v>112</v>
      </c>
      <c r="M2173">
        <f>orders[[#This Row],[Ship Date]]-orders[[#This Row],[Order Date]]</f>
        <v>1</v>
      </c>
      <c r="N2173">
        <f>WEEKNUM(orders[[#This Row],[Order Date]],1)</f>
        <v>12</v>
      </c>
      <c r="O2173" t="str">
        <f t="array" ref="O2173">_xlfn.IFS(orders[[#This Row],[Customer Gender]]="M","Male", orders[[#This Row],[Customer Gender]]="F","Female", orders[[#This Row],[Customer Gender]]="O","Other", TRUE(),"Unknown")</f>
        <v>Male</v>
      </c>
    </row>
    <row r="2174" spans="1:15" x14ac:dyDescent="0.25">
      <c r="A2174" t="s">
        <v>2402</v>
      </c>
      <c r="B2174" t="s">
        <v>87</v>
      </c>
      <c r="C2174">
        <v>8</v>
      </c>
      <c r="D2174">
        <v>102.3</v>
      </c>
      <c r="E2174">
        <v>818.4</v>
      </c>
      <c r="F2174" s="58">
        <v>45737</v>
      </c>
      <c r="G2174" s="58">
        <v>45739</v>
      </c>
      <c r="H2174" t="s">
        <v>229</v>
      </c>
      <c r="I2174" t="s">
        <v>62</v>
      </c>
      <c r="J2174">
        <v>4</v>
      </c>
      <c r="K2174" t="s">
        <v>103</v>
      </c>
      <c r="L2174" t="s">
        <v>114</v>
      </c>
      <c r="M2174">
        <f>orders[[#This Row],[Ship Date]]-orders[[#This Row],[Order Date]]</f>
        <v>2</v>
      </c>
      <c r="N2174">
        <f>WEEKNUM(orders[[#This Row],[Order Date]],1)</f>
        <v>12</v>
      </c>
      <c r="O2174" t="str">
        <f t="array" ref="O2174">_xlfn.IFS(orders[[#This Row],[Customer Gender]]="M","Male", orders[[#This Row],[Customer Gender]]="F","Female", orders[[#This Row],[Customer Gender]]="O","Other", TRUE(),"Unknown")</f>
        <v>Male</v>
      </c>
    </row>
    <row r="2175" spans="1:15" x14ac:dyDescent="0.25">
      <c r="A2175" t="s">
        <v>2403</v>
      </c>
      <c r="B2175" t="s">
        <v>81</v>
      </c>
      <c r="C2175">
        <v>2</v>
      </c>
      <c r="D2175">
        <v>13.8</v>
      </c>
      <c r="E2175">
        <v>27.6</v>
      </c>
      <c r="F2175" s="58">
        <v>45737</v>
      </c>
      <c r="G2175" s="58">
        <v>45738</v>
      </c>
      <c r="H2175" t="s">
        <v>231</v>
      </c>
      <c r="I2175" t="s">
        <v>61</v>
      </c>
      <c r="J2175">
        <v>5</v>
      </c>
      <c r="K2175" t="s">
        <v>103</v>
      </c>
      <c r="L2175" t="s">
        <v>115</v>
      </c>
      <c r="M2175">
        <f>orders[[#This Row],[Ship Date]]-orders[[#This Row],[Order Date]]</f>
        <v>1</v>
      </c>
      <c r="N2175">
        <f>WEEKNUM(orders[[#This Row],[Order Date]],1)</f>
        <v>12</v>
      </c>
      <c r="O2175" t="str">
        <f t="array" ref="O2175">_xlfn.IFS(orders[[#This Row],[Customer Gender]]="M","Male", orders[[#This Row],[Customer Gender]]="F","Female", orders[[#This Row],[Customer Gender]]="O","Other", TRUE(),"Unknown")</f>
        <v>Female</v>
      </c>
    </row>
    <row r="2176" spans="1:15" x14ac:dyDescent="0.25">
      <c r="A2176" t="s">
        <v>2404</v>
      </c>
      <c r="B2176" t="s">
        <v>90</v>
      </c>
      <c r="C2176">
        <v>3</v>
      </c>
      <c r="D2176">
        <v>33.299999999999997</v>
      </c>
      <c r="E2176">
        <v>99.9</v>
      </c>
      <c r="F2176" s="58">
        <v>45737</v>
      </c>
      <c r="G2176" s="58">
        <v>45740</v>
      </c>
      <c r="H2176" t="s">
        <v>231</v>
      </c>
      <c r="I2176" t="s">
        <v>62</v>
      </c>
      <c r="J2176">
        <v>4</v>
      </c>
      <c r="K2176" t="s">
        <v>103</v>
      </c>
      <c r="L2176" t="s">
        <v>120</v>
      </c>
      <c r="M2176">
        <f>orders[[#This Row],[Ship Date]]-orders[[#This Row],[Order Date]]</f>
        <v>3</v>
      </c>
      <c r="N2176">
        <f>WEEKNUM(orders[[#This Row],[Order Date]],1)</f>
        <v>12</v>
      </c>
      <c r="O2176" t="str">
        <f t="array" ref="O2176">_xlfn.IFS(orders[[#This Row],[Customer Gender]]="M","Male", orders[[#This Row],[Customer Gender]]="F","Female", orders[[#This Row],[Customer Gender]]="O","Other", TRUE(),"Unknown")</f>
        <v>Female</v>
      </c>
    </row>
    <row r="2177" spans="1:15" x14ac:dyDescent="0.25">
      <c r="A2177" t="s">
        <v>2405</v>
      </c>
      <c r="B2177" t="s">
        <v>75</v>
      </c>
      <c r="C2177">
        <v>1</v>
      </c>
      <c r="D2177">
        <v>27.4</v>
      </c>
      <c r="E2177">
        <v>27.4</v>
      </c>
      <c r="F2177" s="58">
        <v>45737</v>
      </c>
      <c r="G2177" s="58">
        <v>45740</v>
      </c>
      <c r="H2177" t="s">
        <v>229</v>
      </c>
      <c r="I2177" t="s">
        <v>59</v>
      </c>
      <c r="J2177">
        <v>5</v>
      </c>
      <c r="K2177" t="s">
        <v>103</v>
      </c>
      <c r="L2177" t="s">
        <v>120</v>
      </c>
      <c r="M2177">
        <f>orders[[#This Row],[Ship Date]]-orders[[#This Row],[Order Date]]</f>
        <v>3</v>
      </c>
      <c r="N2177">
        <f>WEEKNUM(orders[[#This Row],[Order Date]],1)</f>
        <v>12</v>
      </c>
      <c r="O2177" t="str">
        <f t="array" ref="O2177">_xlfn.IFS(orders[[#This Row],[Customer Gender]]="M","Male", orders[[#This Row],[Customer Gender]]="F","Female", orders[[#This Row],[Customer Gender]]="O","Other", TRUE(),"Unknown")</f>
        <v>Male</v>
      </c>
    </row>
    <row r="2178" spans="1:15" x14ac:dyDescent="0.25">
      <c r="A2178" t="s">
        <v>2406</v>
      </c>
      <c r="B2178" t="s">
        <v>74</v>
      </c>
      <c r="C2178">
        <v>2</v>
      </c>
      <c r="D2178">
        <v>25.6</v>
      </c>
      <c r="E2178">
        <v>51.2</v>
      </c>
      <c r="F2178" s="58">
        <v>45737</v>
      </c>
      <c r="G2178" s="58">
        <v>45738</v>
      </c>
      <c r="H2178" t="s">
        <v>231</v>
      </c>
      <c r="I2178" t="s">
        <v>63</v>
      </c>
      <c r="J2178">
        <v>3</v>
      </c>
      <c r="K2178" t="s">
        <v>103</v>
      </c>
      <c r="L2178" t="s">
        <v>124</v>
      </c>
      <c r="M2178">
        <f>orders[[#This Row],[Ship Date]]-orders[[#This Row],[Order Date]]</f>
        <v>1</v>
      </c>
      <c r="N2178">
        <f>WEEKNUM(orders[[#This Row],[Order Date]],1)</f>
        <v>12</v>
      </c>
      <c r="O2178" t="str">
        <f t="array" ref="O2178">_xlfn.IFS(orders[[#This Row],[Customer Gender]]="M","Male", orders[[#This Row],[Customer Gender]]="F","Female", orders[[#This Row],[Customer Gender]]="O","Other", TRUE(),"Unknown")</f>
        <v>Female</v>
      </c>
    </row>
    <row r="2179" spans="1:15" x14ac:dyDescent="0.25">
      <c r="A2179" t="s">
        <v>2407</v>
      </c>
      <c r="B2179" t="s">
        <v>92</v>
      </c>
      <c r="C2179">
        <v>1</v>
      </c>
      <c r="D2179">
        <v>58.4</v>
      </c>
      <c r="E2179">
        <v>58.4</v>
      </c>
      <c r="F2179" s="58">
        <v>45737</v>
      </c>
      <c r="G2179" s="58">
        <v>45738</v>
      </c>
      <c r="H2179" t="s">
        <v>231</v>
      </c>
      <c r="I2179" t="s">
        <v>62</v>
      </c>
      <c r="J2179">
        <v>5</v>
      </c>
      <c r="K2179" t="s">
        <v>103</v>
      </c>
      <c r="L2179" t="s">
        <v>124</v>
      </c>
      <c r="M2179">
        <f>orders[[#This Row],[Ship Date]]-orders[[#This Row],[Order Date]]</f>
        <v>1</v>
      </c>
      <c r="N2179">
        <f>WEEKNUM(orders[[#This Row],[Order Date]],1)</f>
        <v>12</v>
      </c>
      <c r="O2179" t="str">
        <f t="array" ref="O2179">_xlfn.IFS(orders[[#This Row],[Customer Gender]]="M","Male", orders[[#This Row],[Customer Gender]]="F","Female", orders[[#This Row],[Customer Gender]]="O","Other", TRUE(),"Unknown")</f>
        <v>Female</v>
      </c>
    </row>
    <row r="2180" spans="1:15" x14ac:dyDescent="0.25">
      <c r="A2180" t="s">
        <v>2408</v>
      </c>
      <c r="B2180" t="s">
        <v>83</v>
      </c>
      <c r="C2180">
        <v>30</v>
      </c>
      <c r="D2180">
        <v>27</v>
      </c>
      <c r="E2180">
        <v>810</v>
      </c>
      <c r="F2180" s="58">
        <v>45737</v>
      </c>
      <c r="G2180" s="58">
        <v>45738</v>
      </c>
      <c r="H2180" t="s">
        <v>231</v>
      </c>
      <c r="I2180" t="s">
        <v>61</v>
      </c>
      <c r="J2180">
        <v>4</v>
      </c>
      <c r="K2180" t="s">
        <v>103</v>
      </c>
      <c r="L2180" t="s">
        <v>124</v>
      </c>
      <c r="M2180">
        <f>orders[[#This Row],[Ship Date]]-orders[[#This Row],[Order Date]]</f>
        <v>1</v>
      </c>
      <c r="N2180">
        <f>WEEKNUM(orders[[#This Row],[Order Date]],1)</f>
        <v>12</v>
      </c>
      <c r="O2180" t="str">
        <f t="array" ref="O2180">_xlfn.IFS(orders[[#This Row],[Customer Gender]]="M","Male", orders[[#This Row],[Customer Gender]]="F","Female", orders[[#This Row],[Customer Gender]]="O","Other", TRUE(),"Unknown")</f>
        <v>Female</v>
      </c>
    </row>
    <row r="2181" spans="1:15" x14ac:dyDescent="0.25">
      <c r="A2181" t="s">
        <v>2409</v>
      </c>
      <c r="B2181" t="s">
        <v>86</v>
      </c>
      <c r="C2181">
        <v>4</v>
      </c>
      <c r="D2181">
        <v>14.2</v>
      </c>
      <c r="E2181">
        <v>56.8</v>
      </c>
      <c r="F2181" s="58">
        <v>45737</v>
      </c>
      <c r="G2181" s="58">
        <v>45738</v>
      </c>
      <c r="H2181" t="s">
        <v>229</v>
      </c>
      <c r="I2181" t="s">
        <v>59</v>
      </c>
      <c r="J2181">
        <v>5</v>
      </c>
      <c r="K2181" t="s">
        <v>103</v>
      </c>
      <c r="L2181" t="s">
        <v>124</v>
      </c>
      <c r="M2181">
        <f>orders[[#This Row],[Ship Date]]-orders[[#This Row],[Order Date]]</f>
        <v>1</v>
      </c>
      <c r="N2181">
        <f>WEEKNUM(orders[[#This Row],[Order Date]],1)</f>
        <v>12</v>
      </c>
      <c r="O2181" t="str">
        <f t="array" ref="O2181">_xlfn.IFS(orders[[#This Row],[Customer Gender]]="M","Male", orders[[#This Row],[Customer Gender]]="F","Female", orders[[#This Row],[Customer Gender]]="O","Other", TRUE(),"Unknown")</f>
        <v>Male</v>
      </c>
    </row>
    <row r="2182" spans="1:15" x14ac:dyDescent="0.25">
      <c r="A2182" t="s">
        <v>2410</v>
      </c>
      <c r="B2182" t="s">
        <v>79</v>
      </c>
      <c r="C2182">
        <v>2</v>
      </c>
      <c r="D2182">
        <v>68</v>
      </c>
      <c r="E2182">
        <v>136</v>
      </c>
      <c r="F2182" s="58">
        <v>45737</v>
      </c>
      <c r="G2182" s="58">
        <v>45747</v>
      </c>
      <c r="H2182" t="s">
        <v>229</v>
      </c>
      <c r="I2182" t="s">
        <v>62</v>
      </c>
      <c r="J2182">
        <v>3</v>
      </c>
      <c r="K2182" t="s">
        <v>103</v>
      </c>
      <c r="L2182" t="s">
        <v>124</v>
      </c>
      <c r="M2182">
        <f>orders[[#This Row],[Ship Date]]-orders[[#This Row],[Order Date]]</f>
        <v>10</v>
      </c>
      <c r="N2182">
        <f>WEEKNUM(orders[[#This Row],[Order Date]],1)</f>
        <v>12</v>
      </c>
      <c r="O2182" t="str">
        <f t="array" ref="O2182">_xlfn.IFS(orders[[#This Row],[Customer Gender]]="M","Male", orders[[#This Row],[Customer Gender]]="F","Female", orders[[#This Row],[Customer Gender]]="O","Other", TRUE(),"Unknown")</f>
        <v>Male</v>
      </c>
    </row>
    <row r="2183" spans="1:15" x14ac:dyDescent="0.25">
      <c r="A2183" t="s">
        <v>2411</v>
      </c>
      <c r="B2183" t="s">
        <v>90</v>
      </c>
      <c r="C2183">
        <v>1</v>
      </c>
      <c r="D2183">
        <v>30.7</v>
      </c>
      <c r="E2183">
        <v>30.7</v>
      </c>
      <c r="F2183" s="58">
        <v>45737</v>
      </c>
      <c r="G2183" s="58">
        <v>45738</v>
      </c>
      <c r="H2183" t="s">
        <v>229</v>
      </c>
      <c r="I2183" t="s">
        <v>59</v>
      </c>
      <c r="J2183">
        <v>4</v>
      </c>
      <c r="K2183" t="s">
        <v>103</v>
      </c>
      <c r="L2183" t="s">
        <v>124</v>
      </c>
      <c r="M2183">
        <f>orders[[#This Row],[Ship Date]]-orders[[#This Row],[Order Date]]</f>
        <v>1</v>
      </c>
      <c r="N2183">
        <f>WEEKNUM(orders[[#This Row],[Order Date]],1)</f>
        <v>12</v>
      </c>
      <c r="O2183" t="str">
        <f t="array" ref="O2183">_xlfn.IFS(orders[[#This Row],[Customer Gender]]="M","Male", orders[[#This Row],[Customer Gender]]="F","Female", orders[[#This Row],[Customer Gender]]="O","Other", TRUE(),"Unknown")</f>
        <v>Male</v>
      </c>
    </row>
    <row r="2184" spans="1:15" x14ac:dyDescent="0.25">
      <c r="A2184" t="s">
        <v>2412</v>
      </c>
      <c r="B2184" t="s">
        <v>84</v>
      </c>
      <c r="C2184">
        <v>13</v>
      </c>
      <c r="D2184">
        <v>51.6</v>
      </c>
      <c r="E2184">
        <v>670.8</v>
      </c>
      <c r="F2184" s="58">
        <v>45737</v>
      </c>
      <c r="G2184" s="58">
        <v>45740</v>
      </c>
      <c r="H2184" t="s">
        <v>263</v>
      </c>
      <c r="I2184" t="s">
        <v>63</v>
      </c>
      <c r="J2184">
        <v>5</v>
      </c>
      <c r="K2184" t="s">
        <v>103</v>
      </c>
      <c r="L2184" t="s">
        <v>124</v>
      </c>
      <c r="M2184">
        <f>orders[[#This Row],[Ship Date]]-orders[[#This Row],[Order Date]]</f>
        <v>3</v>
      </c>
      <c r="N2184">
        <f>WEEKNUM(orders[[#This Row],[Order Date]],1)</f>
        <v>12</v>
      </c>
      <c r="O2184" t="str">
        <f t="array" ref="O2184">_xlfn.IFS(orders[[#This Row],[Customer Gender]]="M","Male", orders[[#This Row],[Customer Gender]]="F","Female", orders[[#This Row],[Customer Gender]]="O","Other", TRUE(),"Unknown")</f>
        <v>Other</v>
      </c>
    </row>
    <row r="2185" spans="1:15" x14ac:dyDescent="0.25">
      <c r="A2185" t="s">
        <v>2413</v>
      </c>
      <c r="B2185" t="s">
        <v>90</v>
      </c>
      <c r="C2185">
        <v>3</v>
      </c>
      <c r="D2185">
        <v>20.6</v>
      </c>
      <c r="E2185">
        <v>61.8</v>
      </c>
      <c r="F2185" s="58">
        <v>45737</v>
      </c>
      <c r="G2185" s="58">
        <v>45741</v>
      </c>
      <c r="H2185" t="s">
        <v>231</v>
      </c>
      <c r="I2185" t="s">
        <v>61</v>
      </c>
      <c r="J2185">
        <v>5</v>
      </c>
      <c r="K2185" t="s">
        <v>103</v>
      </c>
      <c r="L2185" t="s">
        <v>124</v>
      </c>
      <c r="M2185">
        <f>orders[[#This Row],[Ship Date]]-orders[[#This Row],[Order Date]]</f>
        <v>4</v>
      </c>
      <c r="N2185">
        <f>WEEKNUM(orders[[#This Row],[Order Date]],1)</f>
        <v>12</v>
      </c>
      <c r="O2185" t="str">
        <f t="array" ref="O2185">_xlfn.IFS(orders[[#This Row],[Customer Gender]]="M","Male", orders[[#This Row],[Customer Gender]]="F","Female", orders[[#This Row],[Customer Gender]]="O","Other", TRUE(),"Unknown")</f>
        <v>Female</v>
      </c>
    </row>
    <row r="2186" spans="1:15" x14ac:dyDescent="0.25">
      <c r="A2186" t="s">
        <v>2414</v>
      </c>
      <c r="B2186" t="s">
        <v>90</v>
      </c>
      <c r="C2186">
        <v>1</v>
      </c>
      <c r="D2186">
        <v>24.8</v>
      </c>
      <c r="E2186">
        <v>24.8</v>
      </c>
      <c r="F2186" s="58">
        <v>45737</v>
      </c>
      <c r="G2186" s="58">
        <v>45738</v>
      </c>
      <c r="H2186" t="s">
        <v>229</v>
      </c>
      <c r="I2186" t="s">
        <v>61</v>
      </c>
      <c r="J2186">
        <v>4</v>
      </c>
      <c r="K2186" t="s">
        <v>103</v>
      </c>
      <c r="L2186" t="s">
        <v>124</v>
      </c>
      <c r="M2186">
        <f>orders[[#This Row],[Ship Date]]-orders[[#This Row],[Order Date]]</f>
        <v>1</v>
      </c>
      <c r="N2186">
        <f>WEEKNUM(orders[[#This Row],[Order Date]],1)</f>
        <v>12</v>
      </c>
      <c r="O2186" t="str">
        <f t="array" ref="O2186">_xlfn.IFS(orders[[#This Row],[Customer Gender]]="M","Male", orders[[#This Row],[Customer Gender]]="F","Female", orders[[#This Row],[Customer Gender]]="O","Other", TRUE(),"Unknown")</f>
        <v>Male</v>
      </c>
    </row>
    <row r="2187" spans="1:15" x14ac:dyDescent="0.25">
      <c r="A2187" t="s">
        <v>2415</v>
      </c>
      <c r="B2187" t="s">
        <v>86</v>
      </c>
      <c r="C2187">
        <v>7</v>
      </c>
      <c r="D2187">
        <v>11.2</v>
      </c>
      <c r="E2187">
        <v>78.400000000000006</v>
      </c>
      <c r="F2187" s="58">
        <v>45737</v>
      </c>
      <c r="G2187" s="58">
        <v>45740</v>
      </c>
      <c r="H2187" t="s">
        <v>229</v>
      </c>
      <c r="I2187" t="s">
        <v>63</v>
      </c>
      <c r="J2187">
        <v>4</v>
      </c>
      <c r="K2187" t="s">
        <v>103</v>
      </c>
      <c r="L2187" t="s">
        <v>124</v>
      </c>
      <c r="M2187">
        <f>orders[[#This Row],[Ship Date]]-orders[[#This Row],[Order Date]]</f>
        <v>3</v>
      </c>
      <c r="N2187">
        <f>WEEKNUM(orders[[#This Row],[Order Date]],1)</f>
        <v>12</v>
      </c>
      <c r="O2187" t="str">
        <f t="array" ref="O2187">_xlfn.IFS(orders[[#This Row],[Customer Gender]]="M","Male", orders[[#This Row],[Customer Gender]]="F","Female", orders[[#This Row],[Customer Gender]]="O","Other", TRUE(),"Unknown")</f>
        <v>Male</v>
      </c>
    </row>
    <row r="2188" spans="1:15" x14ac:dyDescent="0.25">
      <c r="A2188" t="s">
        <v>2416</v>
      </c>
      <c r="B2188" t="s">
        <v>83</v>
      </c>
      <c r="C2188">
        <v>2</v>
      </c>
      <c r="D2188">
        <v>51.2</v>
      </c>
      <c r="E2188">
        <v>102.4</v>
      </c>
      <c r="F2188" s="58">
        <v>45737</v>
      </c>
      <c r="G2188" s="58">
        <v>45738</v>
      </c>
      <c r="H2188" t="s">
        <v>231</v>
      </c>
      <c r="I2188" t="s">
        <v>63</v>
      </c>
      <c r="J2188">
        <v>5</v>
      </c>
      <c r="K2188" t="s">
        <v>103</v>
      </c>
      <c r="L2188" t="s">
        <v>124</v>
      </c>
      <c r="M2188">
        <f>orders[[#This Row],[Ship Date]]-orders[[#This Row],[Order Date]]</f>
        <v>1</v>
      </c>
      <c r="N2188">
        <f>WEEKNUM(orders[[#This Row],[Order Date]],1)</f>
        <v>12</v>
      </c>
      <c r="O2188" t="str">
        <f t="array" ref="O2188">_xlfn.IFS(orders[[#This Row],[Customer Gender]]="M","Male", orders[[#This Row],[Customer Gender]]="F","Female", orders[[#This Row],[Customer Gender]]="O","Other", TRUE(),"Unknown")</f>
        <v>Female</v>
      </c>
    </row>
    <row r="2189" spans="1:15" x14ac:dyDescent="0.25">
      <c r="A2189" t="s">
        <v>2417</v>
      </c>
      <c r="B2189" t="s">
        <v>79</v>
      </c>
      <c r="C2189">
        <v>6</v>
      </c>
      <c r="D2189">
        <v>90.5</v>
      </c>
      <c r="E2189">
        <v>543</v>
      </c>
      <c r="F2189" s="58">
        <v>45737</v>
      </c>
      <c r="G2189" s="58">
        <v>45738</v>
      </c>
      <c r="H2189" t="s">
        <v>231</v>
      </c>
      <c r="I2189" t="s">
        <v>63</v>
      </c>
      <c r="J2189">
        <v>2</v>
      </c>
      <c r="K2189" t="s">
        <v>103</v>
      </c>
      <c r="L2189" t="s">
        <v>124</v>
      </c>
      <c r="M2189">
        <f>orders[[#This Row],[Ship Date]]-orders[[#This Row],[Order Date]]</f>
        <v>1</v>
      </c>
      <c r="N2189">
        <f>WEEKNUM(orders[[#This Row],[Order Date]],1)</f>
        <v>12</v>
      </c>
      <c r="O2189" t="str">
        <f t="array" ref="O2189">_xlfn.IFS(orders[[#This Row],[Customer Gender]]="M","Male", orders[[#This Row],[Customer Gender]]="F","Female", orders[[#This Row],[Customer Gender]]="O","Other", TRUE(),"Unknown")</f>
        <v>Female</v>
      </c>
    </row>
    <row r="2190" spans="1:15" x14ac:dyDescent="0.25">
      <c r="A2190" t="s">
        <v>2418</v>
      </c>
      <c r="B2190" t="s">
        <v>91</v>
      </c>
      <c r="C2190">
        <v>2</v>
      </c>
      <c r="D2190">
        <v>42.4</v>
      </c>
      <c r="E2190">
        <v>84.8</v>
      </c>
      <c r="F2190" s="58">
        <v>45737</v>
      </c>
      <c r="G2190" s="58">
        <v>45738</v>
      </c>
      <c r="H2190" t="s">
        <v>229</v>
      </c>
      <c r="I2190" t="s">
        <v>63</v>
      </c>
      <c r="J2190">
        <v>5</v>
      </c>
      <c r="K2190" t="s">
        <v>103</v>
      </c>
      <c r="L2190" t="s">
        <v>134</v>
      </c>
      <c r="M2190">
        <f>orders[[#This Row],[Ship Date]]-orders[[#This Row],[Order Date]]</f>
        <v>1</v>
      </c>
      <c r="N2190">
        <f>WEEKNUM(orders[[#This Row],[Order Date]],1)</f>
        <v>12</v>
      </c>
      <c r="O2190" t="str">
        <f t="array" ref="O2190">_xlfn.IFS(orders[[#This Row],[Customer Gender]]="M","Male", orders[[#This Row],[Customer Gender]]="F","Female", orders[[#This Row],[Customer Gender]]="O","Other", TRUE(),"Unknown")</f>
        <v>Male</v>
      </c>
    </row>
    <row r="2191" spans="1:15" x14ac:dyDescent="0.25">
      <c r="A2191" t="s">
        <v>2419</v>
      </c>
      <c r="B2191" t="s">
        <v>91</v>
      </c>
      <c r="C2191">
        <v>2</v>
      </c>
      <c r="D2191">
        <v>38.200000000000003</v>
      </c>
      <c r="E2191">
        <v>76.400000000000006</v>
      </c>
      <c r="F2191" s="58">
        <v>45737</v>
      </c>
      <c r="G2191" s="58">
        <v>45738</v>
      </c>
      <c r="H2191" t="s">
        <v>229</v>
      </c>
      <c r="I2191" t="s">
        <v>59</v>
      </c>
      <c r="J2191">
        <v>4</v>
      </c>
      <c r="K2191" t="s">
        <v>103</v>
      </c>
      <c r="L2191" t="s">
        <v>136</v>
      </c>
      <c r="M2191">
        <f>orders[[#This Row],[Ship Date]]-orders[[#This Row],[Order Date]]</f>
        <v>1</v>
      </c>
      <c r="N2191">
        <f>WEEKNUM(orders[[#This Row],[Order Date]],1)</f>
        <v>12</v>
      </c>
      <c r="O2191" t="str">
        <f t="array" ref="O2191">_xlfn.IFS(orders[[#This Row],[Customer Gender]]="M","Male", orders[[#This Row],[Customer Gender]]="F","Female", orders[[#This Row],[Customer Gender]]="O","Other", TRUE(),"Unknown")</f>
        <v>Male</v>
      </c>
    </row>
    <row r="2192" spans="1:15" x14ac:dyDescent="0.25">
      <c r="A2192" t="s">
        <v>2420</v>
      </c>
      <c r="B2192" t="s">
        <v>87</v>
      </c>
      <c r="C2192">
        <v>9</v>
      </c>
      <c r="D2192">
        <v>121.3</v>
      </c>
      <c r="E2192">
        <v>1091.7</v>
      </c>
      <c r="F2192" s="58">
        <v>45737</v>
      </c>
      <c r="G2192" s="58">
        <v>45742</v>
      </c>
      <c r="H2192" t="s">
        <v>229</v>
      </c>
      <c r="I2192" t="s">
        <v>59</v>
      </c>
      <c r="J2192">
        <v>4</v>
      </c>
      <c r="K2192" t="s">
        <v>103</v>
      </c>
      <c r="L2192" t="s">
        <v>139</v>
      </c>
      <c r="M2192">
        <f>orders[[#This Row],[Ship Date]]-orders[[#This Row],[Order Date]]</f>
        <v>5</v>
      </c>
      <c r="N2192">
        <f>WEEKNUM(orders[[#This Row],[Order Date]],1)</f>
        <v>12</v>
      </c>
      <c r="O2192" t="str">
        <f t="array" ref="O2192">_xlfn.IFS(orders[[#This Row],[Customer Gender]]="M","Male", orders[[#This Row],[Customer Gender]]="F","Female", orders[[#This Row],[Customer Gender]]="O","Other", TRUE(),"Unknown")</f>
        <v>Male</v>
      </c>
    </row>
    <row r="2193" spans="1:15" x14ac:dyDescent="0.25">
      <c r="A2193" t="s">
        <v>2421</v>
      </c>
      <c r="B2193" t="s">
        <v>80</v>
      </c>
      <c r="C2193">
        <v>2</v>
      </c>
      <c r="D2193">
        <v>46.9</v>
      </c>
      <c r="E2193">
        <v>93.8</v>
      </c>
      <c r="F2193" s="58">
        <v>45737</v>
      </c>
      <c r="G2193" s="58">
        <v>45744</v>
      </c>
      <c r="H2193" t="s">
        <v>229</v>
      </c>
      <c r="I2193" t="s">
        <v>59</v>
      </c>
      <c r="J2193">
        <v>4</v>
      </c>
      <c r="K2193" t="s">
        <v>103</v>
      </c>
      <c r="L2193" t="s">
        <v>142</v>
      </c>
      <c r="M2193">
        <f>orders[[#This Row],[Ship Date]]-orders[[#This Row],[Order Date]]</f>
        <v>7</v>
      </c>
      <c r="N2193">
        <f>WEEKNUM(orders[[#This Row],[Order Date]],1)</f>
        <v>12</v>
      </c>
      <c r="O2193" t="str">
        <f t="array" ref="O2193">_xlfn.IFS(orders[[#This Row],[Customer Gender]]="M","Male", orders[[#This Row],[Customer Gender]]="F","Female", orders[[#This Row],[Customer Gender]]="O","Other", TRUE(),"Unknown")</f>
        <v>Male</v>
      </c>
    </row>
    <row r="2194" spans="1:15" x14ac:dyDescent="0.25">
      <c r="A2194" t="s">
        <v>2422</v>
      </c>
      <c r="B2194" t="s">
        <v>75</v>
      </c>
      <c r="C2194">
        <v>1</v>
      </c>
      <c r="D2194">
        <v>55.3</v>
      </c>
      <c r="E2194">
        <v>55.3</v>
      </c>
      <c r="F2194" s="58">
        <v>45737</v>
      </c>
      <c r="G2194" s="58">
        <v>45739</v>
      </c>
      <c r="H2194" t="s">
        <v>229</v>
      </c>
      <c r="I2194" t="s">
        <v>59</v>
      </c>
      <c r="J2194">
        <v>4</v>
      </c>
      <c r="K2194" t="s">
        <v>103</v>
      </c>
      <c r="L2194" t="s">
        <v>142</v>
      </c>
      <c r="M2194">
        <f>orders[[#This Row],[Ship Date]]-orders[[#This Row],[Order Date]]</f>
        <v>2</v>
      </c>
      <c r="N2194">
        <f>WEEKNUM(orders[[#This Row],[Order Date]],1)</f>
        <v>12</v>
      </c>
      <c r="O2194" t="str">
        <f t="array" ref="O2194">_xlfn.IFS(orders[[#This Row],[Customer Gender]]="M","Male", orders[[#This Row],[Customer Gender]]="F","Female", orders[[#This Row],[Customer Gender]]="O","Other", TRUE(),"Unknown")</f>
        <v>Male</v>
      </c>
    </row>
    <row r="2195" spans="1:15" x14ac:dyDescent="0.25">
      <c r="A2195" t="s">
        <v>2423</v>
      </c>
      <c r="B2195" t="s">
        <v>87</v>
      </c>
      <c r="C2195">
        <v>3</v>
      </c>
      <c r="D2195">
        <v>70.599999999999994</v>
      </c>
      <c r="E2195">
        <v>211.8</v>
      </c>
      <c r="F2195" s="58">
        <v>45738</v>
      </c>
      <c r="G2195" s="58">
        <v>45738</v>
      </c>
      <c r="H2195" t="s">
        <v>231</v>
      </c>
      <c r="I2195" t="s">
        <v>59</v>
      </c>
      <c r="J2195">
        <v>3</v>
      </c>
      <c r="K2195" t="s">
        <v>103</v>
      </c>
      <c r="L2195" t="s">
        <v>142</v>
      </c>
      <c r="M2195">
        <f>orders[[#This Row],[Ship Date]]-orders[[#This Row],[Order Date]]</f>
        <v>0</v>
      </c>
      <c r="N2195">
        <f>WEEKNUM(orders[[#This Row],[Order Date]],1)</f>
        <v>12</v>
      </c>
      <c r="O2195" t="str">
        <f t="array" ref="O2195">_xlfn.IFS(orders[[#This Row],[Customer Gender]]="M","Male", orders[[#This Row],[Customer Gender]]="F","Female", orders[[#This Row],[Customer Gender]]="O","Other", TRUE(),"Unknown")</f>
        <v>Female</v>
      </c>
    </row>
    <row r="2196" spans="1:15" x14ac:dyDescent="0.25">
      <c r="A2196" t="s">
        <v>2424</v>
      </c>
      <c r="B2196" t="s">
        <v>74</v>
      </c>
      <c r="C2196">
        <v>4</v>
      </c>
      <c r="D2196">
        <v>26.1</v>
      </c>
      <c r="E2196">
        <v>104.4</v>
      </c>
      <c r="F2196" s="58">
        <v>45738</v>
      </c>
      <c r="G2196" s="58">
        <v>45740</v>
      </c>
      <c r="H2196" t="s">
        <v>229</v>
      </c>
      <c r="I2196" t="s">
        <v>59</v>
      </c>
      <c r="J2196">
        <v>4</v>
      </c>
      <c r="K2196" t="s">
        <v>103</v>
      </c>
      <c r="L2196" t="s">
        <v>142</v>
      </c>
      <c r="M2196">
        <f>orders[[#This Row],[Ship Date]]-orders[[#This Row],[Order Date]]</f>
        <v>2</v>
      </c>
      <c r="N2196">
        <f>WEEKNUM(orders[[#This Row],[Order Date]],1)</f>
        <v>12</v>
      </c>
      <c r="O2196" t="str">
        <f t="array" ref="O2196">_xlfn.IFS(orders[[#This Row],[Customer Gender]]="M","Male", orders[[#This Row],[Customer Gender]]="F","Female", orders[[#This Row],[Customer Gender]]="O","Other", TRUE(),"Unknown")</f>
        <v>Male</v>
      </c>
    </row>
    <row r="2197" spans="1:15" x14ac:dyDescent="0.25">
      <c r="A2197" t="s">
        <v>2425</v>
      </c>
      <c r="B2197" t="s">
        <v>88</v>
      </c>
      <c r="C2197">
        <v>11</v>
      </c>
      <c r="D2197">
        <v>34.5</v>
      </c>
      <c r="E2197">
        <v>379.5</v>
      </c>
      <c r="F2197" s="58">
        <v>45738</v>
      </c>
      <c r="G2197" s="58">
        <v>45742</v>
      </c>
      <c r="H2197" t="s">
        <v>229</v>
      </c>
      <c r="I2197" t="s">
        <v>62</v>
      </c>
      <c r="J2197">
        <v>4</v>
      </c>
      <c r="K2197" t="s">
        <v>103</v>
      </c>
      <c r="L2197" t="s">
        <v>143</v>
      </c>
      <c r="M2197">
        <f>orders[[#This Row],[Ship Date]]-orders[[#This Row],[Order Date]]</f>
        <v>4</v>
      </c>
      <c r="N2197">
        <f>WEEKNUM(orders[[#This Row],[Order Date]],1)</f>
        <v>12</v>
      </c>
      <c r="O2197" t="str">
        <f t="array" ref="O2197">_xlfn.IFS(orders[[#This Row],[Customer Gender]]="M","Male", orders[[#This Row],[Customer Gender]]="F","Female", orders[[#This Row],[Customer Gender]]="O","Other", TRUE(),"Unknown")</f>
        <v>Male</v>
      </c>
    </row>
    <row r="2198" spans="1:15" x14ac:dyDescent="0.25">
      <c r="A2198" t="s">
        <v>2426</v>
      </c>
      <c r="B2198" t="s">
        <v>91</v>
      </c>
      <c r="C2198">
        <v>2</v>
      </c>
      <c r="D2198">
        <v>64.2</v>
      </c>
      <c r="E2198">
        <v>128.4</v>
      </c>
      <c r="F2198" s="58">
        <v>45738</v>
      </c>
      <c r="G2198" s="58">
        <v>45739</v>
      </c>
      <c r="H2198" t="s">
        <v>231</v>
      </c>
      <c r="I2198" t="s">
        <v>59</v>
      </c>
      <c r="J2198">
        <v>3</v>
      </c>
      <c r="K2198" t="s">
        <v>103</v>
      </c>
      <c r="L2198" t="s">
        <v>143</v>
      </c>
      <c r="M2198">
        <f>orders[[#This Row],[Ship Date]]-orders[[#This Row],[Order Date]]</f>
        <v>1</v>
      </c>
      <c r="N2198">
        <f>WEEKNUM(orders[[#This Row],[Order Date]],1)</f>
        <v>12</v>
      </c>
      <c r="O2198" t="str">
        <f t="array" ref="O2198">_xlfn.IFS(orders[[#This Row],[Customer Gender]]="M","Male", orders[[#This Row],[Customer Gender]]="F","Female", orders[[#This Row],[Customer Gender]]="O","Other", TRUE(),"Unknown")</f>
        <v>Female</v>
      </c>
    </row>
    <row r="2199" spans="1:15" x14ac:dyDescent="0.25">
      <c r="A2199" t="s">
        <v>2427</v>
      </c>
      <c r="B2199" t="s">
        <v>87</v>
      </c>
      <c r="C2199">
        <v>4</v>
      </c>
      <c r="D2199">
        <v>145.69999999999999</v>
      </c>
      <c r="E2199">
        <v>582.79999999999995</v>
      </c>
      <c r="F2199" s="58">
        <v>45738</v>
      </c>
      <c r="G2199" s="58">
        <v>45739</v>
      </c>
      <c r="H2199" t="s">
        <v>231</v>
      </c>
      <c r="I2199" t="s">
        <v>59</v>
      </c>
      <c r="J2199">
        <v>2</v>
      </c>
      <c r="K2199" t="s">
        <v>103</v>
      </c>
      <c r="L2199" t="s">
        <v>143</v>
      </c>
      <c r="M2199">
        <f>orders[[#This Row],[Ship Date]]-orders[[#This Row],[Order Date]]</f>
        <v>1</v>
      </c>
      <c r="N2199">
        <f>WEEKNUM(orders[[#This Row],[Order Date]],1)</f>
        <v>12</v>
      </c>
      <c r="O2199" t="str">
        <f t="array" ref="O2199">_xlfn.IFS(orders[[#This Row],[Customer Gender]]="M","Male", orders[[#This Row],[Customer Gender]]="F","Female", orders[[#This Row],[Customer Gender]]="O","Other", TRUE(),"Unknown")</f>
        <v>Female</v>
      </c>
    </row>
    <row r="2200" spans="1:15" x14ac:dyDescent="0.25">
      <c r="A2200" t="s">
        <v>2428</v>
      </c>
      <c r="B2200" t="s">
        <v>76</v>
      </c>
      <c r="C2200">
        <v>2</v>
      </c>
      <c r="D2200">
        <v>78.5</v>
      </c>
      <c r="E2200">
        <v>157</v>
      </c>
      <c r="F2200" s="58">
        <v>45738</v>
      </c>
      <c r="G2200" s="58">
        <v>45739</v>
      </c>
      <c r="H2200" t="s">
        <v>229</v>
      </c>
      <c r="I2200" t="s">
        <v>62</v>
      </c>
      <c r="J2200">
        <v>4</v>
      </c>
      <c r="K2200" t="s">
        <v>103</v>
      </c>
      <c r="L2200" t="s">
        <v>144</v>
      </c>
      <c r="M2200">
        <f>orders[[#This Row],[Ship Date]]-orders[[#This Row],[Order Date]]</f>
        <v>1</v>
      </c>
      <c r="N2200">
        <f>WEEKNUM(orders[[#This Row],[Order Date]],1)</f>
        <v>12</v>
      </c>
      <c r="O2200" t="str">
        <f t="array" ref="O2200">_xlfn.IFS(orders[[#This Row],[Customer Gender]]="M","Male", orders[[#This Row],[Customer Gender]]="F","Female", orders[[#This Row],[Customer Gender]]="O","Other", TRUE(),"Unknown")</f>
        <v>Male</v>
      </c>
    </row>
    <row r="2201" spans="1:15" x14ac:dyDescent="0.25">
      <c r="A2201" t="s">
        <v>2429</v>
      </c>
      <c r="B2201" t="s">
        <v>91</v>
      </c>
      <c r="C2201">
        <v>1</v>
      </c>
      <c r="D2201">
        <v>34.200000000000003</v>
      </c>
      <c r="E2201">
        <v>34.200000000000003</v>
      </c>
      <c r="F2201" s="58">
        <v>45738</v>
      </c>
      <c r="G2201" s="58">
        <v>45740</v>
      </c>
      <c r="H2201" t="s">
        <v>229</v>
      </c>
      <c r="I2201" t="s">
        <v>59</v>
      </c>
      <c r="J2201">
        <v>4</v>
      </c>
      <c r="K2201" t="s">
        <v>103</v>
      </c>
      <c r="L2201" t="s">
        <v>146</v>
      </c>
      <c r="M2201">
        <f>orders[[#This Row],[Ship Date]]-orders[[#This Row],[Order Date]]</f>
        <v>2</v>
      </c>
      <c r="N2201">
        <f>WEEKNUM(orders[[#This Row],[Order Date]],1)</f>
        <v>12</v>
      </c>
      <c r="O2201" t="str">
        <f t="array" ref="O2201">_xlfn.IFS(orders[[#This Row],[Customer Gender]]="M","Male", orders[[#This Row],[Customer Gender]]="F","Female", orders[[#This Row],[Customer Gender]]="O","Other", TRUE(),"Unknown")</f>
        <v>Male</v>
      </c>
    </row>
    <row r="2202" spans="1:15" x14ac:dyDescent="0.25">
      <c r="A2202" t="s">
        <v>2430</v>
      </c>
      <c r="B2202" t="s">
        <v>81</v>
      </c>
      <c r="C2202">
        <v>1</v>
      </c>
      <c r="D2202">
        <v>26.2</v>
      </c>
      <c r="E2202">
        <v>26.2</v>
      </c>
      <c r="F2202" s="58">
        <v>45738</v>
      </c>
      <c r="G2202" s="58">
        <v>45739</v>
      </c>
      <c r="H2202" t="s">
        <v>229</v>
      </c>
      <c r="I2202" t="s">
        <v>62</v>
      </c>
      <c r="J2202">
        <v>4</v>
      </c>
      <c r="K2202" t="s">
        <v>103</v>
      </c>
      <c r="L2202" t="s">
        <v>146</v>
      </c>
      <c r="M2202">
        <f>orders[[#This Row],[Ship Date]]-orders[[#This Row],[Order Date]]</f>
        <v>1</v>
      </c>
      <c r="N2202">
        <f>WEEKNUM(orders[[#This Row],[Order Date]],1)</f>
        <v>12</v>
      </c>
      <c r="O2202" t="str">
        <f t="array" ref="O2202">_xlfn.IFS(orders[[#This Row],[Customer Gender]]="M","Male", orders[[#This Row],[Customer Gender]]="F","Female", orders[[#This Row],[Customer Gender]]="O","Other", TRUE(),"Unknown")</f>
        <v>Male</v>
      </c>
    </row>
    <row r="2203" spans="1:15" x14ac:dyDescent="0.25">
      <c r="A2203" t="s">
        <v>2431</v>
      </c>
      <c r="B2203" t="s">
        <v>80</v>
      </c>
      <c r="C2203">
        <v>4</v>
      </c>
      <c r="D2203">
        <v>53.2</v>
      </c>
      <c r="E2203">
        <v>212.8</v>
      </c>
      <c r="F2203" s="58">
        <v>45738</v>
      </c>
      <c r="G2203" s="58">
        <v>45739</v>
      </c>
      <c r="H2203" t="s">
        <v>229</v>
      </c>
      <c r="I2203" t="s">
        <v>63</v>
      </c>
      <c r="J2203">
        <v>3</v>
      </c>
      <c r="K2203" t="s">
        <v>103</v>
      </c>
      <c r="L2203" t="s">
        <v>148</v>
      </c>
      <c r="M2203">
        <f>orders[[#This Row],[Ship Date]]-orders[[#This Row],[Order Date]]</f>
        <v>1</v>
      </c>
      <c r="N2203">
        <f>WEEKNUM(orders[[#This Row],[Order Date]],1)</f>
        <v>12</v>
      </c>
      <c r="O2203" t="str">
        <f t="array" ref="O2203">_xlfn.IFS(orders[[#This Row],[Customer Gender]]="M","Male", orders[[#This Row],[Customer Gender]]="F","Female", orders[[#This Row],[Customer Gender]]="O","Other", TRUE(),"Unknown")</f>
        <v>Male</v>
      </c>
    </row>
    <row r="2204" spans="1:15" x14ac:dyDescent="0.25">
      <c r="A2204" t="s">
        <v>2432</v>
      </c>
      <c r="B2204" t="s">
        <v>91</v>
      </c>
      <c r="C2204">
        <v>1</v>
      </c>
      <c r="D2204">
        <v>35.4</v>
      </c>
      <c r="E2204">
        <v>35.4</v>
      </c>
      <c r="F2204" s="58">
        <v>45738</v>
      </c>
      <c r="G2204" s="58">
        <v>45742</v>
      </c>
      <c r="H2204" t="s">
        <v>229</v>
      </c>
      <c r="I2204" t="s">
        <v>63</v>
      </c>
      <c r="J2204">
        <v>2</v>
      </c>
      <c r="K2204" t="s">
        <v>103</v>
      </c>
      <c r="L2204" t="s">
        <v>154</v>
      </c>
      <c r="M2204">
        <f>orders[[#This Row],[Ship Date]]-orders[[#This Row],[Order Date]]</f>
        <v>4</v>
      </c>
      <c r="N2204">
        <f>WEEKNUM(orders[[#This Row],[Order Date]],1)</f>
        <v>12</v>
      </c>
      <c r="O2204" t="str">
        <f t="array" ref="O2204">_xlfn.IFS(orders[[#This Row],[Customer Gender]]="M","Male", orders[[#This Row],[Customer Gender]]="F","Female", orders[[#This Row],[Customer Gender]]="O","Other", TRUE(),"Unknown")</f>
        <v>Male</v>
      </c>
    </row>
    <row r="2205" spans="1:15" x14ac:dyDescent="0.25">
      <c r="A2205" t="s">
        <v>2433</v>
      </c>
      <c r="B2205" t="s">
        <v>74</v>
      </c>
      <c r="C2205">
        <v>2</v>
      </c>
      <c r="D2205">
        <v>21.3</v>
      </c>
      <c r="E2205">
        <v>42.6</v>
      </c>
      <c r="F2205" s="58">
        <v>45738</v>
      </c>
      <c r="G2205" s="58">
        <v>45739</v>
      </c>
      <c r="H2205" t="s">
        <v>229</v>
      </c>
      <c r="I2205" t="s">
        <v>62</v>
      </c>
      <c r="J2205">
        <v>4</v>
      </c>
      <c r="K2205" t="s">
        <v>103</v>
      </c>
      <c r="L2205" t="s">
        <v>159</v>
      </c>
      <c r="M2205">
        <f>orders[[#This Row],[Ship Date]]-orders[[#This Row],[Order Date]]</f>
        <v>1</v>
      </c>
      <c r="N2205">
        <f>WEEKNUM(orders[[#This Row],[Order Date]],1)</f>
        <v>12</v>
      </c>
      <c r="O2205" t="str">
        <f t="array" ref="O2205">_xlfn.IFS(orders[[#This Row],[Customer Gender]]="M","Male", orders[[#This Row],[Customer Gender]]="F","Female", orders[[#This Row],[Customer Gender]]="O","Other", TRUE(),"Unknown")</f>
        <v>Male</v>
      </c>
    </row>
    <row r="2206" spans="1:15" x14ac:dyDescent="0.25">
      <c r="A2206" t="s">
        <v>2434</v>
      </c>
      <c r="B2206" t="s">
        <v>90</v>
      </c>
      <c r="C2206">
        <v>4</v>
      </c>
      <c r="D2206">
        <v>32.9</v>
      </c>
      <c r="E2206">
        <v>131.6</v>
      </c>
      <c r="F2206" s="58">
        <v>45738</v>
      </c>
      <c r="G2206" s="58">
        <v>45741</v>
      </c>
      <c r="H2206" t="s">
        <v>231</v>
      </c>
      <c r="I2206" t="s">
        <v>61</v>
      </c>
      <c r="J2206">
        <v>5</v>
      </c>
      <c r="K2206" t="s">
        <v>103</v>
      </c>
      <c r="L2206" t="s">
        <v>106</v>
      </c>
      <c r="M2206">
        <f>orders[[#This Row],[Ship Date]]-orders[[#This Row],[Order Date]]</f>
        <v>3</v>
      </c>
      <c r="N2206">
        <f>WEEKNUM(orders[[#This Row],[Order Date]],1)</f>
        <v>12</v>
      </c>
      <c r="O2206" t="str">
        <f t="array" ref="O2206">_xlfn.IFS(orders[[#This Row],[Customer Gender]]="M","Male", orders[[#This Row],[Customer Gender]]="F","Female", orders[[#This Row],[Customer Gender]]="O","Other", TRUE(),"Unknown")</f>
        <v>Female</v>
      </c>
    </row>
    <row r="2207" spans="1:15" x14ac:dyDescent="0.25">
      <c r="A2207" t="s">
        <v>2435</v>
      </c>
      <c r="B2207" t="s">
        <v>85</v>
      </c>
      <c r="C2207">
        <v>15</v>
      </c>
      <c r="D2207">
        <v>85.5</v>
      </c>
      <c r="E2207">
        <v>1282.5</v>
      </c>
      <c r="F2207" s="58">
        <v>45738</v>
      </c>
      <c r="G2207" s="58">
        <v>45740</v>
      </c>
      <c r="H2207" t="s">
        <v>231</v>
      </c>
      <c r="I2207" t="s">
        <v>60</v>
      </c>
      <c r="J2207">
        <v>3</v>
      </c>
      <c r="K2207" t="s">
        <v>103</v>
      </c>
      <c r="L2207" t="s">
        <v>106</v>
      </c>
      <c r="M2207">
        <f>orders[[#This Row],[Ship Date]]-orders[[#This Row],[Order Date]]</f>
        <v>2</v>
      </c>
      <c r="N2207">
        <f>WEEKNUM(orders[[#This Row],[Order Date]],1)</f>
        <v>12</v>
      </c>
      <c r="O2207" t="str">
        <f t="array" ref="O2207">_xlfn.IFS(orders[[#This Row],[Customer Gender]]="M","Male", orders[[#This Row],[Customer Gender]]="F","Female", orders[[#This Row],[Customer Gender]]="O","Other", TRUE(),"Unknown")</f>
        <v>Female</v>
      </c>
    </row>
    <row r="2208" spans="1:15" x14ac:dyDescent="0.25">
      <c r="A2208" t="s">
        <v>2436</v>
      </c>
      <c r="B2208" t="s">
        <v>78</v>
      </c>
      <c r="C2208">
        <v>1</v>
      </c>
      <c r="D2208">
        <v>26.8</v>
      </c>
      <c r="E2208">
        <v>26.8</v>
      </c>
      <c r="F2208" s="58">
        <v>45738</v>
      </c>
      <c r="G2208" s="58">
        <v>45739</v>
      </c>
      <c r="H2208" t="s">
        <v>231</v>
      </c>
      <c r="I2208" t="s">
        <v>59</v>
      </c>
      <c r="J2208">
        <v>3</v>
      </c>
      <c r="K2208" t="s">
        <v>103</v>
      </c>
      <c r="L2208" t="s">
        <v>115</v>
      </c>
      <c r="M2208">
        <f>orders[[#This Row],[Ship Date]]-orders[[#This Row],[Order Date]]</f>
        <v>1</v>
      </c>
      <c r="N2208">
        <f>WEEKNUM(orders[[#This Row],[Order Date]],1)</f>
        <v>12</v>
      </c>
      <c r="O2208" t="str">
        <f t="array" ref="O2208">_xlfn.IFS(orders[[#This Row],[Customer Gender]]="M","Male", orders[[#This Row],[Customer Gender]]="F","Female", orders[[#This Row],[Customer Gender]]="O","Other", TRUE(),"Unknown")</f>
        <v>Female</v>
      </c>
    </row>
    <row r="2209" spans="1:15" x14ac:dyDescent="0.25">
      <c r="A2209" t="s">
        <v>2437</v>
      </c>
      <c r="B2209" t="s">
        <v>88</v>
      </c>
      <c r="C2209">
        <v>26</v>
      </c>
      <c r="D2209">
        <v>31.7</v>
      </c>
      <c r="E2209">
        <v>824.2</v>
      </c>
      <c r="F2209" s="58">
        <v>45738</v>
      </c>
      <c r="G2209" s="58">
        <v>45738</v>
      </c>
      <c r="H2209" t="s">
        <v>231</v>
      </c>
      <c r="I2209" t="s">
        <v>60</v>
      </c>
      <c r="J2209">
        <v>4</v>
      </c>
      <c r="K2209" t="s">
        <v>103</v>
      </c>
      <c r="L2209" t="s">
        <v>115</v>
      </c>
      <c r="M2209">
        <f>orders[[#This Row],[Ship Date]]-orders[[#This Row],[Order Date]]</f>
        <v>0</v>
      </c>
      <c r="N2209">
        <f>WEEKNUM(orders[[#This Row],[Order Date]],1)</f>
        <v>12</v>
      </c>
      <c r="O2209" t="str">
        <f t="array" ref="O2209">_xlfn.IFS(orders[[#This Row],[Customer Gender]]="M","Male", orders[[#This Row],[Customer Gender]]="F","Female", orders[[#This Row],[Customer Gender]]="O","Other", TRUE(),"Unknown")</f>
        <v>Female</v>
      </c>
    </row>
    <row r="2210" spans="1:15" x14ac:dyDescent="0.25">
      <c r="A2210" t="s">
        <v>2438</v>
      </c>
      <c r="B2210" t="s">
        <v>91</v>
      </c>
      <c r="C2210">
        <v>2</v>
      </c>
      <c r="D2210">
        <v>78.3</v>
      </c>
      <c r="E2210">
        <v>156.6</v>
      </c>
      <c r="F2210" s="58">
        <v>45738</v>
      </c>
      <c r="G2210" s="58">
        <v>45740</v>
      </c>
      <c r="H2210" t="s">
        <v>231</v>
      </c>
      <c r="I2210" t="s">
        <v>63</v>
      </c>
      <c r="J2210">
        <v>3</v>
      </c>
      <c r="K2210" t="s">
        <v>103</v>
      </c>
      <c r="L2210" t="s">
        <v>124</v>
      </c>
      <c r="M2210">
        <f>orders[[#This Row],[Ship Date]]-orders[[#This Row],[Order Date]]</f>
        <v>2</v>
      </c>
      <c r="N2210">
        <f>WEEKNUM(orders[[#This Row],[Order Date]],1)</f>
        <v>12</v>
      </c>
      <c r="O2210" t="str">
        <f t="array" ref="O2210">_xlfn.IFS(orders[[#This Row],[Customer Gender]]="M","Male", orders[[#This Row],[Customer Gender]]="F","Female", orders[[#This Row],[Customer Gender]]="O","Other", TRUE(),"Unknown")</f>
        <v>Female</v>
      </c>
    </row>
    <row r="2211" spans="1:15" x14ac:dyDescent="0.25">
      <c r="A2211" t="s">
        <v>2439</v>
      </c>
      <c r="B2211" t="s">
        <v>80</v>
      </c>
      <c r="C2211">
        <v>1</v>
      </c>
      <c r="D2211">
        <v>43.9</v>
      </c>
      <c r="E2211">
        <v>43.9</v>
      </c>
      <c r="F2211" s="58">
        <v>45738</v>
      </c>
      <c r="G2211" s="58">
        <v>45739</v>
      </c>
      <c r="H2211" t="s">
        <v>229</v>
      </c>
      <c r="I2211" t="s">
        <v>59</v>
      </c>
      <c r="J2211">
        <v>4</v>
      </c>
      <c r="K2211" t="s">
        <v>103</v>
      </c>
      <c r="L2211" t="s">
        <v>124</v>
      </c>
      <c r="M2211">
        <f>orders[[#This Row],[Ship Date]]-orders[[#This Row],[Order Date]]</f>
        <v>1</v>
      </c>
      <c r="N2211">
        <f>WEEKNUM(orders[[#This Row],[Order Date]],1)</f>
        <v>12</v>
      </c>
      <c r="O2211" t="str">
        <f t="array" ref="O2211">_xlfn.IFS(orders[[#This Row],[Customer Gender]]="M","Male", orders[[#This Row],[Customer Gender]]="F","Female", orders[[#This Row],[Customer Gender]]="O","Other", TRUE(),"Unknown")</f>
        <v>Male</v>
      </c>
    </row>
    <row r="2212" spans="1:15" x14ac:dyDescent="0.25">
      <c r="A2212" t="s">
        <v>2440</v>
      </c>
      <c r="B2212" t="s">
        <v>82</v>
      </c>
      <c r="C2212">
        <v>3</v>
      </c>
      <c r="D2212">
        <v>84</v>
      </c>
      <c r="E2212">
        <v>252</v>
      </c>
      <c r="F2212" s="58">
        <v>45738</v>
      </c>
      <c r="G2212" s="58">
        <v>45740</v>
      </c>
      <c r="I2212" t="s">
        <v>60</v>
      </c>
      <c r="J2212">
        <v>5</v>
      </c>
      <c r="K2212" t="s">
        <v>103</v>
      </c>
      <c r="L2212" t="s">
        <v>124</v>
      </c>
      <c r="M2212">
        <f>orders[[#This Row],[Ship Date]]-orders[[#This Row],[Order Date]]</f>
        <v>2</v>
      </c>
      <c r="N2212">
        <f>WEEKNUM(orders[[#This Row],[Order Date]],1)</f>
        <v>12</v>
      </c>
      <c r="O2212" t="str">
        <f t="array" ref="O2212">_xlfn.IFS(orders[[#This Row],[Customer Gender]]="M","Male", orders[[#This Row],[Customer Gender]]="F","Female", orders[[#This Row],[Customer Gender]]="O","Other", TRUE(),"Unknown")</f>
        <v>Unknown</v>
      </c>
    </row>
    <row r="2213" spans="1:15" x14ac:dyDescent="0.25">
      <c r="A2213" t="s">
        <v>2441</v>
      </c>
      <c r="B2213" t="s">
        <v>86</v>
      </c>
      <c r="C2213">
        <v>3</v>
      </c>
      <c r="D2213">
        <v>11.4</v>
      </c>
      <c r="E2213">
        <v>34.200000000000003</v>
      </c>
      <c r="F2213" s="58">
        <v>45738</v>
      </c>
      <c r="G2213" s="58">
        <v>45739</v>
      </c>
      <c r="H2213" t="s">
        <v>229</v>
      </c>
      <c r="I2213" t="s">
        <v>61</v>
      </c>
      <c r="J2213">
        <v>4</v>
      </c>
      <c r="K2213" t="s">
        <v>103</v>
      </c>
      <c r="L2213" t="s">
        <v>124</v>
      </c>
      <c r="M2213">
        <f>orders[[#This Row],[Ship Date]]-orders[[#This Row],[Order Date]]</f>
        <v>1</v>
      </c>
      <c r="N2213">
        <f>WEEKNUM(orders[[#This Row],[Order Date]],1)</f>
        <v>12</v>
      </c>
      <c r="O2213" t="str">
        <f t="array" ref="O2213">_xlfn.IFS(orders[[#This Row],[Customer Gender]]="M","Male", orders[[#This Row],[Customer Gender]]="F","Female", orders[[#This Row],[Customer Gender]]="O","Other", TRUE(),"Unknown")</f>
        <v>Male</v>
      </c>
    </row>
    <row r="2214" spans="1:15" x14ac:dyDescent="0.25">
      <c r="A2214" t="s">
        <v>2442</v>
      </c>
      <c r="B2214" t="s">
        <v>76</v>
      </c>
      <c r="C2214">
        <v>8</v>
      </c>
      <c r="D2214">
        <v>47.5</v>
      </c>
      <c r="E2214">
        <v>380</v>
      </c>
      <c r="F2214" s="58">
        <v>45738</v>
      </c>
      <c r="G2214" s="58">
        <v>45746</v>
      </c>
      <c r="H2214" t="s">
        <v>231</v>
      </c>
      <c r="I2214" t="s">
        <v>59</v>
      </c>
      <c r="J2214">
        <v>4</v>
      </c>
      <c r="K2214" t="s">
        <v>103</v>
      </c>
      <c r="L2214" t="s">
        <v>124</v>
      </c>
      <c r="M2214">
        <f>orders[[#This Row],[Ship Date]]-orders[[#This Row],[Order Date]]</f>
        <v>8</v>
      </c>
      <c r="N2214">
        <f>WEEKNUM(orders[[#This Row],[Order Date]],1)</f>
        <v>12</v>
      </c>
      <c r="O2214" t="str">
        <f t="array" ref="O2214">_xlfn.IFS(orders[[#This Row],[Customer Gender]]="M","Male", orders[[#This Row],[Customer Gender]]="F","Female", orders[[#This Row],[Customer Gender]]="O","Other", TRUE(),"Unknown")</f>
        <v>Female</v>
      </c>
    </row>
    <row r="2215" spans="1:15" x14ac:dyDescent="0.25">
      <c r="A2215" t="s">
        <v>2443</v>
      </c>
      <c r="B2215" t="s">
        <v>88</v>
      </c>
      <c r="C2215">
        <v>11</v>
      </c>
      <c r="D2215">
        <v>50.5</v>
      </c>
      <c r="E2215">
        <v>555.5</v>
      </c>
      <c r="F2215" s="58">
        <v>45738</v>
      </c>
      <c r="G2215" s="58">
        <v>45740</v>
      </c>
      <c r="H2215" t="s">
        <v>229</v>
      </c>
      <c r="I2215" t="s">
        <v>62</v>
      </c>
      <c r="J2215">
        <v>4</v>
      </c>
      <c r="K2215" t="s">
        <v>103</v>
      </c>
      <c r="L2215" t="s">
        <v>124</v>
      </c>
      <c r="M2215">
        <f>orders[[#This Row],[Ship Date]]-orders[[#This Row],[Order Date]]</f>
        <v>2</v>
      </c>
      <c r="N2215">
        <f>WEEKNUM(orders[[#This Row],[Order Date]],1)</f>
        <v>12</v>
      </c>
      <c r="O2215" t="str">
        <f t="array" ref="O2215">_xlfn.IFS(orders[[#This Row],[Customer Gender]]="M","Male", orders[[#This Row],[Customer Gender]]="F","Female", orders[[#This Row],[Customer Gender]]="O","Other", TRUE(),"Unknown")</f>
        <v>Male</v>
      </c>
    </row>
    <row r="2216" spans="1:15" x14ac:dyDescent="0.25">
      <c r="A2216" t="s">
        <v>2444</v>
      </c>
      <c r="B2216" t="s">
        <v>77</v>
      </c>
      <c r="C2216">
        <v>1</v>
      </c>
      <c r="D2216">
        <v>36.299999999999997</v>
      </c>
      <c r="E2216">
        <v>36.299999999999997</v>
      </c>
      <c r="F2216" s="58">
        <v>45738</v>
      </c>
      <c r="G2216" s="58">
        <v>45741</v>
      </c>
      <c r="H2216" t="s">
        <v>263</v>
      </c>
      <c r="I2216" t="s">
        <v>59</v>
      </c>
      <c r="J2216">
        <v>3</v>
      </c>
      <c r="K2216" t="s">
        <v>103</v>
      </c>
      <c r="L2216" t="s">
        <v>142</v>
      </c>
      <c r="M2216">
        <f>orders[[#This Row],[Ship Date]]-orders[[#This Row],[Order Date]]</f>
        <v>3</v>
      </c>
      <c r="N2216">
        <f>WEEKNUM(orders[[#This Row],[Order Date]],1)</f>
        <v>12</v>
      </c>
      <c r="O2216" t="str">
        <f t="array" ref="O2216">_xlfn.IFS(orders[[#This Row],[Customer Gender]]="M","Male", orders[[#This Row],[Customer Gender]]="F","Female", orders[[#This Row],[Customer Gender]]="O","Other", TRUE(),"Unknown")</f>
        <v>Other</v>
      </c>
    </row>
    <row r="2217" spans="1:15" x14ac:dyDescent="0.25">
      <c r="A2217" t="s">
        <v>2445</v>
      </c>
      <c r="B2217" t="s">
        <v>90</v>
      </c>
      <c r="C2217">
        <v>2</v>
      </c>
      <c r="D2217">
        <v>35.4</v>
      </c>
      <c r="E2217">
        <v>70.8</v>
      </c>
      <c r="F2217" s="58">
        <v>45738</v>
      </c>
      <c r="G2217" s="58">
        <v>45739</v>
      </c>
      <c r="H2217" t="s">
        <v>231</v>
      </c>
      <c r="I2217" t="s">
        <v>59</v>
      </c>
      <c r="J2217">
        <v>4</v>
      </c>
      <c r="K2217" t="s">
        <v>103</v>
      </c>
      <c r="L2217" t="s">
        <v>143</v>
      </c>
      <c r="M2217">
        <f>orders[[#This Row],[Ship Date]]-orders[[#This Row],[Order Date]]</f>
        <v>1</v>
      </c>
      <c r="N2217">
        <f>WEEKNUM(orders[[#This Row],[Order Date]],1)</f>
        <v>12</v>
      </c>
      <c r="O2217" t="str">
        <f t="array" ref="O2217">_xlfn.IFS(orders[[#This Row],[Customer Gender]]="M","Male", orders[[#This Row],[Customer Gender]]="F","Female", orders[[#This Row],[Customer Gender]]="O","Other", TRUE(),"Unknown")</f>
        <v>Female</v>
      </c>
    </row>
    <row r="2218" spans="1:15" x14ac:dyDescent="0.25">
      <c r="A2218" t="s">
        <v>2446</v>
      </c>
      <c r="B2218" t="s">
        <v>91</v>
      </c>
      <c r="C2218">
        <v>3</v>
      </c>
      <c r="D2218">
        <v>45.9</v>
      </c>
      <c r="E2218">
        <v>137.69999999999999</v>
      </c>
      <c r="F2218" s="58">
        <v>45739</v>
      </c>
      <c r="G2218" s="58">
        <v>45740</v>
      </c>
      <c r="H2218" t="s">
        <v>229</v>
      </c>
      <c r="I2218" t="s">
        <v>60</v>
      </c>
      <c r="J2218">
        <v>4</v>
      </c>
      <c r="K2218" t="s">
        <v>103</v>
      </c>
      <c r="L2218" t="s">
        <v>146</v>
      </c>
      <c r="M2218">
        <f>orders[[#This Row],[Ship Date]]-orders[[#This Row],[Order Date]]</f>
        <v>1</v>
      </c>
      <c r="N2218">
        <f>WEEKNUM(orders[[#This Row],[Order Date]],1)</f>
        <v>13</v>
      </c>
      <c r="O2218" t="str">
        <f t="array" ref="O2218">_xlfn.IFS(orders[[#This Row],[Customer Gender]]="M","Male", orders[[#This Row],[Customer Gender]]="F","Female", orders[[#This Row],[Customer Gender]]="O","Other", TRUE(),"Unknown")</f>
        <v>Male</v>
      </c>
    </row>
    <row r="2219" spans="1:15" x14ac:dyDescent="0.25">
      <c r="A2219" t="s">
        <v>2447</v>
      </c>
      <c r="B2219" t="s">
        <v>80</v>
      </c>
      <c r="C2219">
        <v>10</v>
      </c>
      <c r="D2219">
        <v>41.2</v>
      </c>
      <c r="E2219">
        <v>412</v>
      </c>
      <c r="F2219" s="58">
        <v>45739</v>
      </c>
      <c r="G2219" s="58">
        <v>45743</v>
      </c>
      <c r="H2219" t="s">
        <v>229</v>
      </c>
      <c r="I2219" t="s">
        <v>59</v>
      </c>
      <c r="J2219">
        <v>4</v>
      </c>
      <c r="K2219" t="s">
        <v>103</v>
      </c>
      <c r="L2219" t="s">
        <v>148</v>
      </c>
      <c r="M2219">
        <f>orders[[#This Row],[Ship Date]]-orders[[#This Row],[Order Date]]</f>
        <v>4</v>
      </c>
      <c r="N2219">
        <f>WEEKNUM(orders[[#This Row],[Order Date]],1)</f>
        <v>13</v>
      </c>
      <c r="O2219" t="str">
        <f t="array" ref="O2219">_xlfn.IFS(orders[[#This Row],[Customer Gender]]="M","Male", orders[[#This Row],[Customer Gender]]="F","Female", orders[[#This Row],[Customer Gender]]="O","Other", TRUE(),"Unknown")</f>
        <v>Male</v>
      </c>
    </row>
    <row r="2220" spans="1:15" x14ac:dyDescent="0.25">
      <c r="A2220" t="s">
        <v>2448</v>
      </c>
      <c r="B2220" t="s">
        <v>84</v>
      </c>
      <c r="C2220">
        <v>2</v>
      </c>
      <c r="D2220">
        <v>45.1</v>
      </c>
      <c r="E2220">
        <v>90.2</v>
      </c>
      <c r="F2220" s="58">
        <v>45739</v>
      </c>
      <c r="G2220" s="58">
        <v>45740</v>
      </c>
      <c r="H2220" t="s">
        <v>229</v>
      </c>
      <c r="I2220" t="s">
        <v>63</v>
      </c>
      <c r="J2220">
        <v>3</v>
      </c>
      <c r="K2220" t="s">
        <v>103</v>
      </c>
      <c r="L2220" t="s">
        <v>106</v>
      </c>
      <c r="M2220">
        <f>orders[[#This Row],[Ship Date]]-orders[[#This Row],[Order Date]]</f>
        <v>1</v>
      </c>
      <c r="N2220">
        <f>WEEKNUM(orders[[#This Row],[Order Date]],1)</f>
        <v>13</v>
      </c>
      <c r="O2220" t="str">
        <f t="array" ref="O2220">_xlfn.IFS(orders[[#This Row],[Customer Gender]]="M","Male", orders[[#This Row],[Customer Gender]]="F","Female", orders[[#This Row],[Customer Gender]]="O","Other", TRUE(),"Unknown")</f>
        <v>Male</v>
      </c>
    </row>
    <row r="2221" spans="1:15" x14ac:dyDescent="0.25">
      <c r="A2221" t="s">
        <v>2449</v>
      </c>
      <c r="B2221" t="s">
        <v>80</v>
      </c>
      <c r="C2221">
        <v>10</v>
      </c>
      <c r="D2221">
        <v>63.6</v>
      </c>
      <c r="E2221">
        <v>636</v>
      </c>
      <c r="F2221" s="58">
        <v>45739</v>
      </c>
      <c r="G2221" s="58">
        <v>45739</v>
      </c>
      <c r="H2221" t="s">
        <v>229</v>
      </c>
      <c r="I2221" t="s">
        <v>62</v>
      </c>
      <c r="J2221">
        <v>4</v>
      </c>
      <c r="K2221" t="s">
        <v>103</v>
      </c>
      <c r="L2221" t="s">
        <v>112</v>
      </c>
      <c r="M2221">
        <f>orders[[#This Row],[Ship Date]]-orders[[#This Row],[Order Date]]</f>
        <v>0</v>
      </c>
      <c r="N2221">
        <f>WEEKNUM(orders[[#This Row],[Order Date]],1)</f>
        <v>13</v>
      </c>
      <c r="O2221" t="str">
        <f t="array" ref="O2221">_xlfn.IFS(orders[[#This Row],[Customer Gender]]="M","Male", orders[[#This Row],[Customer Gender]]="F","Female", orders[[#This Row],[Customer Gender]]="O","Other", TRUE(),"Unknown")</f>
        <v>Male</v>
      </c>
    </row>
    <row r="2222" spans="1:15" x14ac:dyDescent="0.25">
      <c r="A2222" t="s">
        <v>2450</v>
      </c>
      <c r="B2222" t="s">
        <v>90</v>
      </c>
      <c r="C2222">
        <v>1</v>
      </c>
      <c r="D2222">
        <v>70.5</v>
      </c>
      <c r="E2222">
        <v>70.5</v>
      </c>
      <c r="F2222" s="58">
        <v>45739</v>
      </c>
      <c r="G2222" s="58">
        <v>45740</v>
      </c>
      <c r="H2222" t="s">
        <v>229</v>
      </c>
      <c r="I2222" t="s">
        <v>59</v>
      </c>
      <c r="J2222">
        <v>4</v>
      </c>
      <c r="K2222" t="s">
        <v>103</v>
      </c>
      <c r="L2222" t="s">
        <v>124</v>
      </c>
      <c r="M2222">
        <f>orders[[#This Row],[Ship Date]]-orders[[#This Row],[Order Date]]</f>
        <v>1</v>
      </c>
      <c r="N2222">
        <f>WEEKNUM(orders[[#This Row],[Order Date]],1)</f>
        <v>13</v>
      </c>
      <c r="O2222" t="str">
        <f t="array" ref="O2222">_xlfn.IFS(orders[[#This Row],[Customer Gender]]="M","Male", orders[[#This Row],[Customer Gender]]="F","Female", orders[[#This Row],[Customer Gender]]="O","Other", TRUE(),"Unknown")</f>
        <v>Male</v>
      </c>
    </row>
    <row r="2223" spans="1:15" x14ac:dyDescent="0.25">
      <c r="A2223" t="s">
        <v>2451</v>
      </c>
      <c r="B2223" t="s">
        <v>80</v>
      </c>
      <c r="C2223">
        <v>1</v>
      </c>
      <c r="D2223">
        <v>41.3</v>
      </c>
      <c r="E2223">
        <v>41.3</v>
      </c>
      <c r="F2223" s="58">
        <v>45739</v>
      </c>
      <c r="G2223" s="58">
        <v>45739</v>
      </c>
      <c r="H2223" t="s">
        <v>229</v>
      </c>
      <c r="I2223" t="s">
        <v>61</v>
      </c>
      <c r="J2223">
        <v>4</v>
      </c>
      <c r="K2223" t="s">
        <v>103</v>
      </c>
      <c r="L2223" t="s">
        <v>124</v>
      </c>
      <c r="M2223">
        <f>orders[[#This Row],[Ship Date]]-orders[[#This Row],[Order Date]]</f>
        <v>0</v>
      </c>
      <c r="N2223">
        <f>WEEKNUM(orders[[#This Row],[Order Date]],1)</f>
        <v>13</v>
      </c>
      <c r="O2223" t="str">
        <f t="array" ref="O2223">_xlfn.IFS(orders[[#This Row],[Customer Gender]]="M","Male", orders[[#This Row],[Customer Gender]]="F","Female", orders[[#This Row],[Customer Gender]]="O","Other", TRUE(),"Unknown")</f>
        <v>Male</v>
      </c>
    </row>
    <row r="2224" spans="1:15" x14ac:dyDescent="0.25">
      <c r="A2224" t="s">
        <v>2452</v>
      </c>
      <c r="B2224" t="s">
        <v>78</v>
      </c>
      <c r="C2224">
        <v>1</v>
      </c>
      <c r="D2224">
        <v>35.299999999999997</v>
      </c>
      <c r="E2224">
        <v>35.299999999999997</v>
      </c>
      <c r="F2224" s="58">
        <v>45739</v>
      </c>
      <c r="G2224" s="58">
        <v>45742</v>
      </c>
      <c r="H2224" t="s">
        <v>231</v>
      </c>
      <c r="I2224" t="s">
        <v>61</v>
      </c>
      <c r="J2224">
        <v>5</v>
      </c>
      <c r="K2224" t="s">
        <v>103</v>
      </c>
      <c r="L2224" t="s">
        <v>124</v>
      </c>
      <c r="M2224">
        <f>orders[[#This Row],[Ship Date]]-orders[[#This Row],[Order Date]]</f>
        <v>3</v>
      </c>
      <c r="N2224">
        <f>WEEKNUM(orders[[#This Row],[Order Date]],1)</f>
        <v>13</v>
      </c>
      <c r="O2224" t="str">
        <f t="array" ref="O2224">_xlfn.IFS(orders[[#This Row],[Customer Gender]]="M","Male", orders[[#This Row],[Customer Gender]]="F","Female", orders[[#This Row],[Customer Gender]]="O","Other", TRUE(),"Unknown")</f>
        <v>Female</v>
      </c>
    </row>
    <row r="2225" spans="1:15" x14ac:dyDescent="0.25">
      <c r="A2225" t="s">
        <v>2453</v>
      </c>
      <c r="B2225" t="s">
        <v>90</v>
      </c>
      <c r="C2225">
        <v>5</v>
      </c>
      <c r="D2225">
        <v>34.700000000000003</v>
      </c>
      <c r="E2225">
        <v>173.5</v>
      </c>
      <c r="F2225" s="58">
        <v>45739</v>
      </c>
      <c r="G2225" s="58">
        <v>45740</v>
      </c>
      <c r="H2225" t="s">
        <v>231</v>
      </c>
      <c r="I2225" t="s">
        <v>59</v>
      </c>
      <c r="J2225">
        <v>5</v>
      </c>
      <c r="K2225" t="s">
        <v>103</v>
      </c>
      <c r="L2225" t="s">
        <v>124</v>
      </c>
      <c r="M2225">
        <f>orders[[#This Row],[Ship Date]]-orders[[#This Row],[Order Date]]</f>
        <v>1</v>
      </c>
      <c r="N2225">
        <f>WEEKNUM(orders[[#This Row],[Order Date]],1)</f>
        <v>13</v>
      </c>
      <c r="O2225" t="str">
        <f t="array" ref="O2225">_xlfn.IFS(orders[[#This Row],[Customer Gender]]="M","Male", orders[[#This Row],[Customer Gender]]="F","Female", orders[[#This Row],[Customer Gender]]="O","Other", TRUE(),"Unknown")</f>
        <v>Female</v>
      </c>
    </row>
    <row r="2226" spans="1:15" x14ac:dyDescent="0.25">
      <c r="A2226" t="s">
        <v>2454</v>
      </c>
      <c r="B2226" t="s">
        <v>90</v>
      </c>
      <c r="C2226">
        <v>3</v>
      </c>
      <c r="D2226">
        <v>26.1</v>
      </c>
      <c r="E2226">
        <v>78.3</v>
      </c>
      <c r="F2226" s="58">
        <v>45739</v>
      </c>
      <c r="G2226" s="58">
        <v>45740</v>
      </c>
      <c r="H2226" t="s">
        <v>231</v>
      </c>
      <c r="I2226" t="s">
        <v>59</v>
      </c>
      <c r="J2226">
        <v>4</v>
      </c>
      <c r="K2226" t="s">
        <v>103</v>
      </c>
      <c r="L2226" t="s">
        <v>124</v>
      </c>
      <c r="M2226">
        <f>orders[[#This Row],[Ship Date]]-orders[[#This Row],[Order Date]]</f>
        <v>1</v>
      </c>
      <c r="N2226">
        <f>WEEKNUM(orders[[#This Row],[Order Date]],1)</f>
        <v>13</v>
      </c>
      <c r="O2226" t="str">
        <f t="array" ref="O2226">_xlfn.IFS(orders[[#This Row],[Customer Gender]]="M","Male", orders[[#This Row],[Customer Gender]]="F","Female", orders[[#This Row],[Customer Gender]]="O","Other", TRUE(),"Unknown")</f>
        <v>Female</v>
      </c>
    </row>
    <row r="2227" spans="1:15" x14ac:dyDescent="0.25">
      <c r="A2227" t="s">
        <v>2455</v>
      </c>
      <c r="B2227" t="s">
        <v>88</v>
      </c>
      <c r="C2227">
        <v>5</v>
      </c>
      <c r="D2227">
        <v>22.6</v>
      </c>
      <c r="E2227">
        <v>113</v>
      </c>
      <c r="F2227" s="58">
        <v>45739</v>
      </c>
      <c r="G2227" s="58">
        <v>45739</v>
      </c>
      <c r="H2227" t="s">
        <v>231</v>
      </c>
      <c r="I2227" t="s">
        <v>63</v>
      </c>
      <c r="J2227">
        <v>5</v>
      </c>
      <c r="K2227" t="s">
        <v>103</v>
      </c>
      <c r="L2227" t="s">
        <v>124</v>
      </c>
      <c r="M2227">
        <f>orders[[#This Row],[Ship Date]]-orders[[#This Row],[Order Date]]</f>
        <v>0</v>
      </c>
      <c r="N2227">
        <f>WEEKNUM(orders[[#This Row],[Order Date]],1)</f>
        <v>13</v>
      </c>
      <c r="O2227" t="str">
        <f t="array" ref="O2227">_xlfn.IFS(orders[[#This Row],[Customer Gender]]="M","Male", orders[[#This Row],[Customer Gender]]="F","Female", orders[[#This Row],[Customer Gender]]="O","Other", TRUE(),"Unknown")</f>
        <v>Female</v>
      </c>
    </row>
    <row r="2228" spans="1:15" x14ac:dyDescent="0.25">
      <c r="A2228" t="s">
        <v>2456</v>
      </c>
      <c r="B2228" t="s">
        <v>87</v>
      </c>
      <c r="C2228">
        <v>2</v>
      </c>
      <c r="D2228">
        <v>154.4</v>
      </c>
      <c r="E2228">
        <v>308.8</v>
      </c>
      <c r="F2228" s="58">
        <v>45739</v>
      </c>
      <c r="G2228" s="58">
        <v>45742</v>
      </c>
      <c r="H2228" t="s">
        <v>229</v>
      </c>
      <c r="I2228" t="s">
        <v>63</v>
      </c>
      <c r="J2228">
        <v>3</v>
      </c>
      <c r="K2228" t="s">
        <v>103</v>
      </c>
      <c r="L2228" t="s">
        <v>124</v>
      </c>
      <c r="M2228">
        <f>orders[[#This Row],[Ship Date]]-orders[[#This Row],[Order Date]]</f>
        <v>3</v>
      </c>
      <c r="N2228">
        <f>WEEKNUM(orders[[#This Row],[Order Date]],1)</f>
        <v>13</v>
      </c>
      <c r="O2228" t="str">
        <f t="array" ref="O2228">_xlfn.IFS(orders[[#This Row],[Customer Gender]]="M","Male", orders[[#This Row],[Customer Gender]]="F","Female", orders[[#This Row],[Customer Gender]]="O","Other", TRUE(),"Unknown")</f>
        <v>Male</v>
      </c>
    </row>
    <row r="2229" spans="1:15" x14ac:dyDescent="0.25">
      <c r="A2229" t="s">
        <v>2457</v>
      </c>
      <c r="B2229" t="s">
        <v>90</v>
      </c>
      <c r="C2229">
        <v>2</v>
      </c>
      <c r="D2229">
        <v>18.399999999999999</v>
      </c>
      <c r="E2229">
        <v>36.799999999999997</v>
      </c>
      <c r="F2229" s="58">
        <v>45739</v>
      </c>
      <c r="G2229" s="58">
        <v>45740</v>
      </c>
      <c r="H2229" t="s">
        <v>229</v>
      </c>
      <c r="I2229" t="s">
        <v>59</v>
      </c>
      <c r="J2229">
        <v>4</v>
      </c>
      <c r="K2229" t="s">
        <v>103</v>
      </c>
      <c r="L2229" t="s">
        <v>124</v>
      </c>
      <c r="M2229">
        <f>orders[[#This Row],[Ship Date]]-orders[[#This Row],[Order Date]]</f>
        <v>1</v>
      </c>
      <c r="N2229">
        <f>WEEKNUM(orders[[#This Row],[Order Date]],1)</f>
        <v>13</v>
      </c>
      <c r="O2229" t="str">
        <f t="array" ref="O2229">_xlfn.IFS(orders[[#This Row],[Customer Gender]]="M","Male", orders[[#This Row],[Customer Gender]]="F","Female", orders[[#This Row],[Customer Gender]]="O","Other", TRUE(),"Unknown")</f>
        <v>Male</v>
      </c>
    </row>
    <row r="2230" spans="1:15" x14ac:dyDescent="0.25">
      <c r="A2230" t="s">
        <v>2458</v>
      </c>
      <c r="B2230" t="s">
        <v>74</v>
      </c>
      <c r="C2230">
        <v>1</v>
      </c>
      <c r="D2230">
        <v>25</v>
      </c>
      <c r="E2230">
        <v>25</v>
      </c>
      <c r="F2230" s="58">
        <v>45739</v>
      </c>
      <c r="G2230" s="58">
        <v>45742</v>
      </c>
      <c r="H2230" t="s">
        <v>231</v>
      </c>
      <c r="I2230" t="s">
        <v>59</v>
      </c>
      <c r="J2230">
        <v>4</v>
      </c>
      <c r="K2230" t="s">
        <v>103</v>
      </c>
      <c r="L2230" t="s">
        <v>124</v>
      </c>
      <c r="M2230">
        <f>orders[[#This Row],[Ship Date]]-orders[[#This Row],[Order Date]]</f>
        <v>3</v>
      </c>
      <c r="N2230">
        <f>WEEKNUM(orders[[#This Row],[Order Date]],1)</f>
        <v>13</v>
      </c>
      <c r="O2230" t="str">
        <f t="array" ref="O2230">_xlfn.IFS(orders[[#This Row],[Customer Gender]]="M","Male", orders[[#This Row],[Customer Gender]]="F","Female", orders[[#This Row],[Customer Gender]]="O","Other", TRUE(),"Unknown")</f>
        <v>Female</v>
      </c>
    </row>
    <row r="2231" spans="1:15" x14ac:dyDescent="0.25">
      <c r="A2231" t="s">
        <v>2459</v>
      </c>
      <c r="B2231" t="s">
        <v>87</v>
      </c>
      <c r="C2231">
        <v>6</v>
      </c>
      <c r="D2231">
        <v>105.6</v>
      </c>
      <c r="E2231">
        <v>633.6</v>
      </c>
      <c r="F2231" s="58">
        <v>45739</v>
      </c>
      <c r="G2231" s="58">
        <v>45739</v>
      </c>
      <c r="H2231" t="s">
        <v>231</v>
      </c>
      <c r="I2231" t="s">
        <v>59</v>
      </c>
      <c r="J2231">
        <v>4</v>
      </c>
      <c r="K2231" t="s">
        <v>103</v>
      </c>
      <c r="L2231" t="s">
        <v>124</v>
      </c>
      <c r="M2231">
        <f>orders[[#This Row],[Ship Date]]-orders[[#This Row],[Order Date]]</f>
        <v>0</v>
      </c>
      <c r="N2231">
        <f>WEEKNUM(orders[[#This Row],[Order Date]],1)</f>
        <v>13</v>
      </c>
      <c r="O2231" t="str">
        <f t="array" ref="O2231">_xlfn.IFS(orders[[#This Row],[Customer Gender]]="M","Male", orders[[#This Row],[Customer Gender]]="F","Female", orders[[#This Row],[Customer Gender]]="O","Other", TRUE(),"Unknown")</f>
        <v>Female</v>
      </c>
    </row>
    <row r="2232" spans="1:15" x14ac:dyDescent="0.25">
      <c r="A2232" t="s">
        <v>2460</v>
      </c>
      <c r="B2232" t="s">
        <v>82</v>
      </c>
      <c r="C2232">
        <v>8</v>
      </c>
      <c r="D2232">
        <v>59.6</v>
      </c>
      <c r="E2232">
        <v>476.8</v>
      </c>
      <c r="F2232" s="58">
        <v>45739</v>
      </c>
      <c r="G2232" s="58">
        <v>45739</v>
      </c>
      <c r="H2232" t="s">
        <v>231</v>
      </c>
      <c r="I2232" t="s">
        <v>59</v>
      </c>
      <c r="J2232">
        <v>5</v>
      </c>
      <c r="K2232" t="s">
        <v>103</v>
      </c>
      <c r="L2232" t="s">
        <v>138</v>
      </c>
      <c r="M2232">
        <f>orders[[#This Row],[Ship Date]]-orders[[#This Row],[Order Date]]</f>
        <v>0</v>
      </c>
      <c r="N2232">
        <f>WEEKNUM(orders[[#This Row],[Order Date]],1)</f>
        <v>13</v>
      </c>
      <c r="O2232" t="str">
        <f t="array" ref="O2232">_xlfn.IFS(orders[[#This Row],[Customer Gender]]="M","Male", orders[[#This Row],[Customer Gender]]="F","Female", orders[[#This Row],[Customer Gender]]="O","Other", TRUE(),"Unknown")</f>
        <v>Female</v>
      </c>
    </row>
    <row r="2233" spans="1:15" x14ac:dyDescent="0.25">
      <c r="A2233" t="s">
        <v>2461</v>
      </c>
      <c r="B2233" t="s">
        <v>77</v>
      </c>
      <c r="C2233">
        <v>3</v>
      </c>
      <c r="D2233">
        <v>75.400000000000006</v>
      </c>
      <c r="E2233">
        <v>226.2</v>
      </c>
      <c r="F2233" s="58">
        <v>45739</v>
      </c>
      <c r="G2233" s="58">
        <v>45744</v>
      </c>
      <c r="H2233" t="s">
        <v>229</v>
      </c>
      <c r="I2233" t="s">
        <v>59</v>
      </c>
      <c r="J2233">
        <v>3</v>
      </c>
      <c r="K2233" t="s">
        <v>103</v>
      </c>
      <c r="L2233" t="s">
        <v>141</v>
      </c>
      <c r="M2233">
        <f>orders[[#This Row],[Ship Date]]-orders[[#This Row],[Order Date]]</f>
        <v>5</v>
      </c>
      <c r="N2233">
        <f>WEEKNUM(orders[[#This Row],[Order Date]],1)</f>
        <v>13</v>
      </c>
      <c r="O2233" t="str">
        <f t="array" ref="O2233">_xlfn.IFS(orders[[#This Row],[Customer Gender]]="M","Male", orders[[#This Row],[Customer Gender]]="F","Female", orders[[#This Row],[Customer Gender]]="O","Other", TRUE(),"Unknown")</f>
        <v>Male</v>
      </c>
    </row>
    <row r="2234" spans="1:15" x14ac:dyDescent="0.25">
      <c r="A2234" t="s">
        <v>2462</v>
      </c>
      <c r="B2234" t="s">
        <v>79</v>
      </c>
      <c r="C2234">
        <v>1</v>
      </c>
      <c r="D2234">
        <v>104.4</v>
      </c>
      <c r="E2234">
        <v>104.4</v>
      </c>
      <c r="F2234" s="58">
        <v>45739</v>
      </c>
      <c r="G2234" s="58">
        <v>45740</v>
      </c>
      <c r="H2234" t="s">
        <v>231</v>
      </c>
      <c r="I2234" t="s">
        <v>59</v>
      </c>
      <c r="J2234">
        <v>4</v>
      </c>
      <c r="K2234" t="s">
        <v>103</v>
      </c>
      <c r="L2234" t="s">
        <v>142</v>
      </c>
      <c r="M2234">
        <f>orders[[#This Row],[Ship Date]]-orders[[#This Row],[Order Date]]</f>
        <v>1</v>
      </c>
      <c r="N2234">
        <f>WEEKNUM(orders[[#This Row],[Order Date]],1)</f>
        <v>13</v>
      </c>
      <c r="O2234" t="str">
        <f t="array" ref="O2234">_xlfn.IFS(orders[[#This Row],[Customer Gender]]="M","Male", orders[[#This Row],[Customer Gender]]="F","Female", orders[[#This Row],[Customer Gender]]="O","Other", TRUE(),"Unknown")</f>
        <v>Female</v>
      </c>
    </row>
    <row r="2235" spans="1:15" x14ac:dyDescent="0.25">
      <c r="A2235" t="s">
        <v>2463</v>
      </c>
      <c r="B2235" t="s">
        <v>87</v>
      </c>
      <c r="C2235">
        <v>10</v>
      </c>
      <c r="D2235">
        <v>208.2</v>
      </c>
      <c r="E2235">
        <v>2082</v>
      </c>
      <c r="F2235" s="58">
        <v>45739</v>
      </c>
      <c r="G2235" s="58">
        <v>45740</v>
      </c>
      <c r="H2235" t="s">
        <v>229</v>
      </c>
      <c r="I2235" t="s">
        <v>59</v>
      </c>
      <c r="J2235">
        <v>5</v>
      </c>
      <c r="K2235" t="s">
        <v>103</v>
      </c>
      <c r="L2235" t="s">
        <v>142</v>
      </c>
      <c r="M2235">
        <f>orders[[#This Row],[Ship Date]]-orders[[#This Row],[Order Date]]</f>
        <v>1</v>
      </c>
      <c r="N2235">
        <f>WEEKNUM(orders[[#This Row],[Order Date]],1)</f>
        <v>13</v>
      </c>
      <c r="O2235" t="str">
        <f t="array" ref="O2235">_xlfn.IFS(orders[[#This Row],[Customer Gender]]="M","Male", orders[[#This Row],[Customer Gender]]="F","Female", orders[[#This Row],[Customer Gender]]="O","Other", TRUE(),"Unknown")</f>
        <v>Male</v>
      </c>
    </row>
    <row r="2236" spans="1:15" x14ac:dyDescent="0.25">
      <c r="A2236" t="s">
        <v>2464</v>
      </c>
      <c r="B2236" t="s">
        <v>80</v>
      </c>
      <c r="C2236">
        <v>2</v>
      </c>
      <c r="D2236">
        <v>45</v>
      </c>
      <c r="E2236">
        <v>90</v>
      </c>
      <c r="F2236" s="58">
        <v>45739</v>
      </c>
      <c r="G2236" s="58">
        <v>45742</v>
      </c>
      <c r="H2236" t="s">
        <v>231</v>
      </c>
      <c r="I2236" t="s">
        <v>59</v>
      </c>
      <c r="J2236">
        <v>4</v>
      </c>
      <c r="K2236" t="s">
        <v>103</v>
      </c>
      <c r="L2236" t="s">
        <v>147</v>
      </c>
      <c r="M2236">
        <f>orders[[#This Row],[Ship Date]]-orders[[#This Row],[Order Date]]</f>
        <v>3</v>
      </c>
      <c r="N2236">
        <f>WEEKNUM(orders[[#This Row],[Order Date]],1)</f>
        <v>13</v>
      </c>
      <c r="O2236" t="str">
        <f t="array" ref="O2236">_xlfn.IFS(orders[[#This Row],[Customer Gender]]="M","Male", orders[[#This Row],[Customer Gender]]="F","Female", orders[[#This Row],[Customer Gender]]="O","Other", TRUE(),"Unknown")</f>
        <v>Female</v>
      </c>
    </row>
    <row r="2237" spans="1:15" x14ac:dyDescent="0.25">
      <c r="A2237" t="s">
        <v>2465</v>
      </c>
      <c r="B2237" t="s">
        <v>77</v>
      </c>
      <c r="C2237">
        <v>2</v>
      </c>
      <c r="D2237">
        <v>20.3</v>
      </c>
      <c r="E2237">
        <v>40.6</v>
      </c>
      <c r="F2237" s="58">
        <v>45740</v>
      </c>
      <c r="G2237" s="58">
        <v>45742</v>
      </c>
      <c r="I2237" t="s">
        <v>63</v>
      </c>
      <c r="J2237">
        <v>4</v>
      </c>
      <c r="K2237" t="s">
        <v>103</v>
      </c>
      <c r="L2237" t="s">
        <v>148</v>
      </c>
      <c r="M2237">
        <f>orders[[#This Row],[Ship Date]]-orders[[#This Row],[Order Date]]</f>
        <v>2</v>
      </c>
      <c r="N2237">
        <f>WEEKNUM(orders[[#This Row],[Order Date]],1)</f>
        <v>13</v>
      </c>
      <c r="O2237" t="str">
        <f t="array" ref="O2237">_xlfn.IFS(orders[[#This Row],[Customer Gender]]="M","Male", orders[[#This Row],[Customer Gender]]="F","Female", orders[[#This Row],[Customer Gender]]="O","Other", TRUE(),"Unknown")</f>
        <v>Unknown</v>
      </c>
    </row>
    <row r="2238" spans="1:15" x14ac:dyDescent="0.25">
      <c r="A2238" t="s">
        <v>2466</v>
      </c>
      <c r="B2238" t="s">
        <v>87</v>
      </c>
      <c r="C2238">
        <v>3</v>
      </c>
      <c r="D2238">
        <v>94.4</v>
      </c>
      <c r="E2238">
        <v>283.2</v>
      </c>
      <c r="F2238" s="58">
        <v>45740</v>
      </c>
      <c r="G2238" s="58">
        <v>45741</v>
      </c>
      <c r="H2238" t="s">
        <v>231</v>
      </c>
      <c r="I2238" t="s">
        <v>59</v>
      </c>
      <c r="J2238">
        <v>5</v>
      </c>
      <c r="K2238" t="s">
        <v>103</v>
      </c>
      <c r="L2238" t="s">
        <v>148</v>
      </c>
      <c r="M2238">
        <f>orders[[#This Row],[Ship Date]]-orders[[#This Row],[Order Date]]</f>
        <v>1</v>
      </c>
      <c r="N2238">
        <f>WEEKNUM(orders[[#This Row],[Order Date]],1)</f>
        <v>13</v>
      </c>
      <c r="O2238" t="str">
        <f t="array" ref="O2238">_xlfn.IFS(orders[[#This Row],[Customer Gender]]="M","Male", orders[[#This Row],[Customer Gender]]="F","Female", orders[[#This Row],[Customer Gender]]="O","Other", TRUE(),"Unknown")</f>
        <v>Female</v>
      </c>
    </row>
    <row r="2239" spans="1:15" x14ac:dyDescent="0.25">
      <c r="A2239" t="s">
        <v>2467</v>
      </c>
      <c r="B2239" t="s">
        <v>88</v>
      </c>
      <c r="C2239">
        <v>1</v>
      </c>
      <c r="D2239">
        <v>49</v>
      </c>
      <c r="E2239">
        <v>49</v>
      </c>
      <c r="F2239" s="58">
        <v>45740</v>
      </c>
      <c r="G2239" s="58">
        <v>45742</v>
      </c>
      <c r="H2239" t="s">
        <v>231</v>
      </c>
      <c r="I2239" t="s">
        <v>59</v>
      </c>
      <c r="J2239">
        <v>5</v>
      </c>
      <c r="K2239" t="s">
        <v>103</v>
      </c>
      <c r="L2239" t="s">
        <v>159</v>
      </c>
      <c r="M2239">
        <f>orders[[#This Row],[Ship Date]]-orders[[#This Row],[Order Date]]</f>
        <v>2</v>
      </c>
      <c r="N2239">
        <f>WEEKNUM(orders[[#This Row],[Order Date]],1)</f>
        <v>13</v>
      </c>
      <c r="O2239" t="str">
        <f t="array" ref="O2239">_xlfn.IFS(orders[[#This Row],[Customer Gender]]="M","Male", orders[[#This Row],[Customer Gender]]="F","Female", orders[[#This Row],[Customer Gender]]="O","Other", TRUE(),"Unknown")</f>
        <v>Female</v>
      </c>
    </row>
    <row r="2240" spans="1:15" x14ac:dyDescent="0.25">
      <c r="A2240" t="s">
        <v>2468</v>
      </c>
      <c r="B2240" t="s">
        <v>78</v>
      </c>
      <c r="C2240">
        <v>2</v>
      </c>
      <c r="D2240">
        <v>27.2</v>
      </c>
      <c r="E2240">
        <v>54.4</v>
      </c>
      <c r="F2240" s="58">
        <v>45740</v>
      </c>
      <c r="G2240" s="58">
        <v>45742</v>
      </c>
      <c r="H2240" t="s">
        <v>229</v>
      </c>
      <c r="I2240" t="s">
        <v>59</v>
      </c>
      <c r="J2240">
        <v>5</v>
      </c>
      <c r="K2240" t="s">
        <v>103</v>
      </c>
      <c r="L2240" t="s">
        <v>112</v>
      </c>
      <c r="M2240">
        <f>orders[[#This Row],[Ship Date]]-orders[[#This Row],[Order Date]]</f>
        <v>2</v>
      </c>
      <c r="N2240">
        <f>WEEKNUM(orders[[#This Row],[Order Date]],1)</f>
        <v>13</v>
      </c>
      <c r="O2240" t="str">
        <f t="array" ref="O2240">_xlfn.IFS(orders[[#This Row],[Customer Gender]]="M","Male", orders[[#This Row],[Customer Gender]]="F","Female", orders[[#This Row],[Customer Gender]]="O","Other", TRUE(),"Unknown")</f>
        <v>Male</v>
      </c>
    </row>
    <row r="2241" spans="1:15" x14ac:dyDescent="0.25">
      <c r="A2241" t="s">
        <v>2469</v>
      </c>
      <c r="B2241" t="s">
        <v>87</v>
      </c>
      <c r="C2241">
        <v>6</v>
      </c>
      <c r="D2241">
        <v>72.599999999999994</v>
      </c>
      <c r="E2241">
        <v>435.6</v>
      </c>
      <c r="F2241" s="58">
        <v>45740</v>
      </c>
      <c r="G2241" s="58">
        <v>45741</v>
      </c>
      <c r="H2241" t="s">
        <v>231</v>
      </c>
      <c r="I2241" t="s">
        <v>59</v>
      </c>
      <c r="J2241">
        <v>5</v>
      </c>
      <c r="K2241" t="s">
        <v>103</v>
      </c>
      <c r="L2241" t="s">
        <v>115</v>
      </c>
      <c r="M2241">
        <f>orders[[#This Row],[Ship Date]]-orders[[#This Row],[Order Date]]</f>
        <v>1</v>
      </c>
      <c r="N2241">
        <f>WEEKNUM(orders[[#This Row],[Order Date]],1)</f>
        <v>13</v>
      </c>
      <c r="O2241" t="str">
        <f t="array" ref="O2241">_xlfn.IFS(orders[[#This Row],[Customer Gender]]="M","Male", orders[[#This Row],[Customer Gender]]="F","Female", orders[[#This Row],[Customer Gender]]="O","Other", TRUE(),"Unknown")</f>
        <v>Female</v>
      </c>
    </row>
    <row r="2242" spans="1:15" x14ac:dyDescent="0.25">
      <c r="A2242" t="s">
        <v>2470</v>
      </c>
      <c r="B2242" t="s">
        <v>77</v>
      </c>
      <c r="C2242">
        <v>4</v>
      </c>
      <c r="D2242">
        <v>62.4</v>
      </c>
      <c r="E2242">
        <v>249.6</v>
      </c>
      <c r="F2242" s="58">
        <v>45740</v>
      </c>
      <c r="G2242" s="58">
        <v>45741</v>
      </c>
      <c r="H2242" t="s">
        <v>231</v>
      </c>
      <c r="I2242" t="s">
        <v>59</v>
      </c>
      <c r="J2242">
        <v>4</v>
      </c>
      <c r="K2242" t="s">
        <v>103</v>
      </c>
      <c r="L2242" t="s">
        <v>124</v>
      </c>
      <c r="M2242">
        <f>orders[[#This Row],[Ship Date]]-orders[[#This Row],[Order Date]]</f>
        <v>1</v>
      </c>
      <c r="N2242">
        <f>WEEKNUM(orders[[#This Row],[Order Date]],1)</f>
        <v>13</v>
      </c>
      <c r="O2242" t="str">
        <f t="array" ref="O2242">_xlfn.IFS(orders[[#This Row],[Customer Gender]]="M","Male", orders[[#This Row],[Customer Gender]]="F","Female", orders[[#This Row],[Customer Gender]]="O","Other", TRUE(),"Unknown")</f>
        <v>Female</v>
      </c>
    </row>
    <row r="2243" spans="1:15" x14ac:dyDescent="0.25">
      <c r="A2243" t="s">
        <v>2471</v>
      </c>
      <c r="B2243" t="s">
        <v>90</v>
      </c>
      <c r="C2243">
        <v>3</v>
      </c>
      <c r="D2243">
        <v>19.100000000000001</v>
      </c>
      <c r="E2243">
        <v>57.3</v>
      </c>
      <c r="F2243" s="58">
        <v>45740</v>
      </c>
      <c r="G2243" s="58">
        <v>45742</v>
      </c>
      <c r="H2243" t="s">
        <v>229</v>
      </c>
      <c r="I2243" t="s">
        <v>59</v>
      </c>
      <c r="J2243">
        <v>3</v>
      </c>
      <c r="K2243" t="s">
        <v>103</v>
      </c>
      <c r="L2243" t="s">
        <v>124</v>
      </c>
      <c r="M2243">
        <f>orders[[#This Row],[Ship Date]]-orders[[#This Row],[Order Date]]</f>
        <v>2</v>
      </c>
      <c r="N2243">
        <f>WEEKNUM(orders[[#This Row],[Order Date]],1)</f>
        <v>13</v>
      </c>
      <c r="O2243" t="str">
        <f t="array" ref="O2243">_xlfn.IFS(orders[[#This Row],[Customer Gender]]="M","Male", orders[[#This Row],[Customer Gender]]="F","Female", orders[[#This Row],[Customer Gender]]="O","Other", TRUE(),"Unknown")</f>
        <v>Male</v>
      </c>
    </row>
    <row r="2244" spans="1:15" x14ac:dyDescent="0.25">
      <c r="A2244" t="s">
        <v>2472</v>
      </c>
      <c r="B2244" t="s">
        <v>75</v>
      </c>
      <c r="C2244">
        <v>1</v>
      </c>
      <c r="D2244">
        <v>29.6</v>
      </c>
      <c r="E2244">
        <v>29.6</v>
      </c>
      <c r="F2244" s="58">
        <v>45740</v>
      </c>
      <c r="G2244" s="58">
        <v>45744</v>
      </c>
      <c r="H2244" t="s">
        <v>229</v>
      </c>
      <c r="I2244" t="s">
        <v>59</v>
      </c>
      <c r="J2244">
        <v>2</v>
      </c>
      <c r="K2244" t="s">
        <v>103</v>
      </c>
      <c r="L2244" t="s">
        <v>124</v>
      </c>
      <c r="M2244">
        <f>orders[[#This Row],[Ship Date]]-orders[[#This Row],[Order Date]]</f>
        <v>4</v>
      </c>
      <c r="N2244">
        <f>WEEKNUM(orders[[#This Row],[Order Date]],1)</f>
        <v>13</v>
      </c>
      <c r="O2244" t="str">
        <f t="array" ref="O2244">_xlfn.IFS(orders[[#This Row],[Customer Gender]]="M","Male", orders[[#This Row],[Customer Gender]]="F","Female", orders[[#This Row],[Customer Gender]]="O","Other", TRUE(),"Unknown")</f>
        <v>Male</v>
      </c>
    </row>
    <row r="2245" spans="1:15" x14ac:dyDescent="0.25">
      <c r="A2245" t="s">
        <v>2473</v>
      </c>
      <c r="B2245" t="s">
        <v>90</v>
      </c>
      <c r="C2245">
        <v>2</v>
      </c>
      <c r="D2245">
        <v>18.899999999999999</v>
      </c>
      <c r="E2245">
        <v>37.799999999999997</v>
      </c>
      <c r="F2245" s="58">
        <v>45740</v>
      </c>
      <c r="G2245" s="58">
        <v>45742</v>
      </c>
      <c r="H2245" t="s">
        <v>231</v>
      </c>
      <c r="I2245" t="s">
        <v>61</v>
      </c>
      <c r="J2245">
        <v>5</v>
      </c>
      <c r="K2245" t="s">
        <v>103</v>
      </c>
      <c r="L2245" t="s">
        <v>124</v>
      </c>
      <c r="M2245">
        <f>orders[[#This Row],[Ship Date]]-orders[[#This Row],[Order Date]]</f>
        <v>2</v>
      </c>
      <c r="N2245">
        <f>WEEKNUM(orders[[#This Row],[Order Date]],1)</f>
        <v>13</v>
      </c>
      <c r="O2245" t="str">
        <f t="array" ref="O2245">_xlfn.IFS(orders[[#This Row],[Customer Gender]]="M","Male", orders[[#This Row],[Customer Gender]]="F","Female", orders[[#This Row],[Customer Gender]]="O","Other", TRUE(),"Unknown")</f>
        <v>Female</v>
      </c>
    </row>
    <row r="2246" spans="1:15" x14ac:dyDescent="0.25">
      <c r="A2246" t="s">
        <v>2474</v>
      </c>
      <c r="B2246" t="s">
        <v>75</v>
      </c>
      <c r="C2246">
        <v>5</v>
      </c>
      <c r="D2246">
        <v>41.4</v>
      </c>
      <c r="E2246">
        <v>207</v>
      </c>
      <c r="F2246" s="58">
        <v>45740</v>
      </c>
      <c r="G2246" s="58">
        <v>45741</v>
      </c>
      <c r="H2246" t="s">
        <v>229</v>
      </c>
      <c r="I2246" t="s">
        <v>60</v>
      </c>
      <c r="J2246">
        <v>4</v>
      </c>
      <c r="K2246" t="s">
        <v>103</v>
      </c>
      <c r="L2246" t="s">
        <v>124</v>
      </c>
      <c r="M2246">
        <f>orders[[#This Row],[Ship Date]]-orders[[#This Row],[Order Date]]</f>
        <v>1</v>
      </c>
      <c r="N2246">
        <f>WEEKNUM(orders[[#This Row],[Order Date]],1)</f>
        <v>13</v>
      </c>
      <c r="O2246" t="str">
        <f t="array" ref="O2246">_xlfn.IFS(orders[[#This Row],[Customer Gender]]="M","Male", orders[[#This Row],[Customer Gender]]="F","Female", orders[[#This Row],[Customer Gender]]="O","Other", TRUE(),"Unknown")</f>
        <v>Male</v>
      </c>
    </row>
    <row r="2247" spans="1:15" x14ac:dyDescent="0.25">
      <c r="A2247" t="s">
        <v>2475</v>
      </c>
      <c r="B2247" t="s">
        <v>87</v>
      </c>
      <c r="C2247">
        <v>1</v>
      </c>
      <c r="D2247">
        <v>118.4</v>
      </c>
      <c r="E2247">
        <v>118.4</v>
      </c>
      <c r="F2247" s="58">
        <v>45740</v>
      </c>
      <c r="G2247" s="58">
        <v>45741</v>
      </c>
      <c r="H2247" t="s">
        <v>231</v>
      </c>
      <c r="I2247" t="s">
        <v>59</v>
      </c>
      <c r="J2247">
        <v>5</v>
      </c>
      <c r="K2247" t="s">
        <v>103</v>
      </c>
      <c r="L2247" t="s">
        <v>124</v>
      </c>
      <c r="M2247">
        <f>orders[[#This Row],[Ship Date]]-orders[[#This Row],[Order Date]]</f>
        <v>1</v>
      </c>
      <c r="N2247">
        <f>WEEKNUM(orders[[#This Row],[Order Date]],1)</f>
        <v>13</v>
      </c>
      <c r="O2247" t="str">
        <f t="array" ref="O2247">_xlfn.IFS(orders[[#This Row],[Customer Gender]]="M","Male", orders[[#This Row],[Customer Gender]]="F","Female", orders[[#This Row],[Customer Gender]]="O","Other", TRUE(),"Unknown")</f>
        <v>Female</v>
      </c>
    </row>
    <row r="2248" spans="1:15" x14ac:dyDescent="0.25">
      <c r="A2248" t="s">
        <v>2476</v>
      </c>
      <c r="B2248" t="s">
        <v>87</v>
      </c>
      <c r="C2248">
        <v>2</v>
      </c>
      <c r="D2248">
        <v>125.3</v>
      </c>
      <c r="E2248">
        <v>250.6</v>
      </c>
      <c r="F2248" s="58">
        <v>45740</v>
      </c>
      <c r="G2248" s="58">
        <v>45743</v>
      </c>
      <c r="H2248" t="s">
        <v>231</v>
      </c>
      <c r="I2248" t="s">
        <v>59</v>
      </c>
      <c r="J2248">
        <v>5</v>
      </c>
      <c r="K2248" t="s">
        <v>103</v>
      </c>
      <c r="L2248" t="s">
        <v>124</v>
      </c>
      <c r="M2248">
        <f>orders[[#This Row],[Ship Date]]-orders[[#This Row],[Order Date]]</f>
        <v>3</v>
      </c>
      <c r="N2248">
        <f>WEEKNUM(orders[[#This Row],[Order Date]],1)</f>
        <v>13</v>
      </c>
      <c r="O2248" t="str">
        <f t="array" ref="O2248">_xlfn.IFS(orders[[#This Row],[Customer Gender]]="M","Male", orders[[#This Row],[Customer Gender]]="F","Female", orders[[#This Row],[Customer Gender]]="O","Other", TRUE(),"Unknown")</f>
        <v>Female</v>
      </c>
    </row>
    <row r="2249" spans="1:15" x14ac:dyDescent="0.25">
      <c r="A2249" t="s">
        <v>2477</v>
      </c>
      <c r="B2249" t="s">
        <v>93</v>
      </c>
      <c r="C2249">
        <v>2</v>
      </c>
      <c r="D2249">
        <v>85.8</v>
      </c>
      <c r="E2249">
        <v>171.6</v>
      </c>
      <c r="F2249" s="58">
        <v>45740</v>
      </c>
      <c r="G2249" s="58">
        <v>45741</v>
      </c>
      <c r="H2249" t="s">
        <v>231</v>
      </c>
      <c r="I2249" t="s">
        <v>63</v>
      </c>
      <c r="J2249">
        <v>2</v>
      </c>
      <c r="K2249" t="s">
        <v>103</v>
      </c>
      <c r="L2249" t="s">
        <v>124</v>
      </c>
      <c r="M2249">
        <f>orders[[#This Row],[Ship Date]]-orders[[#This Row],[Order Date]]</f>
        <v>1</v>
      </c>
      <c r="N2249">
        <f>WEEKNUM(orders[[#This Row],[Order Date]],1)</f>
        <v>13</v>
      </c>
      <c r="O2249" t="str">
        <f t="array" ref="O2249">_xlfn.IFS(orders[[#This Row],[Customer Gender]]="M","Male", orders[[#This Row],[Customer Gender]]="F","Female", orders[[#This Row],[Customer Gender]]="O","Other", TRUE(),"Unknown")</f>
        <v>Female</v>
      </c>
    </row>
    <row r="2250" spans="1:15" x14ac:dyDescent="0.25">
      <c r="A2250" t="s">
        <v>2478</v>
      </c>
      <c r="B2250" t="s">
        <v>80</v>
      </c>
      <c r="C2250">
        <v>1</v>
      </c>
      <c r="D2250">
        <v>44.2</v>
      </c>
      <c r="E2250">
        <v>44.2</v>
      </c>
      <c r="F2250" s="58">
        <v>45740</v>
      </c>
      <c r="G2250" s="58">
        <v>45743</v>
      </c>
      <c r="H2250" t="s">
        <v>229</v>
      </c>
      <c r="I2250" t="s">
        <v>63</v>
      </c>
      <c r="J2250">
        <v>4</v>
      </c>
      <c r="K2250" t="s">
        <v>103</v>
      </c>
      <c r="L2250" t="s">
        <v>124</v>
      </c>
      <c r="M2250">
        <f>orders[[#This Row],[Ship Date]]-orders[[#This Row],[Order Date]]</f>
        <v>3</v>
      </c>
      <c r="N2250">
        <f>WEEKNUM(orders[[#This Row],[Order Date]],1)</f>
        <v>13</v>
      </c>
      <c r="O2250" t="str">
        <f t="array" ref="O2250">_xlfn.IFS(orders[[#This Row],[Customer Gender]]="M","Male", orders[[#This Row],[Customer Gender]]="F","Female", orders[[#This Row],[Customer Gender]]="O","Other", TRUE(),"Unknown")</f>
        <v>Male</v>
      </c>
    </row>
    <row r="2251" spans="1:15" x14ac:dyDescent="0.25">
      <c r="A2251" t="s">
        <v>2479</v>
      </c>
      <c r="B2251" t="s">
        <v>85</v>
      </c>
      <c r="C2251">
        <v>4</v>
      </c>
      <c r="D2251">
        <v>74.099999999999994</v>
      </c>
      <c r="E2251">
        <v>296.39999999999998</v>
      </c>
      <c r="F2251" s="58">
        <v>45740</v>
      </c>
      <c r="G2251" s="58">
        <v>45742</v>
      </c>
      <c r="H2251" t="s">
        <v>231</v>
      </c>
      <c r="I2251" t="s">
        <v>59</v>
      </c>
      <c r="J2251">
        <v>4</v>
      </c>
      <c r="K2251" t="s">
        <v>103</v>
      </c>
      <c r="L2251" t="s">
        <v>124</v>
      </c>
      <c r="M2251">
        <f>orders[[#This Row],[Ship Date]]-orders[[#This Row],[Order Date]]</f>
        <v>2</v>
      </c>
      <c r="N2251">
        <f>WEEKNUM(orders[[#This Row],[Order Date]],1)</f>
        <v>13</v>
      </c>
      <c r="O2251" t="str">
        <f t="array" ref="O2251">_xlfn.IFS(orders[[#This Row],[Customer Gender]]="M","Male", orders[[#This Row],[Customer Gender]]="F","Female", orders[[#This Row],[Customer Gender]]="O","Other", TRUE(),"Unknown")</f>
        <v>Female</v>
      </c>
    </row>
    <row r="2252" spans="1:15" x14ac:dyDescent="0.25">
      <c r="A2252" t="s">
        <v>2480</v>
      </c>
      <c r="B2252" t="s">
        <v>90</v>
      </c>
      <c r="C2252">
        <v>1</v>
      </c>
      <c r="D2252">
        <v>33.799999999999997</v>
      </c>
      <c r="E2252">
        <v>33.799999999999997</v>
      </c>
      <c r="F2252" s="58">
        <v>45740</v>
      </c>
      <c r="G2252" s="58">
        <v>45741</v>
      </c>
      <c r="H2252" t="s">
        <v>231</v>
      </c>
      <c r="I2252" t="s">
        <v>62</v>
      </c>
      <c r="J2252">
        <v>5</v>
      </c>
      <c r="K2252" t="s">
        <v>103</v>
      </c>
      <c r="L2252" t="s">
        <v>129</v>
      </c>
      <c r="M2252">
        <f>orders[[#This Row],[Ship Date]]-orders[[#This Row],[Order Date]]</f>
        <v>1</v>
      </c>
      <c r="N2252">
        <f>WEEKNUM(orders[[#This Row],[Order Date]],1)</f>
        <v>13</v>
      </c>
      <c r="O2252" t="str">
        <f t="array" ref="O2252">_xlfn.IFS(orders[[#This Row],[Customer Gender]]="M","Male", orders[[#This Row],[Customer Gender]]="F","Female", orders[[#This Row],[Customer Gender]]="O","Other", TRUE(),"Unknown")</f>
        <v>Female</v>
      </c>
    </row>
    <row r="2253" spans="1:15" x14ac:dyDescent="0.25">
      <c r="A2253" t="s">
        <v>2481</v>
      </c>
      <c r="B2253" t="s">
        <v>91</v>
      </c>
      <c r="C2253">
        <v>2</v>
      </c>
      <c r="D2253">
        <v>39.1</v>
      </c>
      <c r="E2253">
        <v>78.2</v>
      </c>
      <c r="F2253" s="58">
        <v>45740</v>
      </c>
      <c r="G2253" s="58">
        <v>45741</v>
      </c>
      <c r="H2253" t="s">
        <v>229</v>
      </c>
      <c r="I2253" t="s">
        <v>59</v>
      </c>
      <c r="J2253">
        <v>3</v>
      </c>
      <c r="K2253" t="s">
        <v>103</v>
      </c>
      <c r="L2253" t="s">
        <v>129</v>
      </c>
      <c r="M2253">
        <f>orders[[#This Row],[Ship Date]]-orders[[#This Row],[Order Date]]</f>
        <v>1</v>
      </c>
      <c r="N2253">
        <f>WEEKNUM(orders[[#This Row],[Order Date]],1)</f>
        <v>13</v>
      </c>
      <c r="O2253" t="str">
        <f t="array" ref="O2253">_xlfn.IFS(orders[[#This Row],[Customer Gender]]="M","Male", orders[[#This Row],[Customer Gender]]="F","Female", orders[[#This Row],[Customer Gender]]="O","Other", TRUE(),"Unknown")</f>
        <v>Male</v>
      </c>
    </row>
    <row r="2254" spans="1:15" x14ac:dyDescent="0.25">
      <c r="A2254" t="s">
        <v>2482</v>
      </c>
      <c r="B2254" t="s">
        <v>86</v>
      </c>
      <c r="C2254">
        <v>1</v>
      </c>
      <c r="D2254">
        <v>37.200000000000003</v>
      </c>
      <c r="E2254">
        <v>37.200000000000003</v>
      </c>
      <c r="F2254" s="58">
        <v>45740</v>
      </c>
      <c r="G2254" s="58">
        <v>45741</v>
      </c>
      <c r="H2254" t="s">
        <v>229</v>
      </c>
      <c r="I2254" t="s">
        <v>59</v>
      </c>
      <c r="J2254">
        <v>3</v>
      </c>
      <c r="K2254" t="s">
        <v>103</v>
      </c>
      <c r="L2254" t="s">
        <v>133</v>
      </c>
      <c r="M2254">
        <f>orders[[#This Row],[Ship Date]]-orders[[#This Row],[Order Date]]</f>
        <v>1</v>
      </c>
      <c r="N2254">
        <f>WEEKNUM(orders[[#This Row],[Order Date]],1)</f>
        <v>13</v>
      </c>
      <c r="O2254" t="str">
        <f t="array" ref="O2254">_xlfn.IFS(orders[[#This Row],[Customer Gender]]="M","Male", orders[[#This Row],[Customer Gender]]="F","Female", orders[[#This Row],[Customer Gender]]="O","Other", TRUE(),"Unknown")</f>
        <v>Male</v>
      </c>
    </row>
    <row r="2255" spans="1:15" x14ac:dyDescent="0.25">
      <c r="A2255" t="s">
        <v>2483</v>
      </c>
      <c r="B2255" t="s">
        <v>77</v>
      </c>
      <c r="C2255">
        <v>3</v>
      </c>
      <c r="D2255">
        <v>33.9</v>
      </c>
      <c r="E2255">
        <v>101.7</v>
      </c>
      <c r="F2255" s="58">
        <v>45740</v>
      </c>
      <c r="G2255" s="58">
        <v>45742</v>
      </c>
      <c r="H2255" t="s">
        <v>229</v>
      </c>
      <c r="I2255" t="s">
        <v>62</v>
      </c>
      <c r="J2255">
        <v>4</v>
      </c>
      <c r="K2255" t="s">
        <v>103</v>
      </c>
      <c r="L2255" t="s">
        <v>139</v>
      </c>
      <c r="M2255">
        <f>orders[[#This Row],[Ship Date]]-orders[[#This Row],[Order Date]]</f>
        <v>2</v>
      </c>
      <c r="N2255">
        <f>WEEKNUM(orders[[#This Row],[Order Date]],1)</f>
        <v>13</v>
      </c>
      <c r="O2255" t="str">
        <f t="array" ref="O2255">_xlfn.IFS(orders[[#This Row],[Customer Gender]]="M","Male", orders[[#This Row],[Customer Gender]]="F","Female", orders[[#This Row],[Customer Gender]]="O","Other", TRUE(),"Unknown")</f>
        <v>Male</v>
      </c>
    </row>
    <row r="2256" spans="1:15" x14ac:dyDescent="0.25">
      <c r="A2256" t="s">
        <v>2484</v>
      </c>
      <c r="B2256" t="s">
        <v>79</v>
      </c>
      <c r="C2256">
        <v>15</v>
      </c>
      <c r="D2256">
        <v>73.3</v>
      </c>
      <c r="E2256">
        <v>1099.5</v>
      </c>
      <c r="F2256" s="58">
        <v>45740</v>
      </c>
      <c r="G2256" s="58">
        <v>45743</v>
      </c>
      <c r="H2256" t="s">
        <v>231</v>
      </c>
      <c r="I2256" t="s">
        <v>62</v>
      </c>
      <c r="J2256">
        <v>3</v>
      </c>
      <c r="K2256" t="s">
        <v>103</v>
      </c>
      <c r="L2256" t="s">
        <v>142</v>
      </c>
      <c r="M2256">
        <f>orders[[#This Row],[Ship Date]]-orders[[#This Row],[Order Date]]</f>
        <v>3</v>
      </c>
      <c r="N2256">
        <f>WEEKNUM(orders[[#This Row],[Order Date]],1)</f>
        <v>13</v>
      </c>
      <c r="O2256" t="str">
        <f t="array" ref="O2256">_xlfn.IFS(orders[[#This Row],[Customer Gender]]="M","Male", orders[[#This Row],[Customer Gender]]="F","Female", orders[[#This Row],[Customer Gender]]="O","Other", TRUE(),"Unknown")</f>
        <v>Female</v>
      </c>
    </row>
    <row r="2257" spans="1:15" x14ac:dyDescent="0.25">
      <c r="A2257" t="s">
        <v>2485</v>
      </c>
      <c r="B2257" t="s">
        <v>90</v>
      </c>
      <c r="C2257">
        <v>4</v>
      </c>
      <c r="D2257">
        <v>35</v>
      </c>
      <c r="E2257">
        <v>140</v>
      </c>
      <c r="F2257" s="58">
        <v>45740</v>
      </c>
      <c r="G2257" s="58">
        <v>45742</v>
      </c>
      <c r="H2257" t="s">
        <v>231</v>
      </c>
      <c r="I2257" t="s">
        <v>63</v>
      </c>
      <c r="J2257">
        <v>4</v>
      </c>
      <c r="K2257" t="s">
        <v>103</v>
      </c>
      <c r="L2257" t="s">
        <v>142</v>
      </c>
      <c r="M2257">
        <f>orders[[#This Row],[Ship Date]]-orders[[#This Row],[Order Date]]</f>
        <v>2</v>
      </c>
      <c r="N2257">
        <f>WEEKNUM(orders[[#This Row],[Order Date]],1)</f>
        <v>13</v>
      </c>
      <c r="O2257" t="str">
        <f t="array" ref="O2257">_xlfn.IFS(orders[[#This Row],[Customer Gender]]="M","Male", orders[[#This Row],[Customer Gender]]="F","Female", orders[[#This Row],[Customer Gender]]="O","Other", TRUE(),"Unknown")</f>
        <v>Female</v>
      </c>
    </row>
    <row r="2258" spans="1:15" x14ac:dyDescent="0.25">
      <c r="A2258" t="s">
        <v>2486</v>
      </c>
      <c r="B2258" t="s">
        <v>86</v>
      </c>
      <c r="C2258">
        <v>3</v>
      </c>
      <c r="D2258">
        <v>22.2</v>
      </c>
      <c r="E2258">
        <v>66.599999999999994</v>
      </c>
      <c r="F2258" s="58">
        <v>45740</v>
      </c>
      <c r="G2258" s="58">
        <v>45741</v>
      </c>
      <c r="H2258" t="s">
        <v>229</v>
      </c>
      <c r="I2258" t="s">
        <v>63</v>
      </c>
      <c r="J2258">
        <v>4</v>
      </c>
      <c r="K2258" t="s">
        <v>103</v>
      </c>
      <c r="L2258" t="s">
        <v>143</v>
      </c>
      <c r="M2258">
        <f>orders[[#This Row],[Ship Date]]-orders[[#This Row],[Order Date]]</f>
        <v>1</v>
      </c>
      <c r="N2258">
        <f>WEEKNUM(orders[[#This Row],[Order Date]],1)</f>
        <v>13</v>
      </c>
      <c r="O2258" t="str">
        <f t="array" ref="O2258">_xlfn.IFS(orders[[#This Row],[Customer Gender]]="M","Male", orders[[#This Row],[Customer Gender]]="F","Female", orders[[#This Row],[Customer Gender]]="O","Other", TRUE(),"Unknown")</f>
        <v>Male</v>
      </c>
    </row>
    <row r="2259" spans="1:15" x14ac:dyDescent="0.25">
      <c r="A2259" t="s">
        <v>2487</v>
      </c>
      <c r="B2259" t="s">
        <v>75</v>
      </c>
      <c r="C2259">
        <v>1</v>
      </c>
      <c r="D2259">
        <v>32.4</v>
      </c>
      <c r="E2259">
        <v>32.4</v>
      </c>
      <c r="F2259" s="58">
        <v>45740</v>
      </c>
      <c r="G2259" s="58">
        <v>45741</v>
      </c>
      <c r="H2259" t="s">
        <v>231</v>
      </c>
      <c r="I2259" t="s">
        <v>59</v>
      </c>
      <c r="J2259">
        <v>4</v>
      </c>
      <c r="K2259" t="s">
        <v>103</v>
      </c>
      <c r="L2259" t="s">
        <v>148</v>
      </c>
      <c r="M2259">
        <f>orders[[#This Row],[Ship Date]]-orders[[#This Row],[Order Date]]</f>
        <v>1</v>
      </c>
      <c r="N2259">
        <f>WEEKNUM(orders[[#This Row],[Order Date]],1)</f>
        <v>13</v>
      </c>
      <c r="O2259" t="str">
        <f t="array" ref="O2259">_xlfn.IFS(orders[[#This Row],[Customer Gender]]="M","Male", orders[[#This Row],[Customer Gender]]="F","Female", orders[[#This Row],[Customer Gender]]="O","Other", TRUE(),"Unknown")</f>
        <v>Female</v>
      </c>
    </row>
    <row r="2260" spans="1:15" x14ac:dyDescent="0.25">
      <c r="A2260" t="s">
        <v>2488</v>
      </c>
      <c r="B2260" t="s">
        <v>85</v>
      </c>
      <c r="C2260">
        <v>3</v>
      </c>
      <c r="D2260">
        <v>88.4</v>
      </c>
      <c r="E2260">
        <v>265.2</v>
      </c>
      <c r="F2260" s="58">
        <v>45741</v>
      </c>
      <c r="G2260" s="58">
        <v>45743</v>
      </c>
      <c r="H2260" t="s">
        <v>231</v>
      </c>
      <c r="I2260" t="s">
        <v>63</v>
      </c>
      <c r="J2260">
        <v>3</v>
      </c>
      <c r="K2260" t="s">
        <v>103</v>
      </c>
      <c r="L2260" t="s">
        <v>148</v>
      </c>
      <c r="M2260">
        <f>orders[[#This Row],[Ship Date]]-orders[[#This Row],[Order Date]]</f>
        <v>2</v>
      </c>
      <c r="N2260">
        <f>WEEKNUM(orders[[#This Row],[Order Date]],1)</f>
        <v>13</v>
      </c>
      <c r="O2260" t="str">
        <f t="array" ref="O2260">_xlfn.IFS(orders[[#This Row],[Customer Gender]]="M","Male", orders[[#This Row],[Customer Gender]]="F","Female", orders[[#This Row],[Customer Gender]]="O","Other", TRUE(),"Unknown")</f>
        <v>Female</v>
      </c>
    </row>
    <row r="2261" spans="1:15" x14ac:dyDescent="0.25">
      <c r="A2261" t="s">
        <v>2489</v>
      </c>
      <c r="B2261" t="s">
        <v>85</v>
      </c>
      <c r="C2261">
        <v>16</v>
      </c>
      <c r="D2261">
        <v>30.5</v>
      </c>
      <c r="E2261">
        <v>488</v>
      </c>
      <c r="F2261" s="58">
        <v>45741</v>
      </c>
      <c r="G2261" s="58">
        <v>45742</v>
      </c>
      <c r="H2261" t="s">
        <v>231</v>
      </c>
      <c r="I2261" t="s">
        <v>62</v>
      </c>
      <c r="J2261">
        <v>4</v>
      </c>
      <c r="K2261" t="s">
        <v>103</v>
      </c>
      <c r="L2261" t="s">
        <v>148</v>
      </c>
      <c r="M2261">
        <f>orders[[#This Row],[Ship Date]]-orders[[#This Row],[Order Date]]</f>
        <v>1</v>
      </c>
      <c r="N2261">
        <f>WEEKNUM(orders[[#This Row],[Order Date]],1)</f>
        <v>13</v>
      </c>
      <c r="O2261" t="str">
        <f t="array" ref="O2261">_xlfn.IFS(orders[[#This Row],[Customer Gender]]="M","Male", orders[[#This Row],[Customer Gender]]="F","Female", orders[[#This Row],[Customer Gender]]="O","Other", TRUE(),"Unknown")</f>
        <v>Female</v>
      </c>
    </row>
    <row r="2262" spans="1:15" x14ac:dyDescent="0.25">
      <c r="A2262" t="s">
        <v>2490</v>
      </c>
      <c r="B2262" t="s">
        <v>91</v>
      </c>
      <c r="C2262">
        <v>6</v>
      </c>
      <c r="D2262">
        <v>38.1</v>
      </c>
      <c r="E2262">
        <v>228.6</v>
      </c>
      <c r="F2262" s="58">
        <v>45741</v>
      </c>
      <c r="G2262" s="58">
        <v>45743</v>
      </c>
      <c r="H2262" t="s">
        <v>231</v>
      </c>
      <c r="I2262" t="s">
        <v>59</v>
      </c>
      <c r="J2262">
        <v>3</v>
      </c>
      <c r="K2262" t="s">
        <v>103</v>
      </c>
      <c r="L2262" t="s">
        <v>148</v>
      </c>
      <c r="M2262">
        <f>orders[[#This Row],[Ship Date]]-orders[[#This Row],[Order Date]]</f>
        <v>2</v>
      </c>
      <c r="N2262">
        <f>WEEKNUM(orders[[#This Row],[Order Date]],1)</f>
        <v>13</v>
      </c>
      <c r="O2262" t="str">
        <f t="array" ref="O2262">_xlfn.IFS(orders[[#This Row],[Customer Gender]]="M","Male", orders[[#This Row],[Customer Gender]]="F","Female", orders[[#This Row],[Customer Gender]]="O","Other", TRUE(),"Unknown")</f>
        <v>Female</v>
      </c>
    </row>
    <row r="2263" spans="1:15" x14ac:dyDescent="0.25">
      <c r="A2263" t="s">
        <v>2491</v>
      </c>
      <c r="B2263" t="s">
        <v>75</v>
      </c>
      <c r="C2263">
        <v>5</v>
      </c>
      <c r="D2263">
        <v>37.6</v>
      </c>
      <c r="E2263">
        <v>188</v>
      </c>
      <c r="F2263" s="58">
        <v>45741</v>
      </c>
      <c r="G2263" s="58">
        <v>45745</v>
      </c>
      <c r="H2263" t="s">
        <v>229</v>
      </c>
      <c r="I2263" t="s">
        <v>59</v>
      </c>
      <c r="J2263">
        <v>4</v>
      </c>
      <c r="K2263" t="s">
        <v>103</v>
      </c>
      <c r="L2263" t="s">
        <v>148</v>
      </c>
      <c r="M2263">
        <f>orders[[#This Row],[Ship Date]]-orders[[#This Row],[Order Date]]</f>
        <v>4</v>
      </c>
      <c r="N2263">
        <f>WEEKNUM(orders[[#This Row],[Order Date]],1)</f>
        <v>13</v>
      </c>
      <c r="O2263" t="str">
        <f t="array" ref="O2263">_xlfn.IFS(orders[[#This Row],[Customer Gender]]="M","Male", orders[[#This Row],[Customer Gender]]="F","Female", orders[[#This Row],[Customer Gender]]="O","Other", TRUE(),"Unknown")</f>
        <v>Male</v>
      </c>
    </row>
    <row r="2264" spans="1:15" x14ac:dyDescent="0.25">
      <c r="A2264" t="s">
        <v>2492</v>
      </c>
      <c r="B2264" t="s">
        <v>77</v>
      </c>
      <c r="C2264">
        <v>2</v>
      </c>
      <c r="D2264">
        <v>31.4</v>
      </c>
      <c r="E2264">
        <v>62.8</v>
      </c>
      <c r="F2264" s="58">
        <v>45741</v>
      </c>
      <c r="G2264" s="58">
        <v>45742</v>
      </c>
      <c r="H2264" t="s">
        <v>229</v>
      </c>
      <c r="I2264" t="s">
        <v>59</v>
      </c>
      <c r="J2264">
        <v>5</v>
      </c>
      <c r="K2264" t="s">
        <v>103</v>
      </c>
      <c r="L2264" t="s">
        <v>148</v>
      </c>
      <c r="M2264">
        <f>orders[[#This Row],[Ship Date]]-orders[[#This Row],[Order Date]]</f>
        <v>1</v>
      </c>
      <c r="N2264">
        <f>WEEKNUM(orders[[#This Row],[Order Date]],1)</f>
        <v>13</v>
      </c>
      <c r="O2264" t="str">
        <f t="array" ref="O2264">_xlfn.IFS(orders[[#This Row],[Customer Gender]]="M","Male", orders[[#This Row],[Customer Gender]]="F","Female", orders[[#This Row],[Customer Gender]]="O","Other", TRUE(),"Unknown")</f>
        <v>Male</v>
      </c>
    </row>
    <row r="2265" spans="1:15" x14ac:dyDescent="0.25">
      <c r="A2265" t="s">
        <v>2493</v>
      </c>
      <c r="B2265" t="s">
        <v>80</v>
      </c>
      <c r="C2265">
        <v>2</v>
      </c>
      <c r="D2265">
        <v>61.5</v>
      </c>
      <c r="E2265">
        <v>123</v>
      </c>
      <c r="F2265" s="58">
        <v>45741</v>
      </c>
      <c r="G2265" s="58">
        <v>45742</v>
      </c>
      <c r="H2265" t="s">
        <v>229</v>
      </c>
      <c r="I2265" t="s">
        <v>60</v>
      </c>
      <c r="J2265">
        <v>4</v>
      </c>
      <c r="K2265" t="s">
        <v>103</v>
      </c>
      <c r="L2265" t="s">
        <v>156</v>
      </c>
      <c r="M2265">
        <f>orders[[#This Row],[Ship Date]]-orders[[#This Row],[Order Date]]</f>
        <v>1</v>
      </c>
      <c r="N2265">
        <f>WEEKNUM(orders[[#This Row],[Order Date]],1)</f>
        <v>13</v>
      </c>
      <c r="O2265" t="str">
        <f t="array" ref="O2265">_xlfn.IFS(orders[[#This Row],[Customer Gender]]="M","Male", orders[[#This Row],[Customer Gender]]="F","Female", orders[[#This Row],[Customer Gender]]="O","Other", TRUE(),"Unknown")</f>
        <v>Male</v>
      </c>
    </row>
    <row r="2266" spans="1:15" x14ac:dyDescent="0.25">
      <c r="A2266" t="s">
        <v>2494</v>
      </c>
      <c r="B2266" t="s">
        <v>80</v>
      </c>
      <c r="C2266">
        <v>1</v>
      </c>
      <c r="D2266">
        <v>72.599999999999994</v>
      </c>
      <c r="E2266">
        <v>72.599999999999994</v>
      </c>
      <c r="F2266" s="58">
        <v>45741</v>
      </c>
      <c r="G2266" s="58">
        <v>45742</v>
      </c>
      <c r="H2266" t="s">
        <v>229</v>
      </c>
      <c r="I2266" t="s">
        <v>59</v>
      </c>
      <c r="J2266">
        <v>3</v>
      </c>
      <c r="K2266" t="s">
        <v>103</v>
      </c>
      <c r="L2266" t="s">
        <v>106</v>
      </c>
      <c r="M2266">
        <f>orders[[#This Row],[Ship Date]]-orders[[#This Row],[Order Date]]</f>
        <v>1</v>
      </c>
      <c r="N2266">
        <f>WEEKNUM(orders[[#This Row],[Order Date]],1)</f>
        <v>13</v>
      </c>
      <c r="O2266" t="str">
        <f t="array" ref="O2266">_xlfn.IFS(orders[[#This Row],[Customer Gender]]="M","Male", orders[[#This Row],[Customer Gender]]="F","Female", orders[[#This Row],[Customer Gender]]="O","Other", TRUE(),"Unknown")</f>
        <v>Male</v>
      </c>
    </row>
    <row r="2267" spans="1:15" x14ac:dyDescent="0.25">
      <c r="A2267" t="s">
        <v>2495</v>
      </c>
      <c r="B2267" t="s">
        <v>88</v>
      </c>
      <c r="C2267">
        <v>3</v>
      </c>
      <c r="D2267">
        <v>26.9</v>
      </c>
      <c r="E2267">
        <v>80.7</v>
      </c>
      <c r="F2267" s="58">
        <v>45741</v>
      </c>
      <c r="G2267" s="58">
        <v>45746</v>
      </c>
      <c r="H2267" t="s">
        <v>263</v>
      </c>
      <c r="I2267" t="s">
        <v>61</v>
      </c>
      <c r="J2267">
        <v>3</v>
      </c>
      <c r="K2267" t="s">
        <v>103</v>
      </c>
      <c r="L2267" t="s">
        <v>108</v>
      </c>
      <c r="M2267">
        <f>orders[[#This Row],[Ship Date]]-orders[[#This Row],[Order Date]]</f>
        <v>5</v>
      </c>
      <c r="N2267">
        <f>WEEKNUM(orders[[#This Row],[Order Date]],1)</f>
        <v>13</v>
      </c>
      <c r="O2267" t="str">
        <f t="array" ref="O2267">_xlfn.IFS(orders[[#This Row],[Customer Gender]]="M","Male", orders[[#This Row],[Customer Gender]]="F","Female", orders[[#This Row],[Customer Gender]]="O","Other", TRUE(),"Unknown")</f>
        <v>Other</v>
      </c>
    </row>
    <row r="2268" spans="1:15" x14ac:dyDescent="0.25">
      <c r="A2268" t="s">
        <v>2496</v>
      </c>
      <c r="B2268" t="s">
        <v>84</v>
      </c>
      <c r="C2268">
        <v>12</v>
      </c>
      <c r="D2268">
        <v>29.4</v>
      </c>
      <c r="E2268">
        <v>352.8</v>
      </c>
      <c r="F2268" s="58">
        <v>45741</v>
      </c>
      <c r="G2268" s="58">
        <v>45742</v>
      </c>
      <c r="H2268" t="s">
        <v>231</v>
      </c>
      <c r="I2268" t="s">
        <v>63</v>
      </c>
      <c r="J2268">
        <v>4</v>
      </c>
      <c r="K2268" t="s">
        <v>103</v>
      </c>
      <c r="L2268" t="s">
        <v>109</v>
      </c>
      <c r="M2268">
        <f>orders[[#This Row],[Ship Date]]-orders[[#This Row],[Order Date]]</f>
        <v>1</v>
      </c>
      <c r="N2268">
        <f>WEEKNUM(orders[[#This Row],[Order Date]],1)</f>
        <v>13</v>
      </c>
      <c r="O2268" t="str">
        <f t="array" ref="O2268">_xlfn.IFS(orders[[#This Row],[Customer Gender]]="M","Male", orders[[#This Row],[Customer Gender]]="F","Female", orders[[#This Row],[Customer Gender]]="O","Other", TRUE(),"Unknown")</f>
        <v>Female</v>
      </c>
    </row>
    <row r="2269" spans="1:15" x14ac:dyDescent="0.25">
      <c r="A2269" t="s">
        <v>2497</v>
      </c>
      <c r="B2269" t="s">
        <v>84</v>
      </c>
      <c r="C2269">
        <v>2</v>
      </c>
      <c r="D2269">
        <v>42.1</v>
      </c>
      <c r="E2269">
        <v>84.2</v>
      </c>
      <c r="F2269" s="58">
        <v>45741</v>
      </c>
      <c r="G2269" s="58">
        <v>45742</v>
      </c>
      <c r="H2269" t="s">
        <v>231</v>
      </c>
      <c r="I2269" t="s">
        <v>60</v>
      </c>
      <c r="J2269">
        <v>3</v>
      </c>
      <c r="K2269" t="s">
        <v>103</v>
      </c>
      <c r="L2269" t="s">
        <v>112</v>
      </c>
      <c r="M2269">
        <f>orders[[#This Row],[Ship Date]]-orders[[#This Row],[Order Date]]</f>
        <v>1</v>
      </c>
      <c r="N2269">
        <f>WEEKNUM(orders[[#This Row],[Order Date]],1)</f>
        <v>13</v>
      </c>
      <c r="O2269" t="str">
        <f t="array" ref="O2269">_xlfn.IFS(orders[[#This Row],[Customer Gender]]="M","Male", orders[[#This Row],[Customer Gender]]="F","Female", orders[[#This Row],[Customer Gender]]="O","Other", TRUE(),"Unknown")</f>
        <v>Female</v>
      </c>
    </row>
    <row r="2270" spans="1:15" x14ac:dyDescent="0.25">
      <c r="A2270" t="s">
        <v>2498</v>
      </c>
      <c r="B2270" t="s">
        <v>85</v>
      </c>
      <c r="C2270">
        <v>1</v>
      </c>
      <c r="D2270">
        <v>40.5</v>
      </c>
      <c r="E2270">
        <v>40.5</v>
      </c>
      <c r="F2270" s="58">
        <v>45741</v>
      </c>
      <c r="G2270" s="58">
        <v>45742</v>
      </c>
      <c r="H2270" t="s">
        <v>231</v>
      </c>
      <c r="I2270" t="s">
        <v>62</v>
      </c>
      <c r="J2270">
        <v>3</v>
      </c>
      <c r="K2270" t="s">
        <v>103</v>
      </c>
      <c r="L2270" t="s">
        <v>112</v>
      </c>
      <c r="M2270">
        <f>orders[[#This Row],[Ship Date]]-orders[[#This Row],[Order Date]]</f>
        <v>1</v>
      </c>
      <c r="N2270">
        <f>WEEKNUM(orders[[#This Row],[Order Date]],1)</f>
        <v>13</v>
      </c>
      <c r="O2270" t="str">
        <f t="array" ref="O2270">_xlfn.IFS(orders[[#This Row],[Customer Gender]]="M","Male", orders[[#This Row],[Customer Gender]]="F","Female", orders[[#This Row],[Customer Gender]]="O","Other", TRUE(),"Unknown")</f>
        <v>Female</v>
      </c>
    </row>
    <row r="2271" spans="1:15" x14ac:dyDescent="0.25">
      <c r="A2271" t="s">
        <v>2499</v>
      </c>
      <c r="B2271" t="s">
        <v>87</v>
      </c>
      <c r="C2271">
        <v>4</v>
      </c>
      <c r="D2271">
        <v>182.3</v>
      </c>
      <c r="E2271">
        <v>729.2</v>
      </c>
      <c r="F2271" s="58">
        <v>45741</v>
      </c>
      <c r="G2271" s="58">
        <v>45742</v>
      </c>
      <c r="H2271" t="s">
        <v>231</v>
      </c>
      <c r="I2271" t="s">
        <v>63</v>
      </c>
      <c r="J2271">
        <v>4</v>
      </c>
      <c r="K2271" t="s">
        <v>103</v>
      </c>
      <c r="L2271" t="s">
        <v>112</v>
      </c>
      <c r="M2271">
        <f>orders[[#This Row],[Ship Date]]-orders[[#This Row],[Order Date]]</f>
        <v>1</v>
      </c>
      <c r="N2271">
        <f>WEEKNUM(orders[[#This Row],[Order Date]],1)</f>
        <v>13</v>
      </c>
      <c r="O2271" t="str">
        <f t="array" ref="O2271">_xlfn.IFS(orders[[#This Row],[Customer Gender]]="M","Male", orders[[#This Row],[Customer Gender]]="F","Female", orders[[#This Row],[Customer Gender]]="O","Other", TRUE(),"Unknown")</f>
        <v>Female</v>
      </c>
    </row>
    <row r="2272" spans="1:15" x14ac:dyDescent="0.25">
      <c r="A2272" t="s">
        <v>2500</v>
      </c>
      <c r="B2272" t="s">
        <v>87</v>
      </c>
      <c r="C2272">
        <v>5</v>
      </c>
      <c r="D2272">
        <v>157</v>
      </c>
      <c r="E2272">
        <v>785</v>
      </c>
      <c r="F2272" s="58">
        <v>45741</v>
      </c>
      <c r="G2272" s="58">
        <v>45744</v>
      </c>
      <c r="H2272" t="s">
        <v>231</v>
      </c>
      <c r="I2272" t="s">
        <v>63</v>
      </c>
      <c r="J2272">
        <v>5</v>
      </c>
      <c r="K2272" t="s">
        <v>103</v>
      </c>
      <c r="L2272" t="s">
        <v>115</v>
      </c>
      <c r="M2272">
        <f>orders[[#This Row],[Ship Date]]-orders[[#This Row],[Order Date]]</f>
        <v>3</v>
      </c>
      <c r="N2272">
        <f>WEEKNUM(orders[[#This Row],[Order Date]],1)</f>
        <v>13</v>
      </c>
      <c r="O2272" t="str">
        <f t="array" ref="O2272">_xlfn.IFS(orders[[#This Row],[Customer Gender]]="M","Male", orders[[#This Row],[Customer Gender]]="F","Female", orders[[#This Row],[Customer Gender]]="O","Other", TRUE(),"Unknown")</f>
        <v>Female</v>
      </c>
    </row>
    <row r="2273" spans="1:15" x14ac:dyDescent="0.25">
      <c r="A2273" t="s">
        <v>2501</v>
      </c>
      <c r="B2273" t="s">
        <v>84</v>
      </c>
      <c r="C2273">
        <v>5</v>
      </c>
      <c r="D2273">
        <v>45.2</v>
      </c>
      <c r="E2273">
        <v>226</v>
      </c>
      <c r="F2273" s="58">
        <v>45741</v>
      </c>
      <c r="G2273" s="58">
        <v>45744</v>
      </c>
      <c r="H2273" t="s">
        <v>231</v>
      </c>
      <c r="I2273" t="s">
        <v>63</v>
      </c>
      <c r="J2273">
        <v>4</v>
      </c>
      <c r="K2273" t="s">
        <v>103</v>
      </c>
      <c r="L2273" t="s">
        <v>120</v>
      </c>
      <c r="M2273">
        <f>orders[[#This Row],[Ship Date]]-orders[[#This Row],[Order Date]]</f>
        <v>3</v>
      </c>
      <c r="N2273">
        <f>WEEKNUM(orders[[#This Row],[Order Date]],1)</f>
        <v>13</v>
      </c>
      <c r="O2273" t="str">
        <f t="array" ref="O2273">_xlfn.IFS(orders[[#This Row],[Customer Gender]]="M","Male", orders[[#This Row],[Customer Gender]]="F","Female", orders[[#This Row],[Customer Gender]]="O","Other", TRUE(),"Unknown")</f>
        <v>Female</v>
      </c>
    </row>
    <row r="2274" spans="1:15" x14ac:dyDescent="0.25">
      <c r="A2274" t="s">
        <v>2502</v>
      </c>
      <c r="B2274" t="s">
        <v>77</v>
      </c>
      <c r="C2274">
        <v>4</v>
      </c>
      <c r="D2274">
        <v>27.4</v>
      </c>
      <c r="E2274">
        <v>109.6</v>
      </c>
      <c r="F2274" s="58">
        <v>45741</v>
      </c>
      <c r="G2274" s="58">
        <v>45743</v>
      </c>
      <c r="H2274" t="s">
        <v>231</v>
      </c>
      <c r="I2274" t="s">
        <v>59</v>
      </c>
      <c r="J2274">
        <v>4</v>
      </c>
      <c r="K2274" t="s">
        <v>103</v>
      </c>
      <c r="L2274" t="s">
        <v>124</v>
      </c>
      <c r="M2274">
        <f>orders[[#This Row],[Ship Date]]-orders[[#This Row],[Order Date]]</f>
        <v>2</v>
      </c>
      <c r="N2274">
        <f>WEEKNUM(orders[[#This Row],[Order Date]],1)</f>
        <v>13</v>
      </c>
      <c r="O2274" t="str">
        <f t="array" ref="O2274">_xlfn.IFS(orders[[#This Row],[Customer Gender]]="M","Male", orders[[#This Row],[Customer Gender]]="F","Female", orders[[#This Row],[Customer Gender]]="O","Other", TRUE(),"Unknown")</f>
        <v>Female</v>
      </c>
    </row>
    <row r="2275" spans="1:15" x14ac:dyDescent="0.25">
      <c r="A2275" t="s">
        <v>2503</v>
      </c>
      <c r="B2275" t="s">
        <v>85</v>
      </c>
      <c r="C2275">
        <v>5</v>
      </c>
      <c r="D2275">
        <v>34.1</v>
      </c>
      <c r="E2275">
        <v>170.5</v>
      </c>
      <c r="F2275" s="58">
        <v>45741</v>
      </c>
      <c r="G2275" s="58">
        <v>45743</v>
      </c>
      <c r="H2275" t="s">
        <v>229</v>
      </c>
      <c r="I2275" t="s">
        <v>59</v>
      </c>
      <c r="J2275">
        <v>5</v>
      </c>
      <c r="K2275" t="s">
        <v>103</v>
      </c>
      <c r="L2275" t="s">
        <v>124</v>
      </c>
      <c r="M2275">
        <f>orders[[#This Row],[Ship Date]]-orders[[#This Row],[Order Date]]</f>
        <v>2</v>
      </c>
      <c r="N2275">
        <f>WEEKNUM(orders[[#This Row],[Order Date]],1)</f>
        <v>13</v>
      </c>
      <c r="O2275" t="str">
        <f t="array" ref="O2275">_xlfn.IFS(orders[[#This Row],[Customer Gender]]="M","Male", orders[[#This Row],[Customer Gender]]="F","Female", orders[[#This Row],[Customer Gender]]="O","Other", TRUE(),"Unknown")</f>
        <v>Male</v>
      </c>
    </row>
    <row r="2276" spans="1:15" x14ac:dyDescent="0.25">
      <c r="A2276" t="s">
        <v>2504</v>
      </c>
      <c r="B2276" t="s">
        <v>86</v>
      </c>
      <c r="C2276">
        <v>2</v>
      </c>
      <c r="D2276">
        <v>26</v>
      </c>
      <c r="E2276">
        <v>52</v>
      </c>
      <c r="F2276" s="58">
        <v>45741</v>
      </c>
      <c r="G2276" s="58">
        <v>45743</v>
      </c>
      <c r="H2276" t="s">
        <v>229</v>
      </c>
      <c r="I2276" t="s">
        <v>62</v>
      </c>
      <c r="J2276">
        <v>3</v>
      </c>
      <c r="K2276" t="s">
        <v>103</v>
      </c>
      <c r="L2276" t="s">
        <v>124</v>
      </c>
      <c r="M2276">
        <f>orders[[#This Row],[Ship Date]]-orders[[#This Row],[Order Date]]</f>
        <v>2</v>
      </c>
      <c r="N2276">
        <f>WEEKNUM(orders[[#This Row],[Order Date]],1)</f>
        <v>13</v>
      </c>
      <c r="O2276" t="str">
        <f t="array" ref="O2276">_xlfn.IFS(orders[[#This Row],[Customer Gender]]="M","Male", orders[[#This Row],[Customer Gender]]="F","Female", orders[[#This Row],[Customer Gender]]="O","Other", TRUE(),"Unknown")</f>
        <v>Male</v>
      </c>
    </row>
    <row r="2277" spans="1:15" x14ac:dyDescent="0.25">
      <c r="A2277" t="s">
        <v>2505</v>
      </c>
      <c r="B2277" t="s">
        <v>90</v>
      </c>
      <c r="C2277">
        <v>7</v>
      </c>
      <c r="D2277">
        <v>19.399999999999999</v>
      </c>
      <c r="E2277">
        <v>135.80000000000001</v>
      </c>
      <c r="F2277" s="58">
        <v>45741</v>
      </c>
      <c r="G2277" s="58">
        <v>45743</v>
      </c>
      <c r="I2277" t="s">
        <v>63</v>
      </c>
      <c r="J2277">
        <v>3</v>
      </c>
      <c r="K2277" t="s">
        <v>103</v>
      </c>
      <c r="L2277" t="s">
        <v>124</v>
      </c>
      <c r="M2277">
        <f>orders[[#This Row],[Ship Date]]-orders[[#This Row],[Order Date]]</f>
        <v>2</v>
      </c>
      <c r="N2277">
        <f>WEEKNUM(orders[[#This Row],[Order Date]],1)</f>
        <v>13</v>
      </c>
      <c r="O2277" t="str">
        <f t="array" ref="O2277">_xlfn.IFS(orders[[#This Row],[Customer Gender]]="M","Male", orders[[#This Row],[Customer Gender]]="F","Female", orders[[#This Row],[Customer Gender]]="O","Other", TRUE(),"Unknown")</f>
        <v>Unknown</v>
      </c>
    </row>
    <row r="2278" spans="1:15" x14ac:dyDescent="0.25">
      <c r="A2278" t="s">
        <v>2506</v>
      </c>
      <c r="B2278" t="s">
        <v>89</v>
      </c>
      <c r="C2278">
        <v>3</v>
      </c>
      <c r="D2278">
        <v>30.3</v>
      </c>
      <c r="E2278">
        <v>90.9</v>
      </c>
      <c r="F2278" s="58">
        <v>45741</v>
      </c>
      <c r="G2278" s="58">
        <v>45744</v>
      </c>
      <c r="H2278" t="s">
        <v>231</v>
      </c>
      <c r="I2278" t="s">
        <v>63</v>
      </c>
      <c r="J2278">
        <v>5</v>
      </c>
      <c r="K2278" t="s">
        <v>103</v>
      </c>
      <c r="L2278" t="s">
        <v>124</v>
      </c>
      <c r="M2278">
        <f>orders[[#This Row],[Ship Date]]-orders[[#This Row],[Order Date]]</f>
        <v>3</v>
      </c>
      <c r="N2278">
        <f>WEEKNUM(orders[[#This Row],[Order Date]],1)</f>
        <v>13</v>
      </c>
      <c r="O2278" t="str">
        <f t="array" ref="O2278">_xlfn.IFS(orders[[#This Row],[Customer Gender]]="M","Male", orders[[#This Row],[Customer Gender]]="F","Female", orders[[#This Row],[Customer Gender]]="O","Other", TRUE(),"Unknown")</f>
        <v>Female</v>
      </c>
    </row>
    <row r="2279" spans="1:15" x14ac:dyDescent="0.25">
      <c r="A2279" t="s">
        <v>2507</v>
      </c>
      <c r="B2279" t="s">
        <v>87</v>
      </c>
      <c r="C2279">
        <v>3</v>
      </c>
      <c r="D2279">
        <v>101.4</v>
      </c>
      <c r="E2279">
        <v>304.2</v>
      </c>
      <c r="F2279" s="58">
        <v>45741</v>
      </c>
      <c r="G2279" s="58">
        <v>45742</v>
      </c>
      <c r="H2279" t="s">
        <v>229</v>
      </c>
      <c r="I2279" t="s">
        <v>59</v>
      </c>
      <c r="J2279">
        <v>4</v>
      </c>
      <c r="K2279" t="s">
        <v>103</v>
      </c>
      <c r="L2279" t="s">
        <v>124</v>
      </c>
      <c r="M2279">
        <f>orders[[#This Row],[Ship Date]]-orders[[#This Row],[Order Date]]</f>
        <v>1</v>
      </c>
      <c r="N2279">
        <f>WEEKNUM(orders[[#This Row],[Order Date]],1)</f>
        <v>13</v>
      </c>
      <c r="O2279" t="str">
        <f t="array" ref="O2279">_xlfn.IFS(orders[[#This Row],[Customer Gender]]="M","Male", orders[[#This Row],[Customer Gender]]="F","Female", orders[[#This Row],[Customer Gender]]="O","Other", TRUE(),"Unknown")</f>
        <v>Male</v>
      </c>
    </row>
    <row r="2280" spans="1:15" x14ac:dyDescent="0.25">
      <c r="A2280" t="s">
        <v>2508</v>
      </c>
      <c r="B2280" t="s">
        <v>93</v>
      </c>
      <c r="C2280">
        <v>5</v>
      </c>
      <c r="D2280">
        <v>55.5</v>
      </c>
      <c r="E2280">
        <v>277.5</v>
      </c>
      <c r="F2280" s="58">
        <v>45741</v>
      </c>
      <c r="G2280" s="58">
        <v>45744</v>
      </c>
      <c r="H2280" t="s">
        <v>229</v>
      </c>
      <c r="I2280" t="s">
        <v>63</v>
      </c>
      <c r="J2280">
        <v>4</v>
      </c>
      <c r="K2280" t="s">
        <v>103</v>
      </c>
      <c r="L2280" t="s">
        <v>129</v>
      </c>
      <c r="M2280">
        <f>orders[[#This Row],[Ship Date]]-orders[[#This Row],[Order Date]]</f>
        <v>3</v>
      </c>
      <c r="N2280">
        <f>WEEKNUM(orders[[#This Row],[Order Date]],1)</f>
        <v>13</v>
      </c>
      <c r="O2280" t="str">
        <f t="array" ref="O2280">_xlfn.IFS(orders[[#This Row],[Customer Gender]]="M","Male", orders[[#This Row],[Customer Gender]]="F","Female", orders[[#This Row],[Customer Gender]]="O","Other", TRUE(),"Unknown")</f>
        <v>Male</v>
      </c>
    </row>
    <row r="2281" spans="1:15" x14ac:dyDescent="0.25">
      <c r="A2281" t="s">
        <v>2509</v>
      </c>
      <c r="B2281" t="s">
        <v>90</v>
      </c>
      <c r="C2281">
        <v>1</v>
      </c>
      <c r="D2281">
        <v>23.1</v>
      </c>
      <c r="E2281">
        <v>23.1</v>
      </c>
      <c r="F2281" s="58">
        <v>45741</v>
      </c>
      <c r="G2281" s="58">
        <v>45742</v>
      </c>
      <c r="H2281" t="s">
        <v>229</v>
      </c>
      <c r="I2281" t="s">
        <v>59</v>
      </c>
      <c r="J2281">
        <v>4</v>
      </c>
      <c r="K2281" t="s">
        <v>103</v>
      </c>
      <c r="L2281" t="s">
        <v>135</v>
      </c>
      <c r="M2281">
        <f>orders[[#This Row],[Ship Date]]-orders[[#This Row],[Order Date]]</f>
        <v>1</v>
      </c>
      <c r="N2281">
        <f>WEEKNUM(orders[[#This Row],[Order Date]],1)</f>
        <v>13</v>
      </c>
      <c r="O2281" t="str">
        <f t="array" ref="O2281">_xlfn.IFS(orders[[#This Row],[Customer Gender]]="M","Male", orders[[#This Row],[Customer Gender]]="F","Female", orders[[#This Row],[Customer Gender]]="O","Other", TRUE(),"Unknown")</f>
        <v>Male</v>
      </c>
    </row>
    <row r="2282" spans="1:15" x14ac:dyDescent="0.25">
      <c r="A2282" t="s">
        <v>2510</v>
      </c>
      <c r="B2282" t="s">
        <v>82</v>
      </c>
      <c r="C2282">
        <v>2</v>
      </c>
      <c r="D2282">
        <v>38.9</v>
      </c>
      <c r="E2282">
        <v>77.8</v>
      </c>
      <c r="F2282" s="58">
        <v>45741</v>
      </c>
      <c r="G2282" s="58">
        <v>45742</v>
      </c>
      <c r="H2282" t="s">
        <v>229</v>
      </c>
      <c r="I2282" t="s">
        <v>62</v>
      </c>
      <c r="J2282">
        <v>4</v>
      </c>
      <c r="K2282" t="s">
        <v>103</v>
      </c>
      <c r="L2282" t="s">
        <v>135</v>
      </c>
      <c r="M2282">
        <f>orders[[#This Row],[Ship Date]]-orders[[#This Row],[Order Date]]</f>
        <v>1</v>
      </c>
      <c r="N2282">
        <f>WEEKNUM(orders[[#This Row],[Order Date]],1)</f>
        <v>13</v>
      </c>
      <c r="O2282" t="str">
        <f t="array" ref="O2282">_xlfn.IFS(orders[[#This Row],[Customer Gender]]="M","Male", orders[[#This Row],[Customer Gender]]="F","Female", orders[[#This Row],[Customer Gender]]="O","Other", TRUE(),"Unknown")</f>
        <v>Male</v>
      </c>
    </row>
    <row r="2283" spans="1:15" x14ac:dyDescent="0.25">
      <c r="A2283" t="s">
        <v>2511</v>
      </c>
      <c r="B2283" t="s">
        <v>80</v>
      </c>
      <c r="C2283">
        <v>9</v>
      </c>
      <c r="D2283">
        <v>116.3</v>
      </c>
      <c r="E2283">
        <v>1046.7</v>
      </c>
      <c r="F2283" s="58">
        <v>45741</v>
      </c>
      <c r="G2283" s="58">
        <v>45745</v>
      </c>
      <c r="H2283" t="s">
        <v>231</v>
      </c>
      <c r="I2283" t="s">
        <v>59</v>
      </c>
      <c r="J2283">
        <v>4</v>
      </c>
      <c r="K2283" t="s">
        <v>103</v>
      </c>
      <c r="L2283" t="s">
        <v>136</v>
      </c>
      <c r="M2283">
        <f>orders[[#This Row],[Ship Date]]-orders[[#This Row],[Order Date]]</f>
        <v>4</v>
      </c>
      <c r="N2283">
        <f>WEEKNUM(orders[[#This Row],[Order Date]],1)</f>
        <v>13</v>
      </c>
      <c r="O2283" t="str">
        <f t="array" ref="O2283">_xlfn.IFS(orders[[#This Row],[Customer Gender]]="M","Male", orders[[#This Row],[Customer Gender]]="F","Female", orders[[#This Row],[Customer Gender]]="O","Other", TRUE(),"Unknown")</f>
        <v>Female</v>
      </c>
    </row>
    <row r="2284" spans="1:15" x14ac:dyDescent="0.25">
      <c r="A2284" t="s">
        <v>2512</v>
      </c>
      <c r="B2284" t="s">
        <v>89</v>
      </c>
      <c r="C2284">
        <v>9</v>
      </c>
      <c r="D2284">
        <v>64.099999999999994</v>
      </c>
      <c r="E2284">
        <v>576.9</v>
      </c>
      <c r="F2284" s="58">
        <v>45741</v>
      </c>
      <c r="G2284" s="58">
        <v>45741</v>
      </c>
      <c r="H2284" t="s">
        <v>231</v>
      </c>
      <c r="I2284" t="s">
        <v>59</v>
      </c>
      <c r="J2284">
        <v>5</v>
      </c>
      <c r="K2284" t="s">
        <v>103</v>
      </c>
      <c r="L2284" t="s">
        <v>139</v>
      </c>
      <c r="M2284">
        <f>orders[[#This Row],[Ship Date]]-orders[[#This Row],[Order Date]]</f>
        <v>0</v>
      </c>
      <c r="N2284">
        <f>WEEKNUM(orders[[#This Row],[Order Date]],1)</f>
        <v>13</v>
      </c>
      <c r="O2284" t="str">
        <f t="array" ref="O2284">_xlfn.IFS(orders[[#This Row],[Customer Gender]]="M","Male", orders[[#This Row],[Customer Gender]]="F","Female", orders[[#This Row],[Customer Gender]]="O","Other", TRUE(),"Unknown")</f>
        <v>Female</v>
      </c>
    </row>
    <row r="2285" spans="1:15" x14ac:dyDescent="0.25">
      <c r="A2285" t="s">
        <v>2513</v>
      </c>
      <c r="B2285" t="s">
        <v>87</v>
      </c>
      <c r="C2285">
        <v>6</v>
      </c>
      <c r="D2285">
        <v>109.2</v>
      </c>
      <c r="E2285">
        <v>655.20000000000005</v>
      </c>
      <c r="F2285" s="58">
        <v>45741</v>
      </c>
      <c r="G2285" s="58">
        <v>45743</v>
      </c>
      <c r="H2285" t="s">
        <v>229</v>
      </c>
      <c r="I2285" t="s">
        <v>59</v>
      </c>
      <c r="J2285">
        <v>3</v>
      </c>
      <c r="K2285" t="s">
        <v>103</v>
      </c>
      <c r="L2285" t="s">
        <v>142</v>
      </c>
      <c r="M2285">
        <f>orders[[#This Row],[Ship Date]]-orders[[#This Row],[Order Date]]</f>
        <v>2</v>
      </c>
      <c r="N2285">
        <f>WEEKNUM(orders[[#This Row],[Order Date]],1)</f>
        <v>13</v>
      </c>
      <c r="O2285" t="str">
        <f t="array" ref="O2285">_xlfn.IFS(orders[[#This Row],[Customer Gender]]="M","Male", orders[[#This Row],[Customer Gender]]="F","Female", orders[[#This Row],[Customer Gender]]="O","Other", TRUE(),"Unknown")</f>
        <v>Male</v>
      </c>
    </row>
    <row r="2286" spans="1:15" x14ac:dyDescent="0.25">
      <c r="A2286" t="s">
        <v>2514</v>
      </c>
      <c r="B2286" t="s">
        <v>75</v>
      </c>
      <c r="C2286">
        <v>5</v>
      </c>
      <c r="D2286">
        <v>23.2</v>
      </c>
      <c r="E2286">
        <v>116</v>
      </c>
      <c r="F2286" s="58">
        <v>45742</v>
      </c>
      <c r="G2286" s="58">
        <v>45743</v>
      </c>
      <c r="H2286" t="s">
        <v>229</v>
      </c>
      <c r="I2286" t="s">
        <v>59</v>
      </c>
      <c r="J2286">
        <v>3</v>
      </c>
      <c r="K2286" t="s">
        <v>103</v>
      </c>
      <c r="L2286" t="s">
        <v>142</v>
      </c>
      <c r="M2286">
        <f>orders[[#This Row],[Ship Date]]-orders[[#This Row],[Order Date]]</f>
        <v>1</v>
      </c>
      <c r="N2286">
        <f>WEEKNUM(orders[[#This Row],[Order Date]],1)</f>
        <v>13</v>
      </c>
      <c r="O2286" t="str">
        <f t="array" ref="O2286">_xlfn.IFS(orders[[#This Row],[Customer Gender]]="M","Male", orders[[#This Row],[Customer Gender]]="F","Female", orders[[#This Row],[Customer Gender]]="O","Other", TRUE(),"Unknown")</f>
        <v>Male</v>
      </c>
    </row>
    <row r="2287" spans="1:15" x14ac:dyDescent="0.25">
      <c r="A2287" t="s">
        <v>2515</v>
      </c>
      <c r="B2287" t="s">
        <v>82</v>
      </c>
      <c r="C2287">
        <v>6</v>
      </c>
      <c r="D2287">
        <v>81.2</v>
      </c>
      <c r="E2287">
        <v>487.2</v>
      </c>
      <c r="F2287" s="58">
        <v>45742</v>
      </c>
      <c r="G2287" s="58">
        <v>45744</v>
      </c>
      <c r="H2287" t="s">
        <v>229</v>
      </c>
      <c r="I2287" t="s">
        <v>62</v>
      </c>
      <c r="J2287">
        <v>5</v>
      </c>
      <c r="K2287" t="s">
        <v>103</v>
      </c>
      <c r="L2287" t="s">
        <v>142</v>
      </c>
      <c r="M2287">
        <f>orders[[#This Row],[Ship Date]]-orders[[#This Row],[Order Date]]</f>
        <v>2</v>
      </c>
      <c r="N2287">
        <f>WEEKNUM(orders[[#This Row],[Order Date]],1)</f>
        <v>13</v>
      </c>
      <c r="O2287" t="str">
        <f t="array" ref="O2287">_xlfn.IFS(orders[[#This Row],[Customer Gender]]="M","Male", orders[[#This Row],[Customer Gender]]="F","Female", orders[[#This Row],[Customer Gender]]="O","Other", TRUE(),"Unknown")</f>
        <v>Male</v>
      </c>
    </row>
    <row r="2288" spans="1:15" x14ac:dyDescent="0.25">
      <c r="A2288" t="s">
        <v>2516</v>
      </c>
      <c r="B2288" t="s">
        <v>91</v>
      </c>
      <c r="C2288">
        <v>14</v>
      </c>
      <c r="D2288">
        <v>35.700000000000003</v>
      </c>
      <c r="E2288">
        <v>499.8</v>
      </c>
      <c r="F2288" s="58">
        <v>45742</v>
      </c>
      <c r="G2288" s="58">
        <v>45743</v>
      </c>
      <c r="H2288" t="s">
        <v>229</v>
      </c>
      <c r="I2288" t="s">
        <v>60</v>
      </c>
      <c r="J2288">
        <v>4</v>
      </c>
      <c r="K2288" t="s">
        <v>103</v>
      </c>
      <c r="L2288" t="s">
        <v>142</v>
      </c>
      <c r="M2288">
        <f>orders[[#This Row],[Ship Date]]-orders[[#This Row],[Order Date]]</f>
        <v>1</v>
      </c>
      <c r="N2288">
        <f>WEEKNUM(orders[[#This Row],[Order Date]],1)</f>
        <v>13</v>
      </c>
      <c r="O2288" t="str">
        <f t="array" ref="O2288">_xlfn.IFS(orders[[#This Row],[Customer Gender]]="M","Male", orders[[#This Row],[Customer Gender]]="F","Female", orders[[#This Row],[Customer Gender]]="O","Other", TRUE(),"Unknown")</f>
        <v>Male</v>
      </c>
    </row>
    <row r="2289" spans="1:15" x14ac:dyDescent="0.25">
      <c r="A2289" t="s">
        <v>2517</v>
      </c>
      <c r="B2289" t="s">
        <v>79</v>
      </c>
      <c r="C2289">
        <v>2</v>
      </c>
      <c r="D2289">
        <v>44.5</v>
      </c>
      <c r="E2289">
        <v>89</v>
      </c>
      <c r="F2289" s="58">
        <v>45742</v>
      </c>
      <c r="G2289" s="58">
        <v>45745</v>
      </c>
      <c r="H2289" t="s">
        <v>229</v>
      </c>
      <c r="I2289" t="s">
        <v>61</v>
      </c>
      <c r="J2289">
        <v>4</v>
      </c>
      <c r="K2289" t="s">
        <v>103</v>
      </c>
      <c r="L2289" t="s">
        <v>146</v>
      </c>
      <c r="M2289">
        <f>orders[[#This Row],[Ship Date]]-orders[[#This Row],[Order Date]]</f>
        <v>3</v>
      </c>
      <c r="N2289">
        <f>WEEKNUM(orders[[#This Row],[Order Date]],1)</f>
        <v>13</v>
      </c>
      <c r="O2289" t="str">
        <f t="array" ref="O2289">_xlfn.IFS(orders[[#This Row],[Customer Gender]]="M","Male", orders[[#This Row],[Customer Gender]]="F","Female", orders[[#This Row],[Customer Gender]]="O","Other", TRUE(),"Unknown")</f>
        <v>Male</v>
      </c>
    </row>
    <row r="2290" spans="1:15" x14ac:dyDescent="0.25">
      <c r="A2290" t="s">
        <v>2518</v>
      </c>
      <c r="B2290" t="s">
        <v>91</v>
      </c>
      <c r="C2290">
        <v>5</v>
      </c>
      <c r="D2290">
        <v>32</v>
      </c>
      <c r="E2290">
        <v>160</v>
      </c>
      <c r="F2290" s="58">
        <v>45742</v>
      </c>
      <c r="G2290" s="58">
        <v>45744</v>
      </c>
      <c r="H2290" t="s">
        <v>263</v>
      </c>
      <c r="I2290" t="s">
        <v>63</v>
      </c>
      <c r="J2290">
        <v>3</v>
      </c>
      <c r="K2290" t="s">
        <v>103</v>
      </c>
      <c r="L2290" t="s">
        <v>146</v>
      </c>
      <c r="M2290">
        <f>orders[[#This Row],[Ship Date]]-orders[[#This Row],[Order Date]]</f>
        <v>2</v>
      </c>
      <c r="N2290">
        <f>WEEKNUM(orders[[#This Row],[Order Date]],1)</f>
        <v>13</v>
      </c>
      <c r="O2290" t="str">
        <f t="array" ref="O2290">_xlfn.IFS(orders[[#This Row],[Customer Gender]]="M","Male", orders[[#This Row],[Customer Gender]]="F","Female", orders[[#This Row],[Customer Gender]]="O","Other", TRUE(),"Unknown")</f>
        <v>Other</v>
      </c>
    </row>
    <row r="2291" spans="1:15" x14ac:dyDescent="0.25">
      <c r="A2291" t="s">
        <v>2519</v>
      </c>
      <c r="B2291" t="s">
        <v>90</v>
      </c>
      <c r="C2291">
        <v>1</v>
      </c>
      <c r="D2291">
        <v>25.7</v>
      </c>
      <c r="E2291">
        <v>25.7</v>
      </c>
      <c r="F2291" s="58">
        <v>45742</v>
      </c>
      <c r="G2291" s="58">
        <v>45743</v>
      </c>
      <c r="H2291" t="s">
        <v>229</v>
      </c>
      <c r="I2291" t="s">
        <v>59</v>
      </c>
      <c r="J2291">
        <v>4</v>
      </c>
      <c r="K2291" t="s">
        <v>103</v>
      </c>
      <c r="L2291" t="s">
        <v>147</v>
      </c>
      <c r="M2291">
        <f>orders[[#This Row],[Ship Date]]-orders[[#This Row],[Order Date]]</f>
        <v>1</v>
      </c>
      <c r="N2291">
        <f>WEEKNUM(orders[[#This Row],[Order Date]],1)</f>
        <v>13</v>
      </c>
      <c r="O2291" t="str">
        <f t="array" ref="O2291">_xlfn.IFS(orders[[#This Row],[Customer Gender]]="M","Male", orders[[#This Row],[Customer Gender]]="F","Female", orders[[#This Row],[Customer Gender]]="O","Other", TRUE(),"Unknown")</f>
        <v>Male</v>
      </c>
    </row>
    <row r="2292" spans="1:15" x14ac:dyDescent="0.25">
      <c r="A2292" t="s">
        <v>2520</v>
      </c>
      <c r="B2292" t="s">
        <v>89</v>
      </c>
      <c r="C2292">
        <v>3</v>
      </c>
      <c r="D2292">
        <v>65.599999999999994</v>
      </c>
      <c r="E2292">
        <v>196.8</v>
      </c>
      <c r="F2292" s="58">
        <v>45742</v>
      </c>
      <c r="G2292" s="58">
        <v>45748</v>
      </c>
      <c r="H2292" t="s">
        <v>229</v>
      </c>
      <c r="I2292" t="s">
        <v>59</v>
      </c>
      <c r="J2292">
        <v>4</v>
      </c>
      <c r="K2292" t="s">
        <v>103</v>
      </c>
      <c r="L2292" t="s">
        <v>148</v>
      </c>
      <c r="M2292">
        <f>orders[[#This Row],[Ship Date]]-orders[[#This Row],[Order Date]]</f>
        <v>6</v>
      </c>
      <c r="N2292">
        <f>WEEKNUM(orders[[#This Row],[Order Date]],1)</f>
        <v>13</v>
      </c>
      <c r="O2292" t="str">
        <f t="array" ref="O2292">_xlfn.IFS(orders[[#This Row],[Customer Gender]]="M","Male", orders[[#This Row],[Customer Gender]]="F","Female", orders[[#This Row],[Customer Gender]]="O","Other", TRUE(),"Unknown")</f>
        <v>Male</v>
      </c>
    </row>
    <row r="2293" spans="1:15" x14ac:dyDescent="0.25">
      <c r="A2293" t="s">
        <v>2521</v>
      </c>
      <c r="B2293" t="s">
        <v>91</v>
      </c>
      <c r="C2293">
        <v>4</v>
      </c>
      <c r="D2293">
        <v>52.1</v>
      </c>
      <c r="E2293">
        <v>208.4</v>
      </c>
      <c r="F2293" s="58">
        <v>45742</v>
      </c>
      <c r="G2293" s="58">
        <v>45743</v>
      </c>
      <c r="H2293" t="s">
        <v>231</v>
      </c>
      <c r="I2293" t="s">
        <v>59</v>
      </c>
      <c r="J2293">
        <v>5</v>
      </c>
      <c r="K2293" t="s">
        <v>103</v>
      </c>
      <c r="L2293" t="s">
        <v>148</v>
      </c>
      <c r="M2293">
        <f>orders[[#This Row],[Ship Date]]-orders[[#This Row],[Order Date]]</f>
        <v>1</v>
      </c>
      <c r="N2293">
        <f>WEEKNUM(orders[[#This Row],[Order Date]],1)</f>
        <v>13</v>
      </c>
      <c r="O2293" t="str">
        <f t="array" ref="O2293">_xlfn.IFS(orders[[#This Row],[Customer Gender]]="M","Male", orders[[#This Row],[Customer Gender]]="F","Female", orders[[#This Row],[Customer Gender]]="O","Other", TRUE(),"Unknown")</f>
        <v>Female</v>
      </c>
    </row>
    <row r="2294" spans="1:15" x14ac:dyDescent="0.25">
      <c r="A2294" t="s">
        <v>2522</v>
      </c>
      <c r="B2294" t="s">
        <v>90</v>
      </c>
      <c r="C2294">
        <v>1</v>
      </c>
      <c r="D2294">
        <v>31</v>
      </c>
      <c r="E2294">
        <v>31</v>
      </c>
      <c r="F2294" s="58">
        <v>45742</v>
      </c>
      <c r="G2294" s="58">
        <v>45743</v>
      </c>
      <c r="H2294" t="s">
        <v>229</v>
      </c>
      <c r="I2294" t="s">
        <v>59</v>
      </c>
      <c r="J2294">
        <v>3</v>
      </c>
      <c r="K2294" t="s">
        <v>103</v>
      </c>
      <c r="L2294" t="s">
        <v>155</v>
      </c>
      <c r="M2294">
        <f>orders[[#This Row],[Ship Date]]-orders[[#This Row],[Order Date]]</f>
        <v>1</v>
      </c>
      <c r="N2294">
        <f>WEEKNUM(orders[[#This Row],[Order Date]],1)</f>
        <v>13</v>
      </c>
      <c r="O2294" t="str">
        <f t="array" ref="O2294">_xlfn.IFS(orders[[#This Row],[Customer Gender]]="M","Male", orders[[#This Row],[Customer Gender]]="F","Female", orders[[#This Row],[Customer Gender]]="O","Other", TRUE(),"Unknown")</f>
        <v>Male</v>
      </c>
    </row>
    <row r="2295" spans="1:15" x14ac:dyDescent="0.25">
      <c r="A2295" t="s">
        <v>2523</v>
      </c>
      <c r="B2295" t="s">
        <v>90</v>
      </c>
      <c r="C2295">
        <v>1</v>
      </c>
      <c r="D2295">
        <v>32</v>
      </c>
      <c r="E2295">
        <v>32</v>
      </c>
      <c r="F2295" s="58">
        <v>45742</v>
      </c>
      <c r="G2295" s="58">
        <v>45744</v>
      </c>
      <c r="H2295" t="s">
        <v>263</v>
      </c>
      <c r="I2295" t="s">
        <v>60</v>
      </c>
      <c r="J2295">
        <v>3</v>
      </c>
      <c r="K2295" t="s">
        <v>103</v>
      </c>
      <c r="L2295" t="s">
        <v>156</v>
      </c>
      <c r="M2295">
        <f>orders[[#This Row],[Ship Date]]-orders[[#This Row],[Order Date]]</f>
        <v>2</v>
      </c>
      <c r="N2295">
        <f>WEEKNUM(orders[[#This Row],[Order Date]],1)</f>
        <v>13</v>
      </c>
      <c r="O2295" t="str">
        <f t="array" ref="O2295">_xlfn.IFS(orders[[#This Row],[Customer Gender]]="M","Male", orders[[#This Row],[Customer Gender]]="F","Female", orders[[#This Row],[Customer Gender]]="O","Other", TRUE(),"Unknown")</f>
        <v>Other</v>
      </c>
    </row>
    <row r="2296" spans="1:15" x14ac:dyDescent="0.25">
      <c r="A2296" t="s">
        <v>2524</v>
      </c>
      <c r="B2296" t="s">
        <v>89</v>
      </c>
      <c r="C2296">
        <v>4</v>
      </c>
      <c r="D2296">
        <v>58.3</v>
      </c>
      <c r="E2296">
        <v>233.2</v>
      </c>
      <c r="F2296" s="58">
        <v>45742</v>
      </c>
      <c r="G2296" s="58">
        <v>45746</v>
      </c>
      <c r="H2296" t="s">
        <v>229</v>
      </c>
      <c r="I2296" t="s">
        <v>63</v>
      </c>
      <c r="J2296">
        <v>2</v>
      </c>
      <c r="K2296" t="s">
        <v>103</v>
      </c>
      <c r="L2296" t="s">
        <v>159</v>
      </c>
      <c r="M2296">
        <f>orders[[#This Row],[Ship Date]]-orders[[#This Row],[Order Date]]</f>
        <v>4</v>
      </c>
      <c r="N2296">
        <f>WEEKNUM(orders[[#This Row],[Order Date]],1)</f>
        <v>13</v>
      </c>
      <c r="O2296" t="str">
        <f t="array" ref="O2296">_xlfn.IFS(orders[[#This Row],[Customer Gender]]="M","Male", orders[[#This Row],[Customer Gender]]="F","Female", orders[[#This Row],[Customer Gender]]="O","Other", TRUE(),"Unknown")</f>
        <v>Male</v>
      </c>
    </row>
    <row r="2297" spans="1:15" x14ac:dyDescent="0.25">
      <c r="A2297" t="s">
        <v>2525</v>
      </c>
      <c r="B2297" t="s">
        <v>90</v>
      </c>
      <c r="C2297">
        <v>3</v>
      </c>
      <c r="D2297">
        <v>31</v>
      </c>
      <c r="E2297">
        <v>93</v>
      </c>
      <c r="F2297" s="58">
        <v>45742</v>
      </c>
      <c r="G2297" s="58">
        <v>45744</v>
      </c>
      <c r="H2297" t="s">
        <v>231</v>
      </c>
      <c r="I2297" t="s">
        <v>62</v>
      </c>
      <c r="J2297">
        <v>2</v>
      </c>
      <c r="K2297" t="s">
        <v>103</v>
      </c>
      <c r="L2297" t="s">
        <v>161</v>
      </c>
      <c r="M2297">
        <f>orders[[#This Row],[Ship Date]]-orders[[#This Row],[Order Date]]</f>
        <v>2</v>
      </c>
      <c r="N2297">
        <f>WEEKNUM(orders[[#This Row],[Order Date]],1)</f>
        <v>13</v>
      </c>
      <c r="O2297" t="str">
        <f t="array" ref="O2297">_xlfn.IFS(orders[[#This Row],[Customer Gender]]="M","Male", orders[[#This Row],[Customer Gender]]="F","Female", orders[[#This Row],[Customer Gender]]="O","Other", TRUE(),"Unknown")</f>
        <v>Female</v>
      </c>
    </row>
    <row r="2298" spans="1:15" x14ac:dyDescent="0.25">
      <c r="A2298" t="s">
        <v>2526</v>
      </c>
      <c r="B2298" t="s">
        <v>93</v>
      </c>
      <c r="C2298">
        <v>1</v>
      </c>
      <c r="D2298">
        <v>40.299999999999997</v>
      </c>
      <c r="E2298">
        <v>40.299999999999997</v>
      </c>
      <c r="F2298" s="58">
        <v>45742</v>
      </c>
      <c r="G2298" s="58">
        <v>45743</v>
      </c>
      <c r="H2298" t="s">
        <v>229</v>
      </c>
      <c r="I2298" t="s">
        <v>63</v>
      </c>
      <c r="J2298">
        <v>5</v>
      </c>
      <c r="K2298" t="s">
        <v>103</v>
      </c>
      <c r="L2298" t="s">
        <v>111</v>
      </c>
      <c r="M2298">
        <f>orders[[#This Row],[Ship Date]]-orders[[#This Row],[Order Date]]</f>
        <v>1</v>
      </c>
      <c r="N2298">
        <f>WEEKNUM(orders[[#This Row],[Order Date]],1)</f>
        <v>13</v>
      </c>
      <c r="O2298" t="str">
        <f t="array" ref="O2298">_xlfn.IFS(orders[[#This Row],[Customer Gender]]="M","Male", orders[[#This Row],[Customer Gender]]="F","Female", orders[[#This Row],[Customer Gender]]="O","Other", TRUE(),"Unknown")</f>
        <v>Male</v>
      </c>
    </row>
    <row r="2299" spans="1:15" x14ac:dyDescent="0.25">
      <c r="A2299" t="s">
        <v>2527</v>
      </c>
      <c r="B2299" t="s">
        <v>80</v>
      </c>
      <c r="C2299">
        <v>3</v>
      </c>
      <c r="D2299">
        <v>47.3</v>
      </c>
      <c r="E2299">
        <v>141.9</v>
      </c>
      <c r="F2299" s="58">
        <v>45742</v>
      </c>
      <c r="G2299" s="58">
        <v>45744</v>
      </c>
      <c r="H2299" t="s">
        <v>229</v>
      </c>
      <c r="I2299" t="s">
        <v>61</v>
      </c>
      <c r="J2299">
        <v>5</v>
      </c>
      <c r="K2299" t="s">
        <v>103</v>
      </c>
      <c r="L2299" t="s">
        <v>115</v>
      </c>
      <c r="M2299">
        <f>orders[[#This Row],[Ship Date]]-orders[[#This Row],[Order Date]]</f>
        <v>2</v>
      </c>
      <c r="N2299">
        <f>WEEKNUM(orders[[#This Row],[Order Date]],1)</f>
        <v>13</v>
      </c>
      <c r="O2299" t="str">
        <f t="array" ref="O2299">_xlfn.IFS(orders[[#This Row],[Customer Gender]]="M","Male", orders[[#This Row],[Customer Gender]]="F","Female", orders[[#This Row],[Customer Gender]]="O","Other", TRUE(),"Unknown")</f>
        <v>Male</v>
      </c>
    </row>
    <row r="2300" spans="1:15" x14ac:dyDescent="0.25">
      <c r="A2300" t="s">
        <v>2528</v>
      </c>
      <c r="B2300" t="s">
        <v>87</v>
      </c>
      <c r="C2300">
        <v>1</v>
      </c>
      <c r="D2300">
        <v>82.8</v>
      </c>
      <c r="E2300">
        <v>82.8</v>
      </c>
      <c r="F2300" s="58">
        <v>45742</v>
      </c>
      <c r="G2300" s="58">
        <v>45743</v>
      </c>
      <c r="H2300" t="s">
        <v>229</v>
      </c>
      <c r="I2300" t="s">
        <v>59</v>
      </c>
      <c r="J2300">
        <v>4</v>
      </c>
      <c r="K2300" t="s">
        <v>103</v>
      </c>
      <c r="L2300" t="s">
        <v>115</v>
      </c>
      <c r="M2300">
        <f>orders[[#This Row],[Ship Date]]-orders[[#This Row],[Order Date]]</f>
        <v>1</v>
      </c>
      <c r="N2300">
        <f>WEEKNUM(orders[[#This Row],[Order Date]],1)</f>
        <v>13</v>
      </c>
      <c r="O2300" t="str">
        <f t="array" ref="O2300">_xlfn.IFS(orders[[#This Row],[Customer Gender]]="M","Male", orders[[#This Row],[Customer Gender]]="F","Female", orders[[#This Row],[Customer Gender]]="O","Other", TRUE(),"Unknown")</f>
        <v>Male</v>
      </c>
    </row>
    <row r="2301" spans="1:15" x14ac:dyDescent="0.25">
      <c r="A2301" t="s">
        <v>2529</v>
      </c>
      <c r="B2301" t="s">
        <v>90</v>
      </c>
      <c r="C2301">
        <v>1</v>
      </c>
      <c r="D2301">
        <v>18.5</v>
      </c>
      <c r="E2301">
        <v>18.5</v>
      </c>
      <c r="F2301" s="58">
        <v>45742</v>
      </c>
      <c r="G2301" s="58">
        <v>45756</v>
      </c>
      <c r="H2301" t="s">
        <v>231</v>
      </c>
      <c r="I2301" t="s">
        <v>59</v>
      </c>
      <c r="J2301">
        <v>4</v>
      </c>
      <c r="K2301" t="s">
        <v>103</v>
      </c>
      <c r="L2301" t="s">
        <v>117</v>
      </c>
      <c r="M2301">
        <f>orders[[#This Row],[Ship Date]]-orders[[#This Row],[Order Date]]</f>
        <v>14</v>
      </c>
      <c r="N2301">
        <f>WEEKNUM(orders[[#This Row],[Order Date]],1)</f>
        <v>13</v>
      </c>
      <c r="O2301" t="str">
        <f t="array" ref="O2301">_xlfn.IFS(orders[[#This Row],[Customer Gender]]="M","Male", orders[[#This Row],[Customer Gender]]="F","Female", orders[[#This Row],[Customer Gender]]="O","Other", TRUE(),"Unknown")</f>
        <v>Female</v>
      </c>
    </row>
    <row r="2302" spans="1:15" x14ac:dyDescent="0.25">
      <c r="A2302" t="s">
        <v>2530</v>
      </c>
      <c r="B2302" t="s">
        <v>93</v>
      </c>
      <c r="C2302">
        <v>2</v>
      </c>
      <c r="D2302">
        <v>60.4</v>
      </c>
      <c r="E2302">
        <v>120.8</v>
      </c>
      <c r="F2302" s="58">
        <v>45742</v>
      </c>
      <c r="G2302" s="58">
        <v>45743</v>
      </c>
      <c r="H2302" t="s">
        <v>229</v>
      </c>
      <c r="I2302" t="s">
        <v>62</v>
      </c>
      <c r="J2302">
        <v>4</v>
      </c>
      <c r="K2302" t="s">
        <v>103</v>
      </c>
      <c r="L2302" t="s">
        <v>120</v>
      </c>
      <c r="M2302">
        <f>orders[[#This Row],[Ship Date]]-orders[[#This Row],[Order Date]]</f>
        <v>1</v>
      </c>
      <c r="N2302">
        <f>WEEKNUM(orders[[#This Row],[Order Date]],1)</f>
        <v>13</v>
      </c>
      <c r="O2302" t="str">
        <f t="array" ref="O2302">_xlfn.IFS(orders[[#This Row],[Customer Gender]]="M","Male", orders[[#This Row],[Customer Gender]]="F","Female", orders[[#This Row],[Customer Gender]]="O","Other", TRUE(),"Unknown")</f>
        <v>Male</v>
      </c>
    </row>
    <row r="2303" spans="1:15" x14ac:dyDescent="0.25">
      <c r="A2303" t="s">
        <v>2531</v>
      </c>
      <c r="B2303" t="s">
        <v>80</v>
      </c>
      <c r="C2303">
        <v>5</v>
      </c>
      <c r="D2303">
        <v>80.2</v>
      </c>
      <c r="E2303">
        <v>401</v>
      </c>
      <c r="F2303" s="58">
        <v>45742</v>
      </c>
      <c r="G2303" s="58">
        <v>45749</v>
      </c>
      <c r="H2303" t="s">
        <v>229</v>
      </c>
      <c r="I2303" t="s">
        <v>63</v>
      </c>
      <c r="J2303">
        <v>3</v>
      </c>
      <c r="K2303" t="s">
        <v>103</v>
      </c>
      <c r="L2303" t="s">
        <v>122</v>
      </c>
      <c r="M2303">
        <f>orders[[#This Row],[Ship Date]]-orders[[#This Row],[Order Date]]</f>
        <v>7</v>
      </c>
      <c r="N2303">
        <f>WEEKNUM(orders[[#This Row],[Order Date]],1)</f>
        <v>13</v>
      </c>
      <c r="O2303" t="str">
        <f t="array" ref="O2303">_xlfn.IFS(orders[[#This Row],[Customer Gender]]="M","Male", orders[[#This Row],[Customer Gender]]="F","Female", orders[[#This Row],[Customer Gender]]="O","Other", TRUE(),"Unknown")</f>
        <v>Male</v>
      </c>
    </row>
    <row r="2304" spans="1:15" x14ac:dyDescent="0.25">
      <c r="A2304" t="s">
        <v>2532</v>
      </c>
      <c r="B2304" t="s">
        <v>78</v>
      </c>
      <c r="C2304">
        <v>1</v>
      </c>
      <c r="D2304">
        <v>41.5</v>
      </c>
      <c r="E2304">
        <v>41.5</v>
      </c>
      <c r="F2304" s="58">
        <v>45742</v>
      </c>
      <c r="G2304" s="58">
        <v>45744</v>
      </c>
      <c r="H2304" t="s">
        <v>229</v>
      </c>
      <c r="I2304" t="s">
        <v>62</v>
      </c>
      <c r="J2304">
        <v>4</v>
      </c>
      <c r="K2304" t="s">
        <v>103</v>
      </c>
      <c r="L2304" t="s">
        <v>124</v>
      </c>
      <c r="M2304">
        <f>orders[[#This Row],[Ship Date]]-orders[[#This Row],[Order Date]]</f>
        <v>2</v>
      </c>
      <c r="N2304">
        <f>WEEKNUM(orders[[#This Row],[Order Date]],1)</f>
        <v>13</v>
      </c>
      <c r="O2304" t="str">
        <f t="array" ref="O2304">_xlfn.IFS(orders[[#This Row],[Customer Gender]]="M","Male", orders[[#This Row],[Customer Gender]]="F","Female", orders[[#This Row],[Customer Gender]]="O","Other", TRUE(),"Unknown")</f>
        <v>Male</v>
      </c>
    </row>
    <row r="2305" spans="1:15" x14ac:dyDescent="0.25">
      <c r="A2305" t="s">
        <v>2533</v>
      </c>
      <c r="B2305" t="s">
        <v>87</v>
      </c>
      <c r="C2305">
        <v>2</v>
      </c>
      <c r="D2305">
        <v>83.9</v>
      </c>
      <c r="E2305">
        <v>167.8</v>
      </c>
      <c r="F2305" s="58">
        <v>45742</v>
      </c>
      <c r="G2305" s="58">
        <v>45745</v>
      </c>
      <c r="H2305" t="s">
        <v>231</v>
      </c>
      <c r="I2305" t="s">
        <v>59</v>
      </c>
      <c r="J2305">
        <v>4</v>
      </c>
      <c r="K2305" t="s">
        <v>103</v>
      </c>
      <c r="L2305" t="s">
        <v>124</v>
      </c>
      <c r="M2305">
        <f>orders[[#This Row],[Ship Date]]-orders[[#This Row],[Order Date]]</f>
        <v>3</v>
      </c>
      <c r="N2305">
        <f>WEEKNUM(orders[[#This Row],[Order Date]],1)</f>
        <v>13</v>
      </c>
      <c r="O2305" t="str">
        <f t="array" ref="O2305">_xlfn.IFS(orders[[#This Row],[Customer Gender]]="M","Male", orders[[#This Row],[Customer Gender]]="F","Female", orders[[#This Row],[Customer Gender]]="O","Other", TRUE(),"Unknown")</f>
        <v>Female</v>
      </c>
    </row>
    <row r="2306" spans="1:15" x14ac:dyDescent="0.25">
      <c r="A2306" t="s">
        <v>2534</v>
      </c>
      <c r="B2306" t="s">
        <v>90</v>
      </c>
      <c r="C2306">
        <v>2</v>
      </c>
      <c r="D2306">
        <v>16.7</v>
      </c>
      <c r="E2306">
        <v>33.4</v>
      </c>
      <c r="F2306" s="58">
        <v>45742</v>
      </c>
      <c r="G2306" s="58">
        <v>45746</v>
      </c>
      <c r="H2306" t="s">
        <v>231</v>
      </c>
      <c r="I2306" t="s">
        <v>59</v>
      </c>
      <c r="J2306">
        <v>3</v>
      </c>
      <c r="K2306" t="s">
        <v>103</v>
      </c>
      <c r="L2306" t="s">
        <v>124</v>
      </c>
      <c r="M2306">
        <f>orders[[#This Row],[Ship Date]]-orders[[#This Row],[Order Date]]</f>
        <v>4</v>
      </c>
      <c r="N2306">
        <f>WEEKNUM(orders[[#This Row],[Order Date]],1)</f>
        <v>13</v>
      </c>
      <c r="O2306" t="str">
        <f t="array" ref="O2306">_xlfn.IFS(orders[[#This Row],[Customer Gender]]="M","Male", orders[[#This Row],[Customer Gender]]="F","Female", orders[[#This Row],[Customer Gender]]="O","Other", TRUE(),"Unknown")</f>
        <v>Female</v>
      </c>
    </row>
    <row r="2307" spans="1:15" x14ac:dyDescent="0.25">
      <c r="A2307" t="s">
        <v>2535</v>
      </c>
      <c r="B2307" t="s">
        <v>88</v>
      </c>
      <c r="C2307">
        <v>2</v>
      </c>
      <c r="D2307">
        <v>72.900000000000006</v>
      </c>
      <c r="E2307">
        <v>145.80000000000001</v>
      </c>
      <c r="F2307" s="58">
        <v>45742</v>
      </c>
      <c r="G2307" s="58">
        <v>45743</v>
      </c>
      <c r="H2307" t="s">
        <v>229</v>
      </c>
      <c r="I2307" t="s">
        <v>62</v>
      </c>
      <c r="J2307">
        <v>3</v>
      </c>
      <c r="K2307" t="s">
        <v>103</v>
      </c>
      <c r="L2307" t="s">
        <v>124</v>
      </c>
      <c r="M2307">
        <f>orders[[#This Row],[Ship Date]]-orders[[#This Row],[Order Date]]</f>
        <v>1</v>
      </c>
      <c r="N2307">
        <f>WEEKNUM(orders[[#This Row],[Order Date]],1)</f>
        <v>13</v>
      </c>
      <c r="O2307" t="str">
        <f t="array" ref="O2307">_xlfn.IFS(orders[[#This Row],[Customer Gender]]="M","Male", orders[[#This Row],[Customer Gender]]="F","Female", orders[[#This Row],[Customer Gender]]="O","Other", TRUE(),"Unknown")</f>
        <v>Male</v>
      </c>
    </row>
    <row r="2308" spans="1:15" x14ac:dyDescent="0.25">
      <c r="A2308" t="s">
        <v>2536</v>
      </c>
      <c r="B2308" t="s">
        <v>85</v>
      </c>
      <c r="C2308">
        <v>2</v>
      </c>
      <c r="D2308">
        <v>50.2</v>
      </c>
      <c r="E2308">
        <v>100.4</v>
      </c>
      <c r="F2308" s="58">
        <v>45742</v>
      </c>
      <c r="G2308" s="58">
        <v>45744</v>
      </c>
      <c r="H2308" t="s">
        <v>231</v>
      </c>
      <c r="I2308" t="s">
        <v>63</v>
      </c>
      <c r="J2308">
        <v>5</v>
      </c>
      <c r="K2308" t="s">
        <v>103</v>
      </c>
      <c r="L2308" t="s">
        <v>124</v>
      </c>
      <c r="M2308">
        <f>orders[[#This Row],[Ship Date]]-orders[[#This Row],[Order Date]]</f>
        <v>2</v>
      </c>
      <c r="N2308">
        <f>WEEKNUM(orders[[#This Row],[Order Date]],1)</f>
        <v>13</v>
      </c>
      <c r="O2308" t="str">
        <f t="array" ref="O2308">_xlfn.IFS(orders[[#This Row],[Customer Gender]]="M","Male", orders[[#This Row],[Customer Gender]]="F","Female", orders[[#This Row],[Customer Gender]]="O","Other", TRUE(),"Unknown")</f>
        <v>Female</v>
      </c>
    </row>
    <row r="2309" spans="1:15" x14ac:dyDescent="0.25">
      <c r="A2309" t="s">
        <v>2537</v>
      </c>
      <c r="B2309" t="s">
        <v>93</v>
      </c>
      <c r="C2309">
        <v>2</v>
      </c>
      <c r="D2309">
        <v>34.200000000000003</v>
      </c>
      <c r="E2309">
        <v>68.400000000000006</v>
      </c>
      <c r="F2309" s="58">
        <v>45742</v>
      </c>
      <c r="G2309" s="58">
        <v>45752</v>
      </c>
      <c r="I2309" t="s">
        <v>63</v>
      </c>
      <c r="J2309">
        <v>4</v>
      </c>
      <c r="K2309" t="s">
        <v>103</v>
      </c>
      <c r="L2309" t="s">
        <v>124</v>
      </c>
      <c r="M2309">
        <f>orders[[#This Row],[Ship Date]]-orders[[#This Row],[Order Date]]</f>
        <v>10</v>
      </c>
      <c r="N2309">
        <f>WEEKNUM(orders[[#This Row],[Order Date]],1)</f>
        <v>13</v>
      </c>
      <c r="O2309" t="str">
        <f t="array" ref="O2309">_xlfn.IFS(orders[[#This Row],[Customer Gender]]="M","Male", orders[[#This Row],[Customer Gender]]="F","Female", orders[[#This Row],[Customer Gender]]="O","Other", TRUE(),"Unknown")</f>
        <v>Unknown</v>
      </c>
    </row>
    <row r="2310" spans="1:15" x14ac:dyDescent="0.25">
      <c r="A2310" t="s">
        <v>2538</v>
      </c>
      <c r="B2310" t="s">
        <v>85</v>
      </c>
      <c r="C2310">
        <v>2</v>
      </c>
      <c r="D2310">
        <v>107.9</v>
      </c>
      <c r="E2310">
        <v>215.8</v>
      </c>
      <c r="F2310" s="58">
        <v>45742</v>
      </c>
      <c r="G2310" s="58">
        <v>45742</v>
      </c>
      <c r="H2310" t="s">
        <v>229</v>
      </c>
      <c r="I2310" t="s">
        <v>63</v>
      </c>
      <c r="J2310">
        <v>2</v>
      </c>
      <c r="K2310" t="s">
        <v>103</v>
      </c>
      <c r="L2310" t="s">
        <v>124</v>
      </c>
      <c r="M2310">
        <f>orders[[#This Row],[Ship Date]]-orders[[#This Row],[Order Date]]</f>
        <v>0</v>
      </c>
      <c r="N2310">
        <f>WEEKNUM(orders[[#This Row],[Order Date]],1)</f>
        <v>13</v>
      </c>
      <c r="O2310" t="str">
        <f t="array" ref="O2310">_xlfn.IFS(orders[[#This Row],[Customer Gender]]="M","Male", orders[[#This Row],[Customer Gender]]="F","Female", orders[[#This Row],[Customer Gender]]="O","Other", TRUE(),"Unknown")</f>
        <v>Male</v>
      </c>
    </row>
    <row r="2311" spans="1:15" x14ac:dyDescent="0.25">
      <c r="A2311" t="s">
        <v>2539</v>
      </c>
      <c r="B2311" t="s">
        <v>86</v>
      </c>
      <c r="C2311">
        <v>3</v>
      </c>
      <c r="D2311">
        <v>17.5</v>
      </c>
      <c r="E2311">
        <v>52.5</v>
      </c>
      <c r="F2311" s="58">
        <v>45742</v>
      </c>
      <c r="G2311" s="58">
        <v>45744</v>
      </c>
      <c r="H2311" t="s">
        <v>229</v>
      </c>
      <c r="I2311" t="s">
        <v>61</v>
      </c>
      <c r="J2311">
        <v>4</v>
      </c>
      <c r="K2311" t="s">
        <v>103</v>
      </c>
      <c r="L2311" t="s">
        <v>124</v>
      </c>
      <c r="M2311">
        <f>orders[[#This Row],[Ship Date]]-orders[[#This Row],[Order Date]]</f>
        <v>2</v>
      </c>
      <c r="N2311">
        <f>WEEKNUM(orders[[#This Row],[Order Date]],1)</f>
        <v>13</v>
      </c>
      <c r="O2311" t="str">
        <f t="array" ref="O2311">_xlfn.IFS(orders[[#This Row],[Customer Gender]]="M","Male", orders[[#This Row],[Customer Gender]]="F","Female", orders[[#This Row],[Customer Gender]]="O","Other", TRUE(),"Unknown")</f>
        <v>Male</v>
      </c>
    </row>
    <row r="2312" spans="1:15" x14ac:dyDescent="0.25">
      <c r="A2312" t="s">
        <v>2540</v>
      </c>
      <c r="B2312" t="s">
        <v>92</v>
      </c>
      <c r="C2312">
        <v>15</v>
      </c>
      <c r="D2312">
        <v>44.7</v>
      </c>
      <c r="E2312">
        <v>670.5</v>
      </c>
      <c r="F2312" s="58">
        <v>45742</v>
      </c>
      <c r="G2312" s="58">
        <v>45743</v>
      </c>
      <c r="H2312" t="s">
        <v>229</v>
      </c>
      <c r="I2312" t="s">
        <v>59</v>
      </c>
      <c r="J2312">
        <v>3</v>
      </c>
      <c r="K2312" t="s">
        <v>103</v>
      </c>
      <c r="L2312" t="s">
        <v>124</v>
      </c>
      <c r="M2312">
        <f>orders[[#This Row],[Ship Date]]-orders[[#This Row],[Order Date]]</f>
        <v>1</v>
      </c>
      <c r="N2312">
        <f>WEEKNUM(orders[[#This Row],[Order Date]],1)</f>
        <v>13</v>
      </c>
      <c r="O2312" t="str">
        <f t="array" ref="O2312">_xlfn.IFS(orders[[#This Row],[Customer Gender]]="M","Male", orders[[#This Row],[Customer Gender]]="F","Female", orders[[#This Row],[Customer Gender]]="O","Other", TRUE(),"Unknown")</f>
        <v>Male</v>
      </c>
    </row>
    <row r="2313" spans="1:15" x14ac:dyDescent="0.25">
      <c r="A2313" t="s">
        <v>2541</v>
      </c>
      <c r="B2313" t="s">
        <v>76</v>
      </c>
      <c r="C2313">
        <v>6</v>
      </c>
      <c r="D2313">
        <v>92.7</v>
      </c>
      <c r="E2313">
        <v>556.20000000000005</v>
      </c>
      <c r="F2313" s="58">
        <v>45742</v>
      </c>
      <c r="G2313" s="58">
        <v>45744</v>
      </c>
      <c r="H2313" t="s">
        <v>231</v>
      </c>
      <c r="I2313" t="s">
        <v>62</v>
      </c>
      <c r="J2313">
        <v>3</v>
      </c>
      <c r="K2313" t="s">
        <v>103</v>
      </c>
      <c r="L2313" t="s">
        <v>124</v>
      </c>
      <c r="M2313">
        <f>orders[[#This Row],[Ship Date]]-orders[[#This Row],[Order Date]]</f>
        <v>2</v>
      </c>
      <c r="N2313">
        <f>WEEKNUM(orders[[#This Row],[Order Date]],1)</f>
        <v>13</v>
      </c>
      <c r="O2313" t="str">
        <f t="array" ref="O2313">_xlfn.IFS(orders[[#This Row],[Customer Gender]]="M","Male", orders[[#This Row],[Customer Gender]]="F","Female", orders[[#This Row],[Customer Gender]]="O","Other", TRUE(),"Unknown")</f>
        <v>Female</v>
      </c>
    </row>
    <row r="2314" spans="1:15" x14ac:dyDescent="0.25">
      <c r="A2314" t="s">
        <v>2542</v>
      </c>
      <c r="B2314" t="s">
        <v>79</v>
      </c>
      <c r="C2314">
        <v>3</v>
      </c>
      <c r="D2314">
        <v>48.8</v>
      </c>
      <c r="E2314">
        <v>146.4</v>
      </c>
      <c r="F2314" s="58">
        <v>45742</v>
      </c>
      <c r="G2314" s="58">
        <v>45744</v>
      </c>
      <c r="H2314" t="s">
        <v>231</v>
      </c>
      <c r="I2314" t="s">
        <v>62</v>
      </c>
      <c r="J2314">
        <v>4</v>
      </c>
      <c r="K2314" t="s">
        <v>103</v>
      </c>
      <c r="L2314" t="s">
        <v>124</v>
      </c>
      <c r="M2314">
        <f>orders[[#This Row],[Ship Date]]-orders[[#This Row],[Order Date]]</f>
        <v>2</v>
      </c>
      <c r="N2314">
        <f>WEEKNUM(orders[[#This Row],[Order Date]],1)</f>
        <v>13</v>
      </c>
      <c r="O2314" t="str">
        <f t="array" ref="O2314">_xlfn.IFS(orders[[#This Row],[Customer Gender]]="M","Male", orders[[#This Row],[Customer Gender]]="F","Female", orders[[#This Row],[Customer Gender]]="O","Other", TRUE(),"Unknown")</f>
        <v>Female</v>
      </c>
    </row>
    <row r="2315" spans="1:15" x14ac:dyDescent="0.25">
      <c r="A2315" t="s">
        <v>2543</v>
      </c>
      <c r="B2315" t="s">
        <v>78</v>
      </c>
      <c r="C2315">
        <v>16</v>
      </c>
      <c r="D2315">
        <v>21.3</v>
      </c>
      <c r="E2315">
        <v>340.8</v>
      </c>
      <c r="F2315" s="58">
        <v>45742</v>
      </c>
      <c r="G2315" s="58">
        <v>45746</v>
      </c>
      <c r="H2315" t="s">
        <v>231</v>
      </c>
      <c r="I2315" t="s">
        <v>60</v>
      </c>
      <c r="J2315">
        <v>1</v>
      </c>
      <c r="K2315" t="s">
        <v>103</v>
      </c>
      <c r="L2315" t="s">
        <v>124</v>
      </c>
      <c r="M2315">
        <f>orders[[#This Row],[Ship Date]]-orders[[#This Row],[Order Date]]</f>
        <v>4</v>
      </c>
      <c r="N2315">
        <f>WEEKNUM(orders[[#This Row],[Order Date]],1)</f>
        <v>13</v>
      </c>
      <c r="O2315" t="str">
        <f t="array" ref="O2315">_xlfn.IFS(orders[[#This Row],[Customer Gender]]="M","Male", orders[[#This Row],[Customer Gender]]="F","Female", orders[[#This Row],[Customer Gender]]="O","Other", TRUE(),"Unknown")</f>
        <v>Female</v>
      </c>
    </row>
    <row r="2316" spans="1:15" x14ac:dyDescent="0.25">
      <c r="A2316" t="s">
        <v>2544</v>
      </c>
      <c r="B2316" t="s">
        <v>89</v>
      </c>
      <c r="C2316">
        <v>1</v>
      </c>
      <c r="D2316">
        <v>52.5</v>
      </c>
      <c r="E2316">
        <v>52.5</v>
      </c>
      <c r="F2316" s="58">
        <v>45742</v>
      </c>
      <c r="G2316" s="58">
        <v>45743</v>
      </c>
      <c r="H2316" t="s">
        <v>231</v>
      </c>
      <c r="I2316" t="s">
        <v>59</v>
      </c>
      <c r="J2316">
        <v>4</v>
      </c>
      <c r="K2316" t="s">
        <v>103</v>
      </c>
      <c r="L2316" t="s">
        <v>124</v>
      </c>
      <c r="M2316">
        <f>orders[[#This Row],[Ship Date]]-orders[[#This Row],[Order Date]]</f>
        <v>1</v>
      </c>
      <c r="N2316">
        <f>WEEKNUM(orders[[#This Row],[Order Date]],1)</f>
        <v>13</v>
      </c>
      <c r="O2316" t="str">
        <f t="array" ref="O2316">_xlfn.IFS(orders[[#This Row],[Customer Gender]]="M","Male", orders[[#This Row],[Customer Gender]]="F","Female", orders[[#This Row],[Customer Gender]]="O","Other", TRUE(),"Unknown")</f>
        <v>Female</v>
      </c>
    </row>
    <row r="2317" spans="1:15" x14ac:dyDescent="0.25">
      <c r="A2317" t="s">
        <v>2545</v>
      </c>
      <c r="B2317" t="s">
        <v>91</v>
      </c>
      <c r="C2317">
        <v>2</v>
      </c>
      <c r="D2317">
        <v>92.4</v>
      </c>
      <c r="E2317">
        <v>184.8</v>
      </c>
      <c r="F2317" s="58">
        <v>45742</v>
      </c>
      <c r="G2317" s="58">
        <v>45748</v>
      </c>
      <c r="H2317" t="s">
        <v>231</v>
      </c>
      <c r="I2317" t="s">
        <v>59</v>
      </c>
      <c r="J2317">
        <v>5</v>
      </c>
      <c r="K2317" t="s">
        <v>103</v>
      </c>
      <c r="L2317" t="s">
        <v>124</v>
      </c>
      <c r="M2317">
        <f>orders[[#This Row],[Ship Date]]-orders[[#This Row],[Order Date]]</f>
        <v>6</v>
      </c>
      <c r="N2317">
        <f>WEEKNUM(orders[[#This Row],[Order Date]],1)</f>
        <v>13</v>
      </c>
      <c r="O2317" t="str">
        <f t="array" ref="O2317">_xlfn.IFS(orders[[#This Row],[Customer Gender]]="M","Male", orders[[#This Row],[Customer Gender]]="F","Female", orders[[#This Row],[Customer Gender]]="O","Other", TRUE(),"Unknown")</f>
        <v>Female</v>
      </c>
    </row>
    <row r="2318" spans="1:15" x14ac:dyDescent="0.25">
      <c r="A2318" t="s">
        <v>2546</v>
      </c>
      <c r="B2318" t="s">
        <v>78</v>
      </c>
      <c r="C2318">
        <v>11</v>
      </c>
      <c r="D2318">
        <v>58.3</v>
      </c>
      <c r="E2318">
        <v>641.29999999999995</v>
      </c>
      <c r="F2318" s="58">
        <v>45742</v>
      </c>
      <c r="G2318" s="58">
        <v>45744</v>
      </c>
      <c r="H2318" t="s">
        <v>229</v>
      </c>
      <c r="I2318" t="s">
        <v>63</v>
      </c>
      <c r="J2318">
        <v>5</v>
      </c>
      <c r="K2318" t="s">
        <v>103</v>
      </c>
      <c r="L2318" t="s">
        <v>124</v>
      </c>
      <c r="M2318">
        <f>orders[[#This Row],[Ship Date]]-orders[[#This Row],[Order Date]]</f>
        <v>2</v>
      </c>
      <c r="N2318">
        <f>WEEKNUM(orders[[#This Row],[Order Date]],1)</f>
        <v>13</v>
      </c>
      <c r="O2318" t="str">
        <f t="array" ref="O2318">_xlfn.IFS(orders[[#This Row],[Customer Gender]]="M","Male", orders[[#This Row],[Customer Gender]]="F","Female", orders[[#This Row],[Customer Gender]]="O","Other", TRUE(),"Unknown")</f>
        <v>Male</v>
      </c>
    </row>
    <row r="2319" spans="1:15" x14ac:dyDescent="0.25">
      <c r="A2319" t="s">
        <v>2547</v>
      </c>
      <c r="B2319" t="s">
        <v>80</v>
      </c>
      <c r="C2319">
        <v>23</v>
      </c>
      <c r="D2319">
        <v>152.6</v>
      </c>
      <c r="E2319">
        <v>3509.8</v>
      </c>
      <c r="F2319" s="58">
        <v>45743</v>
      </c>
      <c r="G2319" s="58">
        <v>45745</v>
      </c>
      <c r="I2319" t="s">
        <v>59</v>
      </c>
      <c r="J2319">
        <v>4</v>
      </c>
      <c r="K2319" t="s">
        <v>103</v>
      </c>
      <c r="L2319" t="s">
        <v>124</v>
      </c>
      <c r="M2319">
        <f>orders[[#This Row],[Ship Date]]-orders[[#This Row],[Order Date]]</f>
        <v>2</v>
      </c>
      <c r="N2319">
        <f>WEEKNUM(orders[[#This Row],[Order Date]],1)</f>
        <v>13</v>
      </c>
      <c r="O2319" t="str">
        <f t="array" ref="O2319">_xlfn.IFS(orders[[#This Row],[Customer Gender]]="M","Male", orders[[#This Row],[Customer Gender]]="F","Female", orders[[#This Row],[Customer Gender]]="O","Other", TRUE(),"Unknown")</f>
        <v>Unknown</v>
      </c>
    </row>
    <row r="2320" spans="1:15" x14ac:dyDescent="0.25">
      <c r="A2320" t="s">
        <v>2548</v>
      </c>
      <c r="B2320" t="s">
        <v>90</v>
      </c>
      <c r="C2320">
        <v>2</v>
      </c>
      <c r="D2320">
        <v>26</v>
      </c>
      <c r="E2320">
        <v>52</v>
      </c>
      <c r="F2320" s="58">
        <v>45743</v>
      </c>
      <c r="G2320" s="58">
        <v>45743</v>
      </c>
      <c r="I2320" t="s">
        <v>59</v>
      </c>
      <c r="J2320">
        <v>3</v>
      </c>
      <c r="K2320" t="s">
        <v>103</v>
      </c>
      <c r="L2320" t="s">
        <v>124</v>
      </c>
      <c r="M2320">
        <f>orders[[#This Row],[Ship Date]]-orders[[#This Row],[Order Date]]</f>
        <v>0</v>
      </c>
      <c r="N2320">
        <f>WEEKNUM(orders[[#This Row],[Order Date]],1)</f>
        <v>13</v>
      </c>
      <c r="O2320" t="str">
        <f t="array" ref="O2320">_xlfn.IFS(orders[[#This Row],[Customer Gender]]="M","Male", orders[[#This Row],[Customer Gender]]="F","Female", orders[[#This Row],[Customer Gender]]="O","Other", TRUE(),"Unknown")</f>
        <v>Unknown</v>
      </c>
    </row>
    <row r="2321" spans="1:15" x14ac:dyDescent="0.25">
      <c r="A2321" t="s">
        <v>2549</v>
      </c>
      <c r="B2321" t="s">
        <v>91</v>
      </c>
      <c r="C2321">
        <v>4</v>
      </c>
      <c r="D2321">
        <v>33.1</v>
      </c>
      <c r="E2321">
        <v>132.4</v>
      </c>
      <c r="F2321" s="58">
        <v>45743</v>
      </c>
      <c r="G2321" s="58">
        <v>45743</v>
      </c>
      <c r="H2321" t="s">
        <v>229</v>
      </c>
      <c r="I2321" t="s">
        <v>62</v>
      </c>
      <c r="J2321">
        <v>2</v>
      </c>
      <c r="K2321" t="s">
        <v>103</v>
      </c>
      <c r="L2321" t="s">
        <v>136</v>
      </c>
      <c r="M2321">
        <f>orders[[#This Row],[Ship Date]]-orders[[#This Row],[Order Date]]</f>
        <v>0</v>
      </c>
      <c r="N2321">
        <f>WEEKNUM(orders[[#This Row],[Order Date]],1)</f>
        <v>13</v>
      </c>
      <c r="O2321" t="str">
        <f t="array" ref="O2321">_xlfn.IFS(orders[[#This Row],[Customer Gender]]="M","Male", orders[[#This Row],[Customer Gender]]="F","Female", orders[[#This Row],[Customer Gender]]="O","Other", TRUE(),"Unknown")</f>
        <v>Male</v>
      </c>
    </row>
    <row r="2322" spans="1:15" x14ac:dyDescent="0.25">
      <c r="A2322" t="s">
        <v>2550</v>
      </c>
      <c r="B2322" t="s">
        <v>82</v>
      </c>
      <c r="C2322">
        <v>1</v>
      </c>
      <c r="D2322">
        <v>51.4</v>
      </c>
      <c r="E2322">
        <v>51.4</v>
      </c>
      <c r="F2322" s="58">
        <v>45743</v>
      </c>
      <c r="G2322" s="58">
        <v>45745</v>
      </c>
      <c r="H2322" t="s">
        <v>231</v>
      </c>
      <c r="I2322" t="s">
        <v>63</v>
      </c>
      <c r="J2322">
        <v>3</v>
      </c>
      <c r="K2322" t="s">
        <v>103</v>
      </c>
      <c r="L2322" t="s">
        <v>136</v>
      </c>
      <c r="M2322">
        <f>orders[[#This Row],[Ship Date]]-orders[[#This Row],[Order Date]]</f>
        <v>2</v>
      </c>
      <c r="N2322">
        <f>WEEKNUM(orders[[#This Row],[Order Date]],1)</f>
        <v>13</v>
      </c>
      <c r="O2322" t="str">
        <f t="array" ref="O2322">_xlfn.IFS(orders[[#This Row],[Customer Gender]]="M","Male", orders[[#This Row],[Customer Gender]]="F","Female", orders[[#This Row],[Customer Gender]]="O","Other", TRUE(),"Unknown")</f>
        <v>Female</v>
      </c>
    </row>
    <row r="2323" spans="1:15" x14ac:dyDescent="0.25">
      <c r="A2323" t="s">
        <v>2551</v>
      </c>
      <c r="B2323" t="s">
        <v>90</v>
      </c>
      <c r="C2323">
        <v>2</v>
      </c>
      <c r="D2323">
        <v>30.2</v>
      </c>
      <c r="E2323">
        <v>60.4</v>
      </c>
      <c r="F2323" s="58">
        <v>45743</v>
      </c>
      <c r="G2323" s="58">
        <v>45744</v>
      </c>
      <c r="H2323" t="s">
        <v>231</v>
      </c>
      <c r="I2323" t="s">
        <v>62</v>
      </c>
      <c r="J2323">
        <v>5</v>
      </c>
      <c r="K2323" t="s">
        <v>103</v>
      </c>
      <c r="L2323" t="s">
        <v>139</v>
      </c>
      <c r="M2323">
        <f>orders[[#This Row],[Ship Date]]-orders[[#This Row],[Order Date]]</f>
        <v>1</v>
      </c>
      <c r="N2323">
        <f>WEEKNUM(orders[[#This Row],[Order Date]],1)</f>
        <v>13</v>
      </c>
      <c r="O2323" t="str">
        <f t="array" ref="O2323">_xlfn.IFS(orders[[#This Row],[Customer Gender]]="M","Male", orders[[#This Row],[Customer Gender]]="F","Female", orders[[#This Row],[Customer Gender]]="O","Other", TRUE(),"Unknown")</f>
        <v>Female</v>
      </c>
    </row>
    <row r="2324" spans="1:15" x14ac:dyDescent="0.25">
      <c r="A2324" t="s">
        <v>2552</v>
      </c>
      <c r="B2324" t="s">
        <v>87</v>
      </c>
      <c r="C2324">
        <v>6</v>
      </c>
      <c r="D2324">
        <v>97</v>
      </c>
      <c r="E2324">
        <v>582</v>
      </c>
      <c r="F2324" s="58">
        <v>45743</v>
      </c>
      <c r="G2324" s="58">
        <v>45747</v>
      </c>
      <c r="H2324" t="s">
        <v>231</v>
      </c>
      <c r="I2324" t="s">
        <v>59</v>
      </c>
      <c r="J2324">
        <v>5</v>
      </c>
      <c r="K2324" t="s">
        <v>103</v>
      </c>
      <c r="L2324" t="s">
        <v>141</v>
      </c>
      <c r="M2324">
        <f>orders[[#This Row],[Ship Date]]-orders[[#This Row],[Order Date]]</f>
        <v>4</v>
      </c>
      <c r="N2324">
        <f>WEEKNUM(orders[[#This Row],[Order Date]],1)</f>
        <v>13</v>
      </c>
      <c r="O2324" t="str">
        <f t="array" ref="O2324">_xlfn.IFS(orders[[#This Row],[Customer Gender]]="M","Male", orders[[#This Row],[Customer Gender]]="F","Female", orders[[#This Row],[Customer Gender]]="O","Other", TRUE(),"Unknown")</f>
        <v>Female</v>
      </c>
    </row>
    <row r="2325" spans="1:15" x14ac:dyDescent="0.25">
      <c r="A2325" t="s">
        <v>2553</v>
      </c>
      <c r="B2325" t="s">
        <v>87</v>
      </c>
      <c r="C2325">
        <v>1</v>
      </c>
      <c r="D2325">
        <v>76.900000000000006</v>
      </c>
      <c r="E2325">
        <v>76.900000000000006</v>
      </c>
      <c r="F2325" s="58">
        <v>45743</v>
      </c>
      <c r="G2325" s="58">
        <v>45744</v>
      </c>
      <c r="H2325" t="s">
        <v>229</v>
      </c>
      <c r="I2325" t="s">
        <v>63</v>
      </c>
      <c r="J2325">
        <v>5</v>
      </c>
      <c r="K2325" t="s">
        <v>103</v>
      </c>
      <c r="L2325" t="s">
        <v>142</v>
      </c>
      <c r="M2325">
        <f>orders[[#This Row],[Ship Date]]-orders[[#This Row],[Order Date]]</f>
        <v>1</v>
      </c>
      <c r="N2325">
        <f>WEEKNUM(orders[[#This Row],[Order Date]],1)</f>
        <v>13</v>
      </c>
      <c r="O2325" t="str">
        <f t="array" ref="O2325">_xlfn.IFS(orders[[#This Row],[Customer Gender]]="M","Male", orders[[#This Row],[Customer Gender]]="F","Female", orders[[#This Row],[Customer Gender]]="O","Other", TRUE(),"Unknown")</f>
        <v>Male</v>
      </c>
    </row>
    <row r="2326" spans="1:15" x14ac:dyDescent="0.25">
      <c r="A2326" t="s">
        <v>2554</v>
      </c>
      <c r="B2326" t="s">
        <v>79</v>
      </c>
      <c r="C2326">
        <v>6</v>
      </c>
      <c r="D2326">
        <v>36.1</v>
      </c>
      <c r="E2326">
        <v>216.6</v>
      </c>
      <c r="F2326" s="58">
        <v>45743</v>
      </c>
      <c r="G2326" s="58">
        <v>45747</v>
      </c>
      <c r="H2326" t="s">
        <v>231</v>
      </c>
      <c r="I2326" t="s">
        <v>59</v>
      </c>
      <c r="J2326">
        <v>4</v>
      </c>
      <c r="K2326" t="s">
        <v>103</v>
      </c>
      <c r="L2326" t="s">
        <v>142</v>
      </c>
      <c r="M2326">
        <f>orders[[#This Row],[Ship Date]]-orders[[#This Row],[Order Date]]</f>
        <v>4</v>
      </c>
      <c r="N2326">
        <f>WEEKNUM(orders[[#This Row],[Order Date]],1)</f>
        <v>13</v>
      </c>
      <c r="O2326" t="str">
        <f t="array" ref="O2326">_xlfn.IFS(orders[[#This Row],[Customer Gender]]="M","Male", orders[[#This Row],[Customer Gender]]="F","Female", orders[[#This Row],[Customer Gender]]="O","Other", TRUE(),"Unknown")</f>
        <v>Female</v>
      </c>
    </row>
    <row r="2327" spans="1:15" x14ac:dyDescent="0.25">
      <c r="A2327" t="s">
        <v>2555</v>
      </c>
      <c r="B2327" t="s">
        <v>91</v>
      </c>
      <c r="C2327">
        <v>7</v>
      </c>
      <c r="D2327">
        <v>34.4</v>
      </c>
      <c r="E2327">
        <v>240.8</v>
      </c>
      <c r="F2327" s="58">
        <v>45743</v>
      </c>
      <c r="G2327" s="58">
        <v>45743</v>
      </c>
      <c r="H2327" t="s">
        <v>231</v>
      </c>
      <c r="I2327" t="s">
        <v>62</v>
      </c>
      <c r="J2327">
        <v>3</v>
      </c>
      <c r="K2327" t="s">
        <v>103</v>
      </c>
      <c r="L2327" t="s">
        <v>148</v>
      </c>
      <c r="M2327">
        <f>orders[[#This Row],[Ship Date]]-orders[[#This Row],[Order Date]]</f>
        <v>0</v>
      </c>
      <c r="N2327">
        <f>WEEKNUM(orders[[#This Row],[Order Date]],1)</f>
        <v>13</v>
      </c>
      <c r="O2327" t="str">
        <f t="array" ref="O2327">_xlfn.IFS(orders[[#This Row],[Customer Gender]]="M","Male", orders[[#This Row],[Customer Gender]]="F","Female", orders[[#This Row],[Customer Gender]]="O","Other", TRUE(),"Unknown")</f>
        <v>Female</v>
      </c>
    </row>
    <row r="2328" spans="1:15" x14ac:dyDescent="0.25">
      <c r="A2328" t="s">
        <v>2556</v>
      </c>
      <c r="B2328" t="s">
        <v>91</v>
      </c>
      <c r="C2328">
        <v>28</v>
      </c>
      <c r="D2328">
        <v>53.4</v>
      </c>
      <c r="E2328">
        <v>1495.2</v>
      </c>
      <c r="F2328" s="58">
        <v>45743</v>
      </c>
      <c r="G2328" s="58">
        <v>45745</v>
      </c>
      <c r="H2328" t="s">
        <v>231</v>
      </c>
      <c r="I2328" t="s">
        <v>63</v>
      </c>
      <c r="J2328">
        <v>4</v>
      </c>
      <c r="K2328" t="s">
        <v>103</v>
      </c>
      <c r="L2328" t="s">
        <v>154</v>
      </c>
      <c r="M2328">
        <f>orders[[#This Row],[Ship Date]]-orders[[#This Row],[Order Date]]</f>
        <v>2</v>
      </c>
      <c r="N2328">
        <f>WEEKNUM(orders[[#This Row],[Order Date]],1)</f>
        <v>13</v>
      </c>
      <c r="O2328" t="str">
        <f t="array" ref="O2328">_xlfn.IFS(orders[[#This Row],[Customer Gender]]="M","Male", orders[[#This Row],[Customer Gender]]="F","Female", orders[[#This Row],[Customer Gender]]="O","Other", TRUE(),"Unknown")</f>
        <v>Female</v>
      </c>
    </row>
    <row r="2329" spans="1:15" x14ac:dyDescent="0.25">
      <c r="A2329" t="s">
        <v>2557</v>
      </c>
      <c r="B2329" t="s">
        <v>87</v>
      </c>
      <c r="C2329">
        <v>1</v>
      </c>
      <c r="D2329">
        <v>77.599999999999994</v>
      </c>
      <c r="E2329">
        <v>77.599999999999994</v>
      </c>
      <c r="F2329" s="58">
        <v>45743</v>
      </c>
      <c r="G2329" s="58">
        <v>45744</v>
      </c>
      <c r="H2329" t="s">
        <v>231</v>
      </c>
      <c r="I2329" t="s">
        <v>59</v>
      </c>
      <c r="J2329">
        <v>3</v>
      </c>
      <c r="K2329" t="s">
        <v>103</v>
      </c>
      <c r="L2329" t="s">
        <v>155</v>
      </c>
      <c r="M2329">
        <f>orders[[#This Row],[Ship Date]]-orders[[#This Row],[Order Date]]</f>
        <v>1</v>
      </c>
      <c r="N2329">
        <f>WEEKNUM(orders[[#This Row],[Order Date]],1)</f>
        <v>13</v>
      </c>
      <c r="O2329" t="str">
        <f t="array" ref="O2329">_xlfn.IFS(orders[[#This Row],[Customer Gender]]="M","Male", orders[[#This Row],[Customer Gender]]="F","Female", orders[[#This Row],[Customer Gender]]="O","Other", TRUE(),"Unknown")</f>
        <v>Female</v>
      </c>
    </row>
    <row r="2330" spans="1:15" x14ac:dyDescent="0.25">
      <c r="A2330" t="s">
        <v>2558</v>
      </c>
      <c r="B2330" t="s">
        <v>91</v>
      </c>
      <c r="C2330">
        <v>3</v>
      </c>
      <c r="D2330">
        <v>71.7</v>
      </c>
      <c r="E2330">
        <v>215.1</v>
      </c>
      <c r="F2330" s="58">
        <v>45743</v>
      </c>
      <c r="G2330" s="58">
        <v>45746</v>
      </c>
      <c r="H2330" t="s">
        <v>231</v>
      </c>
      <c r="I2330" t="s">
        <v>63</v>
      </c>
      <c r="J2330">
        <v>4</v>
      </c>
      <c r="K2330" t="s">
        <v>103</v>
      </c>
      <c r="L2330" t="s">
        <v>155</v>
      </c>
      <c r="M2330">
        <f>orders[[#This Row],[Ship Date]]-orders[[#This Row],[Order Date]]</f>
        <v>3</v>
      </c>
      <c r="N2330">
        <f>WEEKNUM(orders[[#This Row],[Order Date]],1)</f>
        <v>13</v>
      </c>
      <c r="O2330" t="str">
        <f t="array" ref="O2330">_xlfn.IFS(orders[[#This Row],[Customer Gender]]="M","Male", orders[[#This Row],[Customer Gender]]="F","Female", orders[[#This Row],[Customer Gender]]="O","Other", TRUE(),"Unknown")</f>
        <v>Female</v>
      </c>
    </row>
    <row r="2331" spans="1:15" x14ac:dyDescent="0.25">
      <c r="A2331" t="s">
        <v>2559</v>
      </c>
      <c r="B2331" t="s">
        <v>93</v>
      </c>
      <c r="C2331">
        <v>3</v>
      </c>
      <c r="D2331">
        <v>80.599999999999994</v>
      </c>
      <c r="E2331">
        <v>241.8</v>
      </c>
      <c r="F2331" s="58">
        <v>45743</v>
      </c>
      <c r="G2331" s="58">
        <v>45744</v>
      </c>
      <c r="H2331" t="s">
        <v>229</v>
      </c>
      <c r="I2331" t="s">
        <v>61</v>
      </c>
      <c r="J2331">
        <v>3</v>
      </c>
      <c r="K2331" t="s">
        <v>103</v>
      </c>
      <c r="L2331" t="s">
        <v>155</v>
      </c>
      <c r="M2331">
        <f>orders[[#This Row],[Ship Date]]-orders[[#This Row],[Order Date]]</f>
        <v>1</v>
      </c>
      <c r="N2331">
        <f>WEEKNUM(orders[[#This Row],[Order Date]],1)</f>
        <v>13</v>
      </c>
      <c r="O2331" t="str">
        <f t="array" ref="O2331">_xlfn.IFS(orders[[#This Row],[Customer Gender]]="M","Male", orders[[#This Row],[Customer Gender]]="F","Female", orders[[#This Row],[Customer Gender]]="O","Other", TRUE(),"Unknown")</f>
        <v>Male</v>
      </c>
    </row>
    <row r="2332" spans="1:15" x14ac:dyDescent="0.25">
      <c r="A2332" t="s">
        <v>2560</v>
      </c>
      <c r="B2332" t="s">
        <v>91</v>
      </c>
      <c r="C2332">
        <v>15</v>
      </c>
      <c r="D2332">
        <v>70</v>
      </c>
      <c r="E2332">
        <v>1050</v>
      </c>
      <c r="F2332" s="58">
        <v>45743</v>
      </c>
      <c r="G2332" s="58">
        <v>45745</v>
      </c>
      <c r="H2332" t="s">
        <v>229</v>
      </c>
      <c r="I2332" t="s">
        <v>59</v>
      </c>
      <c r="J2332">
        <v>4</v>
      </c>
      <c r="K2332" t="s">
        <v>103</v>
      </c>
      <c r="L2332" t="s">
        <v>159</v>
      </c>
      <c r="M2332">
        <f>orders[[#This Row],[Ship Date]]-orders[[#This Row],[Order Date]]</f>
        <v>2</v>
      </c>
      <c r="N2332">
        <f>WEEKNUM(orders[[#This Row],[Order Date]],1)</f>
        <v>13</v>
      </c>
      <c r="O2332" t="str">
        <f t="array" ref="O2332">_xlfn.IFS(orders[[#This Row],[Customer Gender]]="M","Male", orders[[#This Row],[Customer Gender]]="F","Female", orders[[#This Row],[Customer Gender]]="O","Other", TRUE(),"Unknown")</f>
        <v>Male</v>
      </c>
    </row>
    <row r="2333" spans="1:15" x14ac:dyDescent="0.25">
      <c r="A2333" t="s">
        <v>2561</v>
      </c>
      <c r="B2333" t="s">
        <v>78</v>
      </c>
      <c r="C2333">
        <v>6</v>
      </c>
      <c r="D2333">
        <v>27.3</v>
      </c>
      <c r="E2333">
        <v>163.80000000000001</v>
      </c>
      <c r="F2333" s="58">
        <v>45743</v>
      </c>
      <c r="G2333" s="58">
        <v>45745</v>
      </c>
      <c r="H2333" t="s">
        <v>231</v>
      </c>
      <c r="I2333" t="s">
        <v>63</v>
      </c>
      <c r="J2333">
        <v>3</v>
      </c>
      <c r="K2333" t="s">
        <v>103</v>
      </c>
      <c r="L2333" t="s">
        <v>115</v>
      </c>
      <c r="M2333">
        <f>orders[[#This Row],[Ship Date]]-orders[[#This Row],[Order Date]]</f>
        <v>2</v>
      </c>
      <c r="N2333">
        <f>WEEKNUM(orders[[#This Row],[Order Date]],1)</f>
        <v>13</v>
      </c>
      <c r="O2333" t="str">
        <f t="array" ref="O2333">_xlfn.IFS(orders[[#This Row],[Customer Gender]]="M","Male", orders[[#This Row],[Customer Gender]]="F","Female", orders[[#This Row],[Customer Gender]]="O","Other", TRUE(),"Unknown")</f>
        <v>Female</v>
      </c>
    </row>
    <row r="2334" spans="1:15" x14ac:dyDescent="0.25">
      <c r="A2334" t="s">
        <v>2562</v>
      </c>
      <c r="B2334" t="s">
        <v>90</v>
      </c>
      <c r="C2334">
        <v>14</v>
      </c>
      <c r="D2334">
        <v>37.6</v>
      </c>
      <c r="E2334">
        <v>526.4</v>
      </c>
      <c r="F2334" s="58">
        <v>45743</v>
      </c>
      <c r="G2334" s="58">
        <v>45745</v>
      </c>
      <c r="H2334" t="s">
        <v>229</v>
      </c>
      <c r="I2334" t="s">
        <v>63</v>
      </c>
      <c r="J2334">
        <v>4</v>
      </c>
      <c r="K2334" t="s">
        <v>103</v>
      </c>
      <c r="L2334" t="s">
        <v>124</v>
      </c>
      <c r="M2334">
        <f>orders[[#This Row],[Ship Date]]-orders[[#This Row],[Order Date]]</f>
        <v>2</v>
      </c>
      <c r="N2334">
        <f>WEEKNUM(orders[[#This Row],[Order Date]],1)</f>
        <v>13</v>
      </c>
      <c r="O2334" t="str">
        <f t="array" ref="O2334">_xlfn.IFS(orders[[#This Row],[Customer Gender]]="M","Male", orders[[#This Row],[Customer Gender]]="F","Female", orders[[#This Row],[Customer Gender]]="O","Other", TRUE(),"Unknown")</f>
        <v>Male</v>
      </c>
    </row>
    <row r="2335" spans="1:15" x14ac:dyDescent="0.25">
      <c r="A2335" t="s">
        <v>2563</v>
      </c>
      <c r="B2335" t="s">
        <v>85</v>
      </c>
      <c r="C2335">
        <v>3</v>
      </c>
      <c r="D2335">
        <v>36.6</v>
      </c>
      <c r="E2335">
        <v>109.8</v>
      </c>
      <c r="F2335" s="58">
        <v>45743</v>
      </c>
      <c r="G2335" s="58">
        <v>45745</v>
      </c>
      <c r="H2335" t="s">
        <v>231</v>
      </c>
      <c r="I2335" t="s">
        <v>61</v>
      </c>
      <c r="J2335">
        <v>4</v>
      </c>
      <c r="K2335" t="s">
        <v>103</v>
      </c>
      <c r="L2335" t="s">
        <v>124</v>
      </c>
      <c r="M2335">
        <f>orders[[#This Row],[Ship Date]]-orders[[#This Row],[Order Date]]</f>
        <v>2</v>
      </c>
      <c r="N2335">
        <f>WEEKNUM(orders[[#This Row],[Order Date]],1)</f>
        <v>13</v>
      </c>
      <c r="O2335" t="str">
        <f t="array" ref="O2335">_xlfn.IFS(orders[[#This Row],[Customer Gender]]="M","Male", orders[[#This Row],[Customer Gender]]="F","Female", orders[[#This Row],[Customer Gender]]="O","Other", TRUE(),"Unknown")</f>
        <v>Female</v>
      </c>
    </row>
    <row r="2336" spans="1:15" x14ac:dyDescent="0.25">
      <c r="A2336" t="s">
        <v>2564</v>
      </c>
      <c r="B2336" t="s">
        <v>92</v>
      </c>
      <c r="C2336">
        <v>1</v>
      </c>
      <c r="D2336">
        <v>55.2</v>
      </c>
      <c r="E2336">
        <v>55.2</v>
      </c>
      <c r="F2336" s="58">
        <v>45743</v>
      </c>
      <c r="G2336" s="58">
        <v>45745</v>
      </c>
      <c r="H2336" t="s">
        <v>229</v>
      </c>
      <c r="I2336" t="s">
        <v>60</v>
      </c>
      <c r="J2336">
        <v>4</v>
      </c>
      <c r="K2336" t="s">
        <v>103</v>
      </c>
      <c r="L2336" t="s">
        <v>124</v>
      </c>
      <c r="M2336">
        <f>orders[[#This Row],[Ship Date]]-orders[[#This Row],[Order Date]]</f>
        <v>2</v>
      </c>
      <c r="N2336">
        <f>WEEKNUM(orders[[#This Row],[Order Date]],1)</f>
        <v>13</v>
      </c>
      <c r="O2336" t="str">
        <f t="array" ref="O2336">_xlfn.IFS(orders[[#This Row],[Customer Gender]]="M","Male", orders[[#This Row],[Customer Gender]]="F","Female", orders[[#This Row],[Customer Gender]]="O","Other", TRUE(),"Unknown")</f>
        <v>Male</v>
      </c>
    </row>
    <row r="2337" spans="1:15" x14ac:dyDescent="0.25">
      <c r="A2337" t="s">
        <v>2565</v>
      </c>
      <c r="B2337" t="s">
        <v>80</v>
      </c>
      <c r="C2337">
        <v>5</v>
      </c>
      <c r="D2337">
        <v>59.9</v>
      </c>
      <c r="E2337">
        <v>299.5</v>
      </c>
      <c r="F2337" s="58">
        <v>45743</v>
      </c>
      <c r="G2337" s="58">
        <v>45745</v>
      </c>
      <c r="H2337" t="s">
        <v>229</v>
      </c>
      <c r="I2337" t="s">
        <v>59</v>
      </c>
      <c r="J2337">
        <v>4</v>
      </c>
      <c r="K2337" t="s">
        <v>103</v>
      </c>
      <c r="L2337" t="s">
        <v>124</v>
      </c>
      <c r="M2337">
        <f>orders[[#This Row],[Ship Date]]-orders[[#This Row],[Order Date]]</f>
        <v>2</v>
      </c>
      <c r="N2337">
        <f>WEEKNUM(orders[[#This Row],[Order Date]],1)</f>
        <v>13</v>
      </c>
      <c r="O2337" t="str">
        <f t="array" ref="O2337">_xlfn.IFS(orders[[#This Row],[Customer Gender]]="M","Male", orders[[#This Row],[Customer Gender]]="F","Female", orders[[#This Row],[Customer Gender]]="O","Other", TRUE(),"Unknown")</f>
        <v>Male</v>
      </c>
    </row>
    <row r="2338" spans="1:15" x14ac:dyDescent="0.25">
      <c r="A2338" t="s">
        <v>2566</v>
      </c>
      <c r="B2338" t="s">
        <v>80</v>
      </c>
      <c r="C2338">
        <v>1</v>
      </c>
      <c r="D2338">
        <v>44</v>
      </c>
      <c r="E2338">
        <v>44</v>
      </c>
      <c r="F2338" s="58">
        <v>45743</v>
      </c>
      <c r="G2338" s="58">
        <v>45744</v>
      </c>
      <c r="H2338" t="s">
        <v>231</v>
      </c>
      <c r="I2338" t="s">
        <v>62</v>
      </c>
      <c r="J2338">
        <v>5</v>
      </c>
      <c r="K2338" t="s">
        <v>103</v>
      </c>
      <c r="L2338" t="s">
        <v>124</v>
      </c>
      <c r="M2338">
        <f>orders[[#This Row],[Ship Date]]-orders[[#This Row],[Order Date]]</f>
        <v>1</v>
      </c>
      <c r="N2338">
        <f>WEEKNUM(orders[[#This Row],[Order Date]],1)</f>
        <v>13</v>
      </c>
      <c r="O2338" t="str">
        <f t="array" ref="O2338">_xlfn.IFS(orders[[#This Row],[Customer Gender]]="M","Male", orders[[#This Row],[Customer Gender]]="F","Female", orders[[#This Row],[Customer Gender]]="O","Other", TRUE(),"Unknown")</f>
        <v>Female</v>
      </c>
    </row>
    <row r="2339" spans="1:15" x14ac:dyDescent="0.25">
      <c r="A2339" t="s">
        <v>2567</v>
      </c>
      <c r="B2339" t="s">
        <v>88</v>
      </c>
      <c r="C2339">
        <v>2</v>
      </c>
      <c r="D2339">
        <v>68.7</v>
      </c>
      <c r="E2339">
        <v>137.4</v>
      </c>
      <c r="F2339" s="58">
        <v>45743</v>
      </c>
      <c r="G2339" s="58">
        <v>45743</v>
      </c>
      <c r="H2339" t="s">
        <v>229</v>
      </c>
      <c r="I2339" t="s">
        <v>59</v>
      </c>
      <c r="J2339">
        <v>4</v>
      </c>
      <c r="K2339" t="s">
        <v>103</v>
      </c>
      <c r="L2339" t="s">
        <v>124</v>
      </c>
      <c r="M2339">
        <f>orders[[#This Row],[Ship Date]]-orders[[#This Row],[Order Date]]</f>
        <v>0</v>
      </c>
      <c r="N2339">
        <f>WEEKNUM(orders[[#This Row],[Order Date]],1)</f>
        <v>13</v>
      </c>
      <c r="O2339" t="str">
        <f t="array" ref="O2339">_xlfn.IFS(orders[[#This Row],[Customer Gender]]="M","Male", orders[[#This Row],[Customer Gender]]="F","Female", orders[[#This Row],[Customer Gender]]="O","Other", TRUE(),"Unknown")</f>
        <v>Male</v>
      </c>
    </row>
    <row r="2340" spans="1:15" x14ac:dyDescent="0.25">
      <c r="A2340" t="s">
        <v>2568</v>
      </c>
      <c r="B2340" t="s">
        <v>85</v>
      </c>
      <c r="C2340">
        <v>2</v>
      </c>
      <c r="D2340">
        <v>61.6</v>
      </c>
      <c r="E2340">
        <v>123.2</v>
      </c>
      <c r="F2340" s="58">
        <v>45743</v>
      </c>
      <c r="G2340" s="58">
        <v>45747</v>
      </c>
      <c r="H2340" t="s">
        <v>229</v>
      </c>
      <c r="I2340" t="s">
        <v>60</v>
      </c>
      <c r="J2340">
        <v>3</v>
      </c>
      <c r="K2340" t="s">
        <v>103</v>
      </c>
      <c r="L2340" t="s">
        <v>124</v>
      </c>
      <c r="M2340">
        <f>orders[[#This Row],[Ship Date]]-orders[[#This Row],[Order Date]]</f>
        <v>4</v>
      </c>
      <c r="N2340">
        <f>WEEKNUM(orders[[#This Row],[Order Date]],1)</f>
        <v>13</v>
      </c>
      <c r="O2340" t="str">
        <f t="array" ref="O2340">_xlfn.IFS(orders[[#This Row],[Customer Gender]]="M","Male", orders[[#This Row],[Customer Gender]]="F","Female", orders[[#This Row],[Customer Gender]]="O","Other", TRUE(),"Unknown")</f>
        <v>Male</v>
      </c>
    </row>
    <row r="2341" spans="1:15" x14ac:dyDescent="0.25">
      <c r="A2341" t="s">
        <v>2569</v>
      </c>
      <c r="B2341" t="s">
        <v>79</v>
      </c>
      <c r="C2341">
        <v>7</v>
      </c>
      <c r="D2341">
        <v>51.8</v>
      </c>
      <c r="E2341">
        <v>362.6</v>
      </c>
      <c r="F2341" s="58">
        <v>45743</v>
      </c>
      <c r="G2341" s="58">
        <v>45744</v>
      </c>
      <c r="H2341" t="s">
        <v>229</v>
      </c>
      <c r="I2341" t="s">
        <v>59</v>
      </c>
      <c r="J2341">
        <v>4</v>
      </c>
      <c r="K2341" t="s">
        <v>103</v>
      </c>
      <c r="L2341" t="s">
        <v>124</v>
      </c>
      <c r="M2341">
        <f>orders[[#This Row],[Ship Date]]-orders[[#This Row],[Order Date]]</f>
        <v>1</v>
      </c>
      <c r="N2341">
        <f>WEEKNUM(orders[[#This Row],[Order Date]],1)</f>
        <v>13</v>
      </c>
      <c r="O2341" t="str">
        <f t="array" ref="O2341">_xlfn.IFS(orders[[#This Row],[Customer Gender]]="M","Male", orders[[#This Row],[Customer Gender]]="F","Female", orders[[#This Row],[Customer Gender]]="O","Other", TRUE(),"Unknown")</f>
        <v>Male</v>
      </c>
    </row>
    <row r="2342" spans="1:15" x14ac:dyDescent="0.25">
      <c r="A2342" t="s">
        <v>2570</v>
      </c>
      <c r="B2342" t="s">
        <v>90</v>
      </c>
      <c r="C2342">
        <v>10</v>
      </c>
      <c r="D2342">
        <v>46.2</v>
      </c>
      <c r="E2342">
        <v>462</v>
      </c>
      <c r="F2342" s="58">
        <v>45743</v>
      </c>
      <c r="G2342" s="58">
        <v>45745</v>
      </c>
      <c r="H2342" t="s">
        <v>229</v>
      </c>
      <c r="I2342" t="s">
        <v>63</v>
      </c>
      <c r="J2342">
        <v>5</v>
      </c>
      <c r="K2342" t="s">
        <v>103</v>
      </c>
      <c r="L2342" t="s">
        <v>124</v>
      </c>
      <c r="M2342">
        <f>orders[[#This Row],[Ship Date]]-orders[[#This Row],[Order Date]]</f>
        <v>2</v>
      </c>
      <c r="N2342">
        <f>WEEKNUM(orders[[#This Row],[Order Date]],1)</f>
        <v>13</v>
      </c>
      <c r="O2342" t="str">
        <f t="array" ref="O2342">_xlfn.IFS(orders[[#This Row],[Customer Gender]]="M","Male", orders[[#This Row],[Customer Gender]]="F","Female", orders[[#This Row],[Customer Gender]]="O","Other", TRUE(),"Unknown")</f>
        <v>Male</v>
      </c>
    </row>
    <row r="2343" spans="1:15" x14ac:dyDescent="0.25">
      <c r="A2343" t="s">
        <v>2571</v>
      </c>
      <c r="B2343" t="s">
        <v>86</v>
      </c>
      <c r="C2343">
        <v>2</v>
      </c>
      <c r="D2343">
        <v>19.399999999999999</v>
      </c>
      <c r="E2343">
        <v>38.799999999999997</v>
      </c>
      <c r="F2343" s="58">
        <v>45743</v>
      </c>
      <c r="G2343" s="58">
        <v>45745</v>
      </c>
      <c r="H2343" t="s">
        <v>231</v>
      </c>
      <c r="I2343" t="s">
        <v>63</v>
      </c>
      <c r="J2343">
        <v>5</v>
      </c>
      <c r="K2343" t="s">
        <v>103</v>
      </c>
      <c r="L2343" t="s">
        <v>139</v>
      </c>
      <c r="M2343">
        <f>orders[[#This Row],[Ship Date]]-orders[[#This Row],[Order Date]]</f>
        <v>2</v>
      </c>
      <c r="N2343">
        <f>WEEKNUM(orders[[#This Row],[Order Date]],1)</f>
        <v>13</v>
      </c>
      <c r="O2343" t="str">
        <f t="array" ref="O2343">_xlfn.IFS(orders[[#This Row],[Customer Gender]]="M","Male", orders[[#This Row],[Customer Gender]]="F","Female", orders[[#This Row],[Customer Gender]]="O","Other", TRUE(),"Unknown")</f>
        <v>Female</v>
      </c>
    </row>
    <row r="2344" spans="1:15" x14ac:dyDescent="0.25">
      <c r="A2344" t="s">
        <v>2572</v>
      </c>
      <c r="B2344" t="s">
        <v>83</v>
      </c>
      <c r="C2344">
        <v>3</v>
      </c>
      <c r="D2344">
        <v>52.1</v>
      </c>
      <c r="E2344">
        <v>156.30000000000001</v>
      </c>
      <c r="F2344" s="58">
        <v>45743</v>
      </c>
      <c r="G2344" s="58">
        <v>45746</v>
      </c>
      <c r="H2344" t="s">
        <v>229</v>
      </c>
      <c r="I2344" t="s">
        <v>60</v>
      </c>
      <c r="J2344">
        <v>1</v>
      </c>
      <c r="K2344" t="s">
        <v>103</v>
      </c>
      <c r="L2344" t="s">
        <v>139</v>
      </c>
      <c r="M2344">
        <f>orders[[#This Row],[Ship Date]]-orders[[#This Row],[Order Date]]</f>
        <v>3</v>
      </c>
      <c r="N2344">
        <f>WEEKNUM(orders[[#This Row],[Order Date]],1)</f>
        <v>13</v>
      </c>
      <c r="O2344" t="str">
        <f t="array" ref="O2344">_xlfn.IFS(orders[[#This Row],[Customer Gender]]="M","Male", orders[[#This Row],[Customer Gender]]="F","Female", orders[[#This Row],[Customer Gender]]="O","Other", TRUE(),"Unknown")</f>
        <v>Male</v>
      </c>
    </row>
    <row r="2345" spans="1:15" x14ac:dyDescent="0.25">
      <c r="A2345" t="s">
        <v>2573</v>
      </c>
      <c r="B2345" t="s">
        <v>80</v>
      </c>
      <c r="C2345">
        <v>1</v>
      </c>
      <c r="D2345">
        <v>74.900000000000006</v>
      </c>
      <c r="E2345">
        <v>74.900000000000006</v>
      </c>
      <c r="F2345" s="58">
        <v>45743</v>
      </c>
      <c r="G2345" s="58">
        <v>45745</v>
      </c>
      <c r="H2345" t="s">
        <v>263</v>
      </c>
      <c r="I2345" t="s">
        <v>59</v>
      </c>
      <c r="J2345">
        <v>4</v>
      </c>
      <c r="K2345" t="s">
        <v>103</v>
      </c>
      <c r="L2345" t="s">
        <v>141</v>
      </c>
      <c r="M2345">
        <f>orders[[#This Row],[Ship Date]]-orders[[#This Row],[Order Date]]</f>
        <v>2</v>
      </c>
      <c r="N2345">
        <f>WEEKNUM(orders[[#This Row],[Order Date]],1)</f>
        <v>13</v>
      </c>
      <c r="O2345" t="str">
        <f t="array" ref="O2345">_xlfn.IFS(orders[[#This Row],[Customer Gender]]="M","Male", orders[[#This Row],[Customer Gender]]="F","Female", orders[[#This Row],[Customer Gender]]="O","Other", TRUE(),"Unknown")</f>
        <v>Other</v>
      </c>
    </row>
    <row r="2346" spans="1:15" x14ac:dyDescent="0.25">
      <c r="A2346" t="s">
        <v>2574</v>
      </c>
      <c r="B2346" t="s">
        <v>88</v>
      </c>
      <c r="C2346">
        <v>7</v>
      </c>
      <c r="D2346">
        <v>49.6</v>
      </c>
      <c r="E2346">
        <v>347.2</v>
      </c>
      <c r="F2346" s="58">
        <v>45743</v>
      </c>
      <c r="G2346" s="58">
        <v>45746</v>
      </c>
      <c r="H2346" t="s">
        <v>231</v>
      </c>
      <c r="I2346" t="s">
        <v>61</v>
      </c>
      <c r="J2346">
        <v>4</v>
      </c>
      <c r="K2346" t="s">
        <v>103</v>
      </c>
      <c r="L2346" t="s">
        <v>142</v>
      </c>
      <c r="M2346">
        <f>orders[[#This Row],[Ship Date]]-orders[[#This Row],[Order Date]]</f>
        <v>3</v>
      </c>
      <c r="N2346">
        <f>WEEKNUM(orders[[#This Row],[Order Date]],1)</f>
        <v>13</v>
      </c>
      <c r="O2346" t="str">
        <f t="array" ref="O2346">_xlfn.IFS(orders[[#This Row],[Customer Gender]]="M","Male", orders[[#This Row],[Customer Gender]]="F","Female", orders[[#This Row],[Customer Gender]]="O","Other", TRUE(),"Unknown")</f>
        <v>Female</v>
      </c>
    </row>
    <row r="2347" spans="1:15" x14ac:dyDescent="0.25">
      <c r="A2347" t="s">
        <v>2575</v>
      </c>
      <c r="B2347" t="s">
        <v>89</v>
      </c>
      <c r="C2347">
        <v>4</v>
      </c>
      <c r="D2347">
        <v>82.8</v>
      </c>
      <c r="E2347">
        <v>331.2</v>
      </c>
      <c r="F2347" s="58">
        <v>45744</v>
      </c>
      <c r="G2347" s="58">
        <v>45747</v>
      </c>
      <c r="H2347" t="s">
        <v>231</v>
      </c>
      <c r="I2347" t="s">
        <v>61</v>
      </c>
      <c r="J2347">
        <v>4</v>
      </c>
      <c r="K2347" t="s">
        <v>103</v>
      </c>
      <c r="L2347" t="s">
        <v>142</v>
      </c>
      <c r="M2347">
        <f>orders[[#This Row],[Ship Date]]-orders[[#This Row],[Order Date]]</f>
        <v>3</v>
      </c>
      <c r="N2347">
        <f>WEEKNUM(orders[[#This Row],[Order Date]],1)</f>
        <v>13</v>
      </c>
      <c r="O2347" t="str">
        <f t="array" ref="O2347">_xlfn.IFS(orders[[#This Row],[Customer Gender]]="M","Male", orders[[#This Row],[Customer Gender]]="F","Female", orders[[#This Row],[Customer Gender]]="O","Other", TRUE(),"Unknown")</f>
        <v>Female</v>
      </c>
    </row>
    <row r="2348" spans="1:15" x14ac:dyDescent="0.25">
      <c r="A2348" t="s">
        <v>2576</v>
      </c>
      <c r="B2348" t="s">
        <v>87</v>
      </c>
      <c r="C2348">
        <v>1</v>
      </c>
      <c r="D2348">
        <v>97.7</v>
      </c>
      <c r="E2348">
        <v>97.7</v>
      </c>
      <c r="F2348" s="58">
        <v>45744</v>
      </c>
      <c r="G2348" s="58">
        <v>45745</v>
      </c>
      <c r="H2348" t="s">
        <v>231</v>
      </c>
      <c r="I2348" t="s">
        <v>63</v>
      </c>
      <c r="J2348">
        <v>4</v>
      </c>
      <c r="K2348" t="s">
        <v>103</v>
      </c>
      <c r="L2348" t="s">
        <v>142</v>
      </c>
      <c r="M2348">
        <f>orders[[#This Row],[Ship Date]]-orders[[#This Row],[Order Date]]</f>
        <v>1</v>
      </c>
      <c r="N2348">
        <f>WEEKNUM(orders[[#This Row],[Order Date]],1)</f>
        <v>13</v>
      </c>
      <c r="O2348" t="str">
        <f t="array" ref="O2348">_xlfn.IFS(orders[[#This Row],[Customer Gender]]="M","Male", orders[[#This Row],[Customer Gender]]="F","Female", orders[[#This Row],[Customer Gender]]="O","Other", TRUE(),"Unknown")</f>
        <v>Female</v>
      </c>
    </row>
    <row r="2349" spans="1:15" x14ac:dyDescent="0.25">
      <c r="A2349" t="s">
        <v>2577</v>
      </c>
      <c r="B2349" t="s">
        <v>80</v>
      </c>
      <c r="C2349">
        <v>5</v>
      </c>
      <c r="D2349">
        <v>83.6</v>
      </c>
      <c r="E2349">
        <v>418</v>
      </c>
      <c r="F2349" s="58">
        <v>45744</v>
      </c>
      <c r="G2349" s="58">
        <v>45745</v>
      </c>
      <c r="H2349" t="s">
        <v>231</v>
      </c>
      <c r="I2349" t="s">
        <v>61</v>
      </c>
      <c r="J2349">
        <v>4</v>
      </c>
      <c r="K2349" t="s">
        <v>103</v>
      </c>
      <c r="L2349" t="s">
        <v>142</v>
      </c>
      <c r="M2349">
        <f>orders[[#This Row],[Ship Date]]-orders[[#This Row],[Order Date]]</f>
        <v>1</v>
      </c>
      <c r="N2349">
        <f>WEEKNUM(orders[[#This Row],[Order Date]],1)</f>
        <v>13</v>
      </c>
      <c r="O2349" t="str">
        <f t="array" ref="O2349">_xlfn.IFS(orders[[#This Row],[Customer Gender]]="M","Male", orders[[#This Row],[Customer Gender]]="F","Female", orders[[#This Row],[Customer Gender]]="O","Other", TRUE(),"Unknown")</f>
        <v>Female</v>
      </c>
    </row>
    <row r="2350" spans="1:15" x14ac:dyDescent="0.25">
      <c r="A2350" t="s">
        <v>2578</v>
      </c>
      <c r="B2350" t="s">
        <v>90</v>
      </c>
      <c r="C2350">
        <v>5</v>
      </c>
      <c r="D2350">
        <v>23.5</v>
      </c>
      <c r="E2350">
        <v>117.5</v>
      </c>
      <c r="F2350" s="58">
        <v>45744</v>
      </c>
      <c r="G2350" s="58">
        <v>45748</v>
      </c>
      <c r="H2350" t="s">
        <v>263</v>
      </c>
      <c r="I2350" t="s">
        <v>59</v>
      </c>
      <c r="J2350">
        <v>4</v>
      </c>
      <c r="K2350" t="s">
        <v>103</v>
      </c>
      <c r="L2350" t="s">
        <v>142</v>
      </c>
      <c r="M2350">
        <f>orders[[#This Row],[Ship Date]]-orders[[#This Row],[Order Date]]</f>
        <v>4</v>
      </c>
      <c r="N2350">
        <f>WEEKNUM(orders[[#This Row],[Order Date]],1)</f>
        <v>13</v>
      </c>
      <c r="O2350" t="str">
        <f t="array" ref="O2350">_xlfn.IFS(orders[[#This Row],[Customer Gender]]="M","Male", orders[[#This Row],[Customer Gender]]="F","Female", orders[[#This Row],[Customer Gender]]="O","Other", TRUE(),"Unknown")</f>
        <v>Other</v>
      </c>
    </row>
    <row r="2351" spans="1:15" x14ac:dyDescent="0.25">
      <c r="A2351" t="s">
        <v>2579</v>
      </c>
      <c r="B2351" t="s">
        <v>88</v>
      </c>
      <c r="C2351">
        <v>3</v>
      </c>
      <c r="D2351">
        <v>44.6</v>
      </c>
      <c r="E2351">
        <v>133.80000000000001</v>
      </c>
      <c r="F2351" s="58">
        <v>45744</v>
      </c>
      <c r="G2351" s="58">
        <v>45747</v>
      </c>
      <c r="H2351" t="s">
        <v>231</v>
      </c>
      <c r="I2351" t="s">
        <v>61</v>
      </c>
      <c r="J2351">
        <v>3</v>
      </c>
      <c r="K2351" t="s">
        <v>103</v>
      </c>
      <c r="L2351" t="s">
        <v>144</v>
      </c>
      <c r="M2351">
        <f>orders[[#This Row],[Ship Date]]-orders[[#This Row],[Order Date]]</f>
        <v>3</v>
      </c>
      <c r="N2351">
        <f>WEEKNUM(orders[[#This Row],[Order Date]],1)</f>
        <v>13</v>
      </c>
      <c r="O2351" t="str">
        <f t="array" ref="O2351">_xlfn.IFS(orders[[#This Row],[Customer Gender]]="M","Male", orders[[#This Row],[Customer Gender]]="F","Female", orders[[#This Row],[Customer Gender]]="O","Other", TRUE(),"Unknown")</f>
        <v>Female</v>
      </c>
    </row>
    <row r="2352" spans="1:15" x14ac:dyDescent="0.25">
      <c r="A2352" t="s">
        <v>2580</v>
      </c>
      <c r="B2352" t="s">
        <v>86</v>
      </c>
      <c r="C2352">
        <v>3</v>
      </c>
      <c r="D2352">
        <v>20.100000000000001</v>
      </c>
      <c r="E2352">
        <v>60.3</v>
      </c>
      <c r="F2352" s="58">
        <v>45744</v>
      </c>
      <c r="G2352" s="58">
        <v>45746</v>
      </c>
      <c r="H2352" t="s">
        <v>231</v>
      </c>
      <c r="I2352" t="s">
        <v>60</v>
      </c>
      <c r="J2352">
        <v>2</v>
      </c>
      <c r="K2352" t="s">
        <v>103</v>
      </c>
      <c r="L2352" t="s">
        <v>148</v>
      </c>
      <c r="M2352">
        <f>orders[[#This Row],[Ship Date]]-orders[[#This Row],[Order Date]]</f>
        <v>2</v>
      </c>
      <c r="N2352">
        <f>WEEKNUM(orders[[#This Row],[Order Date]],1)</f>
        <v>13</v>
      </c>
      <c r="O2352" t="str">
        <f t="array" ref="O2352">_xlfn.IFS(orders[[#This Row],[Customer Gender]]="M","Male", orders[[#This Row],[Customer Gender]]="F","Female", orders[[#This Row],[Customer Gender]]="O","Other", TRUE(),"Unknown")</f>
        <v>Female</v>
      </c>
    </row>
    <row r="2353" spans="1:15" x14ac:dyDescent="0.25">
      <c r="A2353" t="s">
        <v>2581</v>
      </c>
      <c r="B2353" t="s">
        <v>87</v>
      </c>
      <c r="C2353">
        <v>5</v>
      </c>
      <c r="D2353">
        <v>153.6</v>
      </c>
      <c r="E2353">
        <v>768</v>
      </c>
      <c r="F2353" s="58">
        <v>45744</v>
      </c>
      <c r="G2353" s="58">
        <v>45745</v>
      </c>
      <c r="H2353" t="s">
        <v>231</v>
      </c>
      <c r="I2353" t="s">
        <v>63</v>
      </c>
      <c r="J2353">
        <v>5</v>
      </c>
      <c r="K2353" t="s">
        <v>103</v>
      </c>
      <c r="L2353" t="s">
        <v>150</v>
      </c>
      <c r="M2353">
        <f>orders[[#This Row],[Ship Date]]-orders[[#This Row],[Order Date]]</f>
        <v>1</v>
      </c>
      <c r="N2353">
        <f>WEEKNUM(orders[[#This Row],[Order Date]],1)</f>
        <v>13</v>
      </c>
      <c r="O2353" t="str">
        <f t="array" ref="O2353">_xlfn.IFS(orders[[#This Row],[Customer Gender]]="M","Male", orders[[#This Row],[Customer Gender]]="F","Female", orders[[#This Row],[Customer Gender]]="O","Other", TRUE(),"Unknown")</f>
        <v>Female</v>
      </c>
    </row>
    <row r="2354" spans="1:15" x14ac:dyDescent="0.25">
      <c r="A2354" t="s">
        <v>2582</v>
      </c>
      <c r="B2354" t="s">
        <v>91</v>
      </c>
      <c r="C2354">
        <v>2</v>
      </c>
      <c r="D2354">
        <v>71.8</v>
      </c>
      <c r="E2354">
        <v>143.6</v>
      </c>
      <c r="F2354" s="58">
        <v>45744</v>
      </c>
      <c r="G2354" s="58">
        <v>45748</v>
      </c>
      <c r="H2354" t="s">
        <v>231</v>
      </c>
      <c r="I2354" t="s">
        <v>63</v>
      </c>
      <c r="J2354">
        <v>4</v>
      </c>
      <c r="K2354" t="s">
        <v>103</v>
      </c>
      <c r="L2354" t="s">
        <v>112</v>
      </c>
      <c r="M2354">
        <f>orders[[#This Row],[Ship Date]]-orders[[#This Row],[Order Date]]</f>
        <v>4</v>
      </c>
      <c r="N2354">
        <f>WEEKNUM(orders[[#This Row],[Order Date]],1)</f>
        <v>13</v>
      </c>
      <c r="O2354" t="str">
        <f t="array" ref="O2354">_xlfn.IFS(orders[[#This Row],[Customer Gender]]="M","Male", orders[[#This Row],[Customer Gender]]="F","Female", orders[[#This Row],[Customer Gender]]="O","Other", TRUE(),"Unknown")</f>
        <v>Female</v>
      </c>
    </row>
    <row r="2355" spans="1:15" x14ac:dyDescent="0.25">
      <c r="A2355" t="s">
        <v>2583</v>
      </c>
      <c r="B2355" t="s">
        <v>75</v>
      </c>
      <c r="C2355">
        <v>1</v>
      </c>
      <c r="D2355">
        <v>64.7</v>
      </c>
      <c r="E2355">
        <v>64.7</v>
      </c>
      <c r="F2355" s="58">
        <v>45744</v>
      </c>
      <c r="G2355" s="58">
        <v>45746</v>
      </c>
      <c r="I2355" t="s">
        <v>59</v>
      </c>
      <c r="J2355">
        <v>3</v>
      </c>
      <c r="K2355" t="s">
        <v>103</v>
      </c>
      <c r="L2355" t="s">
        <v>112</v>
      </c>
      <c r="M2355">
        <f>orders[[#This Row],[Ship Date]]-orders[[#This Row],[Order Date]]</f>
        <v>2</v>
      </c>
      <c r="N2355">
        <f>WEEKNUM(orders[[#This Row],[Order Date]],1)</f>
        <v>13</v>
      </c>
      <c r="O2355" t="str">
        <f t="array" ref="O2355">_xlfn.IFS(orders[[#This Row],[Customer Gender]]="M","Male", orders[[#This Row],[Customer Gender]]="F","Female", orders[[#This Row],[Customer Gender]]="O","Other", TRUE(),"Unknown")</f>
        <v>Unknown</v>
      </c>
    </row>
    <row r="2356" spans="1:15" x14ac:dyDescent="0.25">
      <c r="A2356" t="s">
        <v>2584</v>
      </c>
      <c r="B2356" t="s">
        <v>88</v>
      </c>
      <c r="C2356">
        <v>8</v>
      </c>
      <c r="D2356">
        <v>60.4</v>
      </c>
      <c r="E2356">
        <v>483.2</v>
      </c>
      <c r="F2356" s="58">
        <v>45744</v>
      </c>
      <c r="G2356" s="58">
        <v>45746</v>
      </c>
      <c r="H2356" t="s">
        <v>231</v>
      </c>
      <c r="I2356" t="s">
        <v>60</v>
      </c>
      <c r="J2356">
        <v>5</v>
      </c>
      <c r="K2356" t="s">
        <v>103</v>
      </c>
      <c r="L2356" t="s">
        <v>115</v>
      </c>
      <c r="M2356">
        <f>orders[[#This Row],[Ship Date]]-orders[[#This Row],[Order Date]]</f>
        <v>2</v>
      </c>
      <c r="N2356">
        <f>WEEKNUM(orders[[#This Row],[Order Date]],1)</f>
        <v>13</v>
      </c>
      <c r="O2356" t="str">
        <f t="array" ref="O2356">_xlfn.IFS(orders[[#This Row],[Customer Gender]]="M","Male", orders[[#This Row],[Customer Gender]]="F","Female", orders[[#This Row],[Customer Gender]]="O","Other", TRUE(),"Unknown")</f>
        <v>Female</v>
      </c>
    </row>
    <row r="2357" spans="1:15" x14ac:dyDescent="0.25">
      <c r="A2357" t="s">
        <v>2585</v>
      </c>
      <c r="B2357" t="s">
        <v>80</v>
      </c>
      <c r="C2357">
        <v>4</v>
      </c>
      <c r="D2357">
        <v>86</v>
      </c>
      <c r="E2357">
        <v>344</v>
      </c>
      <c r="F2357" s="58">
        <v>45744</v>
      </c>
      <c r="G2357" s="58">
        <v>45747</v>
      </c>
      <c r="H2357" t="s">
        <v>231</v>
      </c>
      <c r="I2357" t="s">
        <v>62</v>
      </c>
      <c r="J2357">
        <v>5</v>
      </c>
      <c r="K2357" t="s">
        <v>103</v>
      </c>
      <c r="L2357" t="s">
        <v>120</v>
      </c>
      <c r="M2357">
        <f>orders[[#This Row],[Ship Date]]-orders[[#This Row],[Order Date]]</f>
        <v>3</v>
      </c>
      <c r="N2357">
        <f>WEEKNUM(orders[[#This Row],[Order Date]],1)</f>
        <v>13</v>
      </c>
      <c r="O2357" t="str">
        <f t="array" ref="O2357">_xlfn.IFS(orders[[#This Row],[Customer Gender]]="M","Male", orders[[#This Row],[Customer Gender]]="F","Female", orders[[#This Row],[Customer Gender]]="O","Other", TRUE(),"Unknown")</f>
        <v>Female</v>
      </c>
    </row>
    <row r="2358" spans="1:15" x14ac:dyDescent="0.25">
      <c r="A2358" t="s">
        <v>2586</v>
      </c>
      <c r="B2358" t="s">
        <v>76</v>
      </c>
      <c r="C2358">
        <v>2</v>
      </c>
      <c r="D2358">
        <v>42.1</v>
      </c>
      <c r="E2358">
        <v>84.2</v>
      </c>
      <c r="F2358" s="58">
        <v>45744</v>
      </c>
      <c r="G2358" s="58">
        <v>45745</v>
      </c>
      <c r="H2358" t="s">
        <v>231</v>
      </c>
      <c r="I2358" t="s">
        <v>61</v>
      </c>
      <c r="J2358">
        <v>3</v>
      </c>
      <c r="K2358" t="s">
        <v>103</v>
      </c>
      <c r="L2358" t="s">
        <v>121</v>
      </c>
      <c r="M2358">
        <f>orders[[#This Row],[Ship Date]]-orders[[#This Row],[Order Date]]</f>
        <v>1</v>
      </c>
      <c r="N2358">
        <f>WEEKNUM(orders[[#This Row],[Order Date]],1)</f>
        <v>13</v>
      </c>
      <c r="O2358" t="str">
        <f t="array" ref="O2358">_xlfn.IFS(orders[[#This Row],[Customer Gender]]="M","Male", orders[[#This Row],[Customer Gender]]="F","Female", orders[[#This Row],[Customer Gender]]="O","Other", TRUE(),"Unknown")</f>
        <v>Female</v>
      </c>
    </row>
    <row r="2359" spans="1:15" x14ac:dyDescent="0.25">
      <c r="A2359" t="s">
        <v>2587</v>
      </c>
      <c r="B2359" t="s">
        <v>89</v>
      </c>
      <c r="C2359">
        <v>9</v>
      </c>
      <c r="D2359">
        <v>51.1</v>
      </c>
      <c r="E2359">
        <v>459.9</v>
      </c>
      <c r="F2359" s="58">
        <v>45744</v>
      </c>
      <c r="G2359" s="58">
        <v>45745</v>
      </c>
      <c r="H2359" t="s">
        <v>229</v>
      </c>
      <c r="I2359" t="s">
        <v>62</v>
      </c>
      <c r="J2359">
        <v>3</v>
      </c>
      <c r="K2359" t="s">
        <v>103</v>
      </c>
      <c r="L2359" t="s">
        <v>124</v>
      </c>
      <c r="M2359">
        <f>orders[[#This Row],[Ship Date]]-orders[[#This Row],[Order Date]]</f>
        <v>1</v>
      </c>
      <c r="N2359">
        <f>WEEKNUM(orders[[#This Row],[Order Date]],1)</f>
        <v>13</v>
      </c>
      <c r="O2359" t="str">
        <f t="array" ref="O2359">_xlfn.IFS(orders[[#This Row],[Customer Gender]]="M","Male", orders[[#This Row],[Customer Gender]]="F","Female", orders[[#This Row],[Customer Gender]]="O","Other", TRUE(),"Unknown")</f>
        <v>Male</v>
      </c>
    </row>
    <row r="2360" spans="1:15" x14ac:dyDescent="0.25">
      <c r="A2360" t="s">
        <v>2588</v>
      </c>
      <c r="B2360" t="s">
        <v>88</v>
      </c>
      <c r="C2360">
        <v>4</v>
      </c>
      <c r="D2360">
        <v>73.8</v>
      </c>
      <c r="E2360">
        <v>295.2</v>
      </c>
      <c r="F2360" s="58">
        <v>45744</v>
      </c>
      <c r="G2360" s="58">
        <v>45745</v>
      </c>
      <c r="H2360" t="s">
        <v>229</v>
      </c>
      <c r="I2360" t="s">
        <v>61</v>
      </c>
      <c r="J2360">
        <v>4</v>
      </c>
      <c r="K2360" t="s">
        <v>103</v>
      </c>
      <c r="L2360" t="s">
        <v>124</v>
      </c>
      <c r="M2360">
        <f>orders[[#This Row],[Ship Date]]-orders[[#This Row],[Order Date]]</f>
        <v>1</v>
      </c>
      <c r="N2360">
        <f>WEEKNUM(orders[[#This Row],[Order Date]],1)</f>
        <v>13</v>
      </c>
      <c r="O2360" t="str">
        <f t="array" ref="O2360">_xlfn.IFS(orders[[#This Row],[Customer Gender]]="M","Male", orders[[#This Row],[Customer Gender]]="F","Female", orders[[#This Row],[Customer Gender]]="O","Other", TRUE(),"Unknown")</f>
        <v>Male</v>
      </c>
    </row>
    <row r="2361" spans="1:15" x14ac:dyDescent="0.25">
      <c r="A2361" t="s">
        <v>2589</v>
      </c>
      <c r="B2361" t="s">
        <v>90</v>
      </c>
      <c r="C2361">
        <v>5</v>
      </c>
      <c r="D2361">
        <v>27</v>
      </c>
      <c r="E2361">
        <v>135</v>
      </c>
      <c r="F2361" s="58">
        <v>45744</v>
      </c>
      <c r="G2361" s="58">
        <v>45747</v>
      </c>
      <c r="H2361" t="s">
        <v>231</v>
      </c>
      <c r="I2361" t="s">
        <v>62</v>
      </c>
      <c r="J2361">
        <v>5</v>
      </c>
      <c r="K2361" t="s">
        <v>103</v>
      </c>
      <c r="L2361" t="s">
        <v>124</v>
      </c>
      <c r="M2361">
        <f>orders[[#This Row],[Ship Date]]-orders[[#This Row],[Order Date]]</f>
        <v>3</v>
      </c>
      <c r="N2361">
        <f>WEEKNUM(orders[[#This Row],[Order Date]],1)</f>
        <v>13</v>
      </c>
      <c r="O2361" t="str">
        <f t="array" ref="O2361">_xlfn.IFS(orders[[#This Row],[Customer Gender]]="M","Male", orders[[#This Row],[Customer Gender]]="F","Female", orders[[#This Row],[Customer Gender]]="O","Other", TRUE(),"Unknown")</f>
        <v>Female</v>
      </c>
    </row>
    <row r="2362" spans="1:15" x14ac:dyDescent="0.25">
      <c r="A2362" t="s">
        <v>2590</v>
      </c>
      <c r="B2362" t="s">
        <v>90</v>
      </c>
      <c r="C2362">
        <v>6</v>
      </c>
      <c r="D2362">
        <v>60.1</v>
      </c>
      <c r="E2362">
        <v>360.6</v>
      </c>
      <c r="F2362" s="58">
        <v>45744</v>
      </c>
      <c r="G2362" s="58">
        <v>45745</v>
      </c>
      <c r="H2362" t="s">
        <v>229</v>
      </c>
      <c r="I2362" t="s">
        <v>60</v>
      </c>
      <c r="J2362">
        <v>4</v>
      </c>
      <c r="K2362" t="s">
        <v>103</v>
      </c>
      <c r="L2362" t="s">
        <v>124</v>
      </c>
      <c r="M2362">
        <f>orders[[#This Row],[Ship Date]]-orders[[#This Row],[Order Date]]</f>
        <v>1</v>
      </c>
      <c r="N2362">
        <f>WEEKNUM(orders[[#This Row],[Order Date]],1)</f>
        <v>13</v>
      </c>
      <c r="O2362" t="str">
        <f t="array" ref="O2362">_xlfn.IFS(orders[[#This Row],[Customer Gender]]="M","Male", orders[[#This Row],[Customer Gender]]="F","Female", orders[[#This Row],[Customer Gender]]="O","Other", TRUE(),"Unknown")</f>
        <v>Male</v>
      </c>
    </row>
    <row r="2363" spans="1:15" x14ac:dyDescent="0.25">
      <c r="A2363" t="s">
        <v>2591</v>
      </c>
      <c r="B2363" t="s">
        <v>87</v>
      </c>
      <c r="C2363">
        <v>7</v>
      </c>
      <c r="D2363">
        <v>94.1</v>
      </c>
      <c r="E2363">
        <v>658.7</v>
      </c>
      <c r="F2363" s="58">
        <v>45744</v>
      </c>
      <c r="G2363" s="58">
        <v>45746</v>
      </c>
      <c r="H2363" t="s">
        <v>231</v>
      </c>
      <c r="I2363" t="s">
        <v>61</v>
      </c>
      <c r="J2363">
        <v>3</v>
      </c>
      <c r="K2363" t="s">
        <v>103</v>
      </c>
      <c r="L2363" t="s">
        <v>124</v>
      </c>
      <c r="M2363">
        <f>orders[[#This Row],[Ship Date]]-orders[[#This Row],[Order Date]]</f>
        <v>2</v>
      </c>
      <c r="N2363">
        <f>WEEKNUM(orders[[#This Row],[Order Date]],1)</f>
        <v>13</v>
      </c>
      <c r="O2363" t="str">
        <f t="array" ref="O2363">_xlfn.IFS(orders[[#This Row],[Customer Gender]]="M","Male", orders[[#This Row],[Customer Gender]]="F","Female", orders[[#This Row],[Customer Gender]]="O","Other", TRUE(),"Unknown")</f>
        <v>Female</v>
      </c>
    </row>
    <row r="2364" spans="1:15" x14ac:dyDescent="0.25">
      <c r="A2364" t="s">
        <v>2592</v>
      </c>
      <c r="B2364" t="s">
        <v>87</v>
      </c>
      <c r="C2364">
        <v>2</v>
      </c>
      <c r="D2364">
        <v>124.1</v>
      </c>
      <c r="E2364">
        <v>248.2</v>
      </c>
      <c r="F2364" s="58">
        <v>45744</v>
      </c>
      <c r="G2364" s="58">
        <v>45744</v>
      </c>
      <c r="H2364" t="s">
        <v>231</v>
      </c>
      <c r="I2364" t="s">
        <v>62</v>
      </c>
      <c r="J2364">
        <v>1</v>
      </c>
      <c r="K2364" t="s">
        <v>103</v>
      </c>
      <c r="L2364" t="s">
        <v>126</v>
      </c>
      <c r="M2364">
        <f>orders[[#This Row],[Ship Date]]-orders[[#This Row],[Order Date]]</f>
        <v>0</v>
      </c>
      <c r="N2364">
        <f>WEEKNUM(orders[[#This Row],[Order Date]],1)</f>
        <v>13</v>
      </c>
      <c r="O2364" t="str">
        <f t="array" ref="O2364">_xlfn.IFS(orders[[#This Row],[Customer Gender]]="M","Male", orders[[#This Row],[Customer Gender]]="F","Female", orders[[#This Row],[Customer Gender]]="O","Other", TRUE(),"Unknown")</f>
        <v>Female</v>
      </c>
    </row>
    <row r="2365" spans="1:15" x14ac:dyDescent="0.25">
      <c r="A2365" t="s">
        <v>2593</v>
      </c>
      <c r="B2365" t="s">
        <v>90</v>
      </c>
      <c r="C2365">
        <v>4</v>
      </c>
      <c r="D2365">
        <v>16.899999999999999</v>
      </c>
      <c r="E2365">
        <v>67.599999999999994</v>
      </c>
      <c r="F2365" s="58">
        <v>45744</v>
      </c>
      <c r="G2365" s="58">
        <v>45747</v>
      </c>
      <c r="H2365" t="s">
        <v>229</v>
      </c>
      <c r="I2365" t="s">
        <v>60</v>
      </c>
      <c r="J2365">
        <v>4</v>
      </c>
      <c r="K2365" t="s">
        <v>103</v>
      </c>
      <c r="L2365" t="s">
        <v>139</v>
      </c>
      <c r="M2365">
        <f>orders[[#This Row],[Ship Date]]-orders[[#This Row],[Order Date]]</f>
        <v>3</v>
      </c>
      <c r="N2365">
        <f>WEEKNUM(orders[[#This Row],[Order Date]],1)</f>
        <v>13</v>
      </c>
      <c r="O2365" t="str">
        <f t="array" ref="O2365">_xlfn.IFS(orders[[#This Row],[Customer Gender]]="M","Male", orders[[#This Row],[Customer Gender]]="F","Female", orders[[#This Row],[Customer Gender]]="O","Other", TRUE(),"Unknown")</f>
        <v>Male</v>
      </c>
    </row>
    <row r="2366" spans="1:15" x14ac:dyDescent="0.25">
      <c r="A2366" t="s">
        <v>2594</v>
      </c>
      <c r="B2366" t="s">
        <v>91</v>
      </c>
      <c r="C2366">
        <v>1</v>
      </c>
      <c r="D2366">
        <v>36.9</v>
      </c>
      <c r="E2366">
        <v>36.9</v>
      </c>
      <c r="F2366" s="58">
        <v>45744</v>
      </c>
      <c r="G2366" s="58">
        <v>45745</v>
      </c>
      <c r="H2366" t="s">
        <v>229</v>
      </c>
      <c r="I2366" t="s">
        <v>59</v>
      </c>
      <c r="J2366">
        <v>4</v>
      </c>
      <c r="K2366" t="s">
        <v>103</v>
      </c>
      <c r="L2366" t="s">
        <v>139</v>
      </c>
      <c r="M2366">
        <f>orders[[#This Row],[Ship Date]]-orders[[#This Row],[Order Date]]</f>
        <v>1</v>
      </c>
      <c r="N2366">
        <f>WEEKNUM(orders[[#This Row],[Order Date]],1)</f>
        <v>13</v>
      </c>
      <c r="O2366" t="str">
        <f t="array" ref="O2366">_xlfn.IFS(orders[[#This Row],[Customer Gender]]="M","Male", orders[[#This Row],[Customer Gender]]="F","Female", orders[[#This Row],[Customer Gender]]="O","Other", TRUE(),"Unknown")</f>
        <v>Male</v>
      </c>
    </row>
    <row r="2367" spans="1:15" x14ac:dyDescent="0.25">
      <c r="A2367" t="s">
        <v>2595</v>
      </c>
      <c r="B2367" t="s">
        <v>88</v>
      </c>
      <c r="C2367">
        <v>2</v>
      </c>
      <c r="D2367">
        <v>22.6</v>
      </c>
      <c r="E2367">
        <v>45.2</v>
      </c>
      <c r="F2367" s="58">
        <v>45744</v>
      </c>
      <c r="G2367" s="58">
        <v>45757</v>
      </c>
      <c r="H2367" t="s">
        <v>231</v>
      </c>
      <c r="I2367" t="s">
        <v>62</v>
      </c>
      <c r="J2367">
        <v>3</v>
      </c>
      <c r="K2367" t="s">
        <v>103</v>
      </c>
      <c r="L2367" t="s">
        <v>142</v>
      </c>
      <c r="M2367">
        <f>orders[[#This Row],[Ship Date]]-orders[[#This Row],[Order Date]]</f>
        <v>13</v>
      </c>
      <c r="N2367">
        <f>WEEKNUM(orders[[#This Row],[Order Date]],1)</f>
        <v>13</v>
      </c>
      <c r="O2367" t="str">
        <f t="array" ref="O2367">_xlfn.IFS(orders[[#This Row],[Customer Gender]]="M","Male", orders[[#This Row],[Customer Gender]]="F","Female", orders[[#This Row],[Customer Gender]]="O","Other", TRUE(),"Unknown")</f>
        <v>Female</v>
      </c>
    </row>
    <row r="2368" spans="1:15" x14ac:dyDescent="0.25">
      <c r="A2368" t="s">
        <v>2596</v>
      </c>
      <c r="B2368" t="s">
        <v>79</v>
      </c>
      <c r="C2368">
        <v>4</v>
      </c>
      <c r="D2368">
        <v>35</v>
      </c>
      <c r="E2368">
        <v>140</v>
      </c>
      <c r="F2368" s="58">
        <v>45744</v>
      </c>
      <c r="G2368" s="58">
        <v>45749</v>
      </c>
      <c r="H2368" t="s">
        <v>229</v>
      </c>
      <c r="I2368" t="s">
        <v>60</v>
      </c>
      <c r="J2368">
        <v>3</v>
      </c>
      <c r="K2368" t="s">
        <v>103</v>
      </c>
      <c r="L2368" t="s">
        <v>142</v>
      </c>
      <c r="M2368">
        <f>orders[[#This Row],[Ship Date]]-orders[[#This Row],[Order Date]]</f>
        <v>5</v>
      </c>
      <c r="N2368">
        <f>WEEKNUM(orders[[#This Row],[Order Date]],1)</f>
        <v>13</v>
      </c>
      <c r="O2368" t="str">
        <f t="array" ref="O2368">_xlfn.IFS(orders[[#This Row],[Customer Gender]]="M","Male", orders[[#This Row],[Customer Gender]]="F","Female", orders[[#This Row],[Customer Gender]]="O","Other", TRUE(),"Unknown")</f>
        <v>Male</v>
      </c>
    </row>
    <row r="2369" spans="1:15" x14ac:dyDescent="0.25">
      <c r="A2369" t="s">
        <v>2597</v>
      </c>
      <c r="B2369" t="s">
        <v>88</v>
      </c>
      <c r="C2369">
        <v>6</v>
      </c>
      <c r="D2369">
        <v>63.6</v>
      </c>
      <c r="E2369">
        <v>381.6</v>
      </c>
      <c r="F2369" s="58">
        <v>45744</v>
      </c>
      <c r="G2369" s="58">
        <v>45751</v>
      </c>
      <c r="I2369" t="s">
        <v>63</v>
      </c>
      <c r="J2369">
        <v>5</v>
      </c>
      <c r="K2369" t="s">
        <v>103</v>
      </c>
      <c r="L2369" t="s">
        <v>142</v>
      </c>
      <c r="M2369">
        <f>orders[[#This Row],[Ship Date]]-orders[[#This Row],[Order Date]]</f>
        <v>7</v>
      </c>
      <c r="N2369">
        <f>WEEKNUM(orders[[#This Row],[Order Date]],1)</f>
        <v>13</v>
      </c>
      <c r="O2369" t="str">
        <f t="array" ref="O2369">_xlfn.IFS(orders[[#This Row],[Customer Gender]]="M","Male", orders[[#This Row],[Customer Gender]]="F","Female", orders[[#This Row],[Customer Gender]]="O","Other", TRUE(),"Unknown")</f>
        <v>Unknown</v>
      </c>
    </row>
    <row r="2370" spans="1:15" x14ac:dyDescent="0.25">
      <c r="A2370" t="s">
        <v>2598</v>
      </c>
      <c r="B2370" t="s">
        <v>77</v>
      </c>
      <c r="C2370">
        <v>4</v>
      </c>
      <c r="D2370">
        <v>78.599999999999994</v>
      </c>
      <c r="E2370">
        <v>314.39999999999998</v>
      </c>
      <c r="F2370" s="58">
        <v>45744</v>
      </c>
      <c r="G2370" s="58">
        <v>45745</v>
      </c>
      <c r="H2370" t="s">
        <v>229</v>
      </c>
      <c r="I2370" t="s">
        <v>61</v>
      </c>
      <c r="J2370">
        <v>3</v>
      </c>
      <c r="K2370" t="s">
        <v>103</v>
      </c>
      <c r="L2370" t="s">
        <v>142</v>
      </c>
      <c r="M2370">
        <f>orders[[#This Row],[Ship Date]]-orders[[#This Row],[Order Date]]</f>
        <v>1</v>
      </c>
      <c r="N2370">
        <f>WEEKNUM(orders[[#This Row],[Order Date]],1)</f>
        <v>13</v>
      </c>
      <c r="O2370" t="str">
        <f t="array" ref="O2370">_xlfn.IFS(orders[[#This Row],[Customer Gender]]="M","Male", orders[[#This Row],[Customer Gender]]="F","Female", orders[[#This Row],[Customer Gender]]="O","Other", TRUE(),"Unknown")</f>
        <v>Male</v>
      </c>
    </row>
    <row r="2371" spans="1:15" x14ac:dyDescent="0.25">
      <c r="A2371" t="s">
        <v>2599</v>
      </c>
      <c r="B2371" t="s">
        <v>93</v>
      </c>
      <c r="C2371">
        <v>2</v>
      </c>
      <c r="D2371">
        <v>38.5</v>
      </c>
      <c r="E2371">
        <v>77</v>
      </c>
      <c r="F2371" s="58">
        <v>45744</v>
      </c>
      <c r="G2371" s="58">
        <v>45745</v>
      </c>
      <c r="H2371" t="s">
        <v>229</v>
      </c>
      <c r="I2371" t="s">
        <v>59</v>
      </c>
      <c r="J2371">
        <v>5</v>
      </c>
      <c r="K2371" t="s">
        <v>103</v>
      </c>
      <c r="L2371" t="s">
        <v>142</v>
      </c>
      <c r="M2371">
        <f>orders[[#This Row],[Ship Date]]-orders[[#This Row],[Order Date]]</f>
        <v>1</v>
      </c>
      <c r="N2371">
        <f>WEEKNUM(orders[[#This Row],[Order Date]],1)</f>
        <v>13</v>
      </c>
      <c r="O2371" t="str">
        <f t="array" ref="O2371">_xlfn.IFS(orders[[#This Row],[Customer Gender]]="M","Male", orders[[#This Row],[Customer Gender]]="F","Female", orders[[#This Row],[Customer Gender]]="O","Other", TRUE(),"Unknown")</f>
        <v>Male</v>
      </c>
    </row>
    <row r="2372" spans="1:15" x14ac:dyDescent="0.25">
      <c r="A2372" t="s">
        <v>2600</v>
      </c>
      <c r="B2372" t="s">
        <v>90</v>
      </c>
      <c r="C2372">
        <v>11</v>
      </c>
      <c r="D2372">
        <v>71.5</v>
      </c>
      <c r="E2372">
        <v>786.5</v>
      </c>
      <c r="F2372" s="58">
        <v>45744</v>
      </c>
      <c r="G2372" s="58">
        <v>45745</v>
      </c>
      <c r="H2372" t="s">
        <v>231</v>
      </c>
      <c r="I2372" t="s">
        <v>63</v>
      </c>
      <c r="J2372">
        <v>2</v>
      </c>
      <c r="K2372" t="s">
        <v>103</v>
      </c>
      <c r="L2372" t="s">
        <v>142</v>
      </c>
      <c r="M2372">
        <f>orders[[#This Row],[Ship Date]]-orders[[#This Row],[Order Date]]</f>
        <v>1</v>
      </c>
      <c r="N2372">
        <f>WEEKNUM(orders[[#This Row],[Order Date]],1)</f>
        <v>13</v>
      </c>
      <c r="O2372" t="str">
        <f t="array" ref="O2372">_xlfn.IFS(orders[[#This Row],[Customer Gender]]="M","Male", orders[[#This Row],[Customer Gender]]="F","Female", orders[[#This Row],[Customer Gender]]="O","Other", TRUE(),"Unknown")</f>
        <v>Female</v>
      </c>
    </row>
    <row r="2373" spans="1:15" x14ac:dyDescent="0.25">
      <c r="A2373" t="s">
        <v>2601</v>
      </c>
      <c r="B2373" t="s">
        <v>80</v>
      </c>
      <c r="C2373">
        <v>4</v>
      </c>
      <c r="D2373">
        <v>121.4</v>
      </c>
      <c r="E2373">
        <v>485.6</v>
      </c>
      <c r="F2373" s="58">
        <v>45744</v>
      </c>
      <c r="G2373" s="58">
        <v>45748</v>
      </c>
      <c r="H2373" t="s">
        <v>229</v>
      </c>
      <c r="I2373" t="s">
        <v>63</v>
      </c>
      <c r="J2373">
        <v>5</v>
      </c>
      <c r="K2373" t="s">
        <v>103</v>
      </c>
      <c r="L2373" t="s">
        <v>143</v>
      </c>
      <c r="M2373">
        <f>orders[[#This Row],[Ship Date]]-orders[[#This Row],[Order Date]]</f>
        <v>4</v>
      </c>
      <c r="N2373">
        <f>WEEKNUM(orders[[#This Row],[Order Date]],1)</f>
        <v>13</v>
      </c>
      <c r="O2373" t="str">
        <f t="array" ref="O2373">_xlfn.IFS(orders[[#This Row],[Customer Gender]]="M","Male", orders[[#This Row],[Customer Gender]]="F","Female", orders[[#This Row],[Customer Gender]]="O","Other", TRUE(),"Unknown")</f>
        <v>Male</v>
      </c>
    </row>
    <row r="2374" spans="1:15" x14ac:dyDescent="0.25">
      <c r="A2374" t="s">
        <v>2602</v>
      </c>
      <c r="B2374" t="s">
        <v>83</v>
      </c>
      <c r="C2374">
        <v>1</v>
      </c>
      <c r="D2374">
        <v>40.200000000000003</v>
      </c>
      <c r="E2374">
        <v>40.200000000000003</v>
      </c>
      <c r="F2374" s="58">
        <v>45744</v>
      </c>
      <c r="G2374" s="58">
        <v>45747</v>
      </c>
      <c r="H2374" t="s">
        <v>231</v>
      </c>
      <c r="I2374" t="s">
        <v>59</v>
      </c>
      <c r="J2374">
        <v>5</v>
      </c>
      <c r="K2374" t="s">
        <v>103</v>
      </c>
      <c r="L2374" t="s">
        <v>148</v>
      </c>
      <c r="M2374">
        <f>orders[[#This Row],[Ship Date]]-orders[[#This Row],[Order Date]]</f>
        <v>3</v>
      </c>
      <c r="N2374">
        <f>WEEKNUM(orders[[#This Row],[Order Date]],1)</f>
        <v>13</v>
      </c>
      <c r="O2374" t="str">
        <f t="array" ref="O2374">_xlfn.IFS(orders[[#This Row],[Customer Gender]]="M","Male", orders[[#This Row],[Customer Gender]]="F","Female", orders[[#This Row],[Customer Gender]]="O","Other", TRUE(),"Unknown")</f>
        <v>Female</v>
      </c>
    </row>
    <row r="2375" spans="1:15" x14ac:dyDescent="0.25">
      <c r="A2375" t="s">
        <v>2603</v>
      </c>
      <c r="B2375" t="s">
        <v>85</v>
      </c>
      <c r="C2375">
        <v>5</v>
      </c>
      <c r="D2375">
        <v>31.9</v>
      </c>
      <c r="E2375">
        <v>159.5</v>
      </c>
      <c r="F2375" s="58">
        <v>45744</v>
      </c>
      <c r="G2375" s="58">
        <v>45746</v>
      </c>
      <c r="H2375" t="s">
        <v>231</v>
      </c>
      <c r="I2375" t="s">
        <v>62</v>
      </c>
      <c r="J2375">
        <v>5</v>
      </c>
      <c r="K2375" t="s">
        <v>103</v>
      </c>
      <c r="L2375" t="s">
        <v>162</v>
      </c>
      <c r="M2375">
        <f>orders[[#This Row],[Ship Date]]-orders[[#This Row],[Order Date]]</f>
        <v>2</v>
      </c>
      <c r="N2375">
        <f>WEEKNUM(orders[[#This Row],[Order Date]],1)</f>
        <v>13</v>
      </c>
      <c r="O2375" t="str">
        <f t="array" ref="O2375">_xlfn.IFS(orders[[#This Row],[Customer Gender]]="M","Male", orders[[#This Row],[Customer Gender]]="F","Female", orders[[#This Row],[Customer Gender]]="O","Other", TRUE(),"Unknown")</f>
        <v>Female</v>
      </c>
    </row>
    <row r="2376" spans="1:15" x14ac:dyDescent="0.25">
      <c r="A2376" t="s">
        <v>2604</v>
      </c>
      <c r="B2376" t="s">
        <v>74</v>
      </c>
      <c r="C2376">
        <v>5</v>
      </c>
      <c r="D2376">
        <v>15.8</v>
      </c>
      <c r="E2376">
        <v>79</v>
      </c>
      <c r="F2376" s="58">
        <v>45745</v>
      </c>
      <c r="G2376" s="58">
        <v>45746</v>
      </c>
      <c r="H2376" t="s">
        <v>229</v>
      </c>
      <c r="I2376" t="s">
        <v>60</v>
      </c>
      <c r="J2376">
        <v>5</v>
      </c>
      <c r="K2376" t="s">
        <v>103</v>
      </c>
      <c r="L2376" t="s">
        <v>106</v>
      </c>
      <c r="M2376">
        <f>orders[[#This Row],[Ship Date]]-orders[[#This Row],[Order Date]]</f>
        <v>1</v>
      </c>
      <c r="N2376">
        <f>WEEKNUM(orders[[#This Row],[Order Date]],1)</f>
        <v>13</v>
      </c>
      <c r="O2376" t="str">
        <f t="array" ref="O2376">_xlfn.IFS(orders[[#This Row],[Customer Gender]]="M","Male", orders[[#This Row],[Customer Gender]]="F","Female", orders[[#This Row],[Customer Gender]]="O","Other", TRUE(),"Unknown")</f>
        <v>Male</v>
      </c>
    </row>
    <row r="2377" spans="1:15" x14ac:dyDescent="0.25">
      <c r="A2377" t="s">
        <v>2605</v>
      </c>
      <c r="B2377" t="s">
        <v>75</v>
      </c>
      <c r="C2377">
        <v>2</v>
      </c>
      <c r="D2377">
        <v>25.1</v>
      </c>
      <c r="E2377">
        <v>50.2</v>
      </c>
      <c r="F2377" s="58">
        <v>45745</v>
      </c>
      <c r="G2377" s="58">
        <v>45747</v>
      </c>
      <c r="I2377" t="s">
        <v>63</v>
      </c>
      <c r="J2377">
        <v>4</v>
      </c>
      <c r="K2377" t="s">
        <v>103</v>
      </c>
      <c r="L2377" t="s">
        <v>106</v>
      </c>
      <c r="M2377">
        <f>orders[[#This Row],[Ship Date]]-orders[[#This Row],[Order Date]]</f>
        <v>2</v>
      </c>
      <c r="N2377">
        <f>WEEKNUM(orders[[#This Row],[Order Date]],1)</f>
        <v>13</v>
      </c>
      <c r="O2377" t="str">
        <f t="array" ref="O2377">_xlfn.IFS(orders[[#This Row],[Customer Gender]]="M","Male", orders[[#This Row],[Customer Gender]]="F","Female", orders[[#This Row],[Customer Gender]]="O","Other", TRUE(),"Unknown")</f>
        <v>Unknown</v>
      </c>
    </row>
    <row r="2378" spans="1:15" x14ac:dyDescent="0.25">
      <c r="A2378" t="s">
        <v>2606</v>
      </c>
      <c r="B2378" t="s">
        <v>91</v>
      </c>
      <c r="C2378">
        <v>23</v>
      </c>
      <c r="D2378">
        <v>38.1</v>
      </c>
      <c r="E2378">
        <v>876.3</v>
      </c>
      <c r="F2378" s="58">
        <v>45745</v>
      </c>
      <c r="G2378" s="58">
        <v>45746</v>
      </c>
      <c r="H2378" t="s">
        <v>231</v>
      </c>
      <c r="I2378" t="s">
        <v>61</v>
      </c>
      <c r="J2378">
        <v>4</v>
      </c>
      <c r="K2378" t="s">
        <v>103</v>
      </c>
      <c r="L2378" t="s">
        <v>112</v>
      </c>
      <c r="M2378">
        <f>orders[[#This Row],[Ship Date]]-orders[[#This Row],[Order Date]]</f>
        <v>1</v>
      </c>
      <c r="N2378">
        <f>WEEKNUM(orders[[#This Row],[Order Date]],1)</f>
        <v>13</v>
      </c>
      <c r="O2378" t="str">
        <f t="array" ref="O2378">_xlfn.IFS(orders[[#This Row],[Customer Gender]]="M","Male", orders[[#This Row],[Customer Gender]]="F","Female", orders[[#This Row],[Customer Gender]]="O","Other", TRUE(),"Unknown")</f>
        <v>Female</v>
      </c>
    </row>
    <row r="2379" spans="1:15" x14ac:dyDescent="0.25">
      <c r="A2379" t="s">
        <v>2607</v>
      </c>
      <c r="B2379" t="s">
        <v>93</v>
      </c>
      <c r="C2379">
        <v>2</v>
      </c>
      <c r="D2379">
        <v>42.2</v>
      </c>
      <c r="E2379">
        <v>84.4</v>
      </c>
      <c r="F2379" s="58">
        <v>45745</v>
      </c>
      <c r="G2379" s="58">
        <v>45747</v>
      </c>
      <c r="H2379" t="s">
        <v>231</v>
      </c>
      <c r="I2379" t="s">
        <v>59</v>
      </c>
      <c r="J2379">
        <v>5</v>
      </c>
      <c r="K2379" t="s">
        <v>103</v>
      </c>
      <c r="L2379" t="s">
        <v>112</v>
      </c>
      <c r="M2379">
        <f>orders[[#This Row],[Ship Date]]-orders[[#This Row],[Order Date]]</f>
        <v>2</v>
      </c>
      <c r="N2379">
        <f>WEEKNUM(orders[[#This Row],[Order Date]],1)</f>
        <v>13</v>
      </c>
      <c r="O2379" t="str">
        <f t="array" ref="O2379">_xlfn.IFS(orders[[#This Row],[Customer Gender]]="M","Male", orders[[#This Row],[Customer Gender]]="F","Female", orders[[#This Row],[Customer Gender]]="O","Other", TRUE(),"Unknown")</f>
        <v>Female</v>
      </c>
    </row>
    <row r="2380" spans="1:15" x14ac:dyDescent="0.25">
      <c r="A2380" t="s">
        <v>2608</v>
      </c>
      <c r="B2380" t="s">
        <v>86</v>
      </c>
      <c r="C2380">
        <v>10</v>
      </c>
      <c r="D2380">
        <v>12.3</v>
      </c>
      <c r="E2380">
        <v>123</v>
      </c>
      <c r="F2380" s="58">
        <v>45745</v>
      </c>
      <c r="G2380" s="58">
        <v>45746</v>
      </c>
      <c r="H2380" t="s">
        <v>231</v>
      </c>
      <c r="I2380" t="s">
        <v>61</v>
      </c>
      <c r="J2380">
        <v>4</v>
      </c>
      <c r="K2380" t="s">
        <v>103</v>
      </c>
      <c r="L2380" t="s">
        <v>115</v>
      </c>
      <c r="M2380">
        <f>orders[[#This Row],[Ship Date]]-orders[[#This Row],[Order Date]]</f>
        <v>1</v>
      </c>
      <c r="N2380">
        <f>WEEKNUM(orders[[#This Row],[Order Date]],1)</f>
        <v>13</v>
      </c>
      <c r="O2380" t="str">
        <f t="array" ref="O2380">_xlfn.IFS(orders[[#This Row],[Customer Gender]]="M","Male", orders[[#This Row],[Customer Gender]]="F","Female", orders[[#This Row],[Customer Gender]]="O","Other", TRUE(),"Unknown")</f>
        <v>Female</v>
      </c>
    </row>
    <row r="2381" spans="1:15" x14ac:dyDescent="0.25">
      <c r="A2381" t="s">
        <v>2609</v>
      </c>
      <c r="B2381" t="s">
        <v>79</v>
      </c>
      <c r="C2381">
        <v>1</v>
      </c>
      <c r="D2381">
        <v>30.2</v>
      </c>
      <c r="E2381">
        <v>30.2</v>
      </c>
      <c r="F2381" s="58">
        <v>45745</v>
      </c>
      <c r="G2381" s="58">
        <v>45747</v>
      </c>
      <c r="H2381" t="s">
        <v>231</v>
      </c>
      <c r="I2381" t="s">
        <v>63</v>
      </c>
      <c r="J2381">
        <v>5</v>
      </c>
      <c r="K2381" t="s">
        <v>103</v>
      </c>
      <c r="L2381" t="s">
        <v>121</v>
      </c>
      <c r="M2381">
        <f>orders[[#This Row],[Ship Date]]-orders[[#This Row],[Order Date]]</f>
        <v>2</v>
      </c>
      <c r="N2381">
        <f>WEEKNUM(orders[[#This Row],[Order Date]],1)</f>
        <v>13</v>
      </c>
      <c r="O2381" t="str">
        <f t="array" ref="O2381">_xlfn.IFS(orders[[#This Row],[Customer Gender]]="M","Male", orders[[#This Row],[Customer Gender]]="F","Female", orders[[#This Row],[Customer Gender]]="O","Other", TRUE(),"Unknown")</f>
        <v>Female</v>
      </c>
    </row>
    <row r="2382" spans="1:15" x14ac:dyDescent="0.25">
      <c r="A2382" t="s">
        <v>2610</v>
      </c>
      <c r="B2382" t="s">
        <v>85</v>
      </c>
      <c r="C2382">
        <v>3</v>
      </c>
      <c r="D2382">
        <v>25.3</v>
      </c>
      <c r="E2382">
        <v>75.900000000000006</v>
      </c>
      <c r="F2382" s="58">
        <v>45745</v>
      </c>
      <c r="G2382" s="58">
        <v>45748</v>
      </c>
      <c r="H2382" t="s">
        <v>231</v>
      </c>
      <c r="I2382" t="s">
        <v>62</v>
      </c>
      <c r="J2382">
        <v>4</v>
      </c>
      <c r="K2382" t="s">
        <v>103</v>
      </c>
      <c r="L2382" t="s">
        <v>124</v>
      </c>
      <c r="M2382">
        <f>orders[[#This Row],[Ship Date]]-orders[[#This Row],[Order Date]]</f>
        <v>3</v>
      </c>
      <c r="N2382">
        <f>WEEKNUM(orders[[#This Row],[Order Date]],1)</f>
        <v>13</v>
      </c>
      <c r="O2382" t="str">
        <f t="array" ref="O2382">_xlfn.IFS(orders[[#This Row],[Customer Gender]]="M","Male", orders[[#This Row],[Customer Gender]]="F","Female", orders[[#This Row],[Customer Gender]]="O","Other", TRUE(),"Unknown")</f>
        <v>Female</v>
      </c>
    </row>
    <row r="2383" spans="1:15" x14ac:dyDescent="0.25">
      <c r="A2383" t="s">
        <v>2611</v>
      </c>
      <c r="B2383" t="s">
        <v>90</v>
      </c>
      <c r="C2383">
        <v>5</v>
      </c>
      <c r="D2383">
        <v>29.7</v>
      </c>
      <c r="E2383">
        <v>148.5</v>
      </c>
      <c r="F2383" s="58">
        <v>45745</v>
      </c>
      <c r="G2383" s="58">
        <v>45747</v>
      </c>
      <c r="H2383" t="s">
        <v>229</v>
      </c>
      <c r="I2383" t="s">
        <v>60</v>
      </c>
      <c r="J2383">
        <v>4</v>
      </c>
      <c r="K2383" t="s">
        <v>103</v>
      </c>
      <c r="L2383" t="s">
        <v>124</v>
      </c>
      <c r="M2383">
        <f>orders[[#This Row],[Ship Date]]-orders[[#This Row],[Order Date]]</f>
        <v>2</v>
      </c>
      <c r="N2383">
        <f>WEEKNUM(orders[[#This Row],[Order Date]],1)</f>
        <v>13</v>
      </c>
      <c r="O2383" t="str">
        <f t="array" ref="O2383">_xlfn.IFS(orders[[#This Row],[Customer Gender]]="M","Male", orders[[#This Row],[Customer Gender]]="F","Female", orders[[#This Row],[Customer Gender]]="O","Other", TRUE(),"Unknown")</f>
        <v>Male</v>
      </c>
    </row>
    <row r="2384" spans="1:15" x14ac:dyDescent="0.25">
      <c r="A2384" t="s">
        <v>2612</v>
      </c>
      <c r="B2384" t="s">
        <v>88</v>
      </c>
      <c r="C2384">
        <v>8</v>
      </c>
      <c r="D2384">
        <v>32.9</v>
      </c>
      <c r="E2384">
        <v>263.2</v>
      </c>
      <c r="F2384" s="58">
        <v>45745</v>
      </c>
      <c r="G2384" s="58">
        <v>45746</v>
      </c>
      <c r="I2384" t="s">
        <v>60</v>
      </c>
      <c r="J2384">
        <v>5</v>
      </c>
      <c r="K2384" t="s">
        <v>103</v>
      </c>
      <c r="L2384" t="s">
        <v>124</v>
      </c>
      <c r="M2384">
        <f>orders[[#This Row],[Ship Date]]-orders[[#This Row],[Order Date]]</f>
        <v>1</v>
      </c>
      <c r="N2384">
        <f>WEEKNUM(orders[[#This Row],[Order Date]],1)</f>
        <v>13</v>
      </c>
      <c r="O2384" t="str">
        <f t="array" ref="O2384">_xlfn.IFS(orders[[#This Row],[Customer Gender]]="M","Male", orders[[#This Row],[Customer Gender]]="F","Female", orders[[#This Row],[Customer Gender]]="O","Other", TRUE(),"Unknown")</f>
        <v>Unknown</v>
      </c>
    </row>
    <row r="2385" spans="1:15" x14ac:dyDescent="0.25">
      <c r="A2385" t="s">
        <v>2613</v>
      </c>
      <c r="B2385" t="s">
        <v>75</v>
      </c>
      <c r="C2385">
        <v>2</v>
      </c>
      <c r="D2385">
        <v>43.6</v>
      </c>
      <c r="E2385">
        <v>87.2</v>
      </c>
      <c r="F2385" s="58">
        <v>45745</v>
      </c>
      <c r="G2385" s="58">
        <v>45746</v>
      </c>
      <c r="H2385" t="s">
        <v>229</v>
      </c>
      <c r="I2385" t="s">
        <v>63</v>
      </c>
      <c r="J2385">
        <v>5</v>
      </c>
      <c r="K2385" t="s">
        <v>103</v>
      </c>
      <c r="L2385" t="s">
        <v>124</v>
      </c>
      <c r="M2385">
        <f>orders[[#This Row],[Ship Date]]-orders[[#This Row],[Order Date]]</f>
        <v>1</v>
      </c>
      <c r="N2385">
        <f>WEEKNUM(orders[[#This Row],[Order Date]],1)</f>
        <v>13</v>
      </c>
      <c r="O2385" t="str">
        <f t="array" ref="O2385">_xlfn.IFS(orders[[#This Row],[Customer Gender]]="M","Male", orders[[#This Row],[Customer Gender]]="F","Female", orders[[#This Row],[Customer Gender]]="O","Other", TRUE(),"Unknown")</f>
        <v>Male</v>
      </c>
    </row>
    <row r="2386" spans="1:15" x14ac:dyDescent="0.25">
      <c r="A2386" t="s">
        <v>2614</v>
      </c>
      <c r="B2386" t="s">
        <v>77</v>
      </c>
      <c r="C2386">
        <v>4</v>
      </c>
      <c r="D2386">
        <v>78.400000000000006</v>
      </c>
      <c r="E2386">
        <v>313.60000000000002</v>
      </c>
      <c r="F2386" s="58">
        <v>45745</v>
      </c>
      <c r="G2386" s="58">
        <v>45746</v>
      </c>
      <c r="H2386" t="s">
        <v>229</v>
      </c>
      <c r="I2386" t="s">
        <v>62</v>
      </c>
      <c r="J2386">
        <v>4</v>
      </c>
      <c r="K2386" t="s">
        <v>103</v>
      </c>
      <c r="L2386" t="s">
        <v>124</v>
      </c>
      <c r="M2386">
        <f>orders[[#This Row],[Ship Date]]-orders[[#This Row],[Order Date]]</f>
        <v>1</v>
      </c>
      <c r="N2386">
        <f>WEEKNUM(orders[[#This Row],[Order Date]],1)</f>
        <v>13</v>
      </c>
      <c r="O2386" t="str">
        <f t="array" ref="O2386">_xlfn.IFS(orders[[#This Row],[Customer Gender]]="M","Male", orders[[#This Row],[Customer Gender]]="F","Female", orders[[#This Row],[Customer Gender]]="O","Other", TRUE(),"Unknown")</f>
        <v>Male</v>
      </c>
    </row>
    <row r="2387" spans="1:15" x14ac:dyDescent="0.25">
      <c r="A2387" t="s">
        <v>2615</v>
      </c>
      <c r="B2387" t="s">
        <v>80</v>
      </c>
      <c r="C2387">
        <v>2</v>
      </c>
      <c r="D2387">
        <v>56.5</v>
      </c>
      <c r="E2387">
        <v>113</v>
      </c>
      <c r="F2387" s="58">
        <v>45745</v>
      </c>
      <c r="G2387" s="58">
        <v>45749</v>
      </c>
      <c r="H2387" t="s">
        <v>229</v>
      </c>
      <c r="I2387" t="s">
        <v>63</v>
      </c>
      <c r="J2387">
        <v>3</v>
      </c>
      <c r="K2387" t="s">
        <v>103</v>
      </c>
      <c r="L2387" t="s">
        <v>124</v>
      </c>
      <c r="M2387">
        <f>orders[[#This Row],[Ship Date]]-orders[[#This Row],[Order Date]]</f>
        <v>4</v>
      </c>
      <c r="N2387">
        <f>WEEKNUM(orders[[#This Row],[Order Date]],1)</f>
        <v>13</v>
      </c>
      <c r="O2387" t="str">
        <f t="array" ref="O2387">_xlfn.IFS(orders[[#This Row],[Customer Gender]]="M","Male", orders[[#This Row],[Customer Gender]]="F","Female", orders[[#This Row],[Customer Gender]]="O","Other", TRUE(),"Unknown")</f>
        <v>Male</v>
      </c>
    </row>
    <row r="2388" spans="1:15" x14ac:dyDescent="0.25">
      <c r="A2388" t="s">
        <v>2616</v>
      </c>
      <c r="B2388" t="s">
        <v>89</v>
      </c>
      <c r="C2388">
        <v>1</v>
      </c>
      <c r="D2388">
        <v>36.700000000000003</v>
      </c>
      <c r="E2388">
        <v>36.700000000000003</v>
      </c>
      <c r="F2388" s="58">
        <v>45745</v>
      </c>
      <c r="G2388" s="58">
        <v>45746</v>
      </c>
      <c r="H2388" t="s">
        <v>231</v>
      </c>
      <c r="I2388" t="s">
        <v>59</v>
      </c>
      <c r="J2388">
        <v>5</v>
      </c>
      <c r="K2388" t="s">
        <v>103</v>
      </c>
      <c r="L2388" t="s">
        <v>124</v>
      </c>
      <c r="M2388">
        <f>orders[[#This Row],[Ship Date]]-orders[[#This Row],[Order Date]]</f>
        <v>1</v>
      </c>
      <c r="N2388">
        <f>WEEKNUM(orders[[#This Row],[Order Date]],1)</f>
        <v>13</v>
      </c>
      <c r="O2388" t="str">
        <f t="array" ref="O2388">_xlfn.IFS(orders[[#This Row],[Customer Gender]]="M","Male", orders[[#This Row],[Customer Gender]]="F","Female", orders[[#This Row],[Customer Gender]]="O","Other", TRUE(),"Unknown")</f>
        <v>Female</v>
      </c>
    </row>
    <row r="2389" spans="1:15" x14ac:dyDescent="0.25">
      <c r="A2389" t="s">
        <v>2617</v>
      </c>
      <c r="B2389" t="s">
        <v>87</v>
      </c>
      <c r="C2389">
        <v>4</v>
      </c>
      <c r="D2389">
        <v>103.6</v>
      </c>
      <c r="E2389">
        <v>414.4</v>
      </c>
      <c r="F2389" s="58">
        <v>45745</v>
      </c>
      <c r="G2389" s="58">
        <v>45756</v>
      </c>
      <c r="H2389" t="s">
        <v>229</v>
      </c>
      <c r="I2389" t="s">
        <v>61</v>
      </c>
      <c r="J2389">
        <v>5</v>
      </c>
      <c r="K2389" t="s">
        <v>103</v>
      </c>
      <c r="L2389" t="s">
        <v>124</v>
      </c>
      <c r="M2389">
        <f>orders[[#This Row],[Ship Date]]-orders[[#This Row],[Order Date]]</f>
        <v>11</v>
      </c>
      <c r="N2389">
        <f>WEEKNUM(orders[[#This Row],[Order Date]],1)</f>
        <v>13</v>
      </c>
      <c r="O2389" t="str">
        <f t="array" ref="O2389">_xlfn.IFS(orders[[#This Row],[Customer Gender]]="M","Male", orders[[#This Row],[Customer Gender]]="F","Female", orders[[#This Row],[Customer Gender]]="O","Other", TRUE(),"Unknown")</f>
        <v>Male</v>
      </c>
    </row>
    <row r="2390" spans="1:15" x14ac:dyDescent="0.25">
      <c r="A2390" t="s">
        <v>2618</v>
      </c>
      <c r="B2390" t="s">
        <v>90</v>
      </c>
      <c r="C2390">
        <v>6</v>
      </c>
      <c r="D2390">
        <v>16.2</v>
      </c>
      <c r="E2390">
        <v>97.2</v>
      </c>
      <c r="F2390" s="58">
        <v>45745</v>
      </c>
      <c r="G2390" s="58">
        <v>45749</v>
      </c>
      <c r="H2390" t="s">
        <v>229</v>
      </c>
      <c r="I2390" t="s">
        <v>63</v>
      </c>
      <c r="J2390">
        <v>5</v>
      </c>
      <c r="K2390" t="s">
        <v>103</v>
      </c>
      <c r="L2390" t="s">
        <v>139</v>
      </c>
      <c r="M2390">
        <f>orders[[#This Row],[Ship Date]]-orders[[#This Row],[Order Date]]</f>
        <v>4</v>
      </c>
      <c r="N2390">
        <f>WEEKNUM(orders[[#This Row],[Order Date]],1)</f>
        <v>13</v>
      </c>
      <c r="O2390" t="str">
        <f t="array" ref="O2390">_xlfn.IFS(orders[[#This Row],[Customer Gender]]="M","Male", orders[[#This Row],[Customer Gender]]="F","Female", orders[[#This Row],[Customer Gender]]="O","Other", TRUE(),"Unknown")</f>
        <v>Male</v>
      </c>
    </row>
    <row r="2391" spans="1:15" x14ac:dyDescent="0.25">
      <c r="A2391" t="s">
        <v>2619</v>
      </c>
      <c r="B2391" t="s">
        <v>90</v>
      </c>
      <c r="C2391">
        <v>2</v>
      </c>
      <c r="D2391">
        <v>20.2</v>
      </c>
      <c r="E2391">
        <v>40.4</v>
      </c>
      <c r="F2391" s="58">
        <v>45745</v>
      </c>
      <c r="G2391" s="58">
        <v>45746</v>
      </c>
      <c r="H2391" t="s">
        <v>231</v>
      </c>
      <c r="I2391" t="s">
        <v>59</v>
      </c>
      <c r="J2391">
        <v>4</v>
      </c>
      <c r="K2391" t="s">
        <v>103</v>
      </c>
      <c r="L2391" t="s">
        <v>139</v>
      </c>
      <c r="M2391">
        <f>orders[[#This Row],[Ship Date]]-orders[[#This Row],[Order Date]]</f>
        <v>1</v>
      </c>
      <c r="N2391">
        <f>WEEKNUM(orders[[#This Row],[Order Date]],1)</f>
        <v>13</v>
      </c>
      <c r="O2391" t="str">
        <f t="array" ref="O2391">_xlfn.IFS(orders[[#This Row],[Customer Gender]]="M","Male", orders[[#This Row],[Customer Gender]]="F","Female", orders[[#This Row],[Customer Gender]]="O","Other", TRUE(),"Unknown")</f>
        <v>Female</v>
      </c>
    </row>
    <row r="2392" spans="1:15" x14ac:dyDescent="0.25">
      <c r="A2392" t="s">
        <v>2620</v>
      </c>
      <c r="B2392" t="s">
        <v>83</v>
      </c>
      <c r="C2392">
        <v>2</v>
      </c>
      <c r="D2392">
        <v>26.9</v>
      </c>
      <c r="E2392">
        <v>53.8</v>
      </c>
      <c r="F2392" s="58">
        <v>45745</v>
      </c>
      <c r="G2392" s="58">
        <v>45747</v>
      </c>
      <c r="H2392" t="s">
        <v>231</v>
      </c>
      <c r="I2392" t="s">
        <v>62</v>
      </c>
      <c r="J2392">
        <v>4</v>
      </c>
      <c r="K2392" t="s">
        <v>103</v>
      </c>
      <c r="L2392" t="s">
        <v>139</v>
      </c>
      <c r="M2392">
        <f>orders[[#This Row],[Ship Date]]-orders[[#This Row],[Order Date]]</f>
        <v>2</v>
      </c>
      <c r="N2392">
        <f>WEEKNUM(orders[[#This Row],[Order Date]],1)</f>
        <v>13</v>
      </c>
      <c r="O2392" t="str">
        <f t="array" ref="O2392">_xlfn.IFS(orders[[#This Row],[Customer Gender]]="M","Male", orders[[#This Row],[Customer Gender]]="F","Female", orders[[#This Row],[Customer Gender]]="O","Other", TRUE(),"Unknown")</f>
        <v>Female</v>
      </c>
    </row>
    <row r="2393" spans="1:15" x14ac:dyDescent="0.25">
      <c r="A2393" t="s">
        <v>2621</v>
      </c>
      <c r="B2393" t="s">
        <v>91</v>
      </c>
      <c r="C2393">
        <v>2</v>
      </c>
      <c r="D2393">
        <v>82.4</v>
      </c>
      <c r="E2393">
        <v>164.8</v>
      </c>
      <c r="F2393" s="58">
        <v>45745</v>
      </c>
      <c r="G2393" s="58">
        <v>45748</v>
      </c>
      <c r="I2393" t="s">
        <v>59</v>
      </c>
      <c r="J2393">
        <v>4</v>
      </c>
      <c r="K2393" t="s">
        <v>103</v>
      </c>
      <c r="L2393" t="s">
        <v>141</v>
      </c>
      <c r="M2393">
        <f>orders[[#This Row],[Ship Date]]-orders[[#This Row],[Order Date]]</f>
        <v>3</v>
      </c>
      <c r="N2393">
        <f>WEEKNUM(orders[[#This Row],[Order Date]],1)</f>
        <v>13</v>
      </c>
      <c r="O2393" t="str">
        <f t="array" ref="O2393">_xlfn.IFS(orders[[#This Row],[Customer Gender]]="M","Male", orders[[#This Row],[Customer Gender]]="F","Female", orders[[#This Row],[Customer Gender]]="O","Other", TRUE(),"Unknown")</f>
        <v>Unknown</v>
      </c>
    </row>
    <row r="2394" spans="1:15" x14ac:dyDescent="0.25">
      <c r="A2394" t="s">
        <v>2622</v>
      </c>
      <c r="B2394" t="s">
        <v>87</v>
      </c>
      <c r="C2394">
        <v>2</v>
      </c>
      <c r="D2394">
        <v>117.8</v>
      </c>
      <c r="E2394">
        <v>235.6</v>
      </c>
      <c r="F2394" s="58">
        <v>45745</v>
      </c>
      <c r="G2394" s="58">
        <v>45747</v>
      </c>
      <c r="H2394" t="s">
        <v>229</v>
      </c>
      <c r="I2394" t="s">
        <v>63</v>
      </c>
      <c r="J2394">
        <v>5</v>
      </c>
      <c r="K2394" t="s">
        <v>103</v>
      </c>
      <c r="L2394" t="s">
        <v>142</v>
      </c>
      <c r="M2394">
        <f>orders[[#This Row],[Ship Date]]-orders[[#This Row],[Order Date]]</f>
        <v>2</v>
      </c>
      <c r="N2394">
        <f>WEEKNUM(orders[[#This Row],[Order Date]],1)</f>
        <v>13</v>
      </c>
      <c r="O2394" t="str">
        <f t="array" ref="O2394">_xlfn.IFS(orders[[#This Row],[Customer Gender]]="M","Male", orders[[#This Row],[Customer Gender]]="F","Female", orders[[#This Row],[Customer Gender]]="O","Other", TRUE(),"Unknown")</f>
        <v>Male</v>
      </c>
    </row>
    <row r="2395" spans="1:15" x14ac:dyDescent="0.25">
      <c r="A2395" t="s">
        <v>2623</v>
      </c>
      <c r="B2395" t="s">
        <v>83</v>
      </c>
      <c r="C2395">
        <v>4</v>
      </c>
      <c r="D2395">
        <v>36.700000000000003</v>
      </c>
      <c r="E2395">
        <v>146.80000000000001</v>
      </c>
      <c r="F2395" s="58">
        <v>45745</v>
      </c>
      <c r="G2395" s="58">
        <v>45746</v>
      </c>
      <c r="H2395" t="s">
        <v>229</v>
      </c>
      <c r="I2395" t="s">
        <v>63</v>
      </c>
      <c r="J2395">
        <v>4</v>
      </c>
      <c r="K2395" t="s">
        <v>103</v>
      </c>
      <c r="L2395" t="s">
        <v>142</v>
      </c>
      <c r="M2395">
        <f>orders[[#This Row],[Ship Date]]-orders[[#This Row],[Order Date]]</f>
        <v>1</v>
      </c>
      <c r="N2395">
        <f>WEEKNUM(orders[[#This Row],[Order Date]],1)</f>
        <v>13</v>
      </c>
      <c r="O2395" t="str">
        <f t="array" ref="O2395">_xlfn.IFS(orders[[#This Row],[Customer Gender]]="M","Male", orders[[#This Row],[Customer Gender]]="F","Female", orders[[#This Row],[Customer Gender]]="O","Other", TRUE(),"Unknown")</f>
        <v>Male</v>
      </c>
    </row>
    <row r="2396" spans="1:15" x14ac:dyDescent="0.25">
      <c r="A2396" t="s">
        <v>2624</v>
      </c>
      <c r="B2396" t="s">
        <v>84</v>
      </c>
      <c r="C2396">
        <v>3</v>
      </c>
      <c r="D2396">
        <v>46.8</v>
      </c>
      <c r="E2396">
        <v>140.4</v>
      </c>
      <c r="F2396" s="58">
        <v>45745</v>
      </c>
      <c r="G2396" s="58">
        <v>45746</v>
      </c>
      <c r="H2396" t="s">
        <v>229</v>
      </c>
      <c r="I2396" t="s">
        <v>61</v>
      </c>
      <c r="J2396">
        <v>5</v>
      </c>
      <c r="K2396" t="s">
        <v>103</v>
      </c>
      <c r="L2396" t="s">
        <v>147</v>
      </c>
      <c r="M2396">
        <f>orders[[#This Row],[Ship Date]]-orders[[#This Row],[Order Date]]</f>
        <v>1</v>
      </c>
      <c r="N2396">
        <f>WEEKNUM(orders[[#This Row],[Order Date]],1)</f>
        <v>13</v>
      </c>
      <c r="O2396" t="str">
        <f t="array" ref="O2396">_xlfn.IFS(orders[[#This Row],[Customer Gender]]="M","Male", orders[[#This Row],[Customer Gender]]="F","Female", orders[[#This Row],[Customer Gender]]="O","Other", TRUE(),"Unknown")</f>
        <v>Male</v>
      </c>
    </row>
    <row r="2397" spans="1:15" x14ac:dyDescent="0.25">
      <c r="A2397" t="s">
        <v>2625</v>
      </c>
      <c r="B2397" t="s">
        <v>93</v>
      </c>
      <c r="C2397">
        <v>1</v>
      </c>
      <c r="D2397">
        <v>61.4</v>
      </c>
      <c r="E2397">
        <v>61.4</v>
      </c>
      <c r="F2397" s="58">
        <v>45745</v>
      </c>
      <c r="G2397" s="58">
        <v>45746</v>
      </c>
      <c r="H2397" t="s">
        <v>229</v>
      </c>
      <c r="I2397" t="s">
        <v>63</v>
      </c>
      <c r="J2397">
        <v>4</v>
      </c>
      <c r="K2397" t="s">
        <v>103</v>
      </c>
      <c r="L2397" t="s">
        <v>147</v>
      </c>
      <c r="M2397">
        <f>orders[[#This Row],[Ship Date]]-orders[[#This Row],[Order Date]]</f>
        <v>1</v>
      </c>
      <c r="N2397">
        <f>WEEKNUM(orders[[#This Row],[Order Date]],1)</f>
        <v>13</v>
      </c>
      <c r="O2397" t="str">
        <f t="array" ref="O2397">_xlfn.IFS(orders[[#This Row],[Customer Gender]]="M","Male", orders[[#This Row],[Customer Gender]]="F","Female", orders[[#This Row],[Customer Gender]]="O","Other", TRUE(),"Unknown")</f>
        <v>Male</v>
      </c>
    </row>
    <row r="2398" spans="1:15" x14ac:dyDescent="0.25">
      <c r="A2398" t="s">
        <v>2626</v>
      </c>
      <c r="B2398" t="s">
        <v>77</v>
      </c>
      <c r="C2398">
        <v>2</v>
      </c>
      <c r="D2398">
        <v>22.9</v>
      </c>
      <c r="E2398">
        <v>45.8</v>
      </c>
      <c r="F2398" s="58">
        <v>45745</v>
      </c>
      <c r="G2398" s="58">
        <v>45746</v>
      </c>
      <c r="H2398" t="s">
        <v>229</v>
      </c>
      <c r="I2398" t="s">
        <v>59</v>
      </c>
      <c r="J2398">
        <v>4</v>
      </c>
      <c r="K2398" t="s">
        <v>103</v>
      </c>
      <c r="L2398" t="s">
        <v>148</v>
      </c>
      <c r="M2398">
        <f>orders[[#This Row],[Ship Date]]-orders[[#This Row],[Order Date]]</f>
        <v>1</v>
      </c>
      <c r="N2398">
        <f>WEEKNUM(orders[[#This Row],[Order Date]],1)</f>
        <v>13</v>
      </c>
      <c r="O2398" t="str">
        <f t="array" ref="O2398">_xlfn.IFS(orders[[#This Row],[Customer Gender]]="M","Male", orders[[#This Row],[Customer Gender]]="F","Female", orders[[#This Row],[Customer Gender]]="O","Other", TRUE(),"Unknown")</f>
        <v>Male</v>
      </c>
    </row>
    <row r="2399" spans="1:15" x14ac:dyDescent="0.25">
      <c r="A2399" t="s">
        <v>2627</v>
      </c>
      <c r="B2399" t="s">
        <v>75</v>
      </c>
      <c r="C2399">
        <v>2</v>
      </c>
      <c r="D2399">
        <v>22.1</v>
      </c>
      <c r="E2399">
        <v>44.2</v>
      </c>
      <c r="F2399" s="58">
        <v>45745</v>
      </c>
      <c r="G2399" s="58">
        <v>45746</v>
      </c>
      <c r="H2399" t="s">
        <v>231</v>
      </c>
      <c r="I2399" t="s">
        <v>61</v>
      </c>
      <c r="J2399">
        <v>4</v>
      </c>
      <c r="K2399" t="s">
        <v>103</v>
      </c>
      <c r="L2399" t="s">
        <v>148</v>
      </c>
      <c r="M2399">
        <f>orders[[#This Row],[Ship Date]]-orders[[#This Row],[Order Date]]</f>
        <v>1</v>
      </c>
      <c r="N2399">
        <f>WEEKNUM(orders[[#This Row],[Order Date]],1)</f>
        <v>13</v>
      </c>
      <c r="O2399" t="str">
        <f t="array" ref="O2399">_xlfn.IFS(orders[[#This Row],[Customer Gender]]="M","Male", orders[[#This Row],[Customer Gender]]="F","Female", orders[[#This Row],[Customer Gender]]="O","Other", TRUE(),"Unknown")</f>
        <v>Female</v>
      </c>
    </row>
    <row r="2400" spans="1:15" x14ac:dyDescent="0.25">
      <c r="A2400" t="s">
        <v>2628</v>
      </c>
      <c r="B2400" t="s">
        <v>76</v>
      </c>
      <c r="C2400">
        <v>2</v>
      </c>
      <c r="D2400">
        <v>31</v>
      </c>
      <c r="E2400">
        <v>62</v>
      </c>
      <c r="F2400" s="58">
        <v>45745</v>
      </c>
      <c r="G2400" s="58">
        <v>45747</v>
      </c>
      <c r="H2400" t="s">
        <v>231</v>
      </c>
      <c r="I2400" t="s">
        <v>62</v>
      </c>
      <c r="J2400">
        <v>4</v>
      </c>
      <c r="K2400" t="s">
        <v>103</v>
      </c>
      <c r="L2400" t="s">
        <v>154</v>
      </c>
      <c r="M2400">
        <f>orders[[#This Row],[Ship Date]]-orders[[#This Row],[Order Date]]</f>
        <v>2</v>
      </c>
      <c r="N2400">
        <f>WEEKNUM(orders[[#This Row],[Order Date]],1)</f>
        <v>13</v>
      </c>
      <c r="O2400" t="str">
        <f t="array" ref="O2400">_xlfn.IFS(orders[[#This Row],[Customer Gender]]="M","Male", orders[[#This Row],[Customer Gender]]="F","Female", orders[[#This Row],[Customer Gender]]="O","Other", TRUE(),"Unknown")</f>
        <v>Female</v>
      </c>
    </row>
    <row r="2401" spans="1:15" x14ac:dyDescent="0.25">
      <c r="A2401" t="s">
        <v>2629</v>
      </c>
      <c r="B2401" t="s">
        <v>82</v>
      </c>
      <c r="C2401">
        <v>2</v>
      </c>
      <c r="D2401">
        <v>84.2</v>
      </c>
      <c r="E2401">
        <v>168.4</v>
      </c>
      <c r="F2401" s="58">
        <v>45745</v>
      </c>
      <c r="G2401" s="58">
        <v>45747</v>
      </c>
      <c r="H2401" t="s">
        <v>229</v>
      </c>
      <c r="I2401" t="s">
        <v>62</v>
      </c>
      <c r="J2401">
        <v>5</v>
      </c>
      <c r="K2401" t="s">
        <v>103</v>
      </c>
      <c r="L2401" t="s">
        <v>161</v>
      </c>
      <c r="M2401">
        <f>orders[[#This Row],[Ship Date]]-orders[[#This Row],[Order Date]]</f>
        <v>2</v>
      </c>
      <c r="N2401">
        <f>WEEKNUM(orders[[#This Row],[Order Date]],1)</f>
        <v>13</v>
      </c>
      <c r="O2401" t="str">
        <f t="array" ref="O2401">_xlfn.IFS(orders[[#This Row],[Customer Gender]]="M","Male", orders[[#This Row],[Customer Gender]]="F","Female", orders[[#This Row],[Customer Gender]]="O","Other", TRUE(),"Unknown")</f>
        <v>Male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18"/>
  <sheetViews>
    <sheetView zoomScaleNormal="100" workbookViewId="0">
      <selection activeCell="E9" sqref="E9"/>
    </sheetView>
  </sheetViews>
  <sheetFormatPr defaultColWidth="8.5703125" defaultRowHeight="15" x14ac:dyDescent="0.25"/>
  <cols>
    <col min="1" max="1" width="3.7109375" customWidth="1"/>
    <col min="2" max="2" width="52.7109375" customWidth="1"/>
  </cols>
  <sheetData>
    <row r="2" spans="2:2" x14ac:dyDescent="0.25">
      <c r="B2" s="59" t="s">
        <v>2630</v>
      </c>
    </row>
    <row r="3" spans="2:2" x14ac:dyDescent="0.25">
      <c r="B3" s="60" t="s">
        <v>44</v>
      </c>
    </row>
    <row r="4" spans="2:2" x14ac:dyDescent="0.25">
      <c r="B4" s="60" t="s">
        <v>45</v>
      </c>
    </row>
    <row r="5" spans="2:2" x14ac:dyDescent="0.25">
      <c r="B5" s="60" t="s">
        <v>2631</v>
      </c>
    </row>
    <row r="6" spans="2:2" x14ac:dyDescent="0.25">
      <c r="B6" s="60" t="s">
        <v>2632</v>
      </c>
    </row>
    <row r="7" spans="2:2" x14ac:dyDescent="0.25">
      <c r="B7" s="60" t="s">
        <v>2633</v>
      </c>
    </row>
    <row r="10" spans="2:2" x14ac:dyDescent="0.25">
      <c r="B10" s="59" t="s">
        <v>2634</v>
      </c>
    </row>
    <row r="11" spans="2:2" x14ac:dyDescent="0.25">
      <c r="B11" t="s">
        <v>2635</v>
      </c>
    </row>
    <row r="12" spans="2:2" x14ac:dyDescent="0.25">
      <c r="B12" t="s">
        <v>2636</v>
      </c>
    </row>
    <row r="13" spans="2:2" x14ac:dyDescent="0.25">
      <c r="B13" t="s">
        <v>2637</v>
      </c>
    </row>
    <row r="14" spans="2:2" x14ac:dyDescent="0.25">
      <c r="B14" t="s">
        <v>2638</v>
      </c>
    </row>
    <row r="15" spans="2:2" x14ac:dyDescent="0.25">
      <c r="B15" t="s">
        <v>2639</v>
      </c>
    </row>
    <row r="16" spans="2:2" x14ac:dyDescent="0.25">
      <c r="B16" t="s">
        <v>2640</v>
      </c>
    </row>
    <row r="17" spans="2:2" x14ac:dyDescent="0.25">
      <c r="B17" t="s">
        <v>2641</v>
      </c>
    </row>
    <row r="18" spans="2:2" x14ac:dyDescent="0.25">
      <c r="B18" t="s">
        <v>2642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Dashboard</vt:lpstr>
      <vt:lpstr>Pivot_Calculations</vt:lpstr>
      <vt:lpstr>Working_Calculations</vt:lpstr>
      <vt:lpstr>Data</vt:lpstr>
      <vt:lpstr>Questions &amp; KPIs</vt:lpstr>
      <vt:lpstr>list_Category</vt:lpstr>
      <vt:lpstr>list_County</vt:lpstr>
      <vt:lpstr>list_Gender</vt:lpstr>
      <vt:lpstr>list_Mode</vt:lpstr>
      <vt:lpstr>list_Month</vt:lpstr>
      <vt:lpstr>Dashboard!Print_Area</vt:lpstr>
      <vt:lpstr>Sel_Category</vt:lpstr>
      <vt:lpstr>Sel_County</vt:lpstr>
      <vt:lpstr>Sel_Gender</vt:lpstr>
      <vt:lpstr>Sel_Mode</vt:lpstr>
      <vt:lpstr>Sel_Month</vt:lpstr>
      <vt:lpstr>wk_DeliveryGroup</vt:lpstr>
      <vt:lpstr>wk_Flag</vt:lpstr>
      <vt:lpstr>wk_Month</vt:lpstr>
      <vt:lpstr>wk_RatingGroup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ORG</dc:creator>
  <dc:description/>
  <cp:lastModifiedBy>Anas Khan</cp:lastModifiedBy>
  <cp:revision>1</cp:revision>
  <dcterms:created xsi:type="dcterms:W3CDTF">2025-06-13T02:42:26Z</dcterms:created>
  <dcterms:modified xsi:type="dcterms:W3CDTF">2026-10-03T17:31:53Z</dcterms:modified>
  <dc:language>en-US</dc:language>
</cp:coreProperties>
</file>